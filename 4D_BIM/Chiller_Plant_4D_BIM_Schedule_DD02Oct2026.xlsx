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4D Schedule" sheetId="2" state="visible" r:id="rId4"/>
    <sheet name="BIM Element Map" sheetId="3" state="visible" r:id="rId5"/>
    <sheet name="TimeLiner Import" sheetId="4" state="visible" r:id="rId6"/>
    <sheet name="Gantt" sheetId="5" state="visible" r:id="rId7"/>
    <sheet name="P6 Roll-up" sheetId="6" state="visible" r:id="rId8"/>
    <sheet name="Calendar" sheetId="7" state="visible" r:id="rId9"/>
  </sheets>
  <definedNames>
    <definedName function="false" hidden="false" localSheetId="1" name="_xlnm.Print_Titles" vbProcedure="false">'4D Schedule'!$4:$5</definedName>
    <definedName function="false" hidden="true" localSheetId="1" name="_xlnm._FilterDatabase" vbProcedure="false">'4D Schedule'!$A$5:$AJ$156</definedName>
    <definedName function="false" hidden="false" localSheetId="2" name="_xlnm.Print_Titles" vbProcedure="false">'BIM Element Map'!$5:$5</definedName>
    <definedName function="false" hidden="true" localSheetId="2" name="_xlnm._FilterDatabase" vbProcedure="false">'BIM Element Map'!$A$5:$O$416</definedName>
    <definedName function="false" hidden="false" localSheetId="4" name="_xlnm.Print_Titles" vbProcedure="false">Gantt!$4:$5</definedName>
    <definedName function="false" hidden="false" localSheetId="5" name="_xlnm.Print_Titles" vbProcedure="false">'P6 Roll-up'!$4:$4</definedName>
    <definedName function="false" hidden="false" localSheetId="3" name="_xlnm.Print_Titles" vbProcedure="false">'TimeLiner Import'!$1:$1</definedName>
    <definedName function="false" hidden="true" localSheetId="3" name="_xlnm._FilterDatabase" vbProcedure="false">'TimeLiner Import'!$A$1:$P$127</definedName>
    <definedName function="false" hidden="false" name="DataDate" vbProcedure="false">'Read Me'!$C$7</definedName>
    <definedName function="false" hidden="false" name="NextWD" vbProcedure="false">'Read Me'!$C$8</definedName>
    <definedName function="false" hidden="false" name="WorkDays" vbProcedure="false">Calendar!$A$6:$A$715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X5" authorId="0">
      <text>
        <r>
          <rPr>
            <sz val="10"/>
            <rFont val="Arial"/>
            <family val="2"/>
          </rPr>
          <t xml:space="preserve">Start-No-Earlier-Than constraint (hold release, crew availability or P6 date).</t>
        </r>
      </text>
    </comment>
    <comment ref="AA5" authorId="0">
      <text>
        <r>
          <rPr>
            <sz val="10"/>
            <rFont val="Arial"/>
            <family val="2"/>
          </rPr>
          <t xml:space="preserve">Enter the actual start date from DPR / pour card. Leave blank if not started.</t>
        </r>
      </text>
    </comment>
    <comment ref="AB5" authorId="0">
      <text>
        <r>
          <rPr>
            <sz val="10"/>
            <rFont val="Arial"/>
            <family val="2"/>
          </rPr>
          <t xml:space="preserve">Enter the actual finish date. Status becomes Completed and successors re-plan from this date.</t>
        </r>
      </text>
    </comment>
    <comment ref="AC5" authorId="0">
      <text>
        <r>
          <rPr>
            <sz val="10"/>
            <rFont val="Arial"/>
            <family val="2"/>
          </rPr>
          <t xml:space="preserve">Physical % complete for activities in progress (Remaining Dur = Orig Dur × (1 – %)).</t>
        </r>
      </text>
    </comment>
  </commentList>
</comments>
</file>

<file path=xl/sharedStrings.xml><?xml version="1.0" encoding="utf-8"?>
<sst xmlns="http://schemas.openxmlformats.org/spreadsheetml/2006/main" count="6591" uniqueCount="1753">
  <si>
    <t xml:space="preserve">CHILLER PLANT – 4D BIM CONSTRUCTION SCHEDULE</t>
  </si>
  <si>
    <t xml:space="preserve">JSW Utkal Steel Ltd – 816 m² Pelletizing Plant-1 (PP-1), Paradeep, Odisha  |  Chiller Plant (combined for PP-1 &amp; PP-2)</t>
  </si>
  <si>
    <t xml:space="preserve">Owner: JSW Utkal Steel Ltd  |  Technology: Primetals Technologies  |  Engineering &amp; construction partner: L&amp;T Construction (Minerals &amp; Metals)</t>
  </si>
  <si>
    <t xml:space="preserve">GENERAL</t>
  </si>
  <si>
    <t xml:space="preserve">P6 reference schedule</t>
  </si>
  <si>
    <t xml:space="preserve">NEWPROJ-24_DD_2026-10-02_6.xer (and Schedule Engine export NEWPROJ-24_DD_2026-10-02_3_1.xlsx) – WBS Pellet Plant-1 › Utilities › Chiller Plant (19 activities)</t>
  </si>
  <si>
    <t xml:space="preserve">Data Date (input)</t>
  </si>
  <si>
    <t xml:space="preserve">← change for every progress update (all sheets follow)</t>
  </si>
  <si>
    <t xml:space="preserve">Next working day (formula)</t>
  </si>
  <si>
    <t xml:space="preserve">Calendar</t>
  </si>
  <si>
    <t xml:space="preserve">JSW USL Calender – Mon–Sat working, Sunday off, 10 h/day, holidays per XER (see Calendar sheet)</t>
  </si>
  <si>
    <t xml:space="preserve">SHEETS</t>
  </si>
  <si>
    <t xml:space="preserve">4D Schedule</t>
  </si>
  <si>
    <t xml:space="preserve">Hierarchy = P6: Lvl 1 Chiller Plant › Lvl 2 Engineering / Procurement / Construction › Lvl 3 GROUP = each of the 18 P6 activities (dates identical to P6 for baseline, actual &amp; current) › Lvl 4 = 126 detailed activities sequenced inside their group (+ 2 groups of additional scope not in P6). Each construction activity carries BIM category, element marks, zone, level, drawing, selection set and TimeLiner task type.</t>
  </si>
  <si>
    <t xml:space="preserve">BIM Element Map</t>
  </si>
  <si>
    <t xml:space="preserve">411 model elements (53 piles, 35 pile caps, 29 pile cap beams, 116 column segments, plinth/floor/roof beams &amp; slabs, stairs, trenches, F1/F2 foundations, equipment …) each linked to one 4D activity, with live dates &amp; status.</t>
  </si>
  <si>
    <t xml:space="preserve">TimeLiner Import</t>
  </si>
  <si>
    <t xml:space="preserve">Flat, CSV-ready task table for Navisworks TimeLiner / Synchro / Fuzor (also delivered as a separate .csv). Planned = current schedule, Actual = site actuals, Baseline = P6 BL.</t>
  </si>
  <si>
    <t xml:space="preserve">Gantt</t>
  </si>
  <si>
    <t xml:space="preserve">Weekly bar chart of the current schedule with data-date line (conditional formatting – updates automatically).</t>
  </si>
  <si>
    <t xml:space="preserve">P6 Roll-up</t>
  </si>
  <si>
    <t xml:space="preserve">For every P6 activity: P6 BL / current / actual dates vs the group roll-up in the 4D Schedule (Δ in working days, "✔ Same as P6") + progress summary (activities, elements, RCC quantity).</t>
  </si>
  <si>
    <t xml:space="preserve">Working-day list (named range WorkDays) and holidays from the XER.</t>
  </si>
  <si>
    <t xml:space="preserve">HOW TO UPDATE (monthly / weekly)</t>
  </si>
  <si>
    <t xml:space="preserve">1. Set the new Data Date in C7.</t>
  </si>
  <si>
    <t xml:space="preserve">2. In 4D Schedule enter Actual Start / Actual Finish / % Complete (yellow cells) from DPR, pour cards and pile register. Replace the blue ASSUMED actual dates with real ones.</t>
  </si>
  <si>
    <t xml:space="preserve">3. Current Start/Finish of all remaining activities re-plan automatically (Pred-1/Pred-2 logic, FS/SS + lag in working days, SNET, project calendar). Change durations, logic or SNET in the blue cells if the site sequence differs.</t>
  </si>
  <si>
    <t xml:space="preserve">4. Check P6 Roll-up: detailed finish dates should match the updated P6 dates (Δ = 0) – otherwise adjust durations / SNET or report the variance.</t>
  </si>
  <si>
    <t xml:space="preserve">5. Re-export TimeLiner Import (File › Save As › CSV) or refresh the Excel/CSV data source in Navisworks / Synchro and re-run the simulation.</t>
  </si>
  <si>
    <t xml:space="preserve">HOW TO LINK WITH THE BIM MODEL (4D)</t>
  </si>
  <si>
    <t xml:space="preserve">A. Revit / Tekla: create text parameters 4D_Element_ID and 4D_Activity_ID (shared, instance) on all categories used. Fill them from BIM Element Map (columns A &amp; J) – e.g. Dynamo "Data.ImportExcel" + "Element.SetParameterByName", or Tekla UDA import. Split columns at EL -0.300 / +4.000 / +9.150 (construction joints) so each lift is a separate element.</t>
  </si>
  <si>
    <t xml:space="preserve">B. Navisworks: append the model (NWC), TimeLiner › Data Sources › Add › CSV Import (TimeLiner Import .csv) – map Display ID, Task Name, Task Type, Planned Start/End, Actual Start/End; Rebuild Task Hierarchy.</t>
  </si>
  <si>
    <t xml:space="preserve">C. TimeLiner › Auto-Attach Using Rules › New rule: "Map TimeLiner tasks from column Display ID to items with property 4D_Activity_ID (category Element)". Alternatively create Search Sets named exactly as the Activity ID (column J of 4D Schedule) and use the "Selection Sets with the same name" rule.</t>
  </si>
  <si>
    <t xml:space="preserve">D. Simulate › Settings: show Planned vs Actual (Actual dates = site actuals; Planned = current schedule; Baseline columns can be mapped to Planned for BL-vs-actual comparison). Task types: Construct (appear), Demolish (excavation – disappear), Temporary.</t>
  </si>
  <si>
    <t xml:space="preserve">E. Synchro 4D / Fuzor: import the same CSV / Excel, link resources by the 4D_Activity_ID user field.</t>
  </si>
  <si>
    <t xml:space="preserve">KEY ASSUMPTIONS – PLEASE VERIFY</t>
  </si>
  <si>
    <t xml:space="preserve">1. GROUP RULE: each P6 activity is a group whose baseline, actual and current dates equal P6 (checked live in P6 Roll-up col AB). Detailed activities are sequenced inside the group window by logic (FS/SS + lag); the first starts on the group start and the last finishes on the group finish – for baseline (P6 BL window) and for actual / current dates.</t>
  </si>
  <si>
    <t xml:space="preserve">2. P6 gives only group-level dates. Detailed ACTUAL dates before the Data Date are ASSUMED (blue text) inside the P6 actual windows: drawings 29-Nov-25 → 07-Jan-26 &amp; 31-Aug → 24-Sep-26, PR→PO Feb–May-26, piling 17-Dec-25 → 19-Jan-26, excavation 18-Feb → 30-Mar-26, concreting from 08-Mar-26 (70% in P6 → substructure, columns, first floor, stairs, roof, cable trenches &amp; 2 grade-slab panels complete; ≈74% by RCC quantity). Replace with DPR / register dates.</t>
  </si>
  <si>
    <t xml:space="preserve">3. In-progress groups (E&amp;I drawings, chiller &amp; pump manufacturing, concreting): remaining durations set so each group finishes on its P6 date (11-Dec-26, 31-Dec-26, 31-Dec-26, 25-Nov-26).</t>
  </si>
  <si>
    <t xml:space="preserve">4. Work sequence assumed Zone-1 (Grid 1–3) → Zone-2 (Grid 3–5) → Zone-3 (Grid 5–6); piles in pile-number order (row A → E).</t>
  </si>
  <si>
    <t xml:space="preserve">5. Chiller foundations F1 ×5 and pump foundations F2 ×10 were on HOLD (vendor GA) – released by "Equipment drawings release" (actual 24-Sep-26); they start 03-Oct-26 and drive the concreting group to its P6 finish 25-Nov-26.</t>
  </si>
  <si>
    <t xml:space="preserve">6. Brickwork, lintels, finishes, monorail beams and handrails have no P6 activity – shown in the separate group "ADDITIONAL SCOPE – NOT IN P6" (Oct-26 → Jan-27). Recommend adding them to P6.</t>
  </si>
  <si>
    <t xml:space="preserve">7. Construction joints in columns assumed at EL -0.300, +4.000 (also chiller-hall columns) and +9.150 (mumty). Equipment tags CH-01…05 / P-01…10 numbered from Grid 1 (verify).</t>
  </si>
  <si>
    <t xml:space="preserve">8. Concrete quantities are approximate (drawing qty boxes split by element proportion) and are used only for progress weighting.</t>
  </si>
  <si>
    <t xml:space="preserve">COLOUR LEGEND</t>
  </si>
  <si>
    <t xml:space="preserve">Site input cell (Actual Start / Finish / % Complete, Data Date)</t>
  </si>
  <si>
    <t xml:space="preserve">Abc</t>
  </si>
  <si>
    <t xml:space="preserve">Blue text = input / assumed value (logic, durations, SNET, assumed actuals)</t>
  </si>
  <si>
    <t xml:space="preserve">Lvl 3 GROUP row = P6 activity (roll-up = P6 dates)</t>
  </si>
  <si>
    <t xml:space="preserve">Lvl 2 phase row (Engineering / Procurement / Construction)</t>
  </si>
  <si>
    <t xml:space="preserve">Milestone</t>
  </si>
  <si>
    <t xml:space="preserve">Status Completed</t>
  </si>
  <si>
    <t xml:space="preserve">Status In Progress</t>
  </si>
  <si>
    <t xml:space="preserve">Not Started (Late) – baseline start already passed</t>
  </si>
  <si>
    <t xml:space="preserve">DRAWINGS USED</t>
  </si>
  <si>
    <t xml:space="preserve">O24091-990-C-B-19530-001</t>
  </si>
  <si>
    <t xml:space="preserve">R0</t>
  </si>
  <si>
    <t xml:space="preserve">Chiller Plant – Layout &amp; detail of pile (P1–P53, 600Ø bored cast-in-situ, L = 26 m)</t>
  </si>
  <si>
    <t xml:space="preserve">O24091-990-C-B-19531-001</t>
  </si>
  <si>
    <t xml:space="preserve">Layout &amp; detail of pile cap (PC1 ×17, PC2 ×18), pile cap beam (PCB1/2/3) &amp; column schedule (C1–C9, SC1)</t>
  </si>
  <si>
    <t xml:space="preserve">O24091-990-C-B-19531-002</t>
  </si>
  <si>
    <t xml:space="preserve">GA &amp; RC detail of plinth beam (PB1–PB10) at EL(-)0.300 TOB</t>
  </si>
  <si>
    <t xml:space="preserve">O24091-990-C-B-19531-003</t>
  </si>
  <si>
    <t xml:space="preserve">GA &amp; RC detail of floor beam (FB1–FB14, TB1) &amp; 150 thk slab at EL(+)4.000 TOC</t>
  </si>
  <si>
    <t xml:space="preserve">O24091-990-C-B-19531-004</t>
  </si>
  <si>
    <t xml:space="preserve">GA &amp; RC detail of roof plan at EL(+)9.150 &amp; EL(+)12.150 TOC (RB1–RB16, monorails MR-1/MR-2)</t>
  </si>
  <si>
    <t xml:space="preserve">O24091-990-C-B-19531-005</t>
  </si>
  <si>
    <t xml:space="preserve">GA &amp; RC detail of staircase ST-1 &amp; ST-2 and sectional elevations</t>
  </si>
  <si>
    <t xml:space="preserve">O24091-990-C-B-19531-006</t>
  </si>
  <si>
    <t xml:space="preserve">GA &amp; RC detail of lintel beams (LB1–LB12) &amp; chajja</t>
  </si>
  <si>
    <t xml:space="preserve">O24091-990-C-B-19531-007</t>
  </si>
  <si>
    <t xml:space="preserve">GA &amp; RC detail of grade slab, chiller foundation F1, pump foundation F2, cable trench &amp; cable pit</t>
  </si>
  <si>
    <t xml:space="preserve">O24091-990-C-B-19531-008</t>
  </si>
  <si>
    <t xml:space="preserve">Sections &amp; details for grade slab / trench / pit / F1 / F2 (read with 19531-007)</t>
  </si>
  <si>
    <t xml:space="preserve">ZONES &amp; GRID KEY (column mark / pile cap at each grid intersection)</t>
  </si>
  <si>
    <t xml:space="preserve">Z1</t>
  </si>
  <si>
    <t xml:space="preserve">Zone-1 : Grid 1 to 3 (column lines 1, 2, 3 incl. SC1)</t>
  </si>
  <si>
    <t xml:space="preserve">Z2</t>
  </si>
  <si>
    <t xml:space="preserve">Zone-2 : Grid 3 to 5 (column lines 4, 5)</t>
  </si>
  <si>
    <t xml:space="preserve">Z3</t>
  </si>
  <si>
    <t xml:space="preserve">Zone-3 : Grid 5 to 6 (column lines 5.1, 6)</t>
  </si>
  <si>
    <t xml:space="preserve">Row \ Grid</t>
  </si>
  <si>
    <t xml:space="preserve">6</t>
  </si>
  <si>
    <t xml:space="preserve">5.1</t>
  </si>
  <si>
    <t xml:space="preserve">5</t>
  </si>
  <si>
    <t xml:space="preserve">4</t>
  </si>
  <si>
    <t xml:space="preserve">3</t>
  </si>
  <si>
    <t xml:space="preserve">2</t>
  </si>
  <si>
    <t xml:space="preserve">1</t>
  </si>
  <si>
    <t xml:space="preserve">E</t>
  </si>
  <si>
    <t xml:space="preserve">C1 / PC1 *</t>
  </si>
  <si>
    <t xml:space="preserve">C1 / PC2 *</t>
  </si>
  <si>
    <t xml:space="preserve">C9 / PC2</t>
  </si>
  <si>
    <t xml:space="preserve">D.2</t>
  </si>
  <si>
    <t xml:space="preserve">D.1</t>
  </si>
  <si>
    <t xml:space="preserve">D</t>
  </si>
  <si>
    <t xml:space="preserve">C2 / PC2</t>
  </si>
  <si>
    <t xml:space="preserve">C8 / PC2</t>
  </si>
  <si>
    <t xml:space="preserve">C7 / PC2</t>
  </si>
  <si>
    <t xml:space="preserve">C</t>
  </si>
  <si>
    <t xml:space="preserve">C3 / PC1</t>
  </si>
  <si>
    <t xml:space="preserve">C6 / PC1</t>
  </si>
  <si>
    <t xml:space="preserve">C5 / PC1</t>
  </si>
  <si>
    <t xml:space="preserve">C4 / PC1</t>
  </si>
  <si>
    <t xml:space="preserve">B</t>
  </si>
  <si>
    <t xml:space="preserve">C3 / PC2</t>
  </si>
  <si>
    <t xml:space="preserve">C6 / PC2</t>
  </si>
  <si>
    <t xml:space="preserve">A</t>
  </si>
  <si>
    <t xml:space="preserve">SC1 (500×600) on PCB3 at Grid 1, 2400 S of Row B.  * = column continues to mumty roof EL +12.150 (ST-1: Grid 6–5.1, ST-2: Grid 2–1).</t>
  </si>
  <si>
    <t xml:space="preserve">CHILLER PLANT (Combined for PP-1 &amp; PP-2) – 4D BIM CONSTRUCTION SCHEDULE (detailed, element-linked)</t>
  </si>
  <si>
    <t xml:space="preserve">JSW Utkal Steel Ltd – 816 m² Pelletizing Plant-1 (PP-1), Paradeep  |  P6 reference: NEWPROJ-24 (XER, Data Date 02-Oct-2026), WBS Pellet Plant-1 › Utilities › Chiller Plant  |  Drawings O24091-990-C-B-19530-001 &amp; 19531-001…008 (R0)</t>
  </si>
  <si>
    <t xml:space="preserve">Data Date:</t>
  </si>
  <si>
    <t xml:space="preserve">Structure: Lvl 1 project › Lvl 2 phase › Lvl 3 GROUP = P6 activity (dates = P6 BL / actual / current) › Lvl 4 detailed activities sequenced inside the group. Yellow = site input (Actual Start / Finish / % Complete); blue text = assumed / logic inputs. Use outline buttons 1–4 (left margin) to collapse to group level.</t>
  </si>
  <si>
    <t xml:space="preserve">ACTIVITY</t>
  </si>
  <si>
    <t xml:space="preserve">BIM / 4D LINK</t>
  </si>
  <si>
    <t xml:space="preserve">P6 GROUP &amp; QUANTITY</t>
  </si>
  <si>
    <t xml:space="preserve">LOGIC (working days)</t>
  </si>
  <si>
    <t xml:space="preserve">BASELINE (P6 BL)</t>
  </si>
  <si>
    <t xml:space="preserve">ACTUAL – SITE INPUT</t>
  </si>
  <si>
    <t xml:space="preserve">CURRENT SCHEDULE</t>
  </si>
  <si>
    <t xml:space="preserve">ANALYSIS</t>
  </si>
  <si>
    <t xml:space="preserve">Activity ID / P6 Group</t>
  </si>
  <si>
    <t xml:space="preserve">Lvl</t>
  </si>
  <si>
    <t xml:space="preserve">Activity Name</t>
  </si>
  <si>
    <t xml:space="preserve">Work Package</t>
  </si>
  <si>
    <t xml:space="preserve">Zone</t>
  </si>
  <si>
    <t xml:space="preserve">Grid / Location</t>
  </si>
  <si>
    <t xml:space="preserve">Level / Elevation</t>
  </si>
  <si>
    <t xml:space="preserve">BIM Category</t>
  </si>
  <si>
    <t xml:space="preserve">Element Marks</t>
  </si>
  <si>
    <t xml:space="preserve">No. of BIM Elements</t>
  </si>
  <si>
    <t xml:space="preserve">Selection / Search Set (TimeLiner)</t>
  </si>
  <si>
    <t xml:space="preserve">TimeLiner Task Type</t>
  </si>
  <si>
    <t xml:space="preserve">Drawing Ref.</t>
  </si>
  <si>
    <t xml:space="preserve">P6 Group (parent)</t>
  </si>
  <si>
    <t xml:space="preserve">Qty (approx)</t>
  </si>
  <si>
    <t xml:space="preserve">Unit</t>
  </si>
  <si>
    <t xml:space="preserve">Orig Dur (wd)</t>
  </si>
  <si>
    <t xml:space="preserve">Pred-1</t>
  </si>
  <si>
    <t xml:space="preserve">Rel-1</t>
  </si>
  <si>
    <t xml:space="preserve">Lag-1 (wd)</t>
  </si>
  <si>
    <t xml:space="preserve">Pred-2</t>
  </si>
  <si>
    <t xml:space="preserve">Rel-2</t>
  </si>
  <si>
    <t xml:space="preserve">Lag-2 (wd)</t>
  </si>
  <si>
    <t xml:space="preserve">Start No Earlier Than</t>
  </si>
  <si>
    <t xml:space="preserve">BL Start</t>
  </si>
  <si>
    <t xml:space="preserve">BL Finish</t>
  </si>
  <si>
    <t xml:space="preserve">Actual Start</t>
  </si>
  <si>
    <t xml:space="preserve">Actual Finish</t>
  </si>
  <si>
    <t xml:space="preserve">% Complete</t>
  </si>
  <si>
    <t xml:space="preserve">Remaining Dur (wd)</t>
  </si>
  <si>
    <t xml:space="preserve">Current Start</t>
  </si>
  <si>
    <t xml:space="preserve">Current Finish</t>
  </si>
  <si>
    <t xml:space="preserve">Status</t>
  </si>
  <si>
    <t xml:space="preserve">Finish Var vs BL (wd, + = late)</t>
  </si>
  <si>
    <t xml:space="preserve">Qty Done</t>
  </si>
  <si>
    <t xml:space="preserve">Remarks / P6 check</t>
  </si>
  <si>
    <t xml:space="preserve">CHP</t>
  </si>
  <si>
    <t xml:space="preserve">CHILLER PLANT (combined for PP-1 &amp; PP-2) – P6 WBS: Pellet Plant-1 › Utilities › Chiller Plant</t>
  </si>
  <si>
    <t xml:space="preserve">CHP.E</t>
  </si>
  <si>
    <t xml:space="preserve">ENGINEERING</t>
  </si>
  <si>
    <t xml:space="preserve">JSW USL-BE-CHI-1000</t>
  </si>
  <si>
    <t xml:space="preserve">Basic drawings from TS - Inputs</t>
  </si>
  <si>
    <t xml:space="preserve">CHP-MS-010</t>
  </si>
  <si>
    <t xml:space="preserve">Basic drawings / technical specification inputs received</t>
  </si>
  <si>
    <t xml:space="preserve">— (non-BIM milestone)</t>
  </si>
  <si>
    <t xml:space="preserve">Actual date as per P6.</t>
  </si>
  <si>
    <t xml:space="preserve">JSW USL-DE-CHI-1000</t>
  </si>
  <si>
    <t xml:space="preserve">Pile drawings release</t>
  </si>
  <si>
    <t xml:space="preserve">CHP-ENG-010</t>
  </si>
  <si>
    <t xml:space="preserve">Pile layout &amp; detail drawing (19530-001) – design &amp; preparation</t>
  </si>
  <si>
    <t xml:space="preserve">Engineering</t>
  </si>
  <si>
    <t xml:space="preserve">— (non-BIM)</t>
  </si>
  <si>
    <t xml:space="preserve">Construct</t>
  </si>
  <si>
    <t xml:space="preserve">Group actual dates = P6; split inside the group ASSUMED (sequenced) – replace with register / DPR dates.</t>
  </si>
  <si>
    <t xml:space="preserve">CHP-ENG-020</t>
  </si>
  <si>
    <t xml:space="preserve">Pile drawing – review, client approval &amp; IFC issue</t>
  </si>
  <si>
    <t xml:space="preserve">FS</t>
  </si>
  <si>
    <t xml:space="preserve">CHP-MS-020</t>
  </si>
  <si>
    <t xml:space="preserve">Pile drawings released (IFC)</t>
  </si>
  <si>
    <t xml:space="preserve">JSW USL-DE-CHI-1010</t>
  </si>
  <si>
    <t xml:space="preserve">Civil drawings release</t>
  </si>
  <si>
    <t xml:space="preserve">CHP-ENG-030</t>
  </si>
  <si>
    <t xml:space="preserve">Civil GA &amp; RC drawings 19531-001 … 008 – preparation &amp; checking</t>
  </si>
  <si>
    <t xml:space="preserve">O24091-990-C-B-19531-001 … 008</t>
  </si>
  <si>
    <t xml:space="preserve">CHP-ENG-040</t>
  </si>
  <si>
    <t xml:space="preserve">Civil drawings – client review &amp; IFC release</t>
  </si>
  <si>
    <t xml:space="preserve">CHP-MS-030</t>
  </si>
  <si>
    <t xml:space="preserve">Civil drawings released (IFC)</t>
  </si>
  <si>
    <t xml:space="preserve">JSW USL-DE-CHI-1020</t>
  </si>
  <si>
    <t xml:space="preserve">Equipment drawings release</t>
  </si>
  <si>
    <t xml:space="preserve">CHP-ENG-050</t>
  </si>
  <si>
    <t xml:space="preserve">Vendor GA drawings (centrifugal chillers &amp; pumps) – receipt &amp; review</t>
  </si>
  <si>
    <t xml:space="preserve">CHP-ENG-060</t>
  </si>
  <si>
    <t xml:space="preserve">Equipment layout &amp; foundation loading data – approval &amp; release</t>
  </si>
  <si>
    <t xml:space="preserve">CHP-MS-040</t>
  </si>
  <si>
    <t xml:space="preserve">Equipment drawings released – HOLD on chiller / pump foundations F1 &amp; F2 lifted</t>
  </si>
  <si>
    <t xml:space="preserve">JSW USL-DE-CHI-1030</t>
  </si>
  <si>
    <t xml:space="preserve">Piping drawings release</t>
  </si>
  <si>
    <t xml:space="preserve">CHP-ENG-070</t>
  </si>
  <si>
    <t xml:space="preserve">Piping GA, isometric &amp; pipe-support drawings – preparation</t>
  </si>
  <si>
    <t xml:space="preserve">Sequenced to finish on P6 date 19-Nov-26.</t>
  </si>
  <si>
    <t xml:space="preserve">CHP-ENG-080</t>
  </si>
  <si>
    <t xml:space="preserve">Piping drawings – review, comments &amp; IFC release</t>
  </si>
  <si>
    <t xml:space="preserve">CHP-MS-050</t>
  </si>
  <si>
    <t xml:space="preserve">Piping drawings released (IFC)</t>
  </si>
  <si>
    <t xml:space="preserve">JSW USL-DE-CHI-1040</t>
  </si>
  <si>
    <t xml:space="preserve">E&amp;I drawings release</t>
  </si>
  <si>
    <t xml:space="preserve">CHP-ENG-090</t>
  </si>
  <si>
    <t xml:space="preserve">E&amp;I layouts (cable routing, lighting, earthing, instrument locations) – preparation</t>
  </si>
  <si>
    <t xml:space="preserve">Group actual dates = P6; split inside the group ASSUMED (sequenced) – replace with register / DPR dates. In progress at DD; remaining duration set so the group finishes on the P6 date.</t>
  </si>
  <si>
    <t xml:space="preserve">CHP-ENG-100</t>
  </si>
  <si>
    <t xml:space="preserve">E&amp;I drawings – coordination with piping drawings, review &amp; IFC release</t>
  </si>
  <si>
    <t xml:space="preserve">Sequenced to finish on P6 date 11-Dec-26.</t>
  </si>
  <si>
    <t xml:space="preserve">CHP-MS-060</t>
  </si>
  <si>
    <t xml:space="preserve">E&amp;I drawings released (IFC)</t>
  </si>
  <si>
    <t xml:space="preserve">CHP.P</t>
  </si>
  <si>
    <t xml:space="preserve">PROCUREMENT</t>
  </si>
  <si>
    <t xml:space="preserve">JSW USL-PR-2440</t>
  </si>
  <si>
    <t xml:space="preserve">Centrifugal Chillers - PR to PO</t>
  </si>
  <si>
    <t xml:space="preserve">CHP-PRC-010</t>
  </si>
  <si>
    <t xml:space="preserve">Centrifugal chillers – PR, RFQ, bids &amp; technical evaluation</t>
  </si>
  <si>
    <t xml:space="preserve">Procurement</t>
  </si>
  <si>
    <t xml:space="preserve">CHP-PRC-020</t>
  </si>
  <si>
    <t xml:space="preserve">Centrifugal chillers – commercial negotiation &amp; PO placement</t>
  </si>
  <si>
    <t xml:space="preserve">CHP-PRC-030</t>
  </si>
  <si>
    <t xml:space="preserve">PO placed – centrifugal chillers</t>
  </si>
  <si>
    <t xml:space="preserve">JSW USL-PR-2450</t>
  </si>
  <si>
    <t xml:space="preserve">Centrifugal Chillers - Manufacturing, Inspection &amp; Delivery</t>
  </si>
  <si>
    <t xml:space="preserve">CHP-PRC-040</t>
  </si>
  <si>
    <t xml:space="preserve">Centrifugal chillers – manufacturing</t>
  </si>
  <si>
    <t xml:space="preserve">CHP-PRC-050</t>
  </si>
  <si>
    <t xml:space="preserve">Centrifugal chillers – stage inspection &amp; FAT</t>
  </si>
  <si>
    <t xml:space="preserve">Sequenced to finish on P6 date 31-Dec-26.</t>
  </si>
  <si>
    <t xml:space="preserve">CHP-PRC-060</t>
  </si>
  <si>
    <t xml:space="preserve">Centrifugal chillers – dispatch &amp; transit to site</t>
  </si>
  <si>
    <t xml:space="preserve">CHP-MS-070</t>
  </si>
  <si>
    <t xml:space="preserve">Centrifugal chillers delivered at site</t>
  </si>
  <si>
    <t xml:space="preserve">JSW USL-PR-2460</t>
  </si>
  <si>
    <t xml:space="preserve">Pumps - PR to PO</t>
  </si>
  <si>
    <t xml:space="preserve">CHP-PRC-070</t>
  </si>
  <si>
    <t xml:space="preserve">Pumps – PR, RFQ, bids &amp; technical evaluation</t>
  </si>
  <si>
    <t xml:space="preserve">CHP-PRC-080</t>
  </si>
  <si>
    <t xml:space="preserve">Pumps – commercial negotiation &amp; PO placement</t>
  </si>
  <si>
    <t xml:space="preserve">CHP-PRC-090</t>
  </si>
  <si>
    <t xml:space="preserve">PO placed – pumps</t>
  </si>
  <si>
    <t xml:space="preserve">JSW USL-PR-2470</t>
  </si>
  <si>
    <t xml:space="preserve">Pumps - Manufacturing, Inspection &amp; Delivery</t>
  </si>
  <si>
    <t xml:space="preserve">CHP-PRC-100</t>
  </si>
  <si>
    <t xml:space="preserve">Pumps – manufacturing</t>
  </si>
  <si>
    <t xml:space="preserve">CHP-PRC-110</t>
  </si>
  <si>
    <t xml:space="preserve">Pumps – inspection &amp; performance test</t>
  </si>
  <si>
    <t xml:space="preserve">CHP-PRC-120</t>
  </si>
  <si>
    <t xml:space="preserve">Pumps – dispatch &amp; transit to site</t>
  </si>
  <si>
    <t xml:space="preserve">CHP-MS-080</t>
  </si>
  <si>
    <t xml:space="preserve">Pumps delivered at site</t>
  </si>
  <si>
    <t xml:space="preserve">CHP.C</t>
  </si>
  <si>
    <t xml:space="preserve">CONSTRUCTION</t>
  </si>
  <si>
    <t xml:space="preserve">JSW USL-CON-CHI-1000</t>
  </si>
  <si>
    <t xml:space="preserve">Piling Works</t>
  </si>
  <si>
    <t xml:space="preserve">CHP-PIL-010</t>
  </si>
  <si>
    <t xml:space="preserve">Piles Row A (P1–P7)</t>
  </si>
  <si>
    <t xml:space="preserve">Piling</t>
  </si>
  <si>
    <t xml:space="preserve">Row A</t>
  </si>
  <si>
    <t xml:space="preserve">Row A : Grid 1–6</t>
  </si>
  <si>
    <t xml:space="preserve">Cut-off EL(-)2.425 ; L = 26 m</t>
  </si>
  <si>
    <t xml:space="preserve">Structural Foundations (Pile)</t>
  </si>
  <si>
    <t xml:space="preserve">P1–P7</t>
  </si>
  <si>
    <t xml:space="preserve">Nos</t>
  </si>
  <si>
    <t xml:space="preserve">CHP-PIL-020</t>
  </si>
  <si>
    <t xml:space="preserve">Piles Row B (P8–P16)</t>
  </si>
  <si>
    <t xml:space="preserve">Row B</t>
  </si>
  <si>
    <t xml:space="preserve">Row B : Grid 1–6</t>
  </si>
  <si>
    <t xml:space="preserve">P8–P16</t>
  </si>
  <si>
    <t xml:space="preserve">CHP-PIL-030</t>
  </si>
  <si>
    <t xml:space="preserve">Piles Row C (P17–P22)</t>
  </si>
  <si>
    <t xml:space="preserve">Row C</t>
  </si>
  <si>
    <t xml:space="preserve">Row C : Grid 1–6</t>
  </si>
  <si>
    <t xml:space="preserve">P17–P22</t>
  </si>
  <si>
    <t xml:space="preserve">CHP-PIL-040</t>
  </si>
  <si>
    <t xml:space="preserve">Piles Row D (P23–P34)</t>
  </si>
  <si>
    <t xml:space="preserve">Row D</t>
  </si>
  <si>
    <t xml:space="preserve">Row D : Grid 1–6</t>
  </si>
  <si>
    <t xml:space="preserve">P23–P34</t>
  </si>
  <si>
    <t xml:space="preserve">CHP-PIL-050</t>
  </si>
  <si>
    <t xml:space="preserve">Piles Rows D.1 &amp; D.2 (P35–P41)</t>
  </si>
  <si>
    <t xml:space="preserve">Row D.1/D.2</t>
  </si>
  <si>
    <t xml:space="preserve">Rows D.1 &amp; D.2 : Grid 1, 2, 5.1, 6</t>
  </si>
  <si>
    <t xml:space="preserve">P35–P41</t>
  </si>
  <si>
    <t xml:space="preserve">CHP-PIL-060</t>
  </si>
  <si>
    <t xml:space="preserve">Piles Row E (P42–P53)</t>
  </si>
  <si>
    <t xml:space="preserve">Row E</t>
  </si>
  <si>
    <t xml:space="preserve">Row E : Grid 1–6</t>
  </si>
  <si>
    <t xml:space="preserve">P42–P53</t>
  </si>
  <si>
    <t xml:space="preserve">JSW USL-CON-CHI-1010</t>
  </si>
  <si>
    <t xml:space="preserve">Excavation incl. pile chipping</t>
  </si>
  <si>
    <t xml:space="preserve">CHP-EXC-010</t>
  </si>
  <si>
    <t xml:space="preserve">Excavation, pile chipping &amp; PCC prep – Zone-1 (Grid 1–3)</t>
  </si>
  <si>
    <t xml:space="preserve">Excavation</t>
  </si>
  <si>
    <t xml:space="preserve">Grid 1–3 : Row E–A</t>
  </si>
  <si>
    <t xml:space="preserve">FGL EL(-)0.500 to EL(-)2.575 (incl. PCC)</t>
  </si>
  <si>
    <t xml:space="preserve">Excavation solid / Topography (if modelled)</t>
  </si>
  <si>
    <t xml:space="preserve">Demolish</t>
  </si>
  <si>
    <t xml:space="preserve">Group actual dates = P6; split inside the group ASSUMED (sequenced) – replace with register / DPR dates. Task type 'Demolish' only if excavation solids are modelled.</t>
  </si>
  <si>
    <t xml:space="preserve">CHP-EXC-020</t>
  </si>
  <si>
    <t xml:space="preserve">Excavation, pile chipping &amp; PCC prep – Zone-2 (Grid 3–5)</t>
  </si>
  <si>
    <t xml:space="preserve">Grid 3–5 : Row E–A</t>
  </si>
  <si>
    <t xml:space="preserve">SS</t>
  </si>
  <si>
    <t xml:space="preserve">CHP-EXC-030</t>
  </si>
  <si>
    <t xml:space="preserve">Excavation, pile chipping &amp; PCC prep – Zone-3 (Grid 5–6)</t>
  </si>
  <si>
    <t xml:space="preserve">Grid 5–6 : Row E–A</t>
  </si>
  <si>
    <t xml:space="preserve">JSW USL-CON-CHI-1020</t>
  </si>
  <si>
    <t xml:space="preserve">Concreting - Foundations, Columns, Beams, Walls, etc.</t>
  </si>
  <si>
    <t xml:space="preserve">CHP-SUB-010</t>
  </si>
  <si>
    <t xml:space="preserve">PCC (M7.5) &amp; pile caps – Zone-1 (17 nos: PC1 ×9, PC2 ×8)</t>
  </si>
  <si>
    <t xml:space="preserve">Substructure</t>
  </si>
  <si>
    <t xml:space="preserve">Grid 1 to 3 (column lines 1, 2, 3 incl. SC1)</t>
  </si>
  <si>
    <t xml:space="preserve">B.O.C EL(-)2.500 (75 PCC M7.5 below)</t>
  </si>
  <si>
    <t xml:space="preserve">Structural Foundations (Pile Cap)</t>
  </si>
  <si>
    <t xml:space="preserve">PC1 ×9, PC2 ×8</t>
  </si>
  <si>
    <t xml:space="preserve">m³</t>
  </si>
  <si>
    <t xml:space="preserve">ASSUMED actual (derived from P6 70% @ DD), sequenced inside the P6 group – replace with DPR / pour-card dates.</t>
  </si>
  <si>
    <t xml:space="preserve">CHP-SUB-020</t>
  </si>
  <si>
    <t xml:space="preserve">PCC (M7.5) &amp; pile caps – Zone-2 (10 nos: PC1 ×4, PC2 ×6)</t>
  </si>
  <si>
    <t xml:space="preserve">Grid 3 to 5 (column lines 4, 5)</t>
  </si>
  <si>
    <t xml:space="preserve">PC2 ×6, PC1 ×4</t>
  </si>
  <si>
    <t xml:space="preserve">CHP-SUB-030</t>
  </si>
  <si>
    <t xml:space="preserve">PCC (M7.5) &amp; pile caps – Zone-3 (8 nos: PC1 ×4, PC2 ×4)</t>
  </si>
  <si>
    <t xml:space="preserve">Grid 5 to 6 (column lines 5.1, 6)</t>
  </si>
  <si>
    <t xml:space="preserve">PC2 ×4, PC1 ×4</t>
  </si>
  <si>
    <t xml:space="preserve">CHP-SUB-040</t>
  </si>
  <si>
    <t xml:space="preserve">Pile cap beams PCB1/PCB2/PCB3 &amp; column pedestals (B.O.C -2.500 to -0.300) – Zone-1</t>
  </si>
  <si>
    <t xml:space="preserve">EL(-)2.500 to EL(-)0.300 / Top of PCB3 to EL(-)0.300 / B/O PCB EL(-)2.400</t>
  </si>
  <si>
    <t xml:space="preserve">Structural Columns + Structural Framing (Pile Cap Beam)</t>
  </si>
  <si>
    <t xml:space="preserve">C1 ×4, C9, C7 ×2, C8, C6 ×2, C4 ×6, C3, SC1, PCB1 ×10, PCB2 ×2, PCB3 ×2</t>
  </si>
  <si>
    <t xml:space="preserve">CHP-SUB-050</t>
  </si>
  <si>
    <t xml:space="preserve">Pile cap beams PCB1/PCB2 &amp; column pedestals – Zone-2</t>
  </si>
  <si>
    <t xml:space="preserve">EL(-)2.500 to EL(-)0.300 / B/O PCB EL(-)2.400</t>
  </si>
  <si>
    <t xml:space="preserve">C9 ×2, C8 ×2, C5, C6 ×2, C4 ×2, C3, PCB1 ×7, PCB2</t>
  </si>
  <si>
    <t xml:space="preserve">CHP-SUB-060</t>
  </si>
  <si>
    <t xml:space="preserve">Pile cap beams PCB1/PCB2 &amp; column pedestals – Zone-3</t>
  </si>
  <si>
    <t xml:space="preserve">C1 ×4, C2, C3 ×3, PCB1 ×5, PCB2 ×2</t>
  </si>
  <si>
    <t xml:space="preserve">CHP-SUB-070</t>
  </si>
  <si>
    <t xml:space="preserve">Backfilling &amp; compaction up to plinth level – Zone-1</t>
  </si>
  <si>
    <t xml:space="preserve">Grid 1–3</t>
  </si>
  <si>
    <t xml:space="preserve">EL(-)2.500 to EL(-)0.500</t>
  </si>
  <si>
    <t xml:space="preserve">Earthwork (if modelled)</t>
  </si>
  <si>
    <t xml:space="preserve">CHP-SUB-080</t>
  </si>
  <si>
    <t xml:space="preserve">Backfilling &amp; compaction up to plinth level – Zone-2</t>
  </si>
  <si>
    <t xml:space="preserve">Grid 3–5</t>
  </si>
  <si>
    <t xml:space="preserve">CHP-SUB-090</t>
  </si>
  <si>
    <t xml:space="preserve">Backfilling &amp; compaction up to plinth level – Zone-3</t>
  </si>
  <si>
    <t xml:space="preserve">Grid 5–6</t>
  </si>
  <si>
    <t xml:space="preserve">CHP-SUB-100</t>
  </si>
  <si>
    <t xml:space="preserve">Plinth beams PB (TOB EL(-)0.300) – Zone-1</t>
  </si>
  <si>
    <t xml:space="preserve">T.O.B EL(-)0.300</t>
  </si>
  <si>
    <t xml:space="preserve">Structural Framing (Plinth Beam)</t>
  </si>
  <si>
    <t xml:space="preserve">PB2, PB10, PB5 ×2, PB9, PB7, PB4, PB8 ×2, PB1 ×2, PB6, PB3</t>
  </si>
  <si>
    <t xml:space="preserve">CHP-SUB-110</t>
  </si>
  <si>
    <t xml:space="preserve">Plinth beams PB (TOB EL(-)0.300) – Zone-2</t>
  </si>
  <si>
    <t xml:space="preserve">PB2, PB8 ×2, PB1 ×2, PB3</t>
  </si>
  <si>
    <t xml:space="preserve">CHP-SUB-120</t>
  </si>
  <si>
    <t xml:space="preserve">Plinth beams PB (TOB EL(-)0.300) – Zone-3</t>
  </si>
  <si>
    <t xml:space="preserve">PB2, PB10, PB1 ×2, PB5, PB9, PB3 ×2</t>
  </si>
  <si>
    <t xml:space="preserve">CHP-SUP-010</t>
  </si>
  <si>
    <t xml:space="preserve">Columns Lift-1 (EL -0.300 to +4.000) – Zone-1 (18 nos incl. SC1)</t>
  </si>
  <si>
    <t xml:space="preserve">Superstructure</t>
  </si>
  <si>
    <t xml:space="preserve">EL(-)0.300 to EL(+)4.000</t>
  </si>
  <si>
    <t xml:space="preserve">Structural Columns</t>
  </si>
  <si>
    <t xml:space="preserve">C1 ×4, C9, C7 ×2, C8, C6 ×2, C4 ×6, C3, SC1</t>
  </si>
  <si>
    <t xml:space="preserve">CHP-SUP-020</t>
  </si>
  <si>
    <t xml:space="preserve">Columns Lift-1 (EL -0.300 to +4.000) – Zone-2 (10 nos)</t>
  </si>
  <si>
    <t xml:space="preserve">C9 ×2, C8 ×2, C5, C6 ×2, C4 ×2, C3</t>
  </si>
  <si>
    <t xml:space="preserve">CHP-SUP-030</t>
  </si>
  <si>
    <t xml:space="preserve">Columns Lift-1 (EL -0.300 to +4.000) – Zone-3 (8 nos)</t>
  </si>
  <si>
    <t xml:space="preserve">C1 ×4, C2, C3 ×3</t>
  </si>
  <si>
    <t xml:space="preserve">CHP-SUP-040</t>
  </si>
  <si>
    <t xml:space="preserve">Tie beam TB1 (TOB EL +2.100) at Grid 1</t>
  </si>
  <si>
    <t xml:space="preserve">Grid 1 : Row D–C</t>
  </si>
  <si>
    <t xml:space="preserve">EL(+)2.100 TOB</t>
  </si>
  <si>
    <t xml:space="preserve">Structural Framing</t>
  </si>
  <si>
    <t xml:space="preserve">TB1</t>
  </si>
  <si>
    <t xml:space="preserve">CHP-SUP-050</t>
  </si>
  <si>
    <t xml:space="preserve">Staircase ST-2 – flights FLT-1 to FLT-3, landings +1.300/+2.650 up to +4.000</t>
  </si>
  <si>
    <t xml:space="preserve">Grid 2–1 / Row E–D.2</t>
  </si>
  <si>
    <t xml:space="preserve">EL(-)0.050 to EL(+)4.000</t>
  </si>
  <si>
    <t xml:space="preserve">Stairs + Floors (Landing) + Structural Framing (Stair Beam)</t>
  </si>
  <si>
    <t xml:space="preserve">FLT-1..FLT-3, Landings +1.300, +2.650, STB1 / STB2</t>
  </si>
  <si>
    <t xml:space="preserve">CHP-SUP-060</t>
  </si>
  <si>
    <t xml:space="preserve">First floor beams &amp; 150 thk slab (TOC EL +4.000) – Zone-1 (Grid 1–3, Row E–D)</t>
  </si>
  <si>
    <t xml:space="preserve">T.O.C EL(+)4.000</t>
  </si>
  <si>
    <t xml:space="preserve">Structural Framing (Floor Beam) + Floors (Structural slab)</t>
  </si>
  <si>
    <t xml:space="preserve">FB1, FB4, FB5, FB9, FB10, FB11/FB12/FB13, FB14, SLAB-FF</t>
  </si>
  <si>
    <t xml:space="preserve">CHP-SUP-070</t>
  </si>
  <si>
    <t xml:space="preserve">First floor beams &amp; 150 thk slab (TOC EL +4.000) – Zone-2 (Grid 3–5, Row E–D)</t>
  </si>
  <si>
    <t xml:space="preserve">FB1, FB4, FB2, FB8, FB9, FB11/FB12/FB13, SLAB-FF</t>
  </si>
  <si>
    <t xml:space="preserve">CHP-SUP-080</t>
  </si>
  <si>
    <t xml:space="preserve">First floor beams &amp; 150 thk slab (TOC EL +4.000) – Zone-3 (Grid 5–6, Row E–D)</t>
  </si>
  <si>
    <t xml:space="preserve">FB1, FB2/FB3, FB4, FB6/FB7, FB11/FB12/FB13, FB14, SLAB-FF</t>
  </si>
  <si>
    <t xml:space="preserve">CHP-SUP-090</t>
  </si>
  <si>
    <t xml:space="preserve">Staircase ST-1 – flights FLT-1 to FLT-3, landings +1.300/+2.650 up to +4.000</t>
  </si>
  <si>
    <t xml:space="preserve">Grid 6–5.1 / Row E–D.1</t>
  </si>
  <si>
    <t xml:space="preserve">CHP-SUP-100</t>
  </si>
  <si>
    <t xml:space="preserve">Columns Lift-2 (EL +4.000 to +9.150) – Zone-1 (18 nos incl. SC1)</t>
  </si>
  <si>
    <t xml:space="preserve">EL(+)4.000 to EL(+)9.150</t>
  </si>
  <si>
    <t xml:space="preserve">CHP-SUP-110</t>
  </si>
  <si>
    <t xml:space="preserve">Columns Lift-2 (EL +4.000 to +9.150) – Zone-2 (10 nos)</t>
  </si>
  <si>
    <t xml:space="preserve">CHP-SUP-120</t>
  </si>
  <si>
    <t xml:space="preserve">Columns Lift-2 (EL +4.000 to +9.150) – Zone-3 (8 nos)</t>
  </si>
  <si>
    <t xml:space="preserve">CHP-SUP-130</t>
  </si>
  <si>
    <t xml:space="preserve">Staircase ST-2 – flights FLT-4 to FLT-7, landings +5.350/+6.700/+7.900 up to +9.150</t>
  </si>
  <si>
    <t xml:space="preserve">FLT-4..FLT-7, Landings +5.350, +6.700, +7.900, STB1 / STB2</t>
  </si>
  <si>
    <t xml:space="preserve">CHP-SUP-140</t>
  </si>
  <si>
    <t xml:space="preserve">Staircase ST-1 – flights FLT-4 to FLT-7, landings +5.350/+6.700/+7.900 up to +9.150</t>
  </si>
  <si>
    <t xml:space="preserve">CHP-SUP-150</t>
  </si>
  <si>
    <t xml:space="preserve">Roof beams &amp; 150 thk slab (TOC EL +9.150) – Zone-1 (Grid 1–3, Row E–A)</t>
  </si>
  <si>
    <t xml:space="preserve">T.O.C EL(+)9.150</t>
  </si>
  <si>
    <t xml:space="preserve">Structural Framing (Roof Beam) + Floors / Roofs (Structural slab)</t>
  </si>
  <si>
    <t xml:space="preserve">RB1, RB2, RB3, RB4, RB5, RB6, RB7, RB8, RB10/RB11, RB12/RB13, SLAB-RF</t>
  </si>
  <si>
    <t xml:space="preserve">CHP-SUP-160</t>
  </si>
  <si>
    <t xml:space="preserve">Roof beams &amp; 150 thk slab (TOC EL +9.150) – Zone-2 (Grid 3–5, Row E–A)</t>
  </si>
  <si>
    <t xml:space="preserve">RB1, RB2, RB3, RB4, RB5, RB7, RB8, RB10, SLAB-RF</t>
  </si>
  <si>
    <t xml:space="preserve">CHP-SUP-170</t>
  </si>
  <si>
    <t xml:space="preserve">Roof beams &amp; 150 thk slab (TOC EL +9.150) – Zone-3 (Grid 5–6, Row E–A)</t>
  </si>
  <si>
    <t xml:space="preserve">RB1, RB2, RB3, RB4, RB5, RB8, RB9/RB10, RB14, SLAB-RF</t>
  </si>
  <si>
    <t xml:space="preserve">CHP-SUP-180</t>
  </si>
  <si>
    <t xml:space="preserve">Mumty columns (EL +9.150 to +12.150) – ST-2 (C1 ×4)</t>
  </si>
  <si>
    <t xml:space="preserve">1/E; 2/E; 1/D.2; 2/D.2</t>
  </si>
  <si>
    <t xml:space="preserve">EL(+)9.150 to EL(+)12.150</t>
  </si>
  <si>
    <t xml:space="preserve">C1 ×4</t>
  </si>
  <si>
    <t xml:space="preserve">CHP-SUP-190</t>
  </si>
  <si>
    <t xml:space="preserve">Mumty roof beams RB15/RB16 &amp; slab (TOC EL +12.150) – ST-2</t>
  </si>
  <si>
    <t xml:space="preserve">T.O.C EL(+)12.150</t>
  </si>
  <si>
    <t xml:space="preserve">RB15 / RB16, SLAB 150</t>
  </si>
  <si>
    <t xml:space="preserve">CHP-SUP-200</t>
  </si>
  <si>
    <t xml:space="preserve">Mumty columns (EL +9.150 to +12.150) – ST-1 (C1 ×4)</t>
  </si>
  <si>
    <t xml:space="preserve">5.1/E; 6/E; 5.1/D.1; 6/D.1</t>
  </si>
  <si>
    <t xml:space="preserve">CHP-SUP-210</t>
  </si>
  <si>
    <t xml:space="preserve">Mumty roof beams RB15/RB16 &amp; slab (TOC EL +12.150) – ST-1</t>
  </si>
  <si>
    <t xml:space="preserve">ASSUMED actual (derived from P6 70% @ DD), sequenced inside the P6 group – replace with DPR / pour-card dates. In progress at DD; remaining duration set so the group finishes on the P6 date.</t>
  </si>
  <si>
    <t xml:space="preserve">CHP-GRD-010</t>
  </si>
  <si>
    <t xml:space="preserve">Cable trench T1 (1500 deep) Row D–C, Grid 6→1 incl. cable pit at Grid 6</t>
  </si>
  <si>
    <t xml:space="preserve">Grade slab &amp; foundations</t>
  </si>
  <si>
    <t xml:space="preserve">All</t>
  </si>
  <si>
    <t xml:space="preserve">Row D–C : Grid 6→1; Grid 6 / Row D–C</t>
  </si>
  <si>
    <t xml:space="preserve">Top EL ±0.000, base EL(-)1.500 / Top EL ±0.000</t>
  </si>
  <si>
    <t xml:space="preserve">Generic Models / Structural (Trench) + Generic Models / Structural (Pit)</t>
  </si>
  <si>
    <t xml:space="preserve">T1, Cable pit</t>
  </si>
  <si>
    <t xml:space="preserve">CHP-GRD-020</t>
  </si>
  <si>
    <t xml:space="preserve">Cable trench T2 (1500 deep) Row B–A, Grid 6→1</t>
  </si>
  <si>
    <t xml:space="preserve">Row B–A : Grid 6→1</t>
  </si>
  <si>
    <t xml:space="preserve">Top EL ±0.000, base EL(-)1.500</t>
  </si>
  <si>
    <t xml:space="preserve">Generic Models / Structural (Trench)</t>
  </si>
  <si>
    <t xml:space="preserve">T2</t>
  </si>
  <si>
    <t xml:space="preserve">CHP-GRD-030</t>
  </si>
  <si>
    <t xml:space="preserve">Grade slab 150 thk – Row E–D block (cable cellar, toilets, shift room, ante rooms)</t>
  </si>
  <si>
    <t xml:space="preserve">Row E–D : Grid 6–1 (cable cellar, toilets, shift room)</t>
  </si>
  <si>
    <t xml:space="preserve">T.O.C EL ±0.000 / (-)0.050</t>
  </si>
  <si>
    <t xml:space="preserve">Floors (Grade slab)</t>
  </si>
  <si>
    <t xml:space="preserve">GS-ED</t>
  </si>
  <si>
    <t xml:space="preserve">CHP-GRD-040</t>
  </si>
  <si>
    <t xml:space="preserve">Grade slab 150 thk – Row D–C strip (around trench T1)</t>
  </si>
  <si>
    <t xml:space="preserve">Row D–C : Grid 6–1</t>
  </si>
  <si>
    <t xml:space="preserve">T.O.C EL ±0.000</t>
  </si>
  <si>
    <t xml:space="preserve">GS-DC</t>
  </si>
  <si>
    <t xml:space="preserve">CHP-GRD-050</t>
  </si>
  <si>
    <t xml:space="preserve">Chiller foundations F1-01 &amp; F1-02 (Bays 1–2, 2–3)</t>
  </si>
  <si>
    <t xml:space="preserve">Bay 1–2 / Row C–B; Bay 2–3 / Row C–B</t>
  </si>
  <si>
    <t xml:space="preserve">Structural Foundations (Equipment)</t>
  </si>
  <si>
    <t xml:space="preserve">F1-01, F1-02</t>
  </si>
  <si>
    <t xml:space="preserve">Was on HOLD (vendor GA); released by equipment drawing release 24-Sep-26.</t>
  </si>
  <si>
    <t xml:space="preserve">CHP-GRD-060</t>
  </si>
  <si>
    <t xml:space="preserve">Chiller foundations F1-03 &amp; F1-04 (Bays 3–4, 4–5)</t>
  </si>
  <si>
    <t xml:space="preserve">Bay 3–4 / Row C–B; Bay 4–5 / Row C–B</t>
  </si>
  <si>
    <t xml:space="preserve">F1-03, F1-04</t>
  </si>
  <si>
    <t xml:space="preserve">CHP-GRD-070</t>
  </si>
  <si>
    <t xml:space="preserve">Chiller foundation F1-05 (Bay 5–6)</t>
  </si>
  <si>
    <t xml:space="preserve">Bay 5–6 / Row C–B</t>
  </si>
  <si>
    <t xml:space="preserve">F1-05</t>
  </si>
  <si>
    <t xml:space="preserve">CHP-GRD-080</t>
  </si>
  <si>
    <t xml:space="preserve">Pump foundations F2-01 to F2-04 (Bays 1–3)</t>
  </si>
  <si>
    <t xml:space="preserve">Row B–A : Bays 1–3</t>
  </si>
  <si>
    <t xml:space="preserve">F2-01, F2-02, F2-03, F2-04</t>
  </si>
  <si>
    <t xml:space="preserve">CHP-GRD-090</t>
  </si>
  <si>
    <t xml:space="preserve">Pump foundations F2-05 to F2-08 (Bays 3–5)</t>
  </si>
  <si>
    <t xml:space="preserve">Row B–A : Bays 3–5</t>
  </si>
  <si>
    <t xml:space="preserve">F2-05, F2-06, F2-07, F2-08</t>
  </si>
  <si>
    <t xml:space="preserve">CHP-GRD-100</t>
  </si>
  <si>
    <t xml:space="preserve">Pump foundations F2-09 &amp; F2-10 (Bay 5–6)</t>
  </si>
  <si>
    <t xml:space="preserve">Bay 5–6 / Row B–A</t>
  </si>
  <si>
    <t xml:space="preserve">F2-09, F2-10</t>
  </si>
  <si>
    <t xml:space="preserve">CHP-GRD-110</t>
  </si>
  <si>
    <t xml:space="preserve">Cable slits (600 deep) between chiller foundations (5 nos)</t>
  </si>
  <si>
    <t xml:space="preserve">Row C–B : beside F1-01 … F1-05</t>
  </si>
  <si>
    <t xml:space="preserve">Top EL ±0.000</t>
  </si>
  <si>
    <t xml:space="preserve">Slit-1, Slit-2, Slit-3, Slit-4, Slit-5</t>
  </si>
  <si>
    <t xml:space="preserve">CHP-GRD-120</t>
  </si>
  <si>
    <t xml:space="preserve">Grade slab 150 thk – Chiller room (Row C–B)</t>
  </si>
  <si>
    <t xml:space="preserve">Row C–B : Grid 6–1</t>
  </si>
  <si>
    <t xml:space="preserve">GS-CB</t>
  </si>
  <si>
    <t xml:space="preserve">CHP-GRD-130</t>
  </si>
  <si>
    <t xml:space="preserve">Grade slab 150 thk – Pump area (Row B–A) incl. 150×100 surface drain</t>
  </si>
  <si>
    <t xml:space="preserve">Row B–A : Grid 6–1; Along Row A (inside)</t>
  </si>
  <si>
    <t xml:space="preserve">T.O.C EL ±0.000 / EL ±0.000</t>
  </si>
  <si>
    <t xml:space="preserve">Floors (Grade slab) + Generic Models (Drain)</t>
  </si>
  <si>
    <t xml:space="preserve">GS-BA, Surface drain</t>
  </si>
  <si>
    <t xml:space="preserve">CHP-GRD-140</t>
  </si>
  <si>
    <t xml:space="preserve">Precast covers – cable trenches, cable pit &amp; drain crossings (placement)</t>
  </si>
  <si>
    <t xml:space="preserve">T1, T2, cable pit, crossings</t>
  </si>
  <si>
    <t xml:space="preserve">EL ±0.000</t>
  </si>
  <si>
    <t xml:space="preserve">Generic Models (Precast cover)</t>
  </si>
  <si>
    <t xml:space="preserve">Precast covers</t>
  </si>
  <si>
    <t xml:space="preserve">CHP-GRD-150</t>
  </si>
  <si>
    <t xml:space="preserve">Plinth protection, garland drain &amp; 100Ø PVC drain pipes (all round)</t>
  </si>
  <si>
    <t xml:space="preserve">All round building; Grid 6/A &amp; 1/A corners</t>
  </si>
  <si>
    <t xml:space="preserve">FGL EL(-)0.500 / Below FGL</t>
  </si>
  <si>
    <t xml:space="preserve">Generic Models / Floors (Plinth protection) + Pipes (Drain)</t>
  </si>
  <si>
    <t xml:space="preserve">Plinth protection, Drain pipes</t>
  </si>
  <si>
    <t xml:space="preserve">CHP-MS-090</t>
  </si>
  <si>
    <t xml:space="preserve">Civil works complete (all RCC incl. grade slab &amp; equipment foundations)</t>
  </si>
  <si>
    <t xml:space="preserve">Date = latest finish of all activities in this group (= P6 JSW USL-CON-CHI-1020 finish).</t>
  </si>
  <si>
    <t xml:space="preserve">JSW USL-CON-CHI-1030</t>
  </si>
  <si>
    <t xml:space="preserve">Erection of Chiller Plant including Fans, Pumps, Drives, etc.</t>
  </si>
  <si>
    <t xml:space="preserve">CHP-EQP-010</t>
  </si>
  <si>
    <t xml:space="preserve">Chiller CH-01 on F1-01 (Bay 1–2) – setting, levelling, alignment &amp; grouting</t>
  </si>
  <si>
    <t xml:space="preserve">Equipment</t>
  </si>
  <si>
    <t xml:space="preserve">On F1-01 (Bay 1–2, Row C–B)</t>
  </si>
  <si>
    <t xml:space="preserve">Mechanical Equipment</t>
  </si>
  <si>
    <t xml:space="preserve">CH-01</t>
  </si>
  <si>
    <t xml:space="preserve">Equipment GA (vendor)</t>
  </si>
  <si>
    <t xml:space="preserve">Equipment tag nos. assumed from Grid 1 – verify.</t>
  </si>
  <si>
    <t xml:space="preserve">CHP-EQP-020</t>
  </si>
  <si>
    <t xml:space="preserve">Chiller CH-02 on F1-02 (Bay 2–3) – setting, levelling, alignment &amp; grouting</t>
  </si>
  <si>
    <t xml:space="preserve">On F1-02 (Bay 2–3, Row C–B)</t>
  </si>
  <si>
    <t xml:space="preserve">CH-02</t>
  </si>
  <si>
    <t xml:space="preserve">CHP-EQP-030</t>
  </si>
  <si>
    <t xml:space="preserve">Chiller CH-03 on F1-03 (Bay 3–4) – setting, levelling, alignment &amp; grouting</t>
  </si>
  <si>
    <t xml:space="preserve">On F1-03 (Bay 3–4, Row C–B)</t>
  </si>
  <si>
    <t xml:space="preserve">CH-03</t>
  </si>
  <si>
    <t xml:space="preserve">CHP-EQP-040</t>
  </si>
  <si>
    <t xml:space="preserve">Chiller CH-04 on F1-04 (Bay 4–5) – setting, levelling, alignment &amp; grouting</t>
  </si>
  <si>
    <t xml:space="preserve">On F1-04 (Bay 4–5, Row C–B)</t>
  </si>
  <si>
    <t xml:space="preserve">CH-04</t>
  </si>
  <si>
    <t xml:space="preserve">CHP-EQP-050</t>
  </si>
  <si>
    <t xml:space="preserve">Chiller CH-05 on F1-05 (Bay 5–6) – setting, levelling, alignment &amp; grouting</t>
  </si>
  <si>
    <t xml:space="preserve">On F1-05 (Bay 5–6, Row C–B)</t>
  </si>
  <si>
    <t xml:space="preserve">CH-05</t>
  </si>
  <si>
    <t xml:space="preserve">CHP-EQP-060</t>
  </si>
  <si>
    <t xml:space="preserve">Hoists – 2T chain pulley block on MR-1 &amp; 10T electric hoist on MR-2</t>
  </si>
  <si>
    <t xml:space="preserve">MR-1; MR-2</t>
  </si>
  <si>
    <t xml:space="preserve">B.O.MR +8.100 / B.O.MR +7.900</t>
  </si>
  <si>
    <t xml:space="preserve">Mechanical Equipment (Hoist)</t>
  </si>
  <si>
    <t xml:space="preserve">CPB on MR-1, EH on MR-2</t>
  </si>
  <si>
    <t xml:space="preserve">CHP-STL-010</t>
  </si>
  <si>
    <t xml:space="preserve">CHP-EQP-070</t>
  </si>
  <si>
    <t xml:space="preserve">Pumps P-01 to P-04 on F2-01..04 (Bays 1–3) – setting, alignment &amp; grouting</t>
  </si>
  <si>
    <t xml:space="preserve">Row B–A : Bays 1–3 (F2-01 … F2-04)</t>
  </si>
  <si>
    <t xml:space="preserve">P-01, P-02, P-03, P-04</t>
  </si>
  <si>
    <t xml:space="preserve">CHP-EQP-080</t>
  </si>
  <si>
    <t xml:space="preserve">Pumps P-05 to P-08 on F2-05..08 (Bays 3–5) – setting, alignment &amp; grouting</t>
  </si>
  <si>
    <t xml:space="preserve">Row B–A : Bays 3–5 (F2-05 … F2-08)</t>
  </si>
  <si>
    <t xml:space="preserve">P-05, P-06, P-07, P-08</t>
  </si>
  <si>
    <t xml:space="preserve">CHP-EQP-090</t>
  </si>
  <si>
    <t xml:space="preserve">Pumps P-09 &amp; P-10 on F2-09..10 (Bay 5–6) – setting, alignment &amp; grouting</t>
  </si>
  <si>
    <t xml:space="preserve">Row B–A : Bay 5–6 (F2-09, F2-10)</t>
  </si>
  <si>
    <t xml:space="preserve">P-09, P-10</t>
  </si>
  <si>
    <t xml:space="preserve">CHP-EQP-100</t>
  </si>
  <si>
    <t xml:space="preserve">Final alignment, motor/drive coupling &amp; box-up of chillers and pumps</t>
  </si>
  <si>
    <t xml:space="preserve">Chiller hall</t>
  </si>
  <si>
    <t xml:space="preserve">±0.000</t>
  </si>
  <si>
    <t xml:space="preserve">CH-01..05, P-01..10 (drives)</t>
  </si>
  <si>
    <t xml:space="preserve">JSW USL-CON-CHI-1040</t>
  </si>
  <si>
    <t xml:space="preserve">Piping works incl. testing</t>
  </si>
  <si>
    <t xml:space="preserve">CHP-PIP-010</t>
  </si>
  <si>
    <t xml:space="preserve">Pipe supports &amp; sleepers – chiller hall</t>
  </si>
  <si>
    <t xml:space="preserve">Piping</t>
  </si>
  <si>
    <t xml:space="preserve">Chiller hall Row C–A</t>
  </si>
  <si>
    <t xml:space="preserve">±0.000 to +3.0</t>
  </si>
  <si>
    <t xml:space="preserve">Pipe Accessories / Generic (supports)</t>
  </si>
  <si>
    <t xml:space="preserve">Pipe supports</t>
  </si>
  <si>
    <t xml:space="preserve">CHP-PIP-020</t>
  </si>
  <si>
    <t xml:space="preserve">CHW &amp; CW headers (supply / return) – fabrication &amp; erection</t>
  </si>
  <si>
    <t xml:space="preserve">Header elevation</t>
  </si>
  <si>
    <t xml:space="preserve">Pipes</t>
  </si>
  <si>
    <t xml:space="preserve">CHWS, CHWR, CWS, CWR headers</t>
  </si>
  <si>
    <t xml:space="preserve">CHP-PIP-030</t>
  </si>
  <si>
    <t xml:space="preserve">Chiller hook-up piping CH-01..CH-05 incl. valves, strainers &amp; flexible connectors</t>
  </si>
  <si>
    <t xml:space="preserve">Row C–B</t>
  </si>
  <si>
    <t xml:space="preserve">Pipes / Pipe Accessories</t>
  </si>
  <si>
    <t xml:space="preserve">Chiller branch lines</t>
  </si>
  <si>
    <t xml:space="preserve">CHP-PIP-040</t>
  </si>
  <si>
    <t xml:space="preserve">Pump suction / discharge hook-up P-01..P-10</t>
  </si>
  <si>
    <t xml:space="preserve">Row B–A</t>
  </si>
  <si>
    <t xml:space="preserve">±0.000 to +2.0</t>
  </si>
  <si>
    <t xml:space="preserve">Pump branch lines</t>
  </si>
  <si>
    <t xml:space="preserve">CHP-PIP-050</t>
  </si>
  <si>
    <t xml:space="preserve">Hydro test, flushing &amp; reinstatement</t>
  </si>
  <si>
    <t xml:space="preserve">Pipes (status change)</t>
  </si>
  <si>
    <t xml:space="preserve">All CHW/CW piping</t>
  </si>
  <si>
    <t xml:space="preserve">JSW USL-CON-CHI-1050</t>
  </si>
  <si>
    <t xml:space="preserve">Cable tray erection incl. support, cable Laying</t>
  </si>
  <si>
    <t xml:space="preserve">CHP-ELE-010</t>
  </si>
  <si>
    <t xml:space="preserve">Cable trays &amp; supports – trenches T1/T2, cable pit &amp; cable cellar</t>
  </si>
  <si>
    <t xml:space="preserve">Electrical</t>
  </si>
  <si>
    <t xml:space="preserve">Trenches &amp; cable cellar</t>
  </si>
  <si>
    <t xml:space="preserve">EL(-)1.500 to ±0.000</t>
  </si>
  <si>
    <t xml:space="preserve">Cable Trays</t>
  </si>
  <si>
    <t xml:space="preserve">Cable trays</t>
  </si>
  <si>
    <t xml:space="preserve">CHP-ELE-020</t>
  </si>
  <si>
    <t xml:space="preserve">Cable trays &amp; supports – chiller hall, switchgear room &amp; first floor</t>
  </si>
  <si>
    <t xml:space="preserve">Chiller hall &amp; FF</t>
  </si>
  <si>
    <t xml:space="preserve">+0.000 to +8.0</t>
  </si>
  <si>
    <t xml:space="preserve">CHP-ELE-030</t>
  </si>
  <si>
    <t xml:space="preserve">Cable laying, glanding &amp; termination (power &amp; control)</t>
  </si>
  <si>
    <t xml:space="preserve">Whole plant</t>
  </si>
  <si>
    <t xml:space="preserve">Cable Trays (fill) / Conduits</t>
  </si>
  <si>
    <t xml:space="preserve">Cables</t>
  </si>
  <si>
    <t xml:space="preserve">JSW USL-CON-CHI-1060</t>
  </si>
  <si>
    <t xml:space="preserve">Other electrical works incl. light fixtures installation</t>
  </si>
  <si>
    <t xml:space="preserve">CHP-ELE-040</t>
  </si>
  <si>
    <t xml:space="preserve">Earthing &amp; lightning protection</t>
  </si>
  <si>
    <t xml:space="preserve">Whole building</t>
  </si>
  <si>
    <t xml:space="preserve">Electrical Fixtures (earthing)</t>
  </si>
  <si>
    <t xml:space="preserve">Earth grid, LPS</t>
  </si>
  <si>
    <t xml:space="preserve">CHP-ELE-050</t>
  </si>
  <si>
    <t xml:space="preserve">Lighting fixtures, JBs &amp; small power</t>
  </si>
  <si>
    <t xml:space="preserve">Lighting Fixtures / Electrical Fixtures</t>
  </si>
  <si>
    <t xml:space="preserve">Light fixtures, JBs, sockets</t>
  </si>
  <si>
    <t xml:space="preserve">CHP-ELE-060</t>
  </si>
  <si>
    <t xml:space="preserve">Switchgear room panels (6.6 kV SWBD, ESS6-PDB-1) – placement &amp; termination</t>
  </si>
  <si>
    <t xml:space="preserve">FF switchgear room (Row E–D)</t>
  </si>
  <si>
    <t xml:space="preserve">+4.050 FFL</t>
  </si>
  <si>
    <t xml:space="preserve">Electrical Equipment</t>
  </si>
  <si>
    <t xml:space="preserve">6.6kV SWBD, ESS6-PDB-1</t>
  </si>
  <si>
    <t xml:space="preserve">JSW USL-CON-CHI-1070</t>
  </si>
  <si>
    <t xml:space="preserve">Instrument installation works</t>
  </si>
  <si>
    <t xml:space="preserve">CHP-INS-010</t>
  </si>
  <si>
    <t xml:space="preserve">Field instruments installation (PT / TT / FT / flow switches)</t>
  </si>
  <si>
    <t xml:space="preserve">Instrumentation</t>
  </si>
  <si>
    <t xml:space="preserve">Mechanical Equipment / Generic (instruments)</t>
  </si>
  <si>
    <t xml:space="preserve">Field instruments</t>
  </si>
  <si>
    <t xml:space="preserve">CHP-INS-020</t>
  </si>
  <si>
    <t xml:space="preserve">Instrument cabling, impulse tubing &amp; loop checks</t>
  </si>
  <si>
    <t xml:space="preserve">Conduits / Cable Trays (fill)</t>
  </si>
  <si>
    <t xml:space="preserve">Instrument cables, tubing</t>
  </si>
  <si>
    <t xml:space="preserve">CHP-MS-100</t>
  </si>
  <si>
    <t xml:space="preserve">Chiller plant ready for Mechanical Completion (feeds JSW USL-COM-1110)</t>
  </si>
  <si>
    <t xml:space="preserve">Feeds P6 JSW USL-COM-1110 Mechanical Completion (28-Oct-27).</t>
  </si>
  <si>
    <t xml:space="preserve">CHP.A</t>
  </si>
  <si>
    <t xml:space="preserve">ADDITIONAL SCOPE – NOT IN P6 (planned by 4D team)</t>
  </si>
  <si>
    <t xml:space="preserve">CHP.A1</t>
  </si>
  <si>
    <t xml:space="preserve">Masonry, lintels &amp; architectural finishes</t>
  </si>
  <si>
    <t xml:space="preserve">No P6 activity – group dates = 4D plan. Recommend adding to P6.</t>
  </si>
  <si>
    <t xml:space="preserve">CHP-ARC-010</t>
  </si>
  <si>
    <t xml:space="preserve">Brickwork 230 thk – GF Row E–D block up to lintel level</t>
  </si>
  <si>
    <t xml:space="preserve">Architectural</t>
  </si>
  <si>
    <t xml:space="preserve">Row E–D : Grid 6–1</t>
  </si>
  <si>
    <t xml:space="preserve">EL ±0.000 to +2.100</t>
  </si>
  <si>
    <t xml:space="preserve">Walls (Architectural)</t>
  </si>
  <si>
    <t xml:space="preserve">Brick walls GF</t>
  </si>
  <si>
    <t xml:space="preserve">Not in P6 – planned by 4D team; BL = this plan.</t>
  </si>
  <si>
    <t xml:space="preserve">CHP-ARC-020</t>
  </si>
  <si>
    <t xml:space="preserve">Lintels &amp; chajjas – GF (LB1–LB6)</t>
  </si>
  <si>
    <t xml:space="preserve">GF openings (Table-1)</t>
  </si>
  <si>
    <t xml:space="preserve">B/O lintel +2.100 to +3.400</t>
  </si>
  <si>
    <t xml:space="preserve">Structural Framing (Lintel)</t>
  </si>
  <si>
    <t xml:space="preserve">LB1, LB2, LB3, LB4, LB5, LB6</t>
  </si>
  <si>
    <t xml:space="preserve">CHP-ARC-030</t>
  </si>
  <si>
    <t xml:space="preserve">Brickwork – GF above lintel up to first-floor soffit</t>
  </si>
  <si>
    <t xml:space="preserve">+2.100 to +3.400</t>
  </si>
  <si>
    <t xml:space="preserve">CHP-ARC-040</t>
  </si>
  <si>
    <t xml:space="preserve">Brickwork – FF (switchgear, AC &amp; AHU rooms, ante rooms) up to lintel</t>
  </si>
  <si>
    <t xml:space="preserve">Row E–D : Grid 6–1 (FF)</t>
  </si>
  <si>
    <t xml:space="preserve">+4.000 to +6.150</t>
  </si>
  <si>
    <t xml:space="preserve">Brick walls FF</t>
  </si>
  <si>
    <t xml:space="preserve">CHP-ARC-050</t>
  </si>
  <si>
    <t xml:space="preserve">Lintels &amp; chajjas – FF (LB7–LB9B)</t>
  </si>
  <si>
    <t xml:space="preserve">FF openings (Table-2)</t>
  </si>
  <si>
    <t xml:space="preserve">B/O lintel +6.150 to +7.350</t>
  </si>
  <si>
    <t xml:space="preserve">LB7, LB7A, LB8, LB9, LB9A, LB9B</t>
  </si>
  <si>
    <t xml:space="preserve">CHP-ARC-060</t>
  </si>
  <si>
    <t xml:space="preserve">Brickwork – chiller hall external walls (Row A, Grid 1 &amp; 6) incl. LB1A lintels &amp; monorail-door openings</t>
  </si>
  <si>
    <t xml:space="preserve">Row C–A : Grid 6 / Row A / Grid 1</t>
  </si>
  <si>
    <t xml:space="preserve">±0.000 to +9.150</t>
  </si>
  <si>
    <t xml:space="preserve">Walls (Architectural) + Lintel</t>
  </si>
  <si>
    <t xml:space="preserve">Brick walls, LB1A</t>
  </si>
  <si>
    <t xml:space="preserve">CHP-ARC-070</t>
  </si>
  <si>
    <t xml:space="preserve">Mumty brickwork &amp; lintels LB10–LB12 – ST-1 &amp; ST-2</t>
  </si>
  <si>
    <t xml:space="preserve">Grid 6–5.1 &amp; 2–1 : Row E–D.1/D.2</t>
  </si>
  <si>
    <t xml:space="preserve">+9.150 to +12.150</t>
  </si>
  <si>
    <t xml:space="preserve">Walls + Structural Framing (Lintel)</t>
  </si>
  <si>
    <t xml:space="preserve">Brick walls, LB10, LB11, LB12</t>
  </si>
  <si>
    <t xml:space="preserve">CHP-ARC-080</t>
  </si>
  <si>
    <t xml:space="preserve">Parapet wall, roof waterproofing, PCC wearing course &amp; rainwater pipes</t>
  </si>
  <si>
    <t xml:space="preserve">Roof EL +9.150 &amp; +12.150</t>
  </si>
  <si>
    <t xml:space="preserve">+9.150 / +12.150</t>
  </si>
  <si>
    <t xml:space="preserve">Roofs / Walls (Architectural)</t>
  </si>
  <si>
    <t xml:space="preserve">Parapet, WP membrane, wearing course</t>
  </si>
  <si>
    <t xml:space="preserve">CHP-ARC-090</t>
  </si>
  <si>
    <t xml:space="preserve">Plastering – internal &amp; external</t>
  </si>
  <si>
    <t xml:space="preserve">Finishes (if modelled)</t>
  </si>
  <si>
    <t xml:space="preserve">Plaster</t>
  </si>
  <si>
    <t xml:space="preserve">CHP-ARC-100</t>
  </si>
  <si>
    <t xml:space="preserve">Flooring &amp; floor finishes (GF rooms, FF, staircases)</t>
  </si>
  <si>
    <t xml:space="preserve">±0.000 / +4.050</t>
  </si>
  <si>
    <t xml:space="preserve">Floors (finish)</t>
  </si>
  <si>
    <t xml:space="preserve">Floor finish</t>
  </si>
  <si>
    <t xml:space="preserve">CHP-ARC-110</t>
  </si>
  <si>
    <t xml:space="preserve">Doors, windows, rolling shutters &amp; monorail doors</t>
  </si>
  <si>
    <t xml:space="preserve">Doors / Windows</t>
  </si>
  <si>
    <t xml:space="preserve">Doors, windows, RS, monorail doors</t>
  </si>
  <si>
    <t xml:space="preserve">CHP-ARC-120</t>
  </si>
  <si>
    <t xml:space="preserve">Painting – internal &amp; external</t>
  </si>
  <si>
    <t xml:space="preserve">Paint</t>
  </si>
  <si>
    <t xml:space="preserve">CHP.A2</t>
  </si>
  <si>
    <t xml:space="preserve">Structural steel &amp; miscellaneous</t>
  </si>
  <si>
    <t xml:space="preserve">Monorail beams MR-1 (NPB 300×150, B.O.MR +8.100) &amp; MR-2 (NPB 500×200, B.O.MR +7.900) incl. end stoppers</t>
  </si>
  <si>
    <t xml:space="preserve">Steel &amp; misc.</t>
  </si>
  <si>
    <t xml:space="preserve">MR-1: 2250 N of Row A ; MR-2: 3500 N of Row B ; Grid 6→beyond 1</t>
  </si>
  <si>
    <t xml:space="preserve">+7.900 / +8.100 B.O.MR</t>
  </si>
  <si>
    <t xml:space="preserve">Structural Framing (Steel)</t>
  </si>
  <si>
    <t xml:space="preserve">MR-1, MR-2</t>
  </si>
  <si>
    <t xml:space="preserve">CHP-STL-020</t>
  </si>
  <si>
    <t xml:space="preserve">Handrails – staircases ST-1/ST-2 &amp; removable handrails at FF openings / platforms</t>
  </si>
  <si>
    <t xml:space="preserve">ST-1, ST-2, FF edges</t>
  </si>
  <si>
    <t xml:space="preserve">+1.300 to +12.150</t>
  </si>
  <si>
    <t xml:space="preserve">Railings</t>
  </si>
  <si>
    <t xml:space="preserve">Handrails</t>
  </si>
  <si>
    <t xml:space="preserve">BIM ELEMENT MAP – element → 4D activity link (Chiller Plant)</t>
  </si>
  <si>
    <t xml:space="preserve">Use: add two shared/text parameters in the model (4D_Element_ID, 4D_Activity_ID) and populate them from columns A and J (Dynamo / Excel link / Navisworks property append). Then in TimeLiner use Rules to attach by 4D_Activity_ID.</t>
  </si>
  <si>
    <t xml:space="preserve">Columns K–N are live look-ups from the 4D Schedule. Columns are split at construction joints (EL -0.300, +4.000, +9.150) – split model columns the same way, or attach a full-height column to its first lift only.</t>
  </si>
  <si>
    <t xml:space="preserve">Element ID (suggested 4D_Element_ID)</t>
  </si>
  <si>
    <t xml:space="preserve">Element Type / Description</t>
  </si>
  <si>
    <t xml:space="preserve">Mark</t>
  </si>
  <si>
    <t xml:space="preserve">Size</t>
  </si>
  <si>
    <t xml:space="preserve">Drawing No.</t>
  </si>
  <si>
    <t xml:space="preserve">4D Activity ID (4D_Activity_ID)</t>
  </si>
  <si>
    <t xml:space="preserve">Notes</t>
  </si>
  <si>
    <t xml:space="preserve">CHP-PILE-P01</t>
  </si>
  <si>
    <t xml:space="preserve">Bored cast-in-situ pile, Type-I, M30</t>
  </si>
  <si>
    <t xml:space="preserve">P1</t>
  </si>
  <si>
    <t xml:space="preserve">1/A</t>
  </si>
  <si>
    <t xml:space="preserve">600 Ø</t>
  </si>
  <si>
    <t xml:space="preserve">CHP-PILE-P02</t>
  </si>
  <si>
    <t xml:space="preserve">P2</t>
  </si>
  <si>
    <t xml:space="preserve">2/A</t>
  </si>
  <si>
    <t xml:space="preserve">CHP-PILE-P03</t>
  </si>
  <si>
    <t xml:space="preserve">P3</t>
  </si>
  <si>
    <t xml:space="preserve">3/A</t>
  </si>
  <si>
    <t xml:space="preserve">CHP-PILE-P04</t>
  </si>
  <si>
    <t xml:space="preserve">P4</t>
  </si>
  <si>
    <t xml:space="preserve">4/A</t>
  </si>
  <si>
    <t xml:space="preserve">CHP-PILE-P05</t>
  </si>
  <si>
    <t xml:space="preserve">P5</t>
  </si>
  <si>
    <t xml:space="preserve">5/A</t>
  </si>
  <si>
    <t xml:space="preserve">CHP-PILE-P06</t>
  </si>
  <si>
    <t xml:space="preserve">P6</t>
  </si>
  <si>
    <t xml:space="preserve">CHP-PILE-P07</t>
  </si>
  <si>
    <t xml:space="preserve">P7</t>
  </si>
  <si>
    <t xml:space="preserve">6/A</t>
  </si>
  <si>
    <t xml:space="preserve">CHP-PILE-P08</t>
  </si>
  <si>
    <t xml:space="preserve">P8</t>
  </si>
  <si>
    <t xml:space="preserve">1/B</t>
  </si>
  <si>
    <t xml:space="preserve">CHP-PILE-P09</t>
  </si>
  <si>
    <t xml:space="preserve">P9</t>
  </si>
  <si>
    <t xml:space="preserve">CHP-PILE-P10</t>
  </si>
  <si>
    <t xml:space="preserve">P10</t>
  </si>
  <si>
    <t xml:space="preserve">2/B</t>
  </si>
  <si>
    <t xml:space="preserve">CHP-PILE-P11</t>
  </si>
  <si>
    <t xml:space="preserve">P11</t>
  </si>
  <si>
    <t xml:space="preserve">3/B</t>
  </si>
  <si>
    <t xml:space="preserve">CHP-PILE-P12</t>
  </si>
  <si>
    <t xml:space="preserve">P12</t>
  </si>
  <si>
    <t xml:space="preserve">4/B</t>
  </si>
  <si>
    <t xml:space="preserve">CHP-PILE-P13</t>
  </si>
  <si>
    <t xml:space="preserve">P13</t>
  </si>
  <si>
    <t xml:space="preserve">5/B</t>
  </si>
  <si>
    <t xml:space="preserve">CHP-PILE-P14</t>
  </si>
  <si>
    <t xml:space="preserve">P14</t>
  </si>
  <si>
    <t xml:space="preserve">CHP-PILE-P15</t>
  </si>
  <si>
    <t xml:space="preserve">P15</t>
  </si>
  <si>
    <t xml:space="preserve">6/B</t>
  </si>
  <si>
    <t xml:space="preserve">CHP-PILE-P16</t>
  </si>
  <si>
    <t xml:space="preserve">P16</t>
  </si>
  <si>
    <t xml:space="preserve">CHP-PILE-P17</t>
  </si>
  <si>
    <t xml:space="preserve">P17</t>
  </si>
  <si>
    <t xml:space="preserve">1/C</t>
  </si>
  <si>
    <t xml:space="preserve">CHP-PILE-P18</t>
  </si>
  <si>
    <t xml:space="preserve">P18</t>
  </si>
  <si>
    <t xml:space="preserve">2/C</t>
  </si>
  <si>
    <t xml:space="preserve">CHP-PILE-P19</t>
  </si>
  <si>
    <t xml:space="preserve">P19</t>
  </si>
  <si>
    <t xml:space="preserve">3/C</t>
  </si>
  <si>
    <t xml:space="preserve">CHP-PILE-P20</t>
  </si>
  <si>
    <t xml:space="preserve">P20</t>
  </si>
  <si>
    <t xml:space="preserve">4/C</t>
  </si>
  <si>
    <t xml:space="preserve">CHP-PILE-P21</t>
  </si>
  <si>
    <t xml:space="preserve">P21</t>
  </si>
  <si>
    <t xml:space="preserve">5/C</t>
  </si>
  <si>
    <t xml:space="preserve">CHP-PILE-P22</t>
  </si>
  <si>
    <t xml:space="preserve">P22</t>
  </si>
  <si>
    <t xml:space="preserve">6/C</t>
  </si>
  <si>
    <t xml:space="preserve">CHP-PILE-P23</t>
  </si>
  <si>
    <t xml:space="preserve">P23</t>
  </si>
  <si>
    <t xml:space="preserve">1/D</t>
  </si>
  <si>
    <t xml:space="preserve">CHP-PILE-P24</t>
  </si>
  <si>
    <t xml:space="preserve">P24</t>
  </si>
  <si>
    <t xml:space="preserve">CHP-PILE-P25</t>
  </si>
  <si>
    <t xml:space="preserve">P25</t>
  </si>
  <si>
    <t xml:space="preserve">2/D</t>
  </si>
  <si>
    <t xml:space="preserve">CHP-PILE-P26</t>
  </si>
  <si>
    <t xml:space="preserve">P26</t>
  </si>
  <si>
    <t xml:space="preserve">CHP-PILE-P27</t>
  </si>
  <si>
    <t xml:space="preserve">P27</t>
  </si>
  <si>
    <t xml:space="preserve">3/D</t>
  </si>
  <si>
    <t xml:space="preserve">CHP-PILE-P28</t>
  </si>
  <si>
    <t xml:space="preserve">P28</t>
  </si>
  <si>
    <t xml:space="preserve">CHP-PILE-P29</t>
  </si>
  <si>
    <t xml:space="preserve">P29</t>
  </si>
  <si>
    <t xml:space="preserve">4/D</t>
  </si>
  <si>
    <t xml:space="preserve">CHP-PILE-P30</t>
  </si>
  <si>
    <t xml:space="preserve">P30</t>
  </si>
  <si>
    <t xml:space="preserve">CHP-PILE-P31</t>
  </si>
  <si>
    <t xml:space="preserve">P31</t>
  </si>
  <si>
    <t xml:space="preserve">5/D</t>
  </si>
  <si>
    <t xml:space="preserve">CHP-PILE-P32</t>
  </si>
  <si>
    <t xml:space="preserve">P32</t>
  </si>
  <si>
    <t xml:space="preserve">CHP-PILE-P33</t>
  </si>
  <si>
    <t xml:space="preserve">P33</t>
  </si>
  <si>
    <t xml:space="preserve">6/D</t>
  </si>
  <si>
    <t xml:space="preserve">CHP-PILE-P34</t>
  </si>
  <si>
    <t xml:space="preserve">P34</t>
  </si>
  <si>
    <t xml:space="preserve">CHP-PILE-P35</t>
  </si>
  <si>
    <t xml:space="preserve">P35</t>
  </si>
  <si>
    <t xml:space="preserve">5.1/D.1</t>
  </si>
  <si>
    <t xml:space="preserve">CHP-PILE-P36</t>
  </si>
  <si>
    <t xml:space="preserve">P36</t>
  </si>
  <si>
    <t xml:space="preserve">CHP-PILE-P37</t>
  </si>
  <si>
    <t xml:space="preserve">P37</t>
  </si>
  <si>
    <t xml:space="preserve">6/D.1</t>
  </si>
  <si>
    <t xml:space="preserve">CHP-PILE-P38</t>
  </si>
  <si>
    <t xml:space="preserve">P38</t>
  </si>
  <si>
    <t xml:space="preserve">1/D.2</t>
  </si>
  <si>
    <t xml:space="preserve">CHP-PILE-P39</t>
  </si>
  <si>
    <t xml:space="preserve">P39</t>
  </si>
  <si>
    <t xml:space="preserve">CHP-PILE-P40</t>
  </si>
  <si>
    <t xml:space="preserve">P40</t>
  </si>
  <si>
    <t xml:space="preserve">2/D.2</t>
  </si>
  <si>
    <t xml:space="preserve">CHP-PILE-P41</t>
  </si>
  <si>
    <t xml:space="preserve">P41</t>
  </si>
  <si>
    <t xml:space="preserve">CHP-PILE-P42</t>
  </si>
  <si>
    <t xml:space="preserve">P42</t>
  </si>
  <si>
    <t xml:space="preserve">1/E</t>
  </si>
  <si>
    <t xml:space="preserve">CHP-PILE-P43</t>
  </si>
  <si>
    <t xml:space="preserve">P43</t>
  </si>
  <si>
    <t xml:space="preserve">2/E</t>
  </si>
  <si>
    <t xml:space="preserve">CHP-PILE-P44</t>
  </si>
  <si>
    <t xml:space="preserve">P44</t>
  </si>
  <si>
    <t xml:space="preserve">CHP-PILE-P45</t>
  </si>
  <si>
    <t xml:space="preserve">P45</t>
  </si>
  <si>
    <t xml:space="preserve">3/E</t>
  </si>
  <si>
    <t xml:space="preserve">CHP-PILE-P46</t>
  </si>
  <si>
    <t xml:space="preserve">P46</t>
  </si>
  <si>
    <t xml:space="preserve">CHP-PILE-P47</t>
  </si>
  <si>
    <t xml:space="preserve">P47</t>
  </si>
  <si>
    <t xml:space="preserve">4/E</t>
  </si>
  <si>
    <t xml:space="preserve">CHP-PILE-P48</t>
  </si>
  <si>
    <t xml:space="preserve">P48</t>
  </si>
  <si>
    <t xml:space="preserve">CHP-PILE-P49</t>
  </si>
  <si>
    <t xml:space="preserve">P49</t>
  </si>
  <si>
    <t xml:space="preserve">5/E</t>
  </si>
  <si>
    <t xml:space="preserve">CHP-PILE-P50</t>
  </si>
  <si>
    <t xml:space="preserve">P50</t>
  </si>
  <si>
    <t xml:space="preserve">CHP-PILE-P51</t>
  </si>
  <si>
    <t xml:space="preserve">P51</t>
  </si>
  <si>
    <t xml:space="preserve">5.1/E</t>
  </si>
  <si>
    <t xml:space="preserve">CHP-PILE-P52</t>
  </si>
  <si>
    <t xml:space="preserve">P52</t>
  </si>
  <si>
    <t xml:space="preserve">CHP-PILE-P53</t>
  </si>
  <si>
    <t xml:space="preserve">P53</t>
  </si>
  <si>
    <t xml:space="preserve">6/E</t>
  </si>
  <si>
    <t xml:space="preserve">CHP-GRP-EXC-010</t>
  </si>
  <si>
    <t xml:space="preserve">—</t>
  </si>
  <si>
    <t xml:space="preserve">Group element – attach all model objects of this scope (if modelled)</t>
  </si>
  <si>
    <t xml:space="preserve">CHP-GRP-EXC-020</t>
  </si>
  <si>
    <t xml:space="preserve">CHP-GRP-EXC-030</t>
  </si>
  <si>
    <t xml:space="preserve">CHP-PC-1-A</t>
  </si>
  <si>
    <t xml:space="preserve">Pile cap PC1 – single pile</t>
  </si>
  <si>
    <t xml:space="preserve">PC1</t>
  </si>
  <si>
    <t xml:space="preserve">900×900×1000 (ref. dwg)</t>
  </si>
  <si>
    <t xml:space="preserve">CHP-PC-1-B</t>
  </si>
  <si>
    <t xml:space="preserve">Pile cap PC2 – 2-pile, 45° rotated</t>
  </si>
  <si>
    <t xml:space="preserve">PC2</t>
  </si>
  <si>
    <t xml:space="preserve">2700×900×1000 (ref. dwg)</t>
  </si>
  <si>
    <t xml:space="preserve">CHP-PC-1-C</t>
  </si>
  <si>
    <t xml:space="preserve">CHP-PC-1-D</t>
  </si>
  <si>
    <t xml:space="preserve">CHP-PC-1-D.2</t>
  </si>
  <si>
    <t xml:space="preserve">CHP-PC-1-E</t>
  </si>
  <si>
    <t xml:space="preserve">CHP-PC-2-A</t>
  </si>
  <si>
    <t xml:space="preserve">CHP-PC-2-B</t>
  </si>
  <si>
    <t xml:space="preserve">CHP-PC-2-C</t>
  </si>
  <si>
    <t xml:space="preserve">CHP-PC-2-D</t>
  </si>
  <si>
    <t xml:space="preserve">CHP-PC-2-D.2</t>
  </si>
  <si>
    <t xml:space="preserve">CHP-PC-2-E</t>
  </si>
  <si>
    <t xml:space="preserve">CHP-PC-3-A</t>
  </si>
  <si>
    <t xml:space="preserve">CHP-PC-3-B</t>
  </si>
  <si>
    <t xml:space="preserve">CHP-PC-3-C</t>
  </si>
  <si>
    <t xml:space="preserve">CHP-PC-3-D</t>
  </si>
  <si>
    <t xml:space="preserve">CHP-PC-3-E</t>
  </si>
  <si>
    <t xml:space="preserve">CHP-PC-4-A</t>
  </si>
  <si>
    <t xml:space="preserve">CHP-PC-4-B</t>
  </si>
  <si>
    <t xml:space="preserve">CHP-PC-4-C</t>
  </si>
  <si>
    <t xml:space="preserve">CHP-PC-4-D</t>
  </si>
  <si>
    <t xml:space="preserve">CHP-PC-4-E</t>
  </si>
  <si>
    <t xml:space="preserve">CHP-PC-5-A</t>
  </si>
  <si>
    <t xml:space="preserve">CHP-PC-5-B</t>
  </si>
  <si>
    <t xml:space="preserve">CHP-PC-5-C</t>
  </si>
  <si>
    <t xml:space="preserve">CHP-PC-5-D</t>
  </si>
  <si>
    <t xml:space="preserve">CHP-PC-5-E</t>
  </si>
  <si>
    <t xml:space="preserve">CHP-PC-5.1-D.1</t>
  </si>
  <si>
    <t xml:space="preserve">CHP-PC-5.1-E</t>
  </si>
  <si>
    <t xml:space="preserve">CHP-PC-6-A</t>
  </si>
  <si>
    <t xml:space="preserve">CHP-PC-6-B</t>
  </si>
  <si>
    <t xml:space="preserve">CHP-PC-6-C</t>
  </si>
  <si>
    <t xml:space="preserve">CHP-PC-6-D</t>
  </si>
  <si>
    <t xml:space="preserve">CHP-PC-6-D.1</t>
  </si>
  <si>
    <t xml:space="preserve">CHP-PC-6-E</t>
  </si>
  <si>
    <t xml:space="preserve">CHP-COL-1-A-L0</t>
  </si>
  <si>
    <t xml:space="preserve">RCC column C6 – pedestal</t>
  </si>
  <si>
    <t xml:space="preserve">C6</t>
  </si>
  <si>
    <t xml:space="preserve">EL(-)2.500 to EL(-)0.300</t>
  </si>
  <si>
    <t xml:space="preserve">500x600</t>
  </si>
  <si>
    <t xml:space="preserve">Split model column at EL(-)0.300 (construction joint)</t>
  </si>
  <si>
    <t xml:space="preserve">CHP-COL-1-B-L0</t>
  </si>
  <si>
    <t xml:space="preserve">RCC column C3 – pedestal</t>
  </si>
  <si>
    <t xml:space="preserve">C3</t>
  </si>
  <si>
    <t xml:space="preserve">CHP-COL-1-C-L0</t>
  </si>
  <si>
    <t xml:space="preserve">CHP-COL-1-D-L0</t>
  </si>
  <si>
    <t xml:space="preserve">RCC column C7 – pedestal</t>
  </si>
  <si>
    <t xml:space="preserve">C7</t>
  </si>
  <si>
    <t xml:space="preserve">400x600</t>
  </si>
  <si>
    <t xml:space="preserve">CHP-COL-1-D.2-L0</t>
  </si>
  <si>
    <t xml:space="preserve">RCC column C1 – pedestal</t>
  </si>
  <si>
    <t xml:space="preserve">C1</t>
  </si>
  <si>
    <t xml:space="preserve">CHP-COL-1-E-L0</t>
  </si>
  <si>
    <t xml:space="preserve">CHP-COL-1-SC-L0</t>
  </si>
  <si>
    <t xml:space="preserve">RCC column SC1 – pedestal</t>
  </si>
  <si>
    <t xml:space="preserve">SC1</t>
  </si>
  <si>
    <t xml:space="preserve">1 / 2400 S of Row B (on PCB3)</t>
  </si>
  <si>
    <t xml:space="preserve">Top of PCB3 to EL(-)0.300</t>
  </si>
  <si>
    <t xml:space="preserve">CHP-COL-2-A-L0</t>
  </si>
  <si>
    <t xml:space="preserve">RCC column C4 – pedestal</t>
  </si>
  <si>
    <t xml:space="preserve">C4</t>
  </si>
  <si>
    <t xml:space="preserve">CHP-COL-2-B-L0</t>
  </si>
  <si>
    <t xml:space="preserve">CHP-COL-2-C-L0</t>
  </si>
  <si>
    <t xml:space="preserve">CHP-COL-2-D-L0</t>
  </si>
  <si>
    <t xml:space="preserve">CHP-COL-2-D.2-L0</t>
  </si>
  <si>
    <t xml:space="preserve">CHP-COL-2-E-L0</t>
  </si>
  <si>
    <t xml:space="preserve">CHP-COL-3-A-L0</t>
  </si>
  <si>
    <t xml:space="preserve">CHP-COL-3-B-L0</t>
  </si>
  <si>
    <t xml:space="preserve">CHP-COL-3-C-L0</t>
  </si>
  <si>
    <t xml:space="preserve">CHP-COL-3-D-L0</t>
  </si>
  <si>
    <t xml:space="preserve">RCC column C8 – pedestal</t>
  </si>
  <si>
    <t xml:space="preserve">C8</t>
  </si>
  <si>
    <t xml:space="preserve">CHP-COL-3-E-L0</t>
  </si>
  <si>
    <t xml:space="preserve">RCC column C9 – pedestal</t>
  </si>
  <si>
    <t xml:space="preserve">C9</t>
  </si>
  <si>
    <t xml:space="preserve">CHP-PCB-Z1-01</t>
  </si>
  <si>
    <t xml:space="preserve">Structural Framing (Pile Cap Beam)</t>
  </si>
  <si>
    <t xml:space="preserve">Pile cap beam PCB1</t>
  </si>
  <si>
    <t xml:space="preserve">PCB1</t>
  </si>
  <si>
    <t xml:space="preserve">Row E : Grid 2–1</t>
  </si>
  <si>
    <t xml:space="preserve">B/O PCB EL(-)2.400</t>
  </si>
  <si>
    <t xml:space="preserve">300x600</t>
  </si>
  <si>
    <t xml:space="preserve">CHP-PCB-Z1-02</t>
  </si>
  <si>
    <t xml:space="preserve">Grid 1 : Row E–D.2</t>
  </si>
  <si>
    <t xml:space="preserve">CHP-PCB-Z1-03</t>
  </si>
  <si>
    <t xml:space="preserve">CHP-PCB-Z1-04</t>
  </si>
  <si>
    <t xml:space="preserve">Grid 2 : Row D–C</t>
  </si>
  <si>
    <t xml:space="preserve">CHP-PCB-Z1-05</t>
  </si>
  <si>
    <t xml:space="preserve">Grid 3 : Row D–C</t>
  </si>
  <si>
    <t xml:space="preserve">CHP-PCB-Z1-06</t>
  </si>
  <si>
    <t xml:space="preserve">Row D : Grid 3–2</t>
  </si>
  <si>
    <t xml:space="preserve">CHP-PCB-Z1-07</t>
  </si>
  <si>
    <t xml:space="preserve">Row C : Grid 3–2</t>
  </si>
  <si>
    <t xml:space="preserve">CHP-PCB-Z1-08</t>
  </si>
  <si>
    <t xml:space="preserve">Row C : Grid 2–1</t>
  </si>
  <si>
    <t xml:space="preserve">CHP-PCB-Z1-09</t>
  </si>
  <si>
    <t xml:space="preserve">Row B : Grid 2–1</t>
  </si>
  <si>
    <t xml:space="preserve">CHP-PCB-Z1-10</t>
  </si>
  <si>
    <t xml:space="preserve">Row A : Grid 2–1</t>
  </si>
  <si>
    <t xml:space="preserve">CHP-PCB-Z1-11</t>
  </si>
  <si>
    <t xml:space="preserve">Pile cap beam PCB2</t>
  </si>
  <si>
    <t xml:space="preserve">PCB2</t>
  </si>
  <si>
    <t xml:space="preserve">Grid 3 : Row B–A</t>
  </si>
  <si>
    <t xml:space="preserve">CHP-PCB-Z1-12</t>
  </si>
  <si>
    <t xml:space="preserve">Grid 2 : Row B–A</t>
  </si>
  <si>
    <t xml:space="preserve">CHP-PCB-Z1-13</t>
  </si>
  <si>
    <t xml:space="preserve">Pile cap beam PCB3</t>
  </si>
  <si>
    <t xml:space="preserve">PCB3</t>
  </si>
  <si>
    <t xml:space="preserve">Grid 1 : Row B–SC1</t>
  </si>
  <si>
    <t xml:space="preserve">600x600</t>
  </si>
  <si>
    <t xml:space="preserve">CHP-PCB-Z1-14</t>
  </si>
  <si>
    <t xml:space="preserve">Grid 1 : SC1–Row A</t>
  </si>
  <si>
    <t xml:space="preserve">CHP-COL-4-A-L0</t>
  </si>
  <si>
    <t xml:space="preserve">CHP-COL-4-B-L0</t>
  </si>
  <si>
    <t xml:space="preserve">CHP-COL-4-C-L0</t>
  </si>
  <si>
    <t xml:space="preserve">RCC column C5 – pedestal</t>
  </si>
  <si>
    <t xml:space="preserve">C5</t>
  </si>
  <si>
    <t xml:space="preserve">CHP-COL-4-D-L0</t>
  </si>
  <si>
    <t xml:space="preserve">CHP-COL-4-E-L0</t>
  </si>
  <si>
    <t xml:space="preserve">CHP-COL-5-A-L0</t>
  </si>
  <si>
    <t xml:space="preserve">CHP-COL-5-B-L0</t>
  </si>
  <si>
    <t xml:space="preserve">CHP-COL-5-C-L0</t>
  </si>
  <si>
    <t xml:space="preserve">CHP-COL-5-D-L0</t>
  </si>
  <si>
    <t xml:space="preserve">CHP-COL-5-E-L0</t>
  </si>
  <si>
    <t xml:space="preserve">CHP-PCB-Z2-01</t>
  </si>
  <si>
    <t xml:space="preserve">Row D : Grid 5–4</t>
  </si>
  <si>
    <t xml:space="preserve">CHP-PCB-Z2-02</t>
  </si>
  <si>
    <t xml:space="preserve">Grid 4 : Row D–C</t>
  </si>
  <si>
    <t xml:space="preserve">CHP-PCB-Z2-03</t>
  </si>
  <si>
    <t xml:space="preserve">Grid 5 : Row D–C</t>
  </si>
  <si>
    <t xml:space="preserve">CHP-PCB-Z2-04</t>
  </si>
  <si>
    <t xml:space="preserve">Row C : Grid 5–4</t>
  </si>
  <si>
    <t xml:space="preserve">CHP-PCB-Z2-05</t>
  </si>
  <si>
    <t xml:space="preserve">Row C : Grid 4–3</t>
  </si>
  <si>
    <t xml:space="preserve">CHP-PCB-Z2-06</t>
  </si>
  <si>
    <t xml:space="preserve">Row B : Grid 4–3</t>
  </si>
  <si>
    <t xml:space="preserve">CHP-PCB-Z2-07</t>
  </si>
  <si>
    <t xml:space="preserve">Row A : Grid 4–3</t>
  </si>
  <si>
    <t xml:space="preserve">CHP-PCB-Z2-08</t>
  </si>
  <si>
    <t xml:space="preserve">Grid 4 : Row B–A</t>
  </si>
  <si>
    <t xml:space="preserve">CHP-COL-5.1-D.1-L0</t>
  </si>
  <si>
    <t xml:space="preserve">CHP-COL-5.1-E-L0</t>
  </si>
  <si>
    <t xml:space="preserve">CHP-COL-6-A-L0</t>
  </si>
  <si>
    <t xml:space="preserve">CHP-COL-6-B-L0</t>
  </si>
  <si>
    <t xml:space="preserve">CHP-COL-6-C-L0</t>
  </si>
  <si>
    <t xml:space="preserve">CHP-COL-6-D-L0</t>
  </si>
  <si>
    <t xml:space="preserve">RCC column C2 – pedestal</t>
  </si>
  <si>
    <t xml:space="preserve">C2</t>
  </si>
  <si>
    <t xml:space="preserve">CHP-COL-6-D.1-L0</t>
  </si>
  <si>
    <t xml:space="preserve">CHP-COL-6-E-L0</t>
  </si>
  <si>
    <t xml:space="preserve">CHP-PCB-Z3-01</t>
  </si>
  <si>
    <t xml:space="preserve">Row E : Grid 6–5.1</t>
  </si>
  <si>
    <t xml:space="preserve">CHP-PCB-Z3-02</t>
  </si>
  <si>
    <t xml:space="preserve">Grid 6 : Row E–D.1</t>
  </si>
  <si>
    <t xml:space="preserve">CHP-PCB-Z3-03</t>
  </si>
  <si>
    <t xml:space="preserve">Row D.1 : Grid 6–5.1</t>
  </si>
  <si>
    <t xml:space="preserve">CHP-PCB-Z3-04</t>
  </si>
  <si>
    <t xml:space="preserve">Grid 6 : Row D–C</t>
  </si>
  <si>
    <t xml:space="preserve">CHP-PCB-Z3-05</t>
  </si>
  <si>
    <t xml:space="preserve">Row C : Grid 6–5</t>
  </si>
  <si>
    <t xml:space="preserve">CHP-PCB-Z3-06</t>
  </si>
  <si>
    <t xml:space="preserve">Grid 6 : Row B–A</t>
  </si>
  <si>
    <t xml:space="preserve">CHP-PCB-Z3-07</t>
  </si>
  <si>
    <t xml:space="preserve">Row A : Grid 6–5</t>
  </si>
  <si>
    <t xml:space="preserve">CHP-GRP-SUB-070</t>
  </si>
  <si>
    <t xml:space="preserve">CHP-GRP-SUB-080</t>
  </si>
  <si>
    <t xml:space="preserve">CHP-GRP-SUB-090</t>
  </si>
  <si>
    <t xml:space="preserve">CHP-PB-Z1-01</t>
  </si>
  <si>
    <t xml:space="preserve">Plinth beam PB2</t>
  </si>
  <si>
    <t xml:space="preserve">PB2</t>
  </si>
  <si>
    <t xml:space="preserve">Row E : Grid 3–2–1</t>
  </si>
  <si>
    <t xml:space="preserve">CHP-PB-Z1-02</t>
  </si>
  <si>
    <t xml:space="preserve">Plinth beam PB10</t>
  </si>
  <si>
    <t xml:space="preserve">PB10</t>
  </si>
  <si>
    <t xml:space="preserve">Stair ST-2 : 2100 from Grid 1, Row E–D.2</t>
  </si>
  <si>
    <t xml:space="preserve">300x450</t>
  </si>
  <si>
    <t xml:space="preserve">CHP-PB-Z1-03</t>
  </si>
  <si>
    <t xml:space="preserve">Plinth beam PB5</t>
  </si>
  <si>
    <t xml:space="preserve">PB5</t>
  </si>
  <si>
    <t xml:space="preserve">Grid 2 : Row E–D</t>
  </si>
  <si>
    <t xml:space="preserve">CHP-PB-Z1-04</t>
  </si>
  <si>
    <t xml:space="preserve">Grid 1 : Row E–C</t>
  </si>
  <si>
    <t xml:space="preserve">CHP-PB-Z1-05</t>
  </si>
  <si>
    <t xml:space="preserve">Plinth beam PB9</t>
  </si>
  <si>
    <t xml:space="preserve">PB9</t>
  </si>
  <si>
    <t xml:space="preserve">Row D.2 : Grid 2–1</t>
  </si>
  <si>
    <t xml:space="preserve">CHP-PB-Z1-06</t>
  </si>
  <si>
    <t xml:space="preserve">Plinth beam PB7</t>
  </si>
  <si>
    <t xml:space="preserve">PB7</t>
  </si>
  <si>
    <t xml:space="preserve">Grid 2–1 : 1850 &amp; 3500 below D.2 (2 nos)</t>
  </si>
  <si>
    <t xml:space="preserve">300x500</t>
  </si>
  <si>
    <t xml:space="preserve">CHP-PB-Z1-07</t>
  </si>
  <si>
    <t xml:space="preserve">Plinth beam PB4</t>
  </si>
  <si>
    <t xml:space="preserve">PB4</t>
  </si>
  <si>
    <t xml:space="preserve">Grid 2–1 : 2035 from Grid 2</t>
  </si>
  <si>
    <t xml:space="preserve">CHP-PB-Z1-08</t>
  </si>
  <si>
    <t xml:space="preserve">Plinth beam PB8</t>
  </si>
  <si>
    <t xml:space="preserve">PB8</t>
  </si>
  <si>
    <t xml:space="preserve">Row D : Grid 3–2–1</t>
  </si>
  <si>
    <t xml:space="preserve">CHP-PB-Z1-09</t>
  </si>
  <si>
    <t xml:space="preserve">Grid 3 : Row E–D</t>
  </si>
  <si>
    <t xml:space="preserve">CHP-PB-Z1-10</t>
  </si>
  <si>
    <t xml:space="preserve">Plinth beam PB1</t>
  </si>
  <si>
    <t xml:space="preserve">PB1</t>
  </si>
  <si>
    <t xml:space="preserve">Grid 3 &amp; Grid 2 : Row C–B</t>
  </si>
  <si>
    <t xml:space="preserve">CHP-PB-Z1-11</t>
  </si>
  <si>
    <t xml:space="preserve">Row B : Grid 3–2</t>
  </si>
  <si>
    <t xml:space="preserve">CHP-PB-Z1-12</t>
  </si>
  <si>
    <t xml:space="preserve">Plinth beam PB6</t>
  </si>
  <si>
    <t xml:space="preserve">PB6</t>
  </si>
  <si>
    <t xml:space="preserve">Grid 1 : Row C–B–A (monorail door)</t>
  </si>
  <si>
    <t xml:space="preserve">450x700</t>
  </si>
  <si>
    <t xml:space="preserve">CHP-PB-Z1-13</t>
  </si>
  <si>
    <t xml:space="preserve">Plinth beam PB3</t>
  </si>
  <si>
    <t xml:space="preserve">PB3</t>
  </si>
  <si>
    <t xml:space="preserve">Row A : Grid 3–2–1</t>
  </si>
  <si>
    <t xml:space="preserve">CHP-PB-Z2-01</t>
  </si>
  <si>
    <t xml:space="preserve">Row E : Grid 5–4–3</t>
  </si>
  <si>
    <t xml:space="preserve">CHP-PB-Z2-02</t>
  </si>
  <si>
    <t xml:space="preserve">Grid 5 &amp; Grid 4 : Row E–D</t>
  </si>
  <si>
    <t xml:space="preserve">CHP-PB-Z2-03</t>
  </si>
  <si>
    <t xml:space="preserve">Row D : Grid 5–4–3</t>
  </si>
  <si>
    <t xml:space="preserve">CHP-PB-Z2-04</t>
  </si>
  <si>
    <t xml:space="preserve">Grid 5 &amp; Grid 4 : Row C–B</t>
  </si>
  <si>
    <t xml:space="preserve">CHP-PB-Z2-05</t>
  </si>
  <si>
    <t xml:space="preserve">Row B : Grid 5–4</t>
  </si>
  <si>
    <t xml:space="preserve">CHP-PB-Z2-06</t>
  </si>
  <si>
    <t xml:space="preserve">Row A : Grid 5–4–3</t>
  </si>
  <si>
    <t xml:space="preserve">CHP-PB-Z3-01</t>
  </si>
  <si>
    <t xml:space="preserve">Row E : Grid 6–5.1–5</t>
  </si>
  <si>
    <t xml:space="preserve">CHP-PB-Z3-02</t>
  </si>
  <si>
    <t xml:space="preserve">Stair ST-1 : 2100 below Row E, Grid 6–5.1</t>
  </si>
  <si>
    <t xml:space="preserve">CHP-PB-Z3-03</t>
  </si>
  <si>
    <t xml:space="preserve">Grid 5.1 : Row E–D.1</t>
  </si>
  <si>
    <t xml:space="preserve">CHP-PB-Z3-04</t>
  </si>
  <si>
    <t xml:space="preserve">CHP-PB-Z3-05</t>
  </si>
  <si>
    <t xml:space="preserve">Grid 6 : Row E–C</t>
  </si>
  <si>
    <t xml:space="preserve">CHP-PB-Z3-06</t>
  </si>
  <si>
    <t xml:space="preserve">Row D : Grid 6–5</t>
  </si>
  <si>
    <t xml:space="preserve">CHP-PB-Z3-07</t>
  </si>
  <si>
    <t xml:space="preserve">Grid 6 : Row C–B–A</t>
  </si>
  <si>
    <t xml:space="preserve">CHP-PB-Z3-08</t>
  </si>
  <si>
    <t xml:space="preserve">CHP-COL-1-A-L1</t>
  </si>
  <si>
    <t xml:space="preserve">RCC column C6 – lift 1</t>
  </si>
  <si>
    <t xml:space="preserve">Split model column at EL(+)4.000 (construction joint)</t>
  </si>
  <si>
    <t xml:space="preserve">CHP-COL-1-B-L1</t>
  </si>
  <si>
    <t xml:space="preserve">RCC column C3 – lift 1</t>
  </si>
  <si>
    <t xml:space="preserve">CHP-COL-1-C-L1</t>
  </si>
  <si>
    <t xml:space="preserve">CHP-COL-1-D-L1</t>
  </si>
  <si>
    <t xml:space="preserve">RCC column C7 – lift 1</t>
  </si>
  <si>
    <t xml:space="preserve">CHP-COL-1-D.2-L1</t>
  </si>
  <si>
    <t xml:space="preserve">RCC column C1 – lift 1</t>
  </si>
  <si>
    <t xml:space="preserve">CHP-COL-1-E-L1</t>
  </si>
  <si>
    <t xml:space="preserve">CHP-COL-1-SC-L1</t>
  </si>
  <si>
    <t xml:space="preserve">RCC column SC1 – lift 1</t>
  </si>
  <si>
    <t xml:space="preserve">CHP-COL-2-A-L1</t>
  </si>
  <si>
    <t xml:space="preserve">RCC column C4 – lift 1</t>
  </si>
  <si>
    <t xml:space="preserve">CHP-COL-2-B-L1</t>
  </si>
  <si>
    <t xml:space="preserve">CHP-COL-2-C-L1</t>
  </si>
  <si>
    <t xml:space="preserve">CHP-COL-2-D-L1</t>
  </si>
  <si>
    <t xml:space="preserve">CHP-COL-2-D.2-L1</t>
  </si>
  <si>
    <t xml:space="preserve">CHP-COL-2-E-L1</t>
  </si>
  <si>
    <t xml:space="preserve">CHP-COL-3-A-L1</t>
  </si>
  <si>
    <t xml:space="preserve">CHP-COL-3-B-L1</t>
  </si>
  <si>
    <t xml:space="preserve">CHP-COL-3-C-L1</t>
  </si>
  <si>
    <t xml:space="preserve">CHP-COL-3-D-L1</t>
  </si>
  <si>
    <t xml:space="preserve">RCC column C8 – lift 1</t>
  </si>
  <si>
    <t xml:space="preserve">CHP-COL-3-E-L1</t>
  </si>
  <si>
    <t xml:space="preserve">RCC column C9 – lift 1</t>
  </si>
  <si>
    <t xml:space="preserve">CHP-COL-4-A-L1</t>
  </si>
  <si>
    <t xml:space="preserve">CHP-COL-4-B-L1</t>
  </si>
  <si>
    <t xml:space="preserve">CHP-COL-4-C-L1</t>
  </si>
  <si>
    <t xml:space="preserve">RCC column C5 – lift 1</t>
  </si>
  <si>
    <t xml:space="preserve">CHP-COL-4-D-L1</t>
  </si>
  <si>
    <t xml:space="preserve">CHP-COL-4-E-L1</t>
  </si>
  <si>
    <t xml:space="preserve">CHP-COL-5-A-L1</t>
  </si>
  <si>
    <t xml:space="preserve">CHP-COL-5-B-L1</t>
  </si>
  <si>
    <t xml:space="preserve">CHP-COL-5-C-L1</t>
  </si>
  <si>
    <t xml:space="preserve">CHP-COL-5-D-L1</t>
  </si>
  <si>
    <t xml:space="preserve">CHP-COL-5-E-L1</t>
  </si>
  <si>
    <t xml:space="preserve">CHP-COL-5.1-D.1-L1</t>
  </si>
  <si>
    <t xml:space="preserve">CHP-COL-5.1-E-L1</t>
  </si>
  <si>
    <t xml:space="preserve">CHP-COL-6-A-L1</t>
  </si>
  <si>
    <t xml:space="preserve">CHP-COL-6-B-L1</t>
  </si>
  <si>
    <t xml:space="preserve">CHP-COL-6-C-L1</t>
  </si>
  <si>
    <t xml:space="preserve">CHP-COL-6-D-L1</t>
  </si>
  <si>
    <t xml:space="preserve">RCC column C2 – lift 1</t>
  </si>
  <si>
    <t xml:space="preserve">CHP-COL-6-D.1-L1</t>
  </si>
  <si>
    <t xml:space="preserve">CHP-COL-6-E-L1</t>
  </si>
  <si>
    <t xml:space="preserve">CHP-FF-TB1</t>
  </si>
  <si>
    <t xml:space="preserve">Structural Framing (Tie Beam)</t>
  </si>
  <si>
    <t xml:space="preserve">Tie beam TB1</t>
  </si>
  <si>
    <t xml:space="preserve">T.O.B EL(+)2.100</t>
  </si>
  <si>
    <t xml:space="preserve">ref. dwg</t>
  </si>
  <si>
    <t xml:space="preserve">CHP-ST2-LOWER-FLT</t>
  </si>
  <si>
    <t xml:space="preserve">Stairs</t>
  </si>
  <si>
    <t xml:space="preserve">RCC staircase ST-2 flights (lower)</t>
  </si>
  <si>
    <t xml:space="preserve">FLT-1..FLT-3</t>
  </si>
  <si>
    <t xml:space="preserve">Waist slab (Type-1/Type-2)</t>
  </si>
  <si>
    <t xml:space="preserve">CHP-ST2-LOWER-LDG</t>
  </si>
  <si>
    <t xml:space="preserve">Floors (Landing)</t>
  </si>
  <si>
    <t xml:space="preserve">RCC landings ST-2 (lower)</t>
  </si>
  <si>
    <t xml:space="preserve">Landings +1.300, +2.650</t>
  </si>
  <si>
    <t xml:space="preserve">150 thk</t>
  </si>
  <si>
    <t xml:space="preserve">CHP-ST2-LOWER-STB</t>
  </si>
  <si>
    <t xml:space="preserve">Structural Framing (Stair Beam)</t>
  </si>
  <si>
    <t xml:space="preserve">Stair beams ST-2 (lower)</t>
  </si>
  <si>
    <t xml:space="preserve">STB1 / STB2</t>
  </si>
  <si>
    <t xml:space="preserve">300×500 (ref. dwg)</t>
  </si>
  <si>
    <t xml:space="preserve">CHP-FF-Z1-01</t>
  </si>
  <si>
    <t xml:space="preserve">Structural Framing (Floor Beam)</t>
  </si>
  <si>
    <t xml:space="preserve">Floor beam FB1</t>
  </si>
  <si>
    <t xml:space="preserve">FB1</t>
  </si>
  <si>
    <t xml:space="preserve">Row D : Grid 3–1</t>
  </si>
  <si>
    <t xml:space="preserve">CHP-FF-Z1-02</t>
  </si>
  <si>
    <t xml:space="preserve">Floor beam FB4</t>
  </si>
  <si>
    <t xml:space="preserve">FB4</t>
  </si>
  <si>
    <t xml:space="preserve">Row E : Grid 3–1</t>
  </si>
  <si>
    <t xml:space="preserve">CHP-FF-Z1-03</t>
  </si>
  <si>
    <t xml:space="preserve">Floor beam FB5</t>
  </si>
  <si>
    <t xml:space="preserve">FB5</t>
  </si>
  <si>
    <t xml:space="preserve">Ante room : Row E–D.2 (Grid 3–2)</t>
  </si>
  <si>
    <t xml:space="preserve">CHP-FF-Z1-04</t>
  </si>
  <si>
    <t xml:space="preserve">Floor beam FB9</t>
  </si>
  <si>
    <t xml:space="preserve">FB9</t>
  </si>
  <si>
    <t xml:space="preserve">Grid 3 &amp; Grid 1 : Row E–D</t>
  </si>
  <si>
    <t xml:space="preserve">400x1000</t>
  </si>
  <si>
    <t xml:space="preserve">CHP-FF-Z1-05</t>
  </si>
  <si>
    <t xml:space="preserve">Floor beam FB10</t>
  </si>
  <si>
    <t xml:space="preserve">FB10</t>
  </si>
  <si>
    <t xml:space="preserve">Grid 2 : Row D.2–D</t>
  </si>
  <si>
    <t xml:space="preserve">CHP-FF-Z1-06</t>
  </si>
  <si>
    <t xml:space="preserve">Floor beam FB11/FB12/FB13</t>
  </si>
  <si>
    <t xml:space="preserve">FB11/FB12/FB13</t>
  </si>
  <si>
    <t xml:space="preserve">Secondary beams Grid 3–2</t>
  </si>
  <si>
    <t xml:space="preserve">CHP-FF-Z1-07</t>
  </si>
  <si>
    <t xml:space="preserve">Floor beam FB14</t>
  </si>
  <si>
    <t xml:space="preserve">FB14</t>
  </si>
  <si>
    <t xml:space="preserve">AHU platform edge east of Grid 1</t>
  </si>
  <si>
    <t xml:space="preserve">CHP-FF-Z1-08</t>
  </si>
  <si>
    <t xml:space="preserve">Floors (Structural slab)</t>
  </si>
  <si>
    <t xml:space="preserve">RCC slab 150 thk, M30</t>
  </si>
  <si>
    <t xml:space="preserve">SLAB-FF</t>
  </si>
  <si>
    <t xml:space="preserve">First floor slab Grid 3–1 (excl. ST-2 &amp; openings)</t>
  </si>
  <si>
    <t xml:space="preserve">CHP-FF-Z2-01</t>
  </si>
  <si>
    <t xml:space="preserve">Row D : Grid 5–3</t>
  </si>
  <si>
    <t xml:space="preserve">CHP-FF-Z2-02</t>
  </si>
  <si>
    <t xml:space="preserve">Row E : Grid 5–3</t>
  </si>
  <si>
    <t xml:space="preserve">CHP-FF-Z2-03</t>
  </si>
  <si>
    <t xml:space="preserve">Floor beam FB2</t>
  </si>
  <si>
    <t xml:space="preserve">FB2</t>
  </si>
  <si>
    <t xml:space="preserve">Row D.1 : Grid 5–3</t>
  </si>
  <si>
    <t xml:space="preserve">CHP-FF-Z2-04</t>
  </si>
  <si>
    <t xml:space="preserve">Floor beam FB8</t>
  </si>
  <si>
    <t xml:space="preserve">FB8</t>
  </si>
  <si>
    <t xml:space="preserve">Grid 5 : Row E–D</t>
  </si>
  <si>
    <t xml:space="preserve">CHP-FF-Z2-05</t>
  </si>
  <si>
    <t xml:space="preserve">Grid 4 : Row E–D</t>
  </si>
  <si>
    <t xml:space="preserve">CHP-FF-Z2-06</t>
  </si>
  <si>
    <t xml:space="preserve">Secondary beams Grid 5–3</t>
  </si>
  <si>
    <t xml:space="preserve">CHP-FF-Z2-07</t>
  </si>
  <si>
    <t xml:space="preserve">First floor slab Grid 5–3 (with floor openings)</t>
  </si>
  <si>
    <t xml:space="preserve">CHP-FF-Z3-01</t>
  </si>
  <si>
    <t xml:space="preserve">CHP-FF-Z3-02</t>
  </si>
  <si>
    <t xml:space="preserve">Floor beam FB2/FB3</t>
  </si>
  <si>
    <t xml:space="preserve">FB2/FB3</t>
  </si>
  <si>
    <t xml:space="preserve">Row D.1 : Grid 6–5</t>
  </si>
  <si>
    <t xml:space="preserve">CHP-FF-Z3-03</t>
  </si>
  <si>
    <t xml:space="preserve">Row E : Grid 6–5</t>
  </si>
  <si>
    <t xml:space="preserve">CHP-FF-Z3-04</t>
  </si>
  <si>
    <t xml:space="preserve">Floor beam FB6/FB7</t>
  </si>
  <si>
    <t xml:space="preserve">FB6/FB7</t>
  </si>
  <si>
    <t xml:space="preserve">Grid 6 &amp; 5.1 : Row D.1–D (ante room)</t>
  </si>
  <si>
    <t xml:space="preserve">CHP-FF-Z3-05</t>
  </si>
  <si>
    <t xml:space="preserve">Secondary beams Grid 5.1–5</t>
  </si>
  <si>
    <t xml:space="preserve">CHP-FF-Z3-06</t>
  </si>
  <si>
    <t xml:space="preserve">Platform edge north of Row E (Grid 5.1–5)</t>
  </si>
  <si>
    <t xml:space="preserve">CHP-FF-Z3-07</t>
  </si>
  <si>
    <t xml:space="preserve">First floor slab Grid 6–5 (excl. ST-1)</t>
  </si>
  <si>
    <t xml:space="preserve">CHP-ST1-LOWER-FLT</t>
  </si>
  <si>
    <t xml:space="preserve">RCC staircase ST-1 flights (lower)</t>
  </si>
  <si>
    <t xml:space="preserve">CHP-ST1-LOWER-LDG</t>
  </si>
  <si>
    <t xml:space="preserve">RCC landings ST-1 (lower)</t>
  </si>
  <si>
    <t xml:space="preserve">CHP-ST1-LOWER-STB</t>
  </si>
  <si>
    <t xml:space="preserve">Stair beams ST-1 (lower)</t>
  </si>
  <si>
    <t xml:space="preserve">CHP-COL-1-A-L2</t>
  </si>
  <si>
    <t xml:space="preserve">RCC column C6 – lift 2</t>
  </si>
  <si>
    <t xml:space="preserve">CHP-COL-1-B-L2</t>
  </si>
  <si>
    <t xml:space="preserve">RCC column C3 – lift 2</t>
  </si>
  <si>
    <t xml:space="preserve">CHP-COL-1-C-L2</t>
  </si>
  <si>
    <t xml:space="preserve">CHP-COL-1-D-L2</t>
  </si>
  <si>
    <t xml:space="preserve">RCC column C7 – lift 2</t>
  </si>
  <si>
    <t xml:space="preserve">CHP-COL-1-D.2-L2</t>
  </si>
  <si>
    <t xml:space="preserve">RCC column C1 – lift 2</t>
  </si>
  <si>
    <t xml:space="preserve">CHP-COL-1-E-L2</t>
  </si>
  <si>
    <t xml:space="preserve">CHP-COL-1-SC-L2</t>
  </si>
  <si>
    <t xml:space="preserve">RCC column SC1 – lift 2</t>
  </si>
  <si>
    <t xml:space="preserve">CHP-COL-2-A-L2</t>
  </si>
  <si>
    <t xml:space="preserve">RCC column C4 – lift 2</t>
  </si>
  <si>
    <t xml:space="preserve">CHP-COL-2-B-L2</t>
  </si>
  <si>
    <t xml:space="preserve">CHP-COL-2-C-L2</t>
  </si>
  <si>
    <t xml:space="preserve">CHP-COL-2-D-L2</t>
  </si>
  <si>
    <t xml:space="preserve">CHP-COL-2-D.2-L2</t>
  </si>
  <si>
    <t xml:space="preserve">CHP-COL-2-E-L2</t>
  </si>
  <si>
    <t xml:space="preserve">CHP-COL-3-A-L2</t>
  </si>
  <si>
    <t xml:space="preserve">CHP-COL-3-B-L2</t>
  </si>
  <si>
    <t xml:space="preserve">CHP-COL-3-C-L2</t>
  </si>
  <si>
    <t xml:space="preserve">CHP-COL-3-D-L2</t>
  </si>
  <si>
    <t xml:space="preserve">RCC column C8 – lift 2</t>
  </si>
  <si>
    <t xml:space="preserve">CHP-COL-3-E-L2</t>
  </si>
  <si>
    <t xml:space="preserve">RCC column C9 – lift 2</t>
  </si>
  <si>
    <t xml:space="preserve">CHP-COL-4-A-L2</t>
  </si>
  <si>
    <t xml:space="preserve">CHP-COL-4-B-L2</t>
  </si>
  <si>
    <t xml:space="preserve">CHP-COL-4-C-L2</t>
  </si>
  <si>
    <t xml:space="preserve">RCC column C5 – lift 2</t>
  </si>
  <si>
    <t xml:space="preserve">CHP-COL-4-D-L2</t>
  </si>
  <si>
    <t xml:space="preserve">CHP-COL-4-E-L2</t>
  </si>
  <si>
    <t xml:space="preserve">CHP-COL-5-A-L2</t>
  </si>
  <si>
    <t xml:space="preserve">CHP-COL-5-B-L2</t>
  </si>
  <si>
    <t xml:space="preserve">CHP-COL-5-C-L2</t>
  </si>
  <si>
    <t xml:space="preserve">CHP-COL-5-D-L2</t>
  </si>
  <si>
    <t xml:space="preserve">CHP-COL-5-E-L2</t>
  </si>
  <si>
    <t xml:space="preserve">CHP-COL-5.1-D.1-L2</t>
  </si>
  <si>
    <t xml:space="preserve">CHP-COL-5.1-E-L2</t>
  </si>
  <si>
    <t xml:space="preserve">CHP-COL-6-A-L2</t>
  </si>
  <si>
    <t xml:space="preserve">CHP-COL-6-B-L2</t>
  </si>
  <si>
    <t xml:space="preserve">CHP-COL-6-C-L2</t>
  </si>
  <si>
    <t xml:space="preserve">CHP-COL-6-D-L2</t>
  </si>
  <si>
    <t xml:space="preserve">RCC column C2 – lift 2</t>
  </si>
  <si>
    <t xml:space="preserve">CHP-COL-6-D.1-L2</t>
  </si>
  <si>
    <t xml:space="preserve">CHP-COL-6-E-L2</t>
  </si>
  <si>
    <t xml:space="preserve">CHP-ST2-UPPER-FLT</t>
  </si>
  <si>
    <t xml:space="preserve">RCC staircase ST-2 flights (upper)</t>
  </si>
  <si>
    <t xml:space="preserve">FLT-4..FLT-7</t>
  </si>
  <si>
    <t xml:space="preserve">CHP-ST2-UPPER-LDG</t>
  </si>
  <si>
    <t xml:space="preserve">RCC landings ST-2 (upper)</t>
  </si>
  <si>
    <t xml:space="preserve">Landings +5.350, +6.700, +7.900</t>
  </si>
  <si>
    <t xml:space="preserve">CHP-ST2-UPPER-STB</t>
  </si>
  <si>
    <t xml:space="preserve">Stair beams ST-2 (upper)</t>
  </si>
  <si>
    <t xml:space="preserve">CHP-ST1-UPPER-FLT</t>
  </si>
  <si>
    <t xml:space="preserve">RCC staircase ST-1 flights (upper)</t>
  </si>
  <si>
    <t xml:space="preserve">CHP-ST1-UPPER-LDG</t>
  </si>
  <si>
    <t xml:space="preserve">RCC landings ST-1 (upper)</t>
  </si>
  <si>
    <t xml:space="preserve">CHP-ST1-UPPER-STB</t>
  </si>
  <si>
    <t xml:space="preserve">Stair beams ST-1 (upper)</t>
  </si>
  <si>
    <t xml:space="preserve">CHP-RF-Z1-01</t>
  </si>
  <si>
    <t xml:space="preserve">Structural Framing (Roof Beam)</t>
  </si>
  <si>
    <t xml:space="preserve">Roof beam RB1</t>
  </si>
  <si>
    <t xml:space="preserve">RB1</t>
  </si>
  <si>
    <t xml:space="preserve">Row E : Grid 3–2</t>
  </si>
  <si>
    <t xml:space="preserve">CHP-RF-Z1-02</t>
  </si>
  <si>
    <t xml:space="preserve">Roof beam RB2</t>
  </si>
  <si>
    <t xml:space="preserve">RB2</t>
  </si>
  <si>
    <t xml:space="preserve">CHP-RF-Z1-03</t>
  </si>
  <si>
    <t xml:space="preserve">Roof beam RB3</t>
  </si>
  <si>
    <t xml:space="preserve">RB3</t>
  </si>
  <si>
    <t xml:space="preserve">Row C : Grid 3–1</t>
  </si>
  <si>
    <t xml:space="preserve">CHP-RF-Z1-04</t>
  </si>
  <si>
    <t xml:space="preserve">Roof beam RB4</t>
  </si>
  <si>
    <t xml:space="preserve">RB4</t>
  </si>
  <si>
    <t xml:space="preserve">Row B : Grid 3–1</t>
  </si>
  <si>
    <t xml:space="preserve">450x800</t>
  </si>
  <si>
    <t xml:space="preserve">CHP-RF-Z1-05</t>
  </si>
  <si>
    <t xml:space="preserve">Roof beam RB5</t>
  </si>
  <si>
    <t xml:space="preserve">RB5</t>
  </si>
  <si>
    <t xml:space="preserve">Row A : Grid 3–1</t>
  </si>
  <si>
    <t xml:space="preserve">CHP-RF-Z1-06</t>
  </si>
  <si>
    <t xml:space="preserve">Roof beam RB6</t>
  </si>
  <si>
    <t xml:space="preserve">RB6</t>
  </si>
  <si>
    <t xml:space="preserve">East edge beyond Grid 1 : Row C–A</t>
  </si>
  <si>
    <t xml:space="preserve">CHP-RF-Z1-07</t>
  </si>
  <si>
    <t xml:space="preserve">Roof beam RB7</t>
  </si>
  <si>
    <t xml:space="preserve">RB7</t>
  </si>
  <si>
    <t xml:space="preserve">Grid 3, 2 &amp; 1 : Row C–A</t>
  </si>
  <si>
    <t xml:space="preserve">CHP-RF-Z1-08</t>
  </si>
  <si>
    <t xml:space="preserve">Roof beam RB8</t>
  </si>
  <si>
    <t xml:space="preserve">RB8</t>
  </si>
  <si>
    <t xml:space="preserve">Secondary beams Grid 3–1 : Row C–A</t>
  </si>
  <si>
    <t xml:space="preserve">CHP-RF-Z1-09</t>
  </si>
  <si>
    <t xml:space="preserve">Roof beam RB10/RB11</t>
  </si>
  <si>
    <t xml:space="preserve">RB10/RB11</t>
  </si>
  <si>
    <t xml:space="preserve">Secondary beams Row E–D</t>
  </si>
  <si>
    <t xml:space="preserve">CHP-RF-Z1-10</t>
  </si>
  <si>
    <t xml:space="preserve">Roof beam RB12/RB13</t>
  </si>
  <si>
    <t xml:space="preserve">RB12/RB13</t>
  </si>
  <si>
    <t xml:space="preserve">Tank support &amp; ST-2 edge beams</t>
  </si>
  <si>
    <t xml:space="preserve">300x500 / 300x600</t>
  </si>
  <si>
    <t xml:space="preserve">CHP-RF-Z1-11</t>
  </si>
  <si>
    <t xml:space="preserve">Floors / Roofs (Structural slab)</t>
  </si>
  <si>
    <t xml:space="preserve">RCC roof slab 150 thk, M30</t>
  </si>
  <si>
    <t xml:space="preserve">SLAB-RF</t>
  </si>
  <si>
    <t xml:space="preserve">Roof slab Grid 3–1 (Row E–A)</t>
  </si>
  <si>
    <t xml:space="preserve">CHP-RF-Z2-01</t>
  </si>
  <si>
    <t xml:space="preserve">CHP-RF-Z2-02</t>
  </si>
  <si>
    <t xml:space="preserve">CHP-RF-Z2-03</t>
  </si>
  <si>
    <t xml:space="preserve">Row C : Grid 5–3</t>
  </si>
  <si>
    <t xml:space="preserve">CHP-RF-Z2-04</t>
  </si>
  <si>
    <t xml:space="preserve">Row B : Grid 5–3</t>
  </si>
  <si>
    <t xml:space="preserve">CHP-RF-Z2-05</t>
  </si>
  <si>
    <t xml:space="preserve">Row A : Grid 5–3</t>
  </si>
  <si>
    <t xml:space="preserve">CHP-RF-Z2-06</t>
  </si>
  <si>
    <t xml:space="preserve">Grid 5 &amp; 4 : Row C–A</t>
  </si>
  <si>
    <t xml:space="preserve">CHP-RF-Z2-07</t>
  </si>
  <si>
    <t xml:space="preserve">Secondary beams Grid 5–3 : Row C–A</t>
  </si>
  <si>
    <t xml:space="preserve">CHP-RF-Z2-08</t>
  </si>
  <si>
    <t xml:space="preserve">Roof beam RB10</t>
  </si>
  <si>
    <t xml:space="preserve">RB10</t>
  </si>
  <si>
    <t xml:space="preserve">CHP-RF-Z2-09</t>
  </si>
  <si>
    <t xml:space="preserve">Roof slab Grid 5–3 (Row E–A)</t>
  </si>
  <si>
    <t xml:space="preserve">CHP-RF-Z3-01</t>
  </si>
  <si>
    <t xml:space="preserve">Row E Grid 5.1–5 &amp; Grid 6 : Row D–A</t>
  </si>
  <si>
    <t xml:space="preserve">CHP-RF-Z3-02</t>
  </si>
  <si>
    <t xml:space="preserve">CHP-RF-Z3-03</t>
  </si>
  <si>
    <t xml:space="preserve">CHP-RF-Z3-04</t>
  </si>
  <si>
    <t xml:space="preserve">Row B : Grid 6–5</t>
  </si>
  <si>
    <t xml:space="preserve">CHP-RF-Z3-05</t>
  </si>
  <si>
    <t xml:space="preserve">CHP-RF-Z3-06</t>
  </si>
  <si>
    <t xml:space="preserve">Secondary beams Grid 6–5 : Row C–A</t>
  </si>
  <si>
    <t xml:space="preserve">CHP-RF-Z3-07</t>
  </si>
  <si>
    <t xml:space="preserve">Roof beam RB9/RB10</t>
  </si>
  <si>
    <t xml:space="preserve">RB9/RB10</t>
  </si>
  <si>
    <t xml:space="preserve">Grid 5.1 : Row D.1–D &amp; secondaries</t>
  </si>
  <si>
    <t xml:space="preserve">300x600 / 400x600</t>
  </si>
  <si>
    <t xml:space="preserve">CHP-RF-Z3-08</t>
  </si>
  <si>
    <t xml:space="preserve">Roof beam RB14</t>
  </si>
  <si>
    <t xml:space="preserve">RB14</t>
  </si>
  <si>
    <t xml:space="preserve">Row D.1 : Grid 6–5.1 (ST-1 edge)</t>
  </si>
  <si>
    <t xml:space="preserve">CHP-RF-Z3-09</t>
  </si>
  <si>
    <t xml:space="preserve">Roof slab Grid 6–5 (Row E–A, excl. ST-1)</t>
  </si>
  <si>
    <t xml:space="preserve">CHP-COL-1-D.2-L3</t>
  </si>
  <si>
    <t xml:space="preserve">RCC column C1 – mumty</t>
  </si>
  <si>
    <t xml:space="preserve">CHP-COL-1-E-L3</t>
  </si>
  <si>
    <t xml:space="preserve">CHP-COL-2-D.2-L3</t>
  </si>
  <si>
    <t xml:space="preserve">CHP-COL-2-E-L3</t>
  </si>
  <si>
    <t xml:space="preserve">CHP-MR-ST2-RB</t>
  </si>
  <si>
    <t xml:space="preserve">Mumty roof beams ST-2</t>
  </si>
  <si>
    <t xml:space="preserve">RB15 / RB16</t>
  </si>
  <si>
    <t xml:space="preserve">300×500</t>
  </si>
  <si>
    <t xml:space="preserve">CHP-MR-ST2-SLAB</t>
  </si>
  <si>
    <t xml:space="preserve">Mumty roof slab ST-2</t>
  </si>
  <si>
    <t xml:space="preserve">SLAB 150</t>
  </si>
  <si>
    <t xml:space="preserve">CHP-COL-5.1-D.1-L3</t>
  </si>
  <si>
    <t xml:space="preserve">CHP-COL-5.1-E-L3</t>
  </si>
  <si>
    <t xml:space="preserve">CHP-COL-6-D.1-L3</t>
  </si>
  <si>
    <t xml:space="preserve">CHP-COL-6-E-L3</t>
  </si>
  <si>
    <t xml:space="preserve">CHP-MR-ST1-RB</t>
  </si>
  <si>
    <t xml:space="preserve">Mumty roof beams ST-1</t>
  </si>
  <si>
    <t xml:space="preserve">CHP-MR-ST1-SLAB</t>
  </si>
  <si>
    <t xml:space="preserve">Mumty roof slab ST-1</t>
  </si>
  <si>
    <t xml:space="preserve">CHP-GRD-PIT</t>
  </si>
  <si>
    <t xml:space="preserve">Generic Models / Structural (Pit)</t>
  </si>
  <si>
    <t xml:space="preserve">Cable pit 1500 deep with precast cover</t>
  </si>
  <si>
    <t xml:space="preserve">Cable pit</t>
  </si>
  <si>
    <t xml:space="preserve">Grid 6 / Row D–C</t>
  </si>
  <si>
    <t xml:space="preserve">CHP-GRD-T1</t>
  </si>
  <si>
    <t xml:space="preserve">Cable trench T1 – walls &amp; base, 1500 deep</t>
  </si>
  <si>
    <t xml:space="preserve">T1</t>
  </si>
  <si>
    <t xml:space="preserve">Row D–C : Grid 6→1</t>
  </si>
  <si>
    <t xml:space="preserve">1500 wide (ref. dwg)</t>
  </si>
  <si>
    <t xml:space="preserve">CHP-GRD-T2</t>
  </si>
  <si>
    <t xml:space="preserve">Cable trench T2 – walls &amp; base, 1500 deep</t>
  </si>
  <si>
    <t xml:space="preserve">CHP-GS-ED</t>
  </si>
  <si>
    <t xml:space="preserve">Grade slab 150 thk M25 on PCC &amp; boulder soling</t>
  </si>
  <si>
    <t xml:space="preserve">CHP-GS-DC</t>
  </si>
  <si>
    <t xml:space="preserve">Grade slab 150 thk M25</t>
  </si>
  <si>
    <t xml:space="preserve">CHP-F1-01</t>
  </si>
  <si>
    <t xml:space="preserve">Chiller foundation F1</t>
  </si>
  <si>
    <t xml:space="preserve">F1-01</t>
  </si>
  <si>
    <t xml:space="preserve">Bay 1–2 / Row C–B</t>
  </si>
  <si>
    <t xml:space="preserve">ref. dwg 19531-008 S9</t>
  </si>
  <si>
    <t xml:space="preserve">CHP-F1-02</t>
  </si>
  <si>
    <t xml:space="preserve">F1-02</t>
  </si>
  <si>
    <t xml:space="preserve">Bay 2–3 / Row C–B</t>
  </si>
  <si>
    <t xml:space="preserve">CHP-F1-03</t>
  </si>
  <si>
    <t xml:space="preserve">F1-03</t>
  </si>
  <si>
    <t xml:space="preserve">Bay 3–4 / Row C–B</t>
  </si>
  <si>
    <t xml:space="preserve">CHP-F1-04</t>
  </si>
  <si>
    <t xml:space="preserve">F1-04</t>
  </si>
  <si>
    <t xml:space="preserve">Bay 4–5 / Row C–B</t>
  </si>
  <si>
    <t xml:space="preserve">CHP-F1-05</t>
  </si>
  <si>
    <t xml:space="preserve">CHP-F2-01</t>
  </si>
  <si>
    <t xml:space="preserve">Pump foundation F2</t>
  </si>
  <si>
    <t xml:space="preserve">F2-01</t>
  </si>
  <si>
    <t xml:space="preserve">Bay 1–2 / Row B–A</t>
  </si>
  <si>
    <t xml:space="preserve">2170×1400 (ref. dwg)</t>
  </si>
  <si>
    <t xml:space="preserve">CHP-F2-02</t>
  </si>
  <si>
    <t xml:space="preserve">F2-02</t>
  </si>
  <si>
    <t xml:space="preserve">CHP-F2-03</t>
  </si>
  <si>
    <t xml:space="preserve">F2-03</t>
  </si>
  <si>
    <t xml:space="preserve">Bay 2–3 / Row B–A</t>
  </si>
  <si>
    <t xml:space="preserve">CHP-F2-04</t>
  </si>
  <si>
    <t xml:space="preserve">F2-04</t>
  </si>
  <si>
    <t xml:space="preserve">CHP-F2-05</t>
  </si>
  <si>
    <t xml:space="preserve">F2-05</t>
  </si>
  <si>
    <t xml:space="preserve">Bay 3–4 / Row B–A</t>
  </si>
  <si>
    <t xml:space="preserve">CHP-F2-06</t>
  </si>
  <si>
    <t xml:space="preserve">F2-06</t>
  </si>
  <si>
    <t xml:space="preserve">CHP-F2-07</t>
  </si>
  <si>
    <t xml:space="preserve">F2-07</t>
  </si>
  <si>
    <t xml:space="preserve">Bay 4–5 / Row B–A</t>
  </si>
  <si>
    <t xml:space="preserve">CHP-F2-08</t>
  </si>
  <si>
    <t xml:space="preserve">F2-08</t>
  </si>
  <si>
    <t xml:space="preserve">CHP-F2-09</t>
  </si>
  <si>
    <t xml:space="preserve">F2-09</t>
  </si>
  <si>
    <t xml:space="preserve">CHP-F2-10</t>
  </si>
  <si>
    <t xml:space="preserve">F2-10</t>
  </si>
  <si>
    <t xml:space="preserve">CHP-SLIT-01</t>
  </si>
  <si>
    <t xml:space="preserve">Cable slit 600 deep</t>
  </si>
  <si>
    <t xml:space="preserve">Slit-1</t>
  </si>
  <si>
    <t xml:space="preserve">Beside F1-01 / Row C–B</t>
  </si>
  <si>
    <t xml:space="preserve">600 deep</t>
  </si>
  <si>
    <t xml:space="preserve">CHP-SLIT-02</t>
  </si>
  <si>
    <t xml:space="preserve">Slit-2</t>
  </si>
  <si>
    <t xml:space="preserve">Beside F1-02 / Row C–B</t>
  </si>
  <si>
    <t xml:space="preserve">CHP-SLIT-03</t>
  </si>
  <si>
    <t xml:space="preserve">Slit-3</t>
  </si>
  <si>
    <t xml:space="preserve">Beside F1-03 / Row C–B</t>
  </si>
  <si>
    <t xml:space="preserve">CHP-SLIT-04</t>
  </si>
  <si>
    <t xml:space="preserve">Slit-4</t>
  </si>
  <si>
    <t xml:space="preserve">Beside F1-04 / Row C–B</t>
  </si>
  <si>
    <t xml:space="preserve">CHP-SLIT-05</t>
  </si>
  <si>
    <t xml:space="preserve">Slit-5</t>
  </si>
  <si>
    <t xml:space="preserve">Beside F1-05 / Row C–B</t>
  </si>
  <si>
    <t xml:space="preserve">CHP-GS-CB</t>
  </si>
  <si>
    <t xml:space="preserve">Grade slab 150 thk M25 – chiller room</t>
  </si>
  <si>
    <t xml:space="preserve">CHP-DRN-SURF</t>
  </si>
  <si>
    <t xml:space="preserve">Generic Models (Drain)</t>
  </si>
  <si>
    <t xml:space="preserve">Surface drain 150(W)×100 deep</t>
  </si>
  <si>
    <t xml:space="preserve">Surface drain</t>
  </si>
  <si>
    <t xml:space="preserve">Along Row A (inside)</t>
  </si>
  <si>
    <t xml:space="preserve">150×100</t>
  </si>
  <si>
    <t xml:space="preserve">CHP-GS-BA</t>
  </si>
  <si>
    <t xml:space="preserve">Grade slab 150 thk M25 – pump area</t>
  </si>
  <si>
    <t xml:space="preserve">GS-BA</t>
  </si>
  <si>
    <t xml:space="preserve">Row B–A : Grid 6–1</t>
  </si>
  <si>
    <t xml:space="preserve">CHP-PCV-ALL</t>
  </si>
  <si>
    <t xml:space="preserve">Precast RCC covers – trench, pit, drain crossings</t>
  </si>
  <si>
    <t xml:space="preserve">ref. dwg 19531-008</t>
  </si>
  <si>
    <t xml:space="preserve">CHP-DRN-PVC</t>
  </si>
  <si>
    <t xml:space="preserve">Pipes (Drain)</t>
  </si>
  <si>
    <t xml:space="preserve">100Ø PVC drain pipes to main drain</t>
  </si>
  <si>
    <t xml:space="preserve">Drain pipes</t>
  </si>
  <si>
    <t xml:space="preserve">Grid 6/A &amp; 1/A corners</t>
  </si>
  <si>
    <t xml:space="preserve">Below FGL</t>
  </si>
  <si>
    <t xml:space="preserve">100 Ø</t>
  </si>
  <si>
    <t xml:space="preserve">CHP-PP-ALL</t>
  </si>
  <si>
    <t xml:space="preserve">Generic Models / Floors (Plinth protection)</t>
  </si>
  <si>
    <t xml:space="preserve">Plinth protection &amp; garland drain</t>
  </si>
  <si>
    <t xml:space="preserve">Plinth protection</t>
  </si>
  <si>
    <t xml:space="preserve">All round building</t>
  </si>
  <si>
    <t xml:space="preserve">FGL EL(-)0.500</t>
  </si>
  <si>
    <t xml:space="preserve">ref. dwg 19531-007</t>
  </si>
  <si>
    <t xml:space="preserve">CHP-EQ-CH-01</t>
  </si>
  <si>
    <t xml:space="preserve">Centrifugal chiller (vendor model)</t>
  </si>
  <si>
    <t xml:space="preserve">Vendor GA</t>
  </si>
  <si>
    <t xml:space="preserve">Tag numbering assumed from Grid 1 – verify with equipment layout</t>
  </si>
  <si>
    <t xml:space="preserve">CHP-EQ-CH-02</t>
  </si>
  <si>
    <t xml:space="preserve">CHP-EQ-CH-03</t>
  </si>
  <si>
    <t xml:space="preserve">CHP-EQ-CH-04</t>
  </si>
  <si>
    <t xml:space="preserve">CHP-EQ-CH-05</t>
  </si>
  <si>
    <t xml:space="preserve">CHP-EQ-HOIST-MR1</t>
  </si>
  <si>
    <t xml:space="preserve">2T chain pulley block</t>
  </si>
  <si>
    <t xml:space="preserve">CPB on MR-1</t>
  </si>
  <si>
    <t xml:space="preserve">MR-1</t>
  </si>
  <si>
    <t xml:space="preserve">B.O.MR +8.100</t>
  </si>
  <si>
    <t xml:space="preserve">2 T</t>
  </si>
  <si>
    <t xml:space="preserve">CHP-EQ-HOIST-MR2</t>
  </si>
  <si>
    <t xml:space="preserve">10T electric hoist</t>
  </si>
  <si>
    <t xml:space="preserve">EH on MR-2</t>
  </si>
  <si>
    <t xml:space="preserve">MR-2</t>
  </si>
  <si>
    <t xml:space="preserve">B.O.MR +7.900</t>
  </si>
  <si>
    <t xml:space="preserve">10 T</t>
  </si>
  <si>
    <t xml:space="preserve">CHP-EQ-P-01</t>
  </si>
  <si>
    <t xml:space="preserve">Pump with motor (vendor model)</t>
  </si>
  <si>
    <t xml:space="preserve">P-01</t>
  </si>
  <si>
    <t xml:space="preserve">On F2-01 (Bay 1–2, Row B–A)</t>
  </si>
  <si>
    <t xml:space="preserve">CHP-EQ-P-02</t>
  </si>
  <si>
    <t xml:space="preserve">P-02</t>
  </si>
  <si>
    <t xml:space="preserve">On F2-02 (Bay 1–2, Row B–A)</t>
  </si>
  <si>
    <t xml:space="preserve">CHP-EQ-P-03</t>
  </si>
  <si>
    <t xml:space="preserve">P-03</t>
  </si>
  <si>
    <t xml:space="preserve">On F2-03 (Bay 2–3, Row B–A)</t>
  </si>
  <si>
    <t xml:space="preserve">CHP-EQ-P-04</t>
  </si>
  <si>
    <t xml:space="preserve">P-04</t>
  </si>
  <si>
    <t xml:space="preserve">On F2-04 (Bay 2–3, Row B–A)</t>
  </si>
  <si>
    <t xml:space="preserve">CHP-EQ-P-05</t>
  </si>
  <si>
    <t xml:space="preserve">P-05</t>
  </si>
  <si>
    <t xml:space="preserve">On F2-05 (Bay 3–4, Row B–A)</t>
  </si>
  <si>
    <t xml:space="preserve">CHP-EQ-P-06</t>
  </si>
  <si>
    <t xml:space="preserve">P-06</t>
  </si>
  <si>
    <t xml:space="preserve">On F2-06 (Bay 3–4, Row B–A)</t>
  </si>
  <si>
    <t xml:space="preserve">CHP-EQ-P-07</t>
  </si>
  <si>
    <t xml:space="preserve">P-07</t>
  </si>
  <si>
    <t xml:space="preserve">On F2-07 (Bay 4–5, Row B–A)</t>
  </si>
  <si>
    <t xml:space="preserve">CHP-EQ-P-08</t>
  </si>
  <si>
    <t xml:space="preserve">P-08</t>
  </si>
  <si>
    <t xml:space="preserve">On F2-08 (Bay 4–5, Row B–A)</t>
  </si>
  <si>
    <t xml:space="preserve">CHP-EQ-P-09</t>
  </si>
  <si>
    <t xml:space="preserve">P-09</t>
  </si>
  <si>
    <t xml:space="preserve">On F2-09 (Bay 5–6, Row B–A)</t>
  </si>
  <si>
    <t xml:space="preserve">CHP-EQ-P-10</t>
  </si>
  <si>
    <t xml:space="preserve">P-10</t>
  </si>
  <si>
    <t xml:space="preserve">On F2-10 (Bay 5–6, Row B–A)</t>
  </si>
  <si>
    <t xml:space="preserve">CHP-GRP-EQP-100</t>
  </si>
  <si>
    <t xml:space="preserve">CHP-GRP-PIP-010</t>
  </si>
  <si>
    <t xml:space="preserve">CHP-GRP-PIP-020</t>
  </si>
  <si>
    <t xml:space="preserve">CHP-GRP-PIP-030</t>
  </si>
  <si>
    <t xml:space="preserve">CHP-GRP-PIP-040</t>
  </si>
  <si>
    <t xml:space="preserve">CHP-GRP-PIP-050</t>
  </si>
  <si>
    <t xml:space="preserve">CHP-GRP-ELE-010</t>
  </si>
  <si>
    <t xml:space="preserve">CHP-GRP-ELE-020</t>
  </si>
  <si>
    <t xml:space="preserve">CHP-GRP-ELE-030</t>
  </si>
  <si>
    <t xml:space="preserve">CHP-GRP-ELE-040</t>
  </si>
  <si>
    <t xml:space="preserve">CHP-GRP-ELE-050</t>
  </si>
  <si>
    <t xml:space="preserve">CHP-GRP-ELE-060</t>
  </si>
  <si>
    <t xml:space="preserve">CHP-GRP-INS-010</t>
  </si>
  <si>
    <t xml:space="preserve">CHP-GRP-INS-020</t>
  </si>
  <si>
    <t xml:space="preserve">CHP-GRP-ARC-010</t>
  </si>
  <si>
    <t xml:space="preserve">CHP-GRP-ARC-020</t>
  </si>
  <si>
    <t xml:space="preserve">CHP-GRP-ARC-030</t>
  </si>
  <si>
    <t xml:space="preserve">CHP-GRP-ARC-040</t>
  </si>
  <si>
    <t xml:space="preserve">CHP-GRP-ARC-050</t>
  </si>
  <si>
    <t xml:space="preserve">CHP-GRP-ARC-060</t>
  </si>
  <si>
    <t xml:space="preserve">CHP-GRP-ARC-070</t>
  </si>
  <si>
    <t xml:space="preserve">CHP-GRP-ARC-080</t>
  </si>
  <si>
    <t xml:space="preserve">CHP-GRP-ARC-090</t>
  </si>
  <si>
    <t xml:space="preserve">CHP-GRP-ARC-100</t>
  </si>
  <si>
    <t xml:space="preserve">CHP-GRP-ARC-110</t>
  </si>
  <si>
    <t xml:space="preserve">CHP-GRP-ARC-120</t>
  </si>
  <si>
    <t xml:space="preserve">CHP-STL-MR1</t>
  </si>
  <si>
    <t xml:space="preserve">Monorail NPB 300×150×49.32</t>
  </si>
  <si>
    <t xml:space="preserve">2250 N of Row A, Grid 6 → beyond Grid 1</t>
  </si>
  <si>
    <t xml:space="preserve">B.O.MR EL(+)8.100</t>
  </si>
  <si>
    <t xml:space="preserve">NPB 300×150</t>
  </si>
  <si>
    <t xml:space="preserve">CHP-STL-MR2</t>
  </si>
  <si>
    <t xml:space="preserve">Monorail NPB 500×200×90.7 + bottom flange plate</t>
  </si>
  <si>
    <t xml:space="preserve">3500 N of Row B, Grid 6 → beyond Grid 1</t>
  </si>
  <si>
    <t xml:space="preserve">B.O.MR EL(+)7.900</t>
  </si>
  <si>
    <t xml:space="preserve">NPB 500×200</t>
  </si>
  <si>
    <t xml:space="preserve">CHP-GRP-STL-020</t>
  </si>
  <si>
    <t xml:space="preserve">Display ID</t>
  </si>
  <si>
    <t xml:space="preserve">Task Name</t>
  </si>
  <si>
    <t xml:space="preserve">Task Type</t>
  </si>
  <si>
    <t xml:space="preserve">Planned Start</t>
  </si>
  <si>
    <t xml:space="preserve">Planned End</t>
  </si>
  <si>
    <t xml:space="preserve">Actual End</t>
  </si>
  <si>
    <t xml:space="preserve">Baseline Start</t>
  </si>
  <si>
    <t xml:space="preserve">Baseline End</t>
  </si>
  <si>
    <t xml:space="preserve">Selection Set</t>
  </si>
  <si>
    <t xml:space="preserve">Parent (P6 Group)</t>
  </si>
  <si>
    <t xml:space="preserve">Level</t>
  </si>
  <si>
    <t xml:space="preserve">GANTT – current schedule (weekly)  |  green = completed, orange = in progress (dark = done to Data Date), blue = not started, red = milestone, pink column = Data Date week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</si>
  <si>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</si>
  <si>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</si>
  <si>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</si>
  <si>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</si>
  <si>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</si>
  <si>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</si>
  <si>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</si>
  <si>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</si>
  <si>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</si>
  <si>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</si>
  <si>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</si>
  <si>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</si>
  <si>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</si>
  <si>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</si>
  <si>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</si>
  <si>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</si>
  <si>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</si>
  <si>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</si>
  <si>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</si>
  <si>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</si>
  <si>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Activity ID</t>
  </si>
  <si>
    <t xml:space="preserve">Type</t>
  </si>
  <si>
    <t xml:space="preserve">Start</t>
  </si>
  <si>
    <t xml:space="preserve">Finish</t>
  </si>
  <si>
    <t xml:space="preserve">%</t>
  </si>
  <si>
    <t xml:space="preserve">WBS</t>
  </si>
  <si>
    <t xml:space="preserve">GRP</t>
  </si>
  <si>
    <t xml:space="preserve">MS</t>
  </si>
  <si>
    <t xml:space="preserve">Task</t>
  </si>
  <si>
    <t xml:space="preserve">P6 ROLL-UP &amp; PROGRESS CHECK – detailed 4D schedule vs P6 (Chiller Plant)</t>
  </si>
  <si>
    <t xml:space="preserve">Every P6 activity is a GROUP in the 4D Schedule. Group dates are live roll-ups of the detailed activities sequenced inside it; at the Data Date they are identical to P6 for baseline, current and actual dates (column AB).</t>
  </si>
  <si>
    <t xml:space="preserve">P6 ACTIVITY</t>
  </si>
  <si>
    <t xml:space="preserve">P6 DATES (XER, DD 02-Oct-26)</t>
  </si>
  <si>
    <t xml:space="preserve">GROUP IN 4D SCHEDULE (live roll-up of detailed activities)</t>
  </si>
  <si>
    <t xml:space="preserve">CHECK</t>
  </si>
  <si>
    <t xml:space="preserve">P6 Activity ID (= Group)</t>
  </si>
  <si>
    <t xml:space="preserve">Phase</t>
  </si>
  <si>
    <t xml:space="preserve">P6 Status</t>
  </si>
  <si>
    <t xml:space="preserve">P6 OD</t>
  </si>
  <si>
    <t xml:space="preserve">P6 RD</t>
  </si>
  <si>
    <t xml:space="preserve">P6 %</t>
  </si>
  <si>
    <t xml:space="preserve">P6 BL Start</t>
  </si>
  <si>
    <t xml:space="preserve">P6 BL Finish</t>
  </si>
  <si>
    <t xml:space="preserve">P6 Start</t>
  </si>
  <si>
    <t xml:space="preserve">P6 Finish</t>
  </si>
  <si>
    <t xml:space="preserve">P6 Actual Start</t>
  </si>
  <si>
    <t xml:space="preserve">P6 Actual Finish</t>
  </si>
  <si>
    <t xml:space="preserve">P6 TF (d)</t>
  </si>
  <si>
    <t xml:space="preserve">No. of detailed activities</t>
  </si>
  <si>
    <t xml:space="preserve">No. completed</t>
  </si>
  <si>
    <t xml:space="preserve">Group BL Start</t>
  </si>
  <si>
    <t xml:space="preserve">Group BL Finish</t>
  </si>
  <si>
    <t xml:space="preserve">Group Start</t>
  </si>
  <si>
    <t xml:space="preserve">Group Finish</t>
  </si>
  <si>
    <t xml:space="preserve">Group Actual Start</t>
  </si>
  <si>
    <t xml:space="preserve">Group Actual Finish</t>
  </si>
  <si>
    <t xml:space="preserve">Group % (qty / dur weighted)</t>
  </si>
  <si>
    <t xml:space="preserve">Δ BL Start (wd)</t>
  </si>
  <si>
    <t xml:space="preserve">Δ BL Finish (wd)</t>
  </si>
  <si>
    <t xml:space="preserve">Δ Start (wd)</t>
  </si>
  <si>
    <t xml:space="preserve">Δ Finish (wd)</t>
  </si>
  <si>
    <t xml:space="preserve">Check (BL, current &amp; actual)</t>
  </si>
  <si>
    <t xml:space="preserve">Completed</t>
  </si>
  <si>
    <t xml:space="preserve">Not Started</t>
  </si>
  <si>
    <t xml:space="preserve">In Progress</t>
  </si>
  <si>
    <t xml:space="preserve">Construction</t>
  </si>
  <si>
    <t xml:space="preserve">Note: P6 BE-CHI-1000 is a finish milestone – P6 exports its BL start as the next day (21-Jan-26); for milestones only the BL finish is compared. Δ = working days (+ = group later than P6). After site updates a Δ means the P6 activity must be updated with the new dates.</t>
  </si>
  <si>
    <t xml:space="preserve">PROGRESS SUMMARY @ DATA DATE</t>
  </si>
  <si>
    <t xml:space="preserve">Data Date</t>
  </si>
  <si>
    <t xml:space="preserve">P6 groups (Lvl 3) / detailed activities (Lvl 4)</t>
  </si>
  <si>
    <t xml:space="preserve">  Detailed – Completed</t>
  </si>
  <si>
    <t xml:space="preserve">  Detailed – In Progress</t>
  </si>
  <si>
    <t xml:space="preserve">  Detailed – Not Started</t>
  </si>
  <si>
    <t xml:space="preserve">BIM elements in register</t>
  </si>
  <si>
    <t xml:space="preserve">  Elements completed (shown as built in 4D)</t>
  </si>
  <si>
    <t xml:space="preserve">  Elements in progress</t>
  </si>
  <si>
    <t xml:space="preserve">  Elements not started</t>
  </si>
  <si>
    <t xml:space="preserve">Civil (JSW USL-CON-CHI-1020) – RCC scope in 4D schedule (m³)</t>
  </si>
  <si>
    <t xml:space="preserve">Civil – RCC done (m³)</t>
  </si>
  <si>
    <t xml:space="preserve">Civil – progress by RCC quantity (4D schedule)</t>
  </si>
  <si>
    <t xml:space="preserve">Civil – progress reported in P6</t>
  </si>
  <si>
    <t xml:space="preserve">Civil – forecast completion (4D group finish)</t>
  </si>
  <si>
    <t xml:space="preserve">Note: RCC quantities are the "Approx. Concrete Qty" boxes of each drawing (001: 189, 002: 47.5, 003: 82, 004: 255, 005: 46, 007/008: 552 m³), split to activities by element proportion. Lintels (006: 15 m³) are reported under ADDITIONAL SCOPE – NOT IN P6.</t>
  </si>
  <si>
    <t xml:space="preserve">BIM ELEMENTS BY CATEGORY &amp; STATUS @ DATA DATE (what the 4D model shows as built)</t>
  </si>
  <si>
    <t xml:space="preserve">Element group</t>
  </si>
  <si>
    <t xml:space="preserve">Total</t>
  </si>
  <si>
    <t xml:space="preserve">% built</t>
  </si>
  <si>
    <t xml:space="preserve">Piles</t>
  </si>
  <si>
    <t xml:space="preserve">Pile caps</t>
  </si>
  <si>
    <t xml:space="preserve">Columns (segments)</t>
  </si>
  <si>
    <t xml:space="preserve">Beams (PCB / PB / FB / RB / TB / STB)</t>
  </si>
  <si>
    <t xml:space="preserve">Slabs, landings &amp; grade slabs</t>
  </si>
  <si>
    <t xml:space="preserve">Staircase flights</t>
  </si>
  <si>
    <t xml:space="preserve">Equipment foundations F1 / F2</t>
  </si>
  <si>
    <t xml:space="preserve">Trenches, pits, drains, covers</t>
  </si>
  <si>
    <t xml:space="preserve">Mechanical equipment, hoists &amp; instruments</t>
  </si>
  <si>
    <t xml:space="preserve">Steel monorails</t>
  </si>
  <si>
    <t xml:space="preserve">PROJECT CALENDAR – JSW USL Calender (from P6 XER)</t>
  </si>
  <si>
    <t xml:space="preserve">Work week Mon–Sat (Sunday off), 10 h/day (08:00–13:00, 14:00–19:00). Holidays as defined in the XER calendar.</t>
  </si>
  <si>
    <t xml:space="preserve">Column A (named range WorkDays) drives every date formula. To add a holiday: delete that date from column A (keep the list sorted).</t>
  </si>
  <si>
    <t xml:space="preserve">Working days (WorkDays)</t>
  </si>
  <si>
    <t xml:space="preserve">Holiday</t>
  </si>
  <si>
    <t xml:space="preserve">Day</t>
  </si>
  <si>
    <t xml:space="preserve">Thu</t>
  </si>
  <si>
    <t xml:space="preserve">Mon</t>
  </si>
  <si>
    <t xml:space="preserve">Wed</t>
  </si>
  <si>
    <t xml:space="preserve">Sat</t>
  </si>
  <si>
    <t xml:space="preserve">Fri</t>
  </si>
  <si>
    <t xml:space="preserve">Tue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</si>
</sst>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dd\-mmm\-yyyy"/>
    <numFmt numFmtId="166" formatCode="0.0"/>
    <numFmt numFmtId="167" formatCode="dd\-mmm\-yy"/>
    <numFmt numFmtId="168" formatCode="0%"/>
    <numFmt numFmtId="169" formatCode="General"/>
    <numFmt numFmtId="170" formatCode="dd\-mm\-yyyy"/>
    <numFmt numFmtId="171" formatCode="dd"/>
    <numFmt numFmtId="172" formatCode="@"/>
    <numFmt numFmtId="173" formatCode="0"/>
    <numFmt numFmtId="174" formatCode="0.0%"/>
    <numFmt numFmtId="175" formatCode="ddd\ dd\-mmm\-yy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7"/>
      <name val="Arial"/>
      <family val="0"/>
      <charset val="1"/>
    </font>
    <font>
      <sz val="7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E7E6E6"/>
        <bgColor rgb="FFE2EFDA"/>
      </patternFill>
    </fill>
    <fill>
      <patternFill patternType="solid">
        <fgColor rgb="FFB4C6E7"/>
        <bgColor rgb="FFBFBFBF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8CBAD"/>
      </patternFill>
    </fill>
    <fill>
      <patternFill patternType="solid">
        <fgColor rgb="FF1F3864"/>
        <bgColor rgb="FF333399"/>
      </patternFill>
    </fill>
    <fill>
      <patternFill patternType="solid">
        <fgColor rgb="FFE2EFDA"/>
        <bgColor rgb="FFE7E6E6"/>
      </patternFill>
    </fill>
    <fill>
      <patternFill patternType="solid">
        <fgColor rgb="FFDDEBF7"/>
        <bgColor rgb="FFD9E1F2"/>
      </patternFill>
    </fill>
    <fill>
      <patternFill patternType="solid">
        <fgColor rgb="FFD9E1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1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5" fillId="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5" fillId="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5" fillId="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5" fillId="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1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1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1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B4C6E7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00703C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name val="Arial"/>
        <charset val="1"/>
        <family val="0"/>
        <b val="1"/>
        <color rgb="FF006100"/>
        <sz val="9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  <sz val="9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C00000"/>
        <sz val="9"/>
      </font>
    </dxf>
    <dxf>
      <font>
        <name val="Arial"/>
        <charset val="1"/>
        <family val="0"/>
        <color rgb="FF00703C"/>
        <sz val="9"/>
      </font>
    </dxf>
    <dxf>
      <fill>
        <patternFill>
          <bgColor rgb="FF404040"/>
        </patternFill>
      </fill>
    </dxf>
    <dxf>
      <fill>
        <patternFill>
          <bgColor rgb="FF8497B0"/>
        </patternFill>
      </fill>
    </dxf>
    <dxf>
      <fill>
        <patternFill>
          <bgColor rgb="FFC00000"/>
        </patternFill>
      </fill>
    </dxf>
    <dxf>
      <fill>
        <patternFill>
          <bgColor rgb="FF70AD47"/>
        </patternFill>
      </fill>
    </dxf>
    <dxf>
      <fill>
        <patternFill>
          <bgColor rgb="FFC55A11"/>
        </patternFill>
      </fill>
    </dxf>
    <dxf>
      <fill>
        <patternFill>
          <bgColor rgb="FFF4B183"/>
        </patternFill>
      </fill>
    </dxf>
    <dxf>
      <fill>
        <patternFill>
          <bgColor rgb="FF5B9BD5"/>
        </patternFill>
      </fill>
    </dxf>
    <dxf>
      <fill>
        <patternFill>
          <bgColor rgb="FFF8CBAD"/>
        </patternFill>
      </fill>
    </dxf>
    <dxf>
      <font>
        <name val="Arial"/>
        <charset val="1"/>
        <family val="0"/>
        <b val="1"/>
        <color rgb="FFC00000"/>
        <sz val="9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E7E6E6"/>
      <rgbColor rgb="FFFF00FF"/>
      <rgbColor rgb="FF00FFFF"/>
      <rgbColor rgb="FF9C0006"/>
      <rgbColor rgb="FF00703C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2CC"/>
      <rgbColor rgb="FFDDEBF7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9E1F2"/>
      <rgbColor rgb="FFF4B183"/>
      <rgbColor rgb="FFFFC7CE"/>
      <rgbColor rgb="FFF8CBAD"/>
      <rgbColor rgb="FF3366FF"/>
      <rgbColor rgb="FF33CCCC"/>
      <rgbColor rgb="FF99CC00"/>
      <rgbColor rgb="FFFCE4D6"/>
      <rgbColor rgb="FFFF9900"/>
      <rgbColor rgb="FFC55A11"/>
      <rgbColor rgb="FF666699"/>
      <rgbColor rgb="FF8497B0"/>
      <rgbColor rgb="FF1F3864"/>
      <rgbColor rgb="FF70AD47"/>
      <rgbColor rgb="FF006100"/>
      <rgbColor rgb="FF333300"/>
      <rgbColor rgb="FF9C57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7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10" min="4" style="0" width="13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2</v>
      </c>
    </row>
    <row r="5" customFormat="false" ht="15" hidden="false" customHeight="false" outlineLevel="0" collapsed="false">
      <c r="B5" s="2" t="s">
        <v>3</v>
      </c>
    </row>
    <row r="6" customFormat="false" ht="15" hidden="false" customHeight="false" outlineLevel="0" collapsed="false">
      <c r="B6" s="4" t="s">
        <v>4</v>
      </c>
      <c r="C6" s="3" t="s">
        <v>5</v>
      </c>
    </row>
    <row r="7" customFormat="false" ht="15" hidden="false" customHeight="false" outlineLevel="0" collapsed="false">
      <c r="B7" s="4" t="s">
        <v>6</v>
      </c>
      <c r="C7" s="5" t="n">
        <v>46297</v>
      </c>
      <c r="D7" s="6" t="s">
        <v>7</v>
      </c>
    </row>
    <row r="8" customFormat="false" ht="15" hidden="false" customHeight="false" outlineLevel="0" collapsed="false">
      <c r="B8" s="4" t="s">
        <v>8</v>
      </c>
      <c r="C8" s="7" t="n">
        <f aca="false">INDEX(WorkDays,MATCH(DataDate,WorkDays,1)+1)</f>
        <v>46298</v>
      </c>
    </row>
    <row r="9" customFormat="false" ht="15" hidden="false" customHeight="false" outlineLevel="0" collapsed="false">
      <c r="B9" s="4" t="s">
        <v>9</v>
      </c>
      <c r="C9" s="3" t="s">
        <v>10</v>
      </c>
    </row>
    <row r="11" customFormat="false" ht="15" hidden="false" customHeight="false" outlineLevel="0" collapsed="false">
      <c r="B11" s="2" t="s">
        <v>11</v>
      </c>
    </row>
    <row r="12" customFormat="false" ht="25.5" hidden="false" customHeight="true" outlineLevel="0" collapsed="false">
      <c r="B12" s="4" t="s">
        <v>12</v>
      </c>
      <c r="C12" s="8" t="s">
        <v>13</v>
      </c>
      <c r="D12" s="8"/>
      <c r="E12" s="8"/>
      <c r="F12" s="8"/>
      <c r="G12" s="8"/>
      <c r="H12" s="8"/>
      <c r="I12" s="8"/>
      <c r="J12" s="8"/>
    </row>
    <row r="13" customFormat="false" ht="25.5" hidden="false" customHeight="true" outlineLevel="0" collapsed="false">
      <c r="B13" s="4" t="s">
        <v>14</v>
      </c>
      <c r="C13" s="8" t="s">
        <v>15</v>
      </c>
      <c r="D13" s="8"/>
      <c r="E13" s="8"/>
      <c r="F13" s="8"/>
      <c r="G13" s="8"/>
      <c r="H13" s="8"/>
      <c r="I13" s="8"/>
      <c r="J13" s="8"/>
    </row>
    <row r="14" customFormat="false" ht="25.5" hidden="false" customHeight="true" outlineLevel="0" collapsed="false">
      <c r="B14" s="4" t="s">
        <v>16</v>
      </c>
      <c r="C14" s="8" t="s">
        <v>17</v>
      </c>
      <c r="D14" s="8"/>
      <c r="E14" s="8"/>
      <c r="F14" s="8"/>
      <c r="G14" s="8"/>
      <c r="H14" s="8"/>
      <c r="I14" s="8"/>
      <c r="J14" s="8"/>
    </row>
    <row r="15" customFormat="false" ht="25.5" hidden="false" customHeight="true" outlineLevel="0" collapsed="false">
      <c r="B15" s="4" t="s">
        <v>18</v>
      </c>
      <c r="C15" s="8" t="s">
        <v>19</v>
      </c>
      <c r="D15" s="8"/>
      <c r="E15" s="8"/>
      <c r="F15" s="8"/>
      <c r="G15" s="8"/>
      <c r="H15" s="8"/>
      <c r="I15" s="8"/>
      <c r="J15" s="8"/>
    </row>
    <row r="16" customFormat="false" ht="25.5" hidden="false" customHeight="true" outlineLevel="0" collapsed="false">
      <c r="B16" s="4" t="s">
        <v>20</v>
      </c>
      <c r="C16" s="8" t="s">
        <v>21</v>
      </c>
      <c r="D16" s="8"/>
      <c r="E16" s="8"/>
      <c r="F16" s="8"/>
      <c r="G16" s="8"/>
      <c r="H16" s="8"/>
      <c r="I16" s="8"/>
      <c r="J16" s="8"/>
    </row>
    <row r="17" customFormat="false" ht="25.5" hidden="false" customHeight="true" outlineLevel="0" collapsed="false">
      <c r="B17" s="4" t="s">
        <v>9</v>
      </c>
      <c r="C17" s="8" t="s">
        <v>22</v>
      </c>
      <c r="D17" s="8"/>
      <c r="E17" s="8"/>
      <c r="F17" s="8"/>
      <c r="G17" s="8"/>
      <c r="H17" s="8"/>
      <c r="I17" s="8"/>
      <c r="J17" s="8"/>
    </row>
    <row r="19" customFormat="false" ht="15" hidden="false" customHeight="false" outlineLevel="0" collapsed="false">
      <c r="B19" s="2" t="s">
        <v>23</v>
      </c>
    </row>
    <row r="20" customFormat="false" ht="13.5" hidden="false" customHeight="true" outlineLevel="0" collapsed="false">
      <c r="B20" s="8" t="s">
        <v>24</v>
      </c>
      <c r="C20" s="8"/>
      <c r="D20" s="8"/>
      <c r="E20" s="8"/>
      <c r="F20" s="8"/>
      <c r="G20" s="8"/>
      <c r="H20" s="8"/>
      <c r="I20" s="8"/>
      <c r="J20" s="8"/>
    </row>
    <row r="21" customFormat="false" ht="25.5" hidden="false" customHeight="true" outlineLevel="0" collapsed="false">
      <c r="B21" s="8" t="s">
        <v>25</v>
      </c>
      <c r="C21" s="8"/>
      <c r="D21" s="8"/>
      <c r="E21" s="8"/>
      <c r="F21" s="8"/>
      <c r="G21" s="8"/>
      <c r="H21" s="8"/>
      <c r="I21" s="8"/>
      <c r="J21" s="8"/>
    </row>
    <row r="22" customFormat="false" ht="25.5" hidden="false" customHeight="true" outlineLevel="0" collapsed="false">
      <c r="B22" s="8" t="s">
        <v>26</v>
      </c>
      <c r="C22" s="8"/>
      <c r="D22" s="8"/>
      <c r="E22" s="8"/>
      <c r="F22" s="8"/>
      <c r="G22" s="8"/>
      <c r="H22" s="8"/>
      <c r="I22" s="8"/>
      <c r="J22" s="8"/>
    </row>
    <row r="23" customFormat="false" ht="25.5" hidden="false" customHeight="true" outlineLevel="0" collapsed="false">
      <c r="B23" s="8" t="s">
        <v>27</v>
      </c>
      <c r="C23" s="8"/>
      <c r="D23" s="8"/>
      <c r="E23" s="8"/>
      <c r="F23" s="8"/>
      <c r="G23" s="8"/>
      <c r="H23" s="8"/>
      <c r="I23" s="8"/>
      <c r="J23" s="8"/>
    </row>
    <row r="24" customFormat="false" ht="25.5" hidden="false" customHeight="true" outlineLevel="0" collapsed="false">
      <c r="B24" s="8" t="s">
        <v>28</v>
      </c>
      <c r="C24" s="8"/>
      <c r="D24" s="8"/>
      <c r="E24" s="8"/>
      <c r="F24" s="8"/>
      <c r="G24" s="8"/>
      <c r="H24" s="8"/>
      <c r="I24" s="8"/>
      <c r="J24" s="8"/>
    </row>
    <row r="26" customFormat="false" ht="15" hidden="false" customHeight="false" outlineLevel="0" collapsed="false">
      <c r="B26" s="2" t="s">
        <v>29</v>
      </c>
    </row>
    <row r="27" customFormat="false" ht="37.5" hidden="false" customHeight="true" outlineLevel="0" collapsed="false">
      <c r="B27" s="8" t="s">
        <v>30</v>
      </c>
      <c r="C27" s="8"/>
      <c r="D27" s="8"/>
      <c r="E27" s="8"/>
      <c r="F27" s="8"/>
      <c r="G27" s="8"/>
      <c r="H27" s="8"/>
      <c r="I27" s="8"/>
      <c r="J27" s="8"/>
    </row>
    <row r="28" customFormat="false" ht="25.5" hidden="false" customHeight="true" outlineLevel="0" collapsed="false">
      <c r="B28" s="8" t="s">
        <v>31</v>
      </c>
      <c r="C28" s="8"/>
      <c r="D28" s="8"/>
      <c r="E28" s="8"/>
      <c r="F28" s="8"/>
      <c r="G28" s="8"/>
      <c r="H28" s="8"/>
      <c r="I28" s="8"/>
      <c r="J28" s="8"/>
    </row>
    <row r="29" customFormat="false" ht="37.5" hidden="false" customHeight="true" outlineLevel="0" collapsed="false">
      <c r="B29" s="8" t="s">
        <v>32</v>
      </c>
      <c r="C29" s="8"/>
      <c r="D29" s="8"/>
      <c r="E29" s="8"/>
      <c r="F29" s="8"/>
      <c r="G29" s="8"/>
      <c r="H29" s="8"/>
      <c r="I29" s="8"/>
      <c r="J29" s="8"/>
    </row>
    <row r="30" customFormat="false" ht="37.5" hidden="false" customHeight="true" outlineLevel="0" collapsed="false">
      <c r="B30" s="8" t="s">
        <v>33</v>
      </c>
      <c r="C30" s="8"/>
      <c r="D30" s="8"/>
      <c r="E30" s="8"/>
      <c r="F30" s="8"/>
      <c r="G30" s="8"/>
      <c r="H30" s="8"/>
      <c r="I30" s="8"/>
      <c r="J30" s="8"/>
    </row>
    <row r="31" customFormat="false" ht="25.5" hidden="false" customHeight="true" outlineLevel="0" collapsed="false">
      <c r="B31" s="8" t="s">
        <v>34</v>
      </c>
      <c r="C31" s="8"/>
      <c r="D31" s="8"/>
      <c r="E31" s="8"/>
      <c r="F31" s="8"/>
      <c r="G31" s="8"/>
      <c r="H31" s="8"/>
      <c r="I31" s="8"/>
      <c r="J31" s="8"/>
    </row>
    <row r="33" customFormat="false" ht="15" hidden="false" customHeight="false" outlineLevel="0" collapsed="false">
      <c r="B33" s="9" t="s">
        <v>35</v>
      </c>
    </row>
    <row r="34" customFormat="false" ht="49.5" hidden="false" customHeight="true" outlineLevel="0" collapsed="false">
      <c r="B34" s="8" t="s">
        <v>36</v>
      </c>
      <c r="C34" s="8"/>
      <c r="D34" s="8"/>
      <c r="E34" s="8"/>
      <c r="F34" s="8"/>
      <c r="G34" s="8"/>
      <c r="H34" s="8"/>
      <c r="I34" s="8"/>
      <c r="J34" s="8"/>
    </row>
    <row r="35" customFormat="false" ht="49.5" hidden="false" customHeight="true" outlineLevel="0" collapsed="false">
      <c r="B35" s="8" t="s">
        <v>37</v>
      </c>
      <c r="C35" s="8"/>
      <c r="D35" s="8"/>
      <c r="E35" s="8"/>
      <c r="F35" s="8"/>
      <c r="G35" s="8"/>
      <c r="H35" s="8"/>
      <c r="I35" s="8"/>
      <c r="J35" s="8"/>
    </row>
    <row r="36" customFormat="false" ht="25.5" hidden="false" customHeight="true" outlineLevel="0" collapsed="false">
      <c r="B36" s="8" t="s">
        <v>38</v>
      </c>
      <c r="C36" s="8"/>
      <c r="D36" s="8"/>
      <c r="E36" s="8"/>
      <c r="F36" s="8"/>
      <c r="G36" s="8"/>
      <c r="H36" s="8"/>
      <c r="I36" s="8"/>
      <c r="J36" s="8"/>
    </row>
    <row r="37" customFormat="false" ht="25.5" hidden="false" customHeight="true" outlineLevel="0" collapsed="false">
      <c r="B37" s="8" t="s">
        <v>39</v>
      </c>
      <c r="C37" s="8"/>
      <c r="D37" s="8"/>
      <c r="E37" s="8"/>
      <c r="F37" s="8"/>
      <c r="G37" s="8"/>
      <c r="H37" s="8"/>
      <c r="I37" s="8"/>
      <c r="J37" s="8"/>
    </row>
    <row r="38" customFormat="false" ht="37.5" hidden="false" customHeight="true" outlineLevel="0" collapsed="false">
      <c r="B38" s="8" t="s">
        <v>40</v>
      </c>
      <c r="C38" s="8"/>
      <c r="D38" s="8"/>
      <c r="E38" s="8"/>
      <c r="F38" s="8"/>
      <c r="G38" s="8"/>
      <c r="H38" s="8"/>
      <c r="I38" s="8"/>
      <c r="J38" s="8"/>
    </row>
    <row r="39" customFormat="false" ht="25.5" hidden="false" customHeight="true" outlineLevel="0" collapsed="false">
      <c r="B39" s="8" t="s">
        <v>41</v>
      </c>
      <c r="C39" s="8"/>
      <c r="D39" s="8"/>
      <c r="E39" s="8"/>
      <c r="F39" s="8"/>
      <c r="G39" s="8"/>
      <c r="H39" s="8"/>
      <c r="I39" s="8"/>
      <c r="J39" s="8"/>
    </row>
    <row r="40" customFormat="false" ht="25.5" hidden="false" customHeight="true" outlineLevel="0" collapsed="false">
      <c r="B40" s="8" t="s">
        <v>42</v>
      </c>
      <c r="C40" s="8"/>
      <c r="D40" s="8"/>
      <c r="E40" s="8"/>
      <c r="F40" s="8"/>
      <c r="G40" s="8"/>
      <c r="H40" s="8"/>
      <c r="I40" s="8"/>
      <c r="J40" s="8"/>
    </row>
    <row r="41" customFormat="false" ht="25.5" hidden="false" customHeight="true" outlineLevel="0" collapsed="false">
      <c r="B41" s="8" t="s">
        <v>43</v>
      </c>
      <c r="C41" s="8"/>
      <c r="D41" s="8"/>
      <c r="E41" s="8"/>
      <c r="F41" s="8"/>
      <c r="G41" s="8"/>
      <c r="H41" s="8"/>
      <c r="I41" s="8"/>
      <c r="J41" s="8"/>
    </row>
    <row r="43" customFormat="false" ht="15" hidden="false" customHeight="false" outlineLevel="0" collapsed="false">
      <c r="B43" s="2" t="s">
        <v>44</v>
      </c>
    </row>
    <row r="44" customFormat="false" ht="15" hidden="false" customHeight="false" outlineLevel="0" collapsed="false">
      <c r="B44" s="10"/>
      <c r="C44" s="3" t="s">
        <v>45</v>
      </c>
    </row>
    <row r="45" customFormat="false" ht="15" hidden="false" customHeight="false" outlineLevel="0" collapsed="false">
      <c r="B45" s="11" t="s">
        <v>46</v>
      </c>
      <c r="C45" s="3" t="s">
        <v>47</v>
      </c>
    </row>
    <row r="46" customFormat="false" ht="15" hidden="false" customHeight="false" outlineLevel="0" collapsed="false">
      <c r="B46" s="12"/>
      <c r="C46" s="3" t="s">
        <v>48</v>
      </c>
    </row>
    <row r="47" customFormat="false" ht="15" hidden="false" customHeight="false" outlineLevel="0" collapsed="false">
      <c r="B47" s="13"/>
      <c r="C47" s="3" t="s">
        <v>49</v>
      </c>
    </row>
    <row r="48" customFormat="false" ht="15" hidden="false" customHeight="false" outlineLevel="0" collapsed="false">
      <c r="B48" s="14"/>
      <c r="C48" s="3" t="s">
        <v>50</v>
      </c>
    </row>
    <row r="49" customFormat="false" ht="15" hidden="false" customHeight="false" outlineLevel="0" collapsed="false">
      <c r="B49" s="15"/>
      <c r="C49" s="3" t="s">
        <v>51</v>
      </c>
    </row>
    <row r="50" customFormat="false" ht="15" hidden="false" customHeight="false" outlineLevel="0" collapsed="false">
      <c r="B50" s="16"/>
      <c r="C50" s="3" t="s">
        <v>52</v>
      </c>
    </row>
    <row r="51" customFormat="false" ht="15" hidden="false" customHeight="false" outlineLevel="0" collapsed="false">
      <c r="B51" s="17"/>
      <c r="C51" s="3" t="s">
        <v>53</v>
      </c>
    </row>
    <row r="53" customFormat="false" ht="15" hidden="false" customHeight="false" outlineLevel="0" collapsed="false">
      <c r="B53" s="2" t="s">
        <v>54</v>
      </c>
    </row>
    <row r="54" customFormat="false" ht="15" hidden="false" customHeight="false" outlineLevel="0" collapsed="false">
      <c r="B54" s="3" t="s">
        <v>55</v>
      </c>
      <c r="C54" s="3" t="s">
        <v>56</v>
      </c>
      <c r="D54" s="18" t="s">
        <v>57</v>
      </c>
      <c r="E54" s="18"/>
      <c r="F54" s="18"/>
      <c r="G54" s="18"/>
      <c r="H54" s="18"/>
      <c r="I54" s="18"/>
      <c r="J54" s="18"/>
    </row>
    <row r="55" customFormat="false" ht="15" hidden="false" customHeight="false" outlineLevel="0" collapsed="false">
      <c r="B55" s="3" t="s">
        <v>58</v>
      </c>
      <c r="C55" s="3" t="s">
        <v>56</v>
      </c>
      <c r="D55" s="18" t="s">
        <v>59</v>
      </c>
      <c r="E55" s="18"/>
      <c r="F55" s="18"/>
      <c r="G55" s="18"/>
      <c r="H55" s="18"/>
      <c r="I55" s="18"/>
      <c r="J55" s="18"/>
    </row>
    <row r="56" customFormat="false" ht="15" hidden="false" customHeight="false" outlineLevel="0" collapsed="false">
      <c r="B56" s="3" t="s">
        <v>60</v>
      </c>
      <c r="C56" s="3" t="s">
        <v>56</v>
      </c>
      <c r="D56" s="18" t="s">
        <v>61</v>
      </c>
      <c r="E56" s="18"/>
      <c r="F56" s="18"/>
      <c r="G56" s="18"/>
      <c r="H56" s="18"/>
      <c r="I56" s="18"/>
      <c r="J56" s="18"/>
    </row>
    <row r="57" customFormat="false" ht="15" hidden="false" customHeight="false" outlineLevel="0" collapsed="false">
      <c r="B57" s="3" t="s">
        <v>62</v>
      </c>
      <c r="C57" s="3" t="s">
        <v>56</v>
      </c>
      <c r="D57" s="18" t="s">
        <v>63</v>
      </c>
      <c r="E57" s="18"/>
      <c r="F57" s="18"/>
      <c r="G57" s="18"/>
      <c r="H57" s="18"/>
      <c r="I57" s="18"/>
      <c r="J57" s="18"/>
    </row>
    <row r="58" customFormat="false" ht="15" hidden="false" customHeight="false" outlineLevel="0" collapsed="false">
      <c r="B58" s="3" t="s">
        <v>64</v>
      </c>
      <c r="C58" s="3" t="s">
        <v>56</v>
      </c>
      <c r="D58" s="18" t="s">
        <v>65</v>
      </c>
      <c r="E58" s="18"/>
      <c r="F58" s="18"/>
      <c r="G58" s="18"/>
      <c r="H58" s="18"/>
      <c r="I58" s="18"/>
      <c r="J58" s="18"/>
    </row>
    <row r="59" customFormat="false" ht="15" hidden="false" customHeight="false" outlineLevel="0" collapsed="false">
      <c r="B59" s="3" t="s">
        <v>66</v>
      </c>
      <c r="C59" s="3" t="s">
        <v>56</v>
      </c>
      <c r="D59" s="18" t="s">
        <v>67</v>
      </c>
      <c r="E59" s="18"/>
      <c r="F59" s="18"/>
      <c r="G59" s="18"/>
      <c r="H59" s="18"/>
      <c r="I59" s="18"/>
      <c r="J59" s="18"/>
    </row>
    <row r="60" customFormat="false" ht="15" hidden="false" customHeight="false" outlineLevel="0" collapsed="false">
      <c r="B60" s="3" t="s">
        <v>68</v>
      </c>
      <c r="C60" s="3" t="s">
        <v>56</v>
      </c>
      <c r="D60" s="18" t="s">
        <v>69</v>
      </c>
      <c r="E60" s="18"/>
      <c r="F60" s="18"/>
      <c r="G60" s="18"/>
      <c r="H60" s="18"/>
      <c r="I60" s="18"/>
      <c r="J60" s="18"/>
    </row>
    <row r="61" customFormat="false" ht="15" hidden="false" customHeight="false" outlineLevel="0" collapsed="false">
      <c r="B61" s="3" t="s">
        <v>70</v>
      </c>
      <c r="C61" s="3" t="s">
        <v>56</v>
      </c>
      <c r="D61" s="18" t="s">
        <v>71</v>
      </c>
      <c r="E61" s="18"/>
      <c r="F61" s="18"/>
      <c r="G61" s="18"/>
      <c r="H61" s="18"/>
      <c r="I61" s="18"/>
      <c r="J61" s="18"/>
    </row>
    <row r="62" customFormat="false" ht="15" hidden="false" customHeight="false" outlineLevel="0" collapsed="false">
      <c r="B62" s="3" t="s">
        <v>72</v>
      </c>
      <c r="C62" s="3" t="s">
        <v>56</v>
      </c>
      <c r="D62" s="18" t="s">
        <v>73</v>
      </c>
      <c r="E62" s="18"/>
      <c r="F62" s="18"/>
      <c r="G62" s="18"/>
      <c r="H62" s="18"/>
      <c r="I62" s="18"/>
      <c r="J62" s="18"/>
    </row>
    <row r="64" customFormat="false" ht="15" hidden="false" customHeight="false" outlineLevel="0" collapsed="false">
      <c r="B64" s="2" t="s">
        <v>74</v>
      </c>
    </row>
    <row r="65" customFormat="false" ht="15" hidden="false" customHeight="false" outlineLevel="0" collapsed="false">
      <c r="B65" s="4" t="s">
        <v>75</v>
      </c>
      <c r="C65" s="3" t="s">
        <v>76</v>
      </c>
    </row>
    <row r="66" customFormat="false" ht="15" hidden="false" customHeight="false" outlineLevel="0" collapsed="false">
      <c r="B66" s="4" t="s">
        <v>77</v>
      </c>
      <c r="C66" s="3" t="s">
        <v>78</v>
      </c>
    </row>
    <row r="67" customFormat="false" ht="15" hidden="false" customHeight="false" outlineLevel="0" collapsed="false">
      <c r="B67" s="4" t="s">
        <v>79</v>
      </c>
      <c r="C67" s="3" t="s">
        <v>80</v>
      </c>
    </row>
    <row r="69" customFormat="false" ht="15" hidden="false" customHeight="false" outlineLevel="0" collapsed="false">
      <c r="B69" s="19" t="s">
        <v>81</v>
      </c>
      <c r="C69" s="20" t="s">
        <v>82</v>
      </c>
      <c r="D69" s="20" t="s">
        <v>83</v>
      </c>
      <c r="E69" s="20" t="s">
        <v>84</v>
      </c>
      <c r="F69" s="20" t="s">
        <v>85</v>
      </c>
      <c r="G69" s="20" t="s">
        <v>86</v>
      </c>
      <c r="H69" s="20" t="s">
        <v>87</v>
      </c>
      <c r="I69" s="20" t="s">
        <v>88</v>
      </c>
    </row>
    <row r="70" customFormat="false" ht="15" hidden="false" customHeight="false" outlineLevel="0" collapsed="false">
      <c r="B70" s="21" t="s">
        <v>89</v>
      </c>
      <c r="C70" s="22" t="s">
        <v>90</v>
      </c>
      <c r="D70" s="22" t="s">
        <v>91</v>
      </c>
      <c r="E70" s="23" t="s">
        <v>92</v>
      </c>
      <c r="F70" s="23" t="s">
        <v>92</v>
      </c>
      <c r="G70" s="24" t="s">
        <v>92</v>
      </c>
      <c r="H70" s="24" t="s">
        <v>91</v>
      </c>
      <c r="I70" s="24" t="s">
        <v>90</v>
      </c>
    </row>
    <row r="71" customFormat="false" ht="15" hidden="false" customHeight="false" outlineLevel="0" collapsed="false">
      <c r="B71" s="21" t="s">
        <v>93</v>
      </c>
      <c r="C71" s="25"/>
      <c r="D71" s="25"/>
      <c r="E71" s="25"/>
      <c r="F71" s="25"/>
      <c r="G71" s="25"/>
      <c r="H71" s="24" t="s">
        <v>91</v>
      </c>
      <c r="I71" s="24" t="s">
        <v>91</v>
      </c>
    </row>
    <row r="72" customFormat="false" ht="15" hidden="false" customHeight="false" outlineLevel="0" collapsed="false">
      <c r="B72" s="21" t="s">
        <v>94</v>
      </c>
      <c r="C72" s="22" t="s">
        <v>90</v>
      </c>
      <c r="D72" s="22" t="s">
        <v>91</v>
      </c>
      <c r="E72" s="25"/>
      <c r="F72" s="25"/>
      <c r="G72" s="25"/>
      <c r="H72" s="25"/>
      <c r="I72" s="25"/>
    </row>
    <row r="73" customFormat="false" ht="15" hidden="false" customHeight="false" outlineLevel="0" collapsed="false">
      <c r="B73" s="21" t="s">
        <v>95</v>
      </c>
      <c r="C73" s="22" t="s">
        <v>96</v>
      </c>
      <c r="D73" s="25"/>
      <c r="E73" s="23" t="s">
        <v>97</v>
      </c>
      <c r="F73" s="23" t="s">
        <v>97</v>
      </c>
      <c r="G73" s="24" t="s">
        <v>97</v>
      </c>
      <c r="H73" s="24" t="s">
        <v>98</v>
      </c>
      <c r="I73" s="24" t="s">
        <v>98</v>
      </c>
    </row>
    <row r="74" customFormat="false" ht="15" hidden="false" customHeight="false" outlineLevel="0" collapsed="false">
      <c r="B74" s="21" t="s">
        <v>99</v>
      </c>
      <c r="C74" s="22" t="s">
        <v>100</v>
      </c>
      <c r="D74" s="25"/>
      <c r="E74" s="23" t="s">
        <v>101</v>
      </c>
      <c r="F74" s="23" t="s">
        <v>102</v>
      </c>
      <c r="G74" s="24" t="s">
        <v>103</v>
      </c>
      <c r="H74" s="24" t="s">
        <v>103</v>
      </c>
      <c r="I74" s="24" t="s">
        <v>101</v>
      </c>
    </row>
    <row r="75" customFormat="false" ht="15" hidden="false" customHeight="false" outlineLevel="0" collapsed="false">
      <c r="B75" s="21" t="s">
        <v>104</v>
      </c>
      <c r="C75" s="22" t="s">
        <v>105</v>
      </c>
      <c r="D75" s="25"/>
      <c r="E75" s="23" t="s">
        <v>106</v>
      </c>
      <c r="F75" s="23" t="s">
        <v>103</v>
      </c>
      <c r="G75" s="24" t="s">
        <v>103</v>
      </c>
      <c r="H75" s="24" t="s">
        <v>103</v>
      </c>
      <c r="I75" s="24" t="s">
        <v>105</v>
      </c>
    </row>
    <row r="76" customFormat="false" ht="15" hidden="false" customHeight="false" outlineLevel="0" collapsed="false">
      <c r="B76" s="21" t="s">
        <v>107</v>
      </c>
      <c r="C76" s="22" t="s">
        <v>100</v>
      </c>
      <c r="D76" s="25"/>
      <c r="E76" s="23" t="s">
        <v>105</v>
      </c>
      <c r="F76" s="23" t="s">
        <v>103</v>
      </c>
      <c r="G76" s="24" t="s">
        <v>103</v>
      </c>
      <c r="H76" s="24" t="s">
        <v>103</v>
      </c>
      <c r="I76" s="24" t="s">
        <v>101</v>
      </c>
    </row>
    <row r="77" customFormat="false" ht="15" hidden="false" customHeight="false" outlineLevel="0" collapsed="false">
      <c r="B77" s="26" t="s">
        <v>108</v>
      </c>
    </row>
  </sheetData>
  <mergeCells count="33">
    <mergeCell ref="C12:J12"/>
    <mergeCell ref="C13:J13"/>
    <mergeCell ref="C14:J14"/>
    <mergeCell ref="C15:J15"/>
    <mergeCell ref="C16:J16"/>
    <mergeCell ref="C17:J17"/>
    <mergeCell ref="B20:J20"/>
    <mergeCell ref="B21:J21"/>
    <mergeCell ref="B22:J22"/>
    <mergeCell ref="B23:J23"/>
    <mergeCell ref="B24:J24"/>
    <mergeCell ref="B27:J27"/>
    <mergeCell ref="B28:J28"/>
    <mergeCell ref="B29:J29"/>
    <mergeCell ref="B30:J30"/>
    <mergeCell ref="B31:J31"/>
    <mergeCell ref="B34:J34"/>
    <mergeCell ref="B35:J35"/>
    <mergeCell ref="B36:J36"/>
    <mergeCell ref="B37:J37"/>
    <mergeCell ref="B38:J38"/>
    <mergeCell ref="B39:J39"/>
    <mergeCell ref="B40:J40"/>
    <mergeCell ref="B41:J41"/>
    <mergeCell ref="D54:J54"/>
    <mergeCell ref="D55:J55"/>
    <mergeCell ref="D56:J56"/>
    <mergeCell ref="D57:J57"/>
    <mergeCell ref="D58:J58"/>
    <mergeCell ref="D59:J59"/>
    <mergeCell ref="D60:J60"/>
    <mergeCell ref="D61:J61"/>
    <mergeCell ref="D62:J62"/>
  </mergeCells>
  <printOptions headings="false" gridLines="false" gridLinesSet="true" horizontalCentered="false" verticalCentered="false"/>
  <pageMargins left="0.3" right="0.3" top="0.4" bottom="0.4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&amp;A –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1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3" outlineLevelCol="1"/>
  <cols>
    <col collapsed="false" customWidth="true" hidden="false" outlineLevel="0" max="1" min="1" style="0" width="20"/>
    <col collapsed="false" customWidth="true" hidden="false" outlineLevel="0" max="2" min="2" style="0" width="4"/>
    <col collapsed="false" customWidth="true" hidden="false" outlineLevel="0" max="3" min="3" style="0" width="52"/>
    <col collapsed="false" customWidth="true" hidden="false" outlineLevel="0" max="4" min="4" style="0" width="13"/>
    <col collapsed="false" customWidth="true" hidden="false" outlineLevel="1" max="5" min="5" style="0" width="7"/>
    <col collapsed="false" customWidth="true" hidden="false" outlineLevel="1" max="6" min="6" style="0" width="26"/>
    <col collapsed="false" customWidth="true" hidden="false" outlineLevel="1" max="7" min="7" style="0" width="22"/>
    <col collapsed="false" customWidth="true" hidden="false" outlineLevel="1" max="8" min="8" style="0" width="24"/>
    <col collapsed="false" customWidth="true" hidden="false" outlineLevel="1" max="9" min="9" style="0" width="26"/>
    <col collapsed="false" customWidth="true" hidden="false" outlineLevel="1" max="10" min="10" style="0" width="8"/>
    <col collapsed="false" customWidth="true" hidden="false" outlineLevel="1" max="11" min="11" style="0" width="14"/>
    <col collapsed="false" customWidth="true" hidden="false" outlineLevel="1" max="12" min="12" style="0" width="10"/>
    <col collapsed="false" customWidth="true" hidden="false" outlineLevel="1" max="13" min="13" style="0" width="25"/>
    <col collapsed="false" customWidth="true" hidden="false" outlineLevel="0" max="14" min="14" style="0" width="21"/>
    <col collapsed="false" customWidth="true" hidden="false" outlineLevel="0" max="15" min="15" style="0" width="8"/>
    <col collapsed="false" customWidth="true" hidden="false" outlineLevel="0" max="16" min="16" style="0" width="5"/>
    <col collapsed="false" customWidth="true" hidden="false" outlineLevel="0" max="17" min="17" style="0" width="7"/>
    <col collapsed="false" customWidth="true" hidden="false" outlineLevel="1" max="18" min="18" style="0" width="12"/>
    <col collapsed="false" customWidth="true" hidden="false" outlineLevel="1" max="20" min="19" style="0" width="5"/>
    <col collapsed="false" customWidth="true" hidden="false" outlineLevel="1" max="21" min="21" style="0" width="12"/>
    <col collapsed="false" customWidth="true" hidden="false" outlineLevel="1" max="23" min="22" style="0" width="5"/>
    <col collapsed="false" customWidth="true" hidden="false" outlineLevel="1" max="24" min="24" style="0" width="10"/>
    <col collapsed="false" customWidth="true" hidden="false" outlineLevel="0" max="28" min="25" style="0" width="10"/>
    <col collapsed="false" customWidth="true" hidden="false" outlineLevel="0" max="30" min="29" style="0" width="7"/>
    <col collapsed="false" customWidth="true" hidden="false" outlineLevel="0" max="32" min="31" style="0" width="10"/>
    <col collapsed="false" customWidth="true" hidden="false" outlineLevel="0" max="33" min="33" style="0" width="13"/>
    <col collapsed="false" customWidth="true" hidden="false" outlineLevel="0" max="34" min="34" style="0" width="8"/>
    <col collapsed="false" customWidth="true" hidden="false" outlineLevel="0" max="35" min="35" style="0" width="7"/>
    <col collapsed="false" customWidth="true" hidden="false" outlineLevel="0" max="36" min="36" style="0" width="60"/>
  </cols>
  <sheetData>
    <row r="1" customFormat="false" ht="17.35" hidden="false" customHeight="false" outlineLevel="0" collapsed="false">
      <c r="A1" s="27" t="s">
        <v>109</v>
      </c>
    </row>
    <row r="2" customFormat="false" ht="15" hidden="false" customHeight="false" outlineLevel="0" collapsed="false">
      <c r="A2" s="3" t="s">
        <v>110</v>
      </c>
      <c r="AD2" s="28" t="s">
        <v>111</v>
      </c>
      <c r="AE2" s="29" t="n">
        <f aca="false">DataDate</f>
        <v>46297</v>
      </c>
      <c r="AF2" s="29"/>
    </row>
    <row r="3" customFormat="false" ht="15" hidden="false" customHeight="false" outlineLevel="0" collapsed="false">
      <c r="A3" s="6" t="s">
        <v>112</v>
      </c>
    </row>
    <row r="4" customFormat="false" ht="15" hidden="false" customHeight="true" outlineLevel="0" collapsed="false">
      <c r="A4" s="30" t="s">
        <v>113</v>
      </c>
      <c r="B4" s="30"/>
      <c r="C4" s="30"/>
      <c r="D4" s="30"/>
      <c r="E4" s="30" t="s">
        <v>114</v>
      </c>
      <c r="F4" s="30"/>
      <c r="G4" s="30"/>
      <c r="H4" s="30"/>
      <c r="I4" s="30"/>
      <c r="J4" s="30"/>
      <c r="K4" s="30"/>
      <c r="L4" s="30"/>
      <c r="M4" s="30"/>
      <c r="N4" s="30" t="s">
        <v>115</v>
      </c>
      <c r="O4" s="30"/>
      <c r="P4" s="30"/>
      <c r="Q4" s="30" t="s">
        <v>116</v>
      </c>
      <c r="R4" s="30"/>
      <c r="S4" s="30"/>
      <c r="T4" s="30"/>
      <c r="U4" s="30"/>
      <c r="V4" s="30"/>
      <c r="W4" s="30"/>
      <c r="X4" s="30"/>
      <c r="Y4" s="30" t="s">
        <v>117</v>
      </c>
      <c r="Z4" s="30"/>
      <c r="AA4" s="30" t="s">
        <v>118</v>
      </c>
      <c r="AB4" s="30"/>
      <c r="AC4" s="30"/>
      <c r="AD4" s="30" t="s">
        <v>119</v>
      </c>
      <c r="AE4" s="30"/>
      <c r="AF4" s="30"/>
      <c r="AG4" s="30" t="s">
        <v>120</v>
      </c>
      <c r="AH4" s="30"/>
      <c r="AI4" s="30"/>
      <c r="AJ4" s="30"/>
    </row>
    <row r="5" customFormat="false" ht="39.75" hidden="false" customHeight="true" outlineLevel="0" collapsed="false">
      <c r="A5" s="31" t="s">
        <v>121</v>
      </c>
      <c r="B5" s="31" t="s">
        <v>122</v>
      </c>
      <c r="C5" s="31" t="s">
        <v>123</v>
      </c>
      <c r="D5" s="31" t="s">
        <v>124</v>
      </c>
      <c r="E5" s="31" t="s">
        <v>125</v>
      </c>
      <c r="F5" s="31" t="s">
        <v>126</v>
      </c>
      <c r="G5" s="31" t="s">
        <v>127</v>
      </c>
      <c r="H5" s="31" t="s">
        <v>128</v>
      </c>
      <c r="I5" s="31" t="s">
        <v>129</v>
      </c>
      <c r="J5" s="31" t="s">
        <v>130</v>
      </c>
      <c r="K5" s="31" t="s">
        <v>131</v>
      </c>
      <c r="L5" s="31" t="s">
        <v>132</v>
      </c>
      <c r="M5" s="31" t="s">
        <v>133</v>
      </c>
      <c r="N5" s="31" t="s">
        <v>134</v>
      </c>
      <c r="O5" s="31" t="s">
        <v>135</v>
      </c>
      <c r="P5" s="31" t="s">
        <v>136</v>
      </c>
      <c r="Q5" s="31" t="s">
        <v>137</v>
      </c>
      <c r="R5" s="31" t="s">
        <v>138</v>
      </c>
      <c r="S5" s="31" t="s">
        <v>139</v>
      </c>
      <c r="T5" s="31" t="s">
        <v>140</v>
      </c>
      <c r="U5" s="31" t="s">
        <v>141</v>
      </c>
      <c r="V5" s="31" t="s">
        <v>142</v>
      </c>
      <c r="W5" s="31" t="s">
        <v>143</v>
      </c>
      <c r="X5" s="31" t="s">
        <v>144</v>
      </c>
      <c r="Y5" s="31" t="s">
        <v>145</v>
      </c>
      <c r="Z5" s="31" t="s">
        <v>146</v>
      </c>
      <c r="AA5" s="31" t="s">
        <v>147</v>
      </c>
      <c r="AB5" s="31" t="s">
        <v>148</v>
      </c>
      <c r="AC5" s="31" t="s">
        <v>149</v>
      </c>
      <c r="AD5" s="31" t="s">
        <v>150</v>
      </c>
      <c r="AE5" s="31" t="s">
        <v>151</v>
      </c>
      <c r="AF5" s="31" t="s">
        <v>152</v>
      </c>
      <c r="AG5" s="31" t="s">
        <v>153</v>
      </c>
      <c r="AH5" s="31" t="s">
        <v>154</v>
      </c>
      <c r="AI5" s="31" t="s">
        <v>155</v>
      </c>
      <c r="AJ5" s="31" t="s">
        <v>156</v>
      </c>
    </row>
    <row r="6" customFormat="false" ht="23.85" hidden="false" customHeight="false" outlineLevel="0" collapsed="false">
      <c r="A6" s="32" t="s">
        <v>157</v>
      </c>
      <c r="B6" s="33" t="n">
        <v>1</v>
      </c>
      <c r="C6" s="34" t="s">
        <v>158</v>
      </c>
      <c r="D6" s="32"/>
      <c r="E6" s="32"/>
      <c r="F6" s="32"/>
      <c r="G6" s="32"/>
      <c r="H6" s="32"/>
      <c r="I6" s="32"/>
      <c r="J6" s="32" t="n">
        <f aca="false">SUMIF($B$7:$B$156,4,$J$7:$J$156)</f>
        <v>411</v>
      </c>
      <c r="K6" s="32"/>
      <c r="L6" s="32"/>
      <c r="M6" s="32"/>
      <c r="N6" s="32"/>
      <c r="O6" s="35"/>
      <c r="P6" s="32"/>
      <c r="Q6" s="32"/>
      <c r="R6" s="32"/>
      <c r="S6" s="32"/>
      <c r="T6" s="32"/>
      <c r="U6" s="32"/>
      <c r="V6" s="32"/>
      <c r="W6" s="32"/>
      <c r="X6" s="32"/>
      <c r="Y6" s="36" t="n">
        <f aca="false">MIN($Y$7:$Y$156)</f>
        <v>46042</v>
      </c>
      <c r="Z6" s="36" t="n">
        <f aca="false">MAX($Z$7:$Z$156)</f>
        <v>46522</v>
      </c>
      <c r="AA6" s="36" t="n">
        <f aca="false">IF(COUNT($AA$7:$AA$156)=0,"",MIN($AA$7:$AA$156))</f>
        <v>45950</v>
      </c>
      <c r="AB6" s="36" t="str">
        <f aca="false">IF(COUNTIFS($B$7:$B$156,4,$AG$7:$AG$156,"Completed")=COUNTIF($B$7:$B$156,4),MAX($AB$7:$AB$156),"")</f>
        <v/>
      </c>
      <c r="AC6" s="37" t="n">
        <f aca="false">IFERROR(IFERROR(SUMPRODUCT(--($B$7:$B$156=4),$Q$7:$Q$156,$AC$7:$AC$156)/SUMIF($B$7:$B$156,4,$Q$7:$Q$156),AVERAGEIF($B$7:$B$156,4,$AC$7:$AC$156)),"")</f>
        <v>0.526192627412172</v>
      </c>
      <c r="AD6" s="32"/>
      <c r="AE6" s="36" t="n">
        <f aca="false">MIN($AE$7:$AE$156)</f>
        <v>45950</v>
      </c>
      <c r="AF6" s="36" t="n">
        <f aca="false">MAX($AF$7:$AF$156)</f>
        <v>46510</v>
      </c>
      <c r="AG6" s="32" t="str">
        <f aca="false">IF(COUNTIFS($B$7:$B$156,4,$AG$7:$AG$156,"Completed")=COUNTIF($B$7:$B$156,4),"Completed",IF(COUNTIFS($B$7:$B$156,4,$AG$7:$AG$156,"Not Started*")=COUNTIF($B$7:$B$156,4),"Not Started","In Progress"))</f>
        <v>In Progress</v>
      </c>
      <c r="AH6" s="38" t="n">
        <f aca="false">MATCH($AF6,WorkDays,1)-MATCH($Z6,WorkDays,1)</f>
        <v>-11</v>
      </c>
      <c r="AI6" s="35"/>
      <c r="AJ6" s="32"/>
    </row>
    <row r="7" customFormat="false" ht="15" hidden="false" customHeight="false" outlineLevel="1" collapsed="false">
      <c r="A7" s="39" t="s">
        <v>159</v>
      </c>
      <c r="B7" s="40" t="n">
        <v>2</v>
      </c>
      <c r="C7" s="41" t="s">
        <v>160</v>
      </c>
      <c r="D7" s="39"/>
      <c r="E7" s="39"/>
      <c r="F7" s="39"/>
      <c r="G7" s="39"/>
      <c r="H7" s="39"/>
      <c r="I7" s="39"/>
      <c r="J7" s="39" t="n">
        <f aca="false">SUMIF($B$8:$B$29,4,$J$8:$J$29)</f>
        <v>0</v>
      </c>
      <c r="K7" s="39"/>
      <c r="L7" s="39"/>
      <c r="M7" s="39"/>
      <c r="N7" s="39"/>
      <c r="O7" s="42"/>
      <c r="P7" s="39"/>
      <c r="Q7" s="39"/>
      <c r="R7" s="39"/>
      <c r="S7" s="39"/>
      <c r="T7" s="39"/>
      <c r="U7" s="39"/>
      <c r="V7" s="39"/>
      <c r="W7" s="39"/>
      <c r="X7" s="39"/>
      <c r="Y7" s="43" t="n">
        <f aca="false">MIN($Y$8:$Y$29)</f>
        <v>46042</v>
      </c>
      <c r="Z7" s="43" t="n">
        <f aca="false">MAX($Z$8:$Z$29)</f>
        <v>46396</v>
      </c>
      <c r="AA7" s="43" t="n">
        <f aca="false">IF(COUNT($AA$8:$AA$29)=0,"",MIN($AA$8:$AA$29))</f>
        <v>45950</v>
      </c>
      <c r="AB7" s="43" t="str">
        <f aca="false">IF(COUNTIFS($B$8:$B$29,4,$AG$8:$AG$29,"Completed")=COUNTIF($B$8:$B$29,4),MAX($AB$8:$AB$29),"")</f>
        <v/>
      </c>
      <c r="AC7" s="44" t="n">
        <f aca="false">IFERROR(IFERROR(SUMPRODUCT(--($B$8:$B$29=4),$Q$8:$Q$29,$AC$8:$AC$29)/SUMIF($B$8:$B$29,4,$Q$8:$Q$29),AVERAGEIF($B$8:$B$29,4,$AC$8:$AC$29)),"")</f>
        <v>0.457342657342657</v>
      </c>
      <c r="AD7" s="39"/>
      <c r="AE7" s="43" t="n">
        <f aca="false">MIN($AE$8:$AE$29)</f>
        <v>45950</v>
      </c>
      <c r="AF7" s="43" t="n">
        <f aca="false">MAX($AF$8:$AF$29)</f>
        <v>46367</v>
      </c>
      <c r="AG7" s="39" t="str">
        <f aca="false">IF(COUNTIFS($B$8:$B$29,4,$AG$8:$AG$29,"Completed")=COUNTIF($B$8:$B$29,4),"Completed",IF(COUNTIFS($B$8:$B$29,4,$AG$8:$AG$29,"Not Started*")=COUNTIF($B$8:$B$29,4),"Not Started","In Progress"))</f>
        <v>In Progress</v>
      </c>
      <c r="AH7" s="45" t="n">
        <f aca="false">MATCH($AF7,WorkDays,1)-MATCH($Z7,WorkDays,1)</f>
        <v>-23</v>
      </c>
      <c r="AI7" s="42"/>
      <c r="AJ7" s="39"/>
    </row>
    <row r="8" customFormat="false" ht="15" hidden="false" customHeight="false" outlineLevel="2" collapsed="false">
      <c r="A8" s="46" t="s">
        <v>161</v>
      </c>
      <c r="B8" s="47" t="n">
        <v>3</v>
      </c>
      <c r="C8" s="48" t="s">
        <v>162</v>
      </c>
      <c r="D8" s="46"/>
      <c r="E8" s="46"/>
      <c r="F8" s="46"/>
      <c r="G8" s="46"/>
      <c r="H8" s="46"/>
      <c r="I8" s="46"/>
      <c r="J8" s="46" t="n">
        <f aca="false">SUMIF($B$9:$B$9,4,$J$9:$J$9)</f>
        <v>0</v>
      </c>
      <c r="K8" s="46"/>
      <c r="L8" s="46"/>
      <c r="M8" s="46"/>
      <c r="N8" s="46"/>
      <c r="O8" s="49" t="str">
        <f aca="false">IF(SUMIF($B$9:$B$9,4,$O$9:$O$9)=0,"",SUMIF($B$9:$B$9,4,$O$9:$O$9))</f>
        <v/>
      </c>
      <c r="P8" s="46"/>
      <c r="Q8" s="46"/>
      <c r="R8" s="46"/>
      <c r="S8" s="46"/>
      <c r="T8" s="46"/>
      <c r="U8" s="46"/>
      <c r="V8" s="46"/>
      <c r="W8" s="46"/>
      <c r="X8" s="46"/>
      <c r="Y8" s="50" t="n">
        <f aca="false">MIN($Y$9:$Y$9)</f>
        <v>46042</v>
      </c>
      <c r="Z8" s="50" t="n">
        <f aca="false">MAX($Z$9:$Z$9)</f>
        <v>46042</v>
      </c>
      <c r="AA8" s="50" t="n">
        <f aca="false">IF(COUNT($AA$9:$AA$9)=0,"",MIN($AA$9:$AA$9))</f>
        <v>45950</v>
      </c>
      <c r="AB8" s="50" t="n">
        <f aca="false">IF(COUNTIFS($B$9:$B$9,4,$AG$9:$AG$9,"Completed")=COUNTIF($B$9:$B$9,4),MAX($AB$9:$AB$9),"")</f>
        <v>45950</v>
      </c>
      <c r="AC8" s="51" t="n">
        <f aca="false">IFERROR(IF(SUMIF($B$9:$B$9,4,$O$9:$O$9)&gt;0,SUMIF($B$9:$B$9,4,$AI$9:$AI$9)/SUMIF($B$9:$B$9,4,$O$9:$O$9),IFERROR(SUMPRODUCT(--($B$9:$B$9=4),$Q$9:$Q$9,$AC$9:$AC$9)/SUMIF($B$9:$B$9,4,$Q$9:$Q$9),AVERAGEIF($B$9:$B$9,4,$AC$9:$AC$9))),"")</f>
        <v>1</v>
      </c>
      <c r="AD8" s="46"/>
      <c r="AE8" s="50" t="n">
        <f aca="false">MIN($AE$9:$AE$9)</f>
        <v>45950</v>
      </c>
      <c r="AF8" s="50" t="n">
        <f aca="false">MAX($AF$9:$AF$9)</f>
        <v>45950</v>
      </c>
      <c r="AG8" s="46" t="str">
        <f aca="false">IF(COUNTIFS($B$9:$B$9,4,$AG$9:$AG$9,"Completed")=COUNTIF($B$9:$B$9,4),"Completed",IF(COUNTIFS($B$9:$B$9,4,$AG$9:$AG$9,"Not Started*")=COUNTIF($B$9:$B$9,4),"Not Started","In Progress"))</f>
        <v>Completed</v>
      </c>
      <c r="AH8" s="52" t="n">
        <f aca="false">MATCH($AF8,WorkDays,1)-MATCH($Z8,WorkDays,1)</f>
        <v>-77</v>
      </c>
      <c r="AI8" s="49" t="str">
        <f aca="false">IF(SUMIF($B$9:$B$9,4,$O$9:$O$9)=0,"",SUMIF($B$9:$B$9,4,$AI$9:$AI$9))</f>
        <v/>
      </c>
      <c r="AJ8" s="46" t="str">
        <f aca="false">"P6 check: "&amp;INDEX('P6 Roll-up'!$AB$5:$AB$22,MATCH($A8,'P6 Roll-up'!$A$5:$A$22,0))</f>
        <v>P6 check: ✔ Same as P6</v>
      </c>
    </row>
    <row r="9" customFormat="false" ht="15" hidden="false" customHeight="false" outlineLevel="3" collapsed="false">
      <c r="A9" s="53" t="s">
        <v>163</v>
      </c>
      <c r="B9" s="25" t="n">
        <v>4</v>
      </c>
      <c r="C9" s="54" t="s">
        <v>164</v>
      </c>
      <c r="D9" s="55" t="s">
        <v>50</v>
      </c>
      <c r="E9" s="25"/>
      <c r="F9" s="55"/>
      <c r="G9" s="55"/>
      <c r="H9" s="55" t="s">
        <v>165</v>
      </c>
      <c r="I9" s="55"/>
      <c r="J9" s="25" t="n">
        <f aca="false">COUNTIF('BIM Element Map'!$J$6:$J$1000,$A9)</f>
        <v>0</v>
      </c>
      <c r="K9" s="56"/>
      <c r="L9" s="25" t="s">
        <v>50</v>
      </c>
      <c r="M9" s="55"/>
      <c r="N9" s="55" t="s">
        <v>161</v>
      </c>
      <c r="O9" s="57"/>
      <c r="P9" s="25"/>
      <c r="Q9" s="58" t="n">
        <v>0</v>
      </c>
      <c r="R9" s="59"/>
      <c r="S9" s="58"/>
      <c r="T9" s="58"/>
      <c r="U9" s="59"/>
      <c r="V9" s="58"/>
      <c r="W9" s="58"/>
      <c r="X9" s="60"/>
      <c r="Y9" s="61" t="n">
        <v>46042</v>
      </c>
      <c r="Z9" s="61" t="n">
        <v>46042</v>
      </c>
      <c r="AA9" s="62" t="n">
        <v>45950</v>
      </c>
      <c r="AB9" s="62" t="n">
        <v>45950</v>
      </c>
      <c r="AC9" s="63" t="n">
        <v>1</v>
      </c>
      <c r="AD9" s="25" t="n">
        <f aca="false">IF($AB9&lt;&gt;"",0,IF($AA9="",$Q9,MAX(1,ROUND($Q9*(1-$AC9),0))))</f>
        <v>0</v>
      </c>
      <c r="AE9" s="61" t="n">
        <f aca="false">IF($AA9&lt;&gt;"",$AA9,MAX($X9,NextWD,IF($R9="",0,IF($S9="SS",INDEX(WorkDays,MATCH(INDEX($AE$6:$AE$156,MATCH($R9,$A$6:$A$156,0))-1,WorkDays,1)+1+$T9),INDEX(WorkDays,MATCH(INDEX($AF$6:$AF$156,MATCH($R9,$A$6:$A$156,0)),WorkDays,1)+IF($Q9=0,0,1)+$T9))),IF($U9="",0,IF($V9="SS",INDEX(WorkDays,MATCH(INDEX($AE$6:$AE$156,MATCH($U9,$A$6:$A$156,0))-1,WorkDays,1)+1+$W9),INDEX(WorkDays,MATCH(INDEX($AF$6:$AF$156,MATCH($U9,$A$6:$A$156,0)),WorkDays,1)+IF($Q9=0,0,1)+$W9)))))</f>
        <v>45950</v>
      </c>
      <c r="AF9" s="61" t="n">
        <f aca="false">IF($AB9&lt;&gt;"",$AB9,IF($Q9=0,$AE9,INDEX(WorkDays,MATCH(MAX($AE9,NextWD)-1,WorkDays,1)+$AD9)))</f>
        <v>45950</v>
      </c>
      <c r="AG9" s="56" t="str">
        <f aca="false">IF($AB9&lt;&gt;"","Completed",IF($AA9&lt;&gt;"","In Progress",IF(AND($Y9&lt;&gt;"",$Y9&lt;=DataDate),"Not Started (Late)","Not Started")))</f>
        <v>Completed</v>
      </c>
      <c r="AH9" s="64" t="n">
        <f aca="false">IF($Z9="","",MATCH($AF9,WorkDays,1)-MATCH($Z9,WorkDays,1))</f>
        <v>-77</v>
      </c>
      <c r="AI9" s="57" t="str">
        <f aca="false">IF($O9="","",$O9*IF($AB9&lt;&gt;"",1,$AC9))</f>
        <v/>
      </c>
      <c r="AJ9" s="55" t="s">
        <v>166</v>
      </c>
    </row>
    <row r="10" customFormat="false" ht="15" hidden="false" customHeight="false" outlineLevel="2" collapsed="false">
      <c r="A10" s="46" t="s">
        <v>167</v>
      </c>
      <c r="B10" s="47" t="n">
        <v>3</v>
      </c>
      <c r="C10" s="48" t="s">
        <v>168</v>
      </c>
      <c r="D10" s="46"/>
      <c r="E10" s="46"/>
      <c r="F10" s="46"/>
      <c r="G10" s="46"/>
      <c r="H10" s="46"/>
      <c r="I10" s="46"/>
      <c r="J10" s="46" t="n">
        <f aca="false">SUMIF($B$11:$B$13,4,$J$11:$J$13)</f>
        <v>0</v>
      </c>
      <c r="K10" s="46"/>
      <c r="L10" s="46"/>
      <c r="M10" s="46"/>
      <c r="N10" s="46"/>
      <c r="O10" s="49" t="str">
        <f aca="false">IF(SUMIF($B$11:$B$13,4,$O$11:$O$13)=0,"",SUMIF($B$11:$B$13,4,$O$11:$O$13))</f>
        <v/>
      </c>
      <c r="P10" s="46"/>
      <c r="Q10" s="46"/>
      <c r="R10" s="46"/>
      <c r="S10" s="46"/>
      <c r="T10" s="46"/>
      <c r="U10" s="46"/>
      <c r="V10" s="46"/>
      <c r="W10" s="46"/>
      <c r="X10" s="46"/>
      <c r="Y10" s="50" t="n">
        <f aca="false">MIN($Y$11:$Y$13)</f>
        <v>46060</v>
      </c>
      <c r="Z10" s="50" t="n">
        <f aca="false">MAX($Z$11:$Z$13)</f>
        <v>46083</v>
      </c>
      <c r="AA10" s="50" t="n">
        <f aca="false">IF(COUNT($AA$11:$AA$13)=0,"",MIN($AA$11:$AA$13))</f>
        <v>45990</v>
      </c>
      <c r="AB10" s="50" t="n">
        <f aca="false">IF(COUNTIFS($B$11:$B$13,4,$AG$11:$AG$13,"Completed")=COUNTIF($B$11:$B$13,4),MAX($AB$11:$AB$13),"")</f>
        <v>46013</v>
      </c>
      <c r="AC10" s="51" t="n">
        <f aca="false">IFERROR(IF(SUMIF($B$11:$B$13,4,$O$11:$O$13)&gt;0,SUMIF($B$11:$B$13,4,$AI$11:$AI$13)/SUMIF($B$11:$B$13,4,$O$11:$O$13),IFERROR(SUMPRODUCT(--($B$11:$B$13=4),$Q$11:$Q$13,$AC$11:$AC$13)/SUMIF($B$11:$B$13,4,$Q$11:$Q$13),AVERAGEIF($B$11:$B$13,4,$AC$11:$AC$13))),"")</f>
        <v>1</v>
      </c>
      <c r="AD10" s="46"/>
      <c r="AE10" s="50" t="n">
        <f aca="false">MIN($AE$11:$AE$13)</f>
        <v>45990</v>
      </c>
      <c r="AF10" s="50" t="n">
        <f aca="false">MAX($AF$11:$AF$13)</f>
        <v>46013</v>
      </c>
      <c r="AG10" s="46" t="str">
        <f aca="false">IF(COUNTIFS($B$11:$B$13,4,$AG$11:$AG$13,"Completed")=COUNTIF($B$11:$B$13,4),"Completed",IF(COUNTIFS($B$11:$B$13,4,$AG$11:$AG$13,"Not Started*")=COUNTIF($B$11:$B$13,4),"Not Started","In Progress"))</f>
        <v>Completed</v>
      </c>
      <c r="AH10" s="52" t="n">
        <f aca="false">MATCH($AF10,WorkDays,1)-MATCH($Z10,WorkDays,1)</f>
        <v>-57</v>
      </c>
      <c r="AI10" s="49" t="str">
        <f aca="false">IF(SUMIF($B$11:$B$13,4,$O$11:$O$13)=0,"",SUMIF($B$11:$B$13,4,$AI$11:$AI$13))</f>
        <v/>
      </c>
      <c r="AJ10" s="46" t="str">
        <f aca="false">"P6 check: "&amp;INDEX('P6 Roll-up'!$AB$5:$AB$22,MATCH($A10,'P6 Roll-up'!$A$5:$A$22,0))</f>
        <v>P6 check: ✔ Same as P6</v>
      </c>
    </row>
    <row r="11" customFormat="false" ht="22.35" hidden="false" customHeight="false" outlineLevel="3" collapsed="false">
      <c r="A11" s="53" t="s">
        <v>169</v>
      </c>
      <c r="B11" s="25" t="n">
        <v>4</v>
      </c>
      <c r="C11" s="55" t="s">
        <v>170</v>
      </c>
      <c r="D11" s="55" t="s">
        <v>171</v>
      </c>
      <c r="E11" s="25"/>
      <c r="F11" s="55"/>
      <c r="G11" s="55"/>
      <c r="H11" s="55" t="s">
        <v>172</v>
      </c>
      <c r="I11" s="55"/>
      <c r="J11" s="25" t="n">
        <f aca="false">COUNTIF('BIM Element Map'!$J$6:$J$1000,$A11)</f>
        <v>0</v>
      </c>
      <c r="K11" s="56"/>
      <c r="L11" s="25" t="s">
        <v>173</v>
      </c>
      <c r="M11" s="55" t="s">
        <v>55</v>
      </c>
      <c r="N11" s="55" t="s">
        <v>167</v>
      </c>
      <c r="O11" s="57"/>
      <c r="P11" s="25"/>
      <c r="Q11" s="58" t="n">
        <v>14</v>
      </c>
      <c r="R11" s="59"/>
      <c r="S11" s="58"/>
      <c r="T11" s="58"/>
      <c r="U11" s="59"/>
      <c r="V11" s="58"/>
      <c r="W11" s="58"/>
      <c r="X11" s="60" t="n">
        <v>45990</v>
      </c>
      <c r="Y11" s="61" t="n">
        <v>46060</v>
      </c>
      <c r="Z11" s="61" t="n">
        <v>46076</v>
      </c>
      <c r="AA11" s="62" t="n">
        <v>45990</v>
      </c>
      <c r="AB11" s="62" t="n">
        <v>46006</v>
      </c>
      <c r="AC11" s="63" t="n">
        <v>1</v>
      </c>
      <c r="AD11" s="25" t="n">
        <f aca="false">IF($AB11&lt;&gt;"",0,IF($AA11="",$Q11,MAX(1,ROUND($Q11*(1-$AC11),0))))</f>
        <v>0</v>
      </c>
      <c r="AE11" s="61" t="n">
        <f aca="false">IF($AA11&lt;&gt;"",$AA11,MAX($X11,NextWD,IF($R11="",0,IF($S11="SS",INDEX(WorkDays,MATCH(INDEX($AE$6:$AE$156,MATCH($R11,$A$6:$A$156,0))-1,WorkDays,1)+1+$T11),INDEX(WorkDays,MATCH(INDEX($AF$6:$AF$156,MATCH($R11,$A$6:$A$156,0)),WorkDays,1)+IF($Q11=0,0,1)+$T11))),IF($U11="",0,IF($V11="SS",INDEX(WorkDays,MATCH(INDEX($AE$6:$AE$156,MATCH($U11,$A$6:$A$156,0))-1,WorkDays,1)+1+$W11),INDEX(WorkDays,MATCH(INDEX($AF$6:$AF$156,MATCH($U11,$A$6:$A$156,0)),WorkDays,1)+IF($Q11=0,0,1)+$W11)))))</f>
        <v>45990</v>
      </c>
      <c r="AF11" s="61" t="n">
        <f aca="false">IF($AB11&lt;&gt;"",$AB11,IF($Q11=0,$AE11,INDEX(WorkDays,MATCH(MAX($AE11,NextWD)-1,WorkDays,1)+$AD11)))</f>
        <v>46006</v>
      </c>
      <c r="AG11" s="56" t="str">
        <f aca="false">IF($AB11&lt;&gt;"","Completed",IF($AA11&lt;&gt;"","In Progress",IF(AND($Y11&lt;&gt;"",$Y11&lt;=DataDate),"Not Started (Late)","Not Started")))</f>
        <v>Completed</v>
      </c>
      <c r="AH11" s="64" t="n">
        <f aca="false">IF($Z11="","",MATCH($AF11,WorkDays,1)-MATCH($Z11,WorkDays,1))</f>
        <v>-57</v>
      </c>
      <c r="AI11" s="57" t="str">
        <f aca="false">IF($O11="","",$O11*IF($AB11&lt;&gt;"",1,$AC11))</f>
        <v/>
      </c>
      <c r="AJ11" s="55" t="s">
        <v>174</v>
      </c>
    </row>
    <row r="12" customFormat="false" ht="22.35" hidden="false" customHeight="false" outlineLevel="3" collapsed="false">
      <c r="A12" s="53" t="s">
        <v>175</v>
      </c>
      <c r="B12" s="25" t="n">
        <v>4</v>
      </c>
      <c r="C12" s="55" t="s">
        <v>176</v>
      </c>
      <c r="D12" s="55" t="s">
        <v>171</v>
      </c>
      <c r="E12" s="25"/>
      <c r="F12" s="55"/>
      <c r="G12" s="55"/>
      <c r="H12" s="55" t="s">
        <v>172</v>
      </c>
      <c r="I12" s="55"/>
      <c r="J12" s="25" t="n">
        <f aca="false">COUNTIF('BIM Element Map'!$J$6:$J$1000,$A12)</f>
        <v>0</v>
      </c>
      <c r="K12" s="56"/>
      <c r="L12" s="25" t="s">
        <v>173</v>
      </c>
      <c r="M12" s="55" t="s">
        <v>55</v>
      </c>
      <c r="N12" s="55" t="s">
        <v>167</v>
      </c>
      <c r="O12" s="57"/>
      <c r="P12" s="25"/>
      <c r="Q12" s="58" t="n">
        <v>6</v>
      </c>
      <c r="R12" s="59" t="s">
        <v>169</v>
      </c>
      <c r="S12" s="58" t="s">
        <v>177</v>
      </c>
      <c r="T12" s="58" t="n">
        <v>0</v>
      </c>
      <c r="U12" s="59"/>
      <c r="V12" s="58"/>
      <c r="W12" s="58"/>
      <c r="X12" s="60"/>
      <c r="Y12" s="61" t="n">
        <v>46077</v>
      </c>
      <c r="Z12" s="61" t="n">
        <v>46083</v>
      </c>
      <c r="AA12" s="62" t="n">
        <v>46007</v>
      </c>
      <c r="AB12" s="62" t="n">
        <v>46013</v>
      </c>
      <c r="AC12" s="63" t="n">
        <v>1</v>
      </c>
      <c r="AD12" s="25" t="n">
        <f aca="false">IF($AB12&lt;&gt;"",0,IF($AA12="",$Q12,MAX(1,ROUND($Q12*(1-$AC12),0))))</f>
        <v>0</v>
      </c>
      <c r="AE12" s="61" t="n">
        <f aca="false">IF($AA12&lt;&gt;"",$AA12,MAX($X12,NextWD,IF($R12="",0,IF($S12="SS",INDEX(WorkDays,MATCH(INDEX($AE$6:$AE$156,MATCH($R12,$A$6:$A$156,0))-1,WorkDays,1)+1+$T12),INDEX(WorkDays,MATCH(INDEX($AF$6:$AF$156,MATCH($R12,$A$6:$A$156,0)),WorkDays,1)+IF($Q12=0,0,1)+$T12))),IF($U12="",0,IF($V12="SS",INDEX(WorkDays,MATCH(INDEX($AE$6:$AE$156,MATCH($U12,$A$6:$A$156,0))-1,WorkDays,1)+1+$W12),INDEX(WorkDays,MATCH(INDEX($AF$6:$AF$156,MATCH($U12,$A$6:$A$156,0)),WorkDays,1)+IF($Q12=0,0,1)+$W12)))))</f>
        <v>46007</v>
      </c>
      <c r="AF12" s="61" t="n">
        <f aca="false">IF($AB12&lt;&gt;"",$AB12,IF($Q12=0,$AE12,INDEX(WorkDays,MATCH(MAX($AE12,NextWD)-1,WorkDays,1)+$AD12)))</f>
        <v>46013</v>
      </c>
      <c r="AG12" s="56" t="str">
        <f aca="false">IF($AB12&lt;&gt;"","Completed",IF($AA12&lt;&gt;"","In Progress",IF(AND($Y12&lt;&gt;"",$Y12&lt;=DataDate),"Not Started (Late)","Not Started")))</f>
        <v>Completed</v>
      </c>
      <c r="AH12" s="64" t="n">
        <f aca="false">IF($Z12="","",MATCH($AF12,WorkDays,1)-MATCH($Z12,WorkDays,1))</f>
        <v>-57</v>
      </c>
      <c r="AI12" s="57" t="str">
        <f aca="false">IF($O12="","",$O12*IF($AB12&lt;&gt;"",1,$AC12))</f>
        <v/>
      </c>
      <c r="AJ12" s="55" t="s">
        <v>174</v>
      </c>
    </row>
    <row r="13" customFormat="false" ht="22.35" hidden="false" customHeight="false" outlineLevel="3" collapsed="false">
      <c r="A13" s="53" t="s">
        <v>178</v>
      </c>
      <c r="B13" s="25" t="n">
        <v>4</v>
      </c>
      <c r="C13" s="54" t="s">
        <v>179</v>
      </c>
      <c r="D13" s="55" t="s">
        <v>50</v>
      </c>
      <c r="E13" s="25"/>
      <c r="F13" s="55"/>
      <c r="G13" s="55"/>
      <c r="H13" s="55" t="s">
        <v>165</v>
      </c>
      <c r="I13" s="55"/>
      <c r="J13" s="25" t="n">
        <f aca="false">COUNTIF('BIM Element Map'!$J$6:$J$1000,$A13)</f>
        <v>0</v>
      </c>
      <c r="K13" s="56"/>
      <c r="L13" s="25" t="s">
        <v>50</v>
      </c>
      <c r="M13" s="55" t="s">
        <v>55</v>
      </c>
      <c r="N13" s="55" t="s">
        <v>167</v>
      </c>
      <c r="O13" s="57"/>
      <c r="P13" s="25"/>
      <c r="Q13" s="58" t="n">
        <v>0</v>
      </c>
      <c r="R13" s="59" t="s">
        <v>175</v>
      </c>
      <c r="S13" s="58" t="s">
        <v>177</v>
      </c>
      <c r="T13" s="58" t="n">
        <v>0</v>
      </c>
      <c r="U13" s="59"/>
      <c r="V13" s="58"/>
      <c r="W13" s="58"/>
      <c r="X13" s="60"/>
      <c r="Y13" s="61" t="n">
        <v>46083</v>
      </c>
      <c r="Z13" s="61" t="n">
        <v>46083</v>
      </c>
      <c r="AA13" s="62" t="n">
        <v>46013</v>
      </c>
      <c r="AB13" s="62" t="n">
        <v>46013</v>
      </c>
      <c r="AC13" s="63" t="n">
        <v>1</v>
      </c>
      <c r="AD13" s="25" t="n">
        <f aca="false">IF($AB13&lt;&gt;"",0,IF($AA13="",$Q13,MAX(1,ROUND($Q13*(1-$AC13),0))))</f>
        <v>0</v>
      </c>
      <c r="AE13" s="61" t="n">
        <f aca="false">IF($AA13&lt;&gt;"",$AA13,MAX($X13,NextWD,IF($R13="",0,IF($S13="SS",INDEX(WorkDays,MATCH(INDEX($AE$6:$AE$156,MATCH($R13,$A$6:$A$156,0))-1,WorkDays,1)+1+$T13),INDEX(WorkDays,MATCH(INDEX($AF$6:$AF$156,MATCH($R13,$A$6:$A$156,0)),WorkDays,1)+IF($Q13=0,0,1)+$T13))),IF($U13="",0,IF($V13="SS",INDEX(WorkDays,MATCH(INDEX($AE$6:$AE$156,MATCH($U13,$A$6:$A$156,0))-1,WorkDays,1)+1+$W13),INDEX(WorkDays,MATCH(INDEX($AF$6:$AF$156,MATCH($U13,$A$6:$A$156,0)),WorkDays,1)+IF($Q13=0,0,1)+$W13)))))</f>
        <v>46013</v>
      </c>
      <c r="AF13" s="61" t="n">
        <f aca="false">IF($AB13&lt;&gt;"",$AB13,IF($Q13=0,$AE13,INDEX(WorkDays,MATCH(MAX($AE13,NextWD)-1,WorkDays,1)+$AD13)))</f>
        <v>46013</v>
      </c>
      <c r="AG13" s="56" t="str">
        <f aca="false">IF($AB13&lt;&gt;"","Completed",IF($AA13&lt;&gt;"","In Progress",IF(AND($Y13&lt;&gt;"",$Y13&lt;=DataDate),"Not Started (Late)","Not Started")))</f>
        <v>Completed</v>
      </c>
      <c r="AH13" s="64" t="n">
        <f aca="false">IF($Z13="","",MATCH($AF13,WorkDays,1)-MATCH($Z13,WorkDays,1))</f>
        <v>-57</v>
      </c>
      <c r="AI13" s="57" t="str">
        <f aca="false">IF($O13="","",$O13*IF($AB13&lt;&gt;"",1,$AC13))</f>
        <v/>
      </c>
      <c r="AJ13" s="55" t="s">
        <v>174</v>
      </c>
    </row>
    <row r="14" customFormat="false" ht="15" hidden="false" customHeight="false" outlineLevel="2" collapsed="false">
      <c r="A14" s="46" t="s">
        <v>180</v>
      </c>
      <c r="B14" s="47" t="n">
        <v>3</v>
      </c>
      <c r="C14" s="48" t="s">
        <v>181</v>
      </c>
      <c r="D14" s="46"/>
      <c r="E14" s="46"/>
      <c r="F14" s="46"/>
      <c r="G14" s="46"/>
      <c r="H14" s="46"/>
      <c r="I14" s="46"/>
      <c r="J14" s="46" t="n">
        <f aca="false">SUMIF($B$15:$B$17,4,$J$15:$J$17)</f>
        <v>0</v>
      </c>
      <c r="K14" s="46"/>
      <c r="L14" s="46"/>
      <c r="M14" s="46"/>
      <c r="N14" s="46"/>
      <c r="O14" s="49" t="str">
        <f aca="false">IF(SUMIF($B$15:$B$17,4,$O$15:$O$17)=0,"",SUMIF($B$15:$B$17,4,$O$15:$O$17))</f>
        <v/>
      </c>
      <c r="P14" s="46"/>
      <c r="Q14" s="46"/>
      <c r="R14" s="46"/>
      <c r="S14" s="46"/>
      <c r="T14" s="46"/>
      <c r="U14" s="46"/>
      <c r="V14" s="46"/>
      <c r="W14" s="46"/>
      <c r="X14" s="46"/>
      <c r="Y14" s="50" t="n">
        <f aca="false">MIN($Y$15:$Y$17)</f>
        <v>46042</v>
      </c>
      <c r="Z14" s="50" t="n">
        <f aca="false">MAX($Z$15:$Z$17)</f>
        <v>46077</v>
      </c>
      <c r="AA14" s="50" t="n">
        <f aca="false">IF(COUNT($AA$15:$AA$17)=0,"",MIN($AA$15:$AA$17))</f>
        <v>46014</v>
      </c>
      <c r="AB14" s="50" t="n">
        <f aca="false">IF(COUNTIFS($B$15:$B$17,4,$AG$15:$AG$17,"Completed")=COUNTIF($B$15:$B$17,4),MAX($AB$15:$AB$17),"")</f>
        <v>46029</v>
      </c>
      <c r="AC14" s="51" t="n">
        <f aca="false">IFERROR(IF(SUMIF($B$15:$B$17,4,$O$15:$O$17)&gt;0,SUMIF($B$15:$B$17,4,$AI$15:$AI$17)/SUMIF($B$15:$B$17,4,$O$15:$O$17),IFERROR(SUMPRODUCT(--($B$15:$B$17=4),$Q$15:$Q$17,$AC$15:$AC$17)/SUMIF($B$15:$B$17,4,$Q$15:$Q$17),AVERAGEIF($B$15:$B$17,4,$AC$15:$AC$17))),"")</f>
        <v>1</v>
      </c>
      <c r="AD14" s="46"/>
      <c r="AE14" s="50" t="n">
        <f aca="false">MIN($AE$15:$AE$17)</f>
        <v>46014</v>
      </c>
      <c r="AF14" s="50" t="n">
        <f aca="false">MAX($AF$15:$AF$17)</f>
        <v>46029</v>
      </c>
      <c r="AG14" s="46" t="str">
        <f aca="false">IF(COUNTIFS($B$15:$B$17,4,$AG$15:$AG$17,"Completed")=COUNTIF($B$15:$B$17,4),"Completed",IF(COUNTIFS($B$15:$B$17,4,$AG$15:$AG$17,"Not Started*")=COUNTIF($B$15:$B$17,4),"Not Started","In Progress"))</f>
        <v>Completed</v>
      </c>
      <c r="AH14" s="52" t="n">
        <f aca="false">MATCH($AF14,WorkDays,1)-MATCH($Z14,WorkDays,1)</f>
        <v>-40</v>
      </c>
      <c r="AI14" s="49" t="str">
        <f aca="false">IF(SUMIF($B$15:$B$17,4,$O$15:$O$17)=0,"",SUMIF($B$15:$B$17,4,$AI$15:$AI$17))</f>
        <v/>
      </c>
      <c r="AJ14" s="46" t="str">
        <f aca="false">"P6 check: "&amp;INDEX('P6 Roll-up'!$AB$5:$AB$22,MATCH($A14,'P6 Roll-up'!$A$5:$A$22,0))</f>
        <v>P6 check: ✔ Same as P6</v>
      </c>
    </row>
    <row r="15" customFormat="false" ht="22.35" hidden="false" customHeight="false" outlineLevel="3" collapsed="false">
      <c r="A15" s="53" t="s">
        <v>182</v>
      </c>
      <c r="B15" s="25" t="n">
        <v>4</v>
      </c>
      <c r="C15" s="55" t="s">
        <v>183</v>
      </c>
      <c r="D15" s="55" t="s">
        <v>171</v>
      </c>
      <c r="E15" s="25"/>
      <c r="F15" s="55"/>
      <c r="G15" s="55"/>
      <c r="H15" s="55" t="s">
        <v>172</v>
      </c>
      <c r="I15" s="55"/>
      <c r="J15" s="25" t="n">
        <f aca="false">COUNTIF('BIM Element Map'!$J$6:$J$1000,$A15)</f>
        <v>0</v>
      </c>
      <c r="K15" s="56"/>
      <c r="L15" s="25" t="s">
        <v>173</v>
      </c>
      <c r="M15" s="55" t="s">
        <v>184</v>
      </c>
      <c r="N15" s="55" t="s">
        <v>180</v>
      </c>
      <c r="O15" s="57"/>
      <c r="P15" s="25"/>
      <c r="Q15" s="58" t="n">
        <v>7</v>
      </c>
      <c r="R15" s="59"/>
      <c r="S15" s="58"/>
      <c r="T15" s="58"/>
      <c r="U15" s="59"/>
      <c r="V15" s="58"/>
      <c r="W15" s="58"/>
      <c r="X15" s="60" t="n">
        <v>46014</v>
      </c>
      <c r="Y15" s="61" t="n">
        <v>46042</v>
      </c>
      <c r="Z15" s="61" t="n">
        <v>46063</v>
      </c>
      <c r="AA15" s="62" t="n">
        <v>46014</v>
      </c>
      <c r="AB15" s="62" t="n">
        <v>46022</v>
      </c>
      <c r="AC15" s="63" t="n">
        <v>1</v>
      </c>
      <c r="AD15" s="25" t="n">
        <f aca="false">IF($AB15&lt;&gt;"",0,IF($AA15="",$Q15,MAX(1,ROUND($Q15*(1-$AC15),0))))</f>
        <v>0</v>
      </c>
      <c r="AE15" s="61" t="n">
        <f aca="false">IF($AA15&lt;&gt;"",$AA15,MAX($X15,NextWD,IF($R15="",0,IF($S15="SS",INDEX(WorkDays,MATCH(INDEX($AE$6:$AE$156,MATCH($R15,$A$6:$A$156,0))-1,WorkDays,1)+1+$T15),INDEX(WorkDays,MATCH(INDEX($AF$6:$AF$156,MATCH($R15,$A$6:$A$156,0)),WorkDays,1)+IF($Q15=0,0,1)+$T15))),IF($U15="",0,IF($V15="SS",INDEX(WorkDays,MATCH(INDEX($AE$6:$AE$156,MATCH($U15,$A$6:$A$156,0))-1,WorkDays,1)+1+$W15),INDEX(WorkDays,MATCH(INDEX($AF$6:$AF$156,MATCH($U15,$A$6:$A$156,0)),WorkDays,1)+IF($Q15=0,0,1)+$W15)))))</f>
        <v>46014</v>
      </c>
      <c r="AF15" s="61" t="n">
        <f aca="false">IF($AB15&lt;&gt;"",$AB15,IF($Q15=0,$AE15,INDEX(WorkDays,MATCH(MAX($AE15,NextWD)-1,WorkDays,1)+$AD15)))</f>
        <v>46022</v>
      </c>
      <c r="AG15" s="56" t="str">
        <f aca="false">IF($AB15&lt;&gt;"","Completed",IF($AA15&lt;&gt;"","In Progress",IF(AND($Y15&lt;&gt;"",$Y15&lt;=DataDate),"Not Started (Late)","Not Started")))</f>
        <v>Completed</v>
      </c>
      <c r="AH15" s="64" t="n">
        <f aca="false">IF($Z15="","",MATCH($AF15,WorkDays,1)-MATCH($Z15,WorkDays,1))</f>
        <v>-33</v>
      </c>
      <c r="AI15" s="57" t="str">
        <f aca="false">IF($O15="","",$O15*IF($AB15&lt;&gt;"",1,$AC15))</f>
        <v/>
      </c>
      <c r="AJ15" s="55" t="s">
        <v>174</v>
      </c>
    </row>
    <row r="16" customFormat="false" ht="22.35" hidden="false" customHeight="false" outlineLevel="3" collapsed="false">
      <c r="A16" s="53" t="s">
        <v>185</v>
      </c>
      <c r="B16" s="25" t="n">
        <v>4</v>
      </c>
      <c r="C16" s="55" t="s">
        <v>186</v>
      </c>
      <c r="D16" s="55" t="s">
        <v>171</v>
      </c>
      <c r="E16" s="25"/>
      <c r="F16" s="55"/>
      <c r="G16" s="55"/>
      <c r="H16" s="55" t="s">
        <v>172</v>
      </c>
      <c r="I16" s="55"/>
      <c r="J16" s="25" t="n">
        <f aca="false">COUNTIF('BIM Element Map'!$J$6:$J$1000,$A16)</f>
        <v>0</v>
      </c>
      <c r="K16" s="56"/>
      <c r="L16" s="25" t="s">
        <v>173</v>
      </c>
      <c r="M16" s="55" t="s">
        <v>184</v>
      </c>
      <c r="N16" s="55" t="s">
        <v>180</v>
      </c>
      <c r="O16" s="57"/>
      <c r="P16" s="25"/>
      <c r="Q16" s="58" t="n">
        <v>5</v>
      </c>
      <c r="R16" s="59" t="s">
        <v>182</v>
      </c>
      <c r="S16" s="58" t="s">
        <v>177</v>
      </c>
      <c r="T16" s="58" t="n">
        <v>0</v>
      </c>
      <c r="U16" s="59"/>
      <c r="V16" s="58"/>
      <c r="W16" s="58"/>
      <c r="X16" s="60"/>
      <c r="Y16" s="61" t="n">
        <v>46064</v>
      </c>
      <c r="Z16" s="61" t="n">
        <v>46077</v>
      </c>
      <c r="AA16" s="62" t="n">
        <v>46024</v>
      </c>
      <c r="AB16" s="62" t="n">
        <v>46029</v>
      </c>
      <c r="AC16" s="63" t="n">
        <v>1</v>
      </c>
      <c r="AD16" s="25" t="n">
        <f aca="false">IF($AB16&lt;&gt;"",0,IF($AA16="",$Q16,MAX(1,ROUND($Q16*(1-$AC16),0))))</f>
        <v>0</v>
      </c>
      <c r="AE16" s="61" t="n">
        <f aca="false">IF($AA16&lt;&gt;"",$AA16,MAX($X16,NextWD,IF($R16="",0,IF($S16="SS",INDEX(WorkDays,MATCH(INDEX($AE$6:$AE$156,MATCH($R16,$A$6:$A$156,0))-1,WorkDays,1)+1+$T16),INDEX(WorkDays,MATCH(INDEX($AF$6:$AF$156,MATCH($R16,$A$6:$A$156,0)),WorkDays,1)+IF($Q16=0,0,1)+$T16))),IF($U16="",0,IF($V16="SS",INDEX(WorkDays,MATCH(INDEX($AE$6:$AE$156,MATCH($U16,$A$6:$A$156,0))-1,WorkDays,1)+1+$W16),INDEX(WorkDays,MATCH(INDEX($AF$6:$AF$156,MATCH($U16,$A$6:$A$156,0)),WorkDays,1)+IF($Q16=0,0,1)+$W16)))))</f>
        <v>46024</v>
      </c>
      <c r="AF16" s="61" t="n">
        <f aca="false">IF($AB16&lt;&gt;"",$AB16,IF($Q16=0,$AE16,INDEX(WorkDays,MATCH(MAX($AE16,NextWD)-1,WorkDays,1)+$AD16)))</f>
        <v>46029</v>
      </c>
      <c r="AG16" s="56" t="str">
        <f aca="false">IF($AB16&lt;&gt;"","Completed",IF($AA16&lt;&gt;"","In Progress",IF(AND($Y16&lt;&gt;"",$Y16&lt;=DataDate),"Not Started (Late)","Not Started")))</f>
        <v>Completed</v>
      </c>
      <c r="AH16" s="64" t="n">
        <f aca="false">IF($Z16="","",MATCH($AF16,WorkDays,1)-MATCH($Z16,WorkDays,1))</f>
        <v>-40</v>
      </c>
      <c r="AI16" s="57" t="str">
        <f aca="false">IF($O16="","",$O16*IF($AB16&lt;&gt;"",1,$AC16))</f>
        <v/>
      </c>
      <c r="AJ16" s="55" t="s">
        <v>174</v>
      </c>
    </row>
    <row r="17" customFormat="false" ht="22.35" hidden="false" customHeight="false" outlineLevel="3" collapsed="false">
      <c r="A17" s="53" t="s">
        <v>187</v>
      </c>
      <c r="B17" s="25" t="n">
        <v>4</v>
      </c>
      <c r="C17" s="54" t="s">
        <v>188</v>
      </c>
      <c r="D17" s="55" t="s">
        <v>50</v>
      </c>
      <c r="E17" s="25"/>
      <c r="F17" s="55"/>
      <c r="G17" s="55"/>
      <c r="H17" s="55" t="s">
        <v>165</v>
      </c>
      <c r="I17" s="55"/>
      <c r="J17" s="25" t="n">
        <f aca="false">COUNTIF('BIM Element Map'!$J$6:$J$1000,$A17)</f>
        <v>0</v>
      </c>
      <c r="K17" s="56"/>
      <c r="L17" s="25" t="s">
        <v>50</v>
      </c>
      <c r="M17" s="55"/>
      <c r="N17" s="55" t="s">
        <v>180</v>
      </c>
      <c r="O17" s="57"/>
      <c r="P17" s="25"/>
      <c r="Q17" s="58" t="n">
        <v>0</v>
      </c>
      <c r="R17" s="59" t="s">
        <v>185</v>
      </c>
      <c r="S17" s="58" t="s">
        <v>177</v>
      </c>
      <c r="T17" s="58" t="n">
        <v>0</v>
      </c>
      <c r="U17" s="59"/>
      <c r="V17" s="58"/>
      <c r="W17" s="58"/>
      <c r="X17" s="60"/>
      <c r="Y17" s="61" t="n">
        <v>46077</v>
      </c>
      <c r="Z17" s="61" t="n">
        <v>46077</v>
      </c>
      <c r="AA17" s="62" t="n">
        <v>46029</v>
      </c>
      <c r="AB17" s="62" t="n">
        <v>46029</v>
      </c>
      <c r="AC17" s="63" t="n">
        <v>1</v>
      </c>
      <c r="AD17" s="25" t="n">
        <f aca="false">IF($AB17&lt;&gt;"",0,IF($AA17="",$Q17,MAX(1,ROUND($Q17*(1-$AC17),0))))</f>
        <v>0</v>
      </c>
      <c r="AE17" s="61" t="n">
        <f aca="false">IF($AA17&lt;&gt;"",$AA17,MAX($X17,NextWD,IF($R17="",0,IF($S17="SS",INDEX(WorkDays,MATCH(INDEX($AE$6:$AE$156,MATCH($R17,$A$6:$A$156,0))-1,WorkDays,1)+1+$T17),INDEX(WorkDays,MATCH(INDEX($AF$6:$AF$156,MATCH($R17,$A$6:$A$156,0)),WorkDays,1)+IF($Q17=0,0,1)+$T17))),IF($U17="",0,IF($V17="SS",INDEX(WorkDays,MATCH(INDEX($AE$6:$AE$156,MATCH($U17,$A$6:$A$156,0))-1,WorkDays,1)+1+$W17),INDEX(WorkDays,MATCH(INDEX($AF$6:$AF$156,MATCH($U17,$A$6:$A$156,0)),WorkDays,1)+IF($Q17=0,0,1)+$W17)))))</f>
        <v>46029</v>
      </c>
      <c r="AF17" s="61" t="n">
        <f aca="false">IF($AB17&lt;&gt;"",$AB17,IF($Q17=0,$AE17,INDEX(WorkDays,MATCH(MAX($AE17,NextWD)-1,WorkDays,1)+$AD17)))</f>
        <v>46029</v>
      </c>
      <c r="AG17" s="56" t="str">
        <f aca="false">IF($AB17&lt;&gt;"","Completed",IF($AA17&lt;&gt;"","In Progress",IF(AND($Y17&lt;&gt;"",$Y17&lt;=DataDate),"Not Started (Late)","Not Started")))</f>
        <v>Completed</v>
      </c>
      <c r="AH17" s="64" t="n">
        <f aca="false">IF($Z17="","",MATCH($AF17,WorkDays,1)-MATCH($Z17,WorkDays,1))</f>
        <v>-40</v>
      </c>
      <c r="AI17" s="57" t="str">
        <f aca="false">IF($O17="","",$O17*IF($AB17&lt;&gt;"",1,$AC17))</f>
        <v/>
      </c>
      <c r="AJ17" s="55" t="s">
        <v>174</v>
      </c>
    </row>
    <row r="18" customFormat="false" ht="15" hidden="false" customHeight="false" outlineLevel="2" collapsed="false">
      <c r="A18" s="46" t="s">
        <v>189</v>
      </c>
      <c r="B18" s="47" t="n">
        <v>3</v>
      </c>
      <c r="C18" s="48" t="s">
        <v>190</v>
      </c>
      <c r="D18" s="46"/>
      <c r="E18" s="46"/>
      <c r="F18" s="46"/>
      <c r="G18" s="46"/>
      <c r="H18" s="46"/>
      <c r="I18" s="46"/>
      <c r="J18" s="46" t="n">
        <f aca="false">SUMIF($B$19:$B$21,4,$J$19:$J$21)</f>
        <v>0</v>
      </c>
      <c r="K18" s="46"/>
      <c r="L18" s="46"/>
      <c r="M18" s="46"/>
      <c r="N18" s="46"/>
      <c r="O18" s="49" t="str">
        <f aca="false">IF(SUMIF($B$19:$B$21,4,$O$19:$O$21)=0,"",SUMIF($B$19:$B$21,4,$O$19:$O$21))</f>
        <v/>
      </c>
      <c r="P18" s="46"/>
      <c r="Q18" s="46"/>
      <c r="R18" s="46"/>
      <c r="S18" s="46"/>
      <c r="T18" s="46"/>
      <c r="U18" s="46"/>
      <c r="V18" s="46"/>
      <c r="W18" s="46"/>
      <c r="X18" s="46"/>
      <c r="Y18" s="50" t="n">
        <f aca="false">MIN($Y$19:$Y$21)</f>
        <v>46265</v>
      </c>
      <c r="Z18" s="50" t="n">
        <f aca="false">MAX($Z$19:$Z$21)</f>
        <v>46305</v>
      </c>
      <c r="AA18" s="50" t="n">
        <f aca="false">IF(COUNT($AA$19:$AA$21)=0,"",MIN($AA$19:$AA$21))</f>
        <v>46265</v>
      </c>
      <c r="AB18" s="50" t="n">
        <f aca="false">IF(COUNTIFS($B$19:$B$21,4,$AG$19:$AG$21,"Completed")=COUNTIF($B$19:$B$21,4),MAX($AB$19:$AB$21),"")</f>
        <v>46289</v>
      </c>
      <c r="AC18" s="51" t="n">
        <f aca="false">IFERROR(IF(SUMIF($B$19:$B$21,4,$O$19:$O$21)&gt;0,SUMIF($B$19:$B$21,4,$AI$19:$AI$21)/SUMIF($B$19:$B$21,4,$O$19:$O$21),IFERROR(SUMPRODUCT(--($B$19:$B$21=4),$Q$19:$Q$21,$AC$19:$AC$21)/SUMIF($B$19:$B$21,4,$Q$19:$Q$21),AVERAGEIF($B$19:$B$21,4,$AC$19:$AC$21))),"")</f>
        <v>1</v>
      </c>
      <c r="AD18" s="46"/>
      <c r="AE18" s="50" t="n">
        <f aca="false">MIN($AE$19:$AE$21)</f>
        <v>46265</v>
      </c>
      <c r="AF18" s="50" t="n">
        <f aca="false">MAX($AF$19:$AF$21)</f>
        <v>46289</v>
      </c>
      <c r="AG18" s="46" t="str">
        <f aca="false">IF(COUNTIFS($B$19:$B$21,4,$AG$19:$AG$21,"Completed")=COUNTIF($B$19:$B$21,4),"Completed",IF(COUNTIFS($B$19:$B$21,4,$AG$19:$AG$21,"Not Started*")=COUNTIF($B$19:$B$21,4),"Not Started","In Progress"))</f>
        <v>Completed</v>
      </c>
      <c r="AH18" s="52" t="n">
        <f aca="false">MATCH($AF18,WorkDays,1)-MATCH($Z18,WorkDays,1)</f>
        <v>-13</v>
      </c>
      <c r="AI18" s="49" t="str">
        <f aca="false">IF(SUMIF($B$19:$B$21,4,$O$19:$O$21)=0,"",SUMIF($B$19:$B$21,4,$AI$19:$AI$21))</f>
        <v/>
      </c>
      <c r="AJ18" s="46" t="str">
        <f aca="false">"P6 check: "&amp;INDEX('P6 Roll-up'!$AB$5:$AB$22,MATCH($A18,'P6 Roll-up'!$A$5:$A$22,0))</f>
        <v>P6 check: ✔ Same as P6</v>
      </c>
    </row>
    <row r="19" customFormat="false" ht="22.35" hidden="false" customHeight="false" outlineLevel="3" collapsed="false">
      <c r="A19" s="53" t="s">
        <v>191</v>
      </c>
      <c r="B19" s="25" t="n">
        <v>4</v>
      </c>
      <c r="C19" s="55" t="s">
        <v>192</v>
      </c>
      <c r="D19" s="55" t="s">
        <v>171</v>
      </c>
      <c r="E19" s="25"/>
      <c r="F19" s="55"/>
      <c r="G19" s="55"/>
      <c r="H19" s="55" t="s">
        <v>172</v>
      </c>
      <c r="I19" s="55"/>
      <c r="J19" s="25" t="n">
        <f aca="false">COUNTIF('BIM Element Map'!$J$6:$J$1000,$A19)</f>
        <v>0</v>
      </c>
      <c r="K19" s="56"/>
      <c r="L19" s="25" t="s">
        <v>173</v>
      </c>
      <c r="M19" s="55"/>
      <c r="N19" s="55" t="s">
        <v>189</v>
      </c>
      <c r="O19" s="57"/>
      <c r="P19" s="25"/>
      <c r="Q19" s="58" t="n">
        <v>13</v>
      </c>
      <c r="R19" s="59"/>
      <c r="S19" s="58"/>
      <c r="T19" s="58"/>
      <c r="U19" s="59"/>
      <c r="V19" s="58"/>
      <c r="W19" s="58"/>
      <c r="X19" s="60" t="n">
        <v>46265</v>
      </c>
      <c r="Y19" s="61" t="n">
        <v>46265</v>
      </c>
      <c r="Z19" s="61" t="n">
        <v>46288</v>
      </c>
      <c r="AA19" s="62" t="n">
        <v>46265</v>
      </c>
      <c r="AB19" s="62" t="n">
        <v>46279</v>
      </c>
      <c r="AC19" s="63" t="n">
        <v>1</v>
      </c>
      <c r="AD19" s="25" t="n">
        <f aca="false">IF($AB19&lt;&gt;"",0,IF($AA19="",$Q19,MAX(1,ROUND($Q19*(1-$AC19),0))))</f>
        <v>0</v>
      </c>
      <c r="AE19" s="61" t="n">
        <f aca="false">IF($AA19&lt;&gt;"",$AA19,MAX($X19,NextWD,IF($R19="",0,IF($S19="SS",INDEX(WorkDays,MATCH(INDEX($AE$6:$AE$156,MATCH($R19,$A$6:$A$156,0))-1,WorkDays,1)+1+$T19),INDEX(WorkDays,MATCH(INDEX($AF$6:$AF$156,MATCH($R19,$A$6:$A$156,0)),WorkDays,1)+IF($Q19=0,0,1)+$T19))),IF($U19="",0,IF($V19="SS",INDEX(WorkDays,MATCH(INDEX($AE$6:$AE$156,MATCH($U19,$A$6:$A$156,0))-1,WorkDays,1)+1+$W19),INDEX(WorkDays,MATCH(INDEX($AF$6:$AF$156,MATCH($U19,$A$6:$A$156,0)),WorkDays,1)+IF($Q19=0,0,1)+$W19)))))</f>
        <v>46265</v>
      </c>
      <c r="AF19" s="61" t="n">
        <f aca="false">IF($AB19&lt;&gt;"",$AB19,IF($Q19=0,$AE19,INDEX(WorkDays,MATCH(MAX($AE19,NextWD)-1,WorkDays,1)+$AD19)))</f>
        <v>46279</v>
      </c>
      <c r="AG19" s="56" t="str">
        <f aca="false">IF($AB19&lt;&gt;"","Completed",IF($AA19&lt;&gt;"","In Progress",IF(AND($Y19&lt;&gt;"",$Y19&lt;=DataDate),"Not Started (Late)","Not Started")))</f>
        <v>Completed</v>
      </c>
      <c r="AH19" s="64" t="n">
        <f aca="false">IF($Z19="","",MATCH($AF19,WorkDays,1)-MATCH($Z19,WorkDays,1))</f>
        <v>-8</v>
      </c>
      <c r="AI19" s="57" t="str">
        <f aca="false">IF($O19="","",$O19*IF($AB19&lt;&gt;"",1,$AC19))</f>
        <v/>
      </c>
      <c r="AJ19" s="55" t="s">
        <v>174</v>
      </c>
    </row>
    <row r="20" customFormat="false" ht="22.35" hidden="false" customHeight="false" outlineLevel="3" collapsed="false">
      <c r="A20" s="53" t="s">
        <v>193</v>
      </c>
      <c r="B20" s="25" t="n">
        <v>4</v>
      </c>
      <c r="C20" s="55" t="s">
        <v>194</v>
      </c>
      <c r="D20" s="55" t="s">
        <v>171</v>
      </c>
      <c r="E20" s="25"/>
      <c r="F20" s="55"/>
      <c r="G20" s="55"/>
      <c r="H20" s="55" t="s">
        <v>172</v>
      </c>
      <c r="I20" s="55"/>
      <c r="J20" s="25" t="n">
        <f aca="false">COUNTIF('BIM Element Map'!$J$6:$J$1000,$A20)</f>
        <v>0</v>
      </c>
      <c r="K20" s="56"/>
      <c r="L20" s="25" t="s">
        <v>173</v>
      </c>
      <c r="M20" s="55"/>
      <c r="N20" s="55" t="s">
        <v>189</v>
      </c>
      <c r="O20" s="57"/>
      <c r="P20" s="25"/>
      <c r="Q20" s="58" t="n">
        <v>9</v>
      </c>
      <c r="R20" s="59" t="s">
        <v>191</v>
      </c>
      <c r="S20" s="58" t="s">
        <v>177</v>
      </c>
      <c r="T20" s="58" t="n">
        <v>0</v>
      </c>
      <c r="U20" s="59"/>
      <c r="V20" s="58"/>
      <c r="W20" s="58"/>
      <c r="X20" s="60"/>
      <c r="Y20" s="61" t="n">
        <v>46289</v>
      </c>
      <c r="Z20" s="61" t="n">
        <v>46305</v>
      </c>
      <c r="AA20" s="62" t="n">
        <v>46280</v>
      </c>
      <c r="AB20" s="62" t="n">
        <v>46289</v>
      </c>
      <c r="AC20" s="63" t="n">
        <v>1</v>
      </c>
      <c r="AD20" s="25" t="n">
        <f aca="false">IF($AB20&lt;&gt;"",0,IF($AA20="",$Q20,MAX(1,ROUND($Q20*(1-$AC20),0))))</f>
        <v>0</v>
      </c>
      <c r="AE20" s="61" t="n">
        <f aca="false">IF($AA20&lt;&gt;"",$AA20,MAX($X20,NextWD,IF($R20="",0,IF($S20="SS",INDEX(WorkDays,MATCH(INDEX($AE$6:$AE$156,MATCH($R20,$A$6:$A$156,0))-1,WorkDays,1)+1+$T20),INDEX(WorkDays,MATCH(INDEX($AF$6:$AF$156,MATCH($R20,$A$6:$A$156,0)),WorkDays,1)+IF($Q20=0,0,1)+$T20))),IF($U20="",0,IF($V20="SS",INDEX(WorkDays,MATCH(INDEX($AE$6:$AE$156,MATCH($U20,$A$6:$A$156,0))-1,WorkDays,1)+1+$W20),INDEX(WorkDays,MATCH(INDEX($AF$6:$AF$156,MATCH($U20,$A$6:$A$156,0)),WorkDays,1)+IF($Q20=0,0,1)+$W20)))))</f>
        <v>46280</v>
      </c>
      <c r="AF20" s="61" t="n">
        <f aca="false">IF($AB20&lt;&gt;"",$AB20,IF($Q20=0,$AE20,INDEX(WorkDays,MATCH(MAX($AE20,NextWD)-1,WorkDays,1)+$AD20)))</f>
        <v>46289</v>
      </c>
      <c r="AG20" s="56" t="str">
        <f aca="false">IF($AB20&lt;&gt;"","Completed",IF($AA20&lt;&gt;"","In Progress",IF(AND($Y20&lt;&gt;"",$Y20&lt;=DataDate),"Not Started (Late)","Not Started")))</f>
        <v>Completed</v>
      </c>
      <c r="AH20" s="64" t="n">
        <f aca="false">IF($Z20="","",MATCH($AF20,WorkDays,1)-MATCH($Z20,WorkDays,1))</f>
        <v>-13</v>
      </c>
      <c r="AI20" s="57" t="str">
        <f aca="false">IF($O20="","",$O20*IF($AB20&lt;&gt;"",1,$AC20))</f>
        <v/>
      </c>
      <c r="AJ20" s="55" t="s">
        <v>174</v>
      </c>
    </row>
    <row r="21" customFormat="false" ht="22.35" hidden="false" customHeight="false" outlineLevel="3" collapsed="false">
      <c r="A21" s="53" t="s">
        <v>195</v>
      </c>
      <c r="B21" s="25" t="n">
        <v>4</v>
      </c>
      <c r="C21" s="54" t="s">
        <v>196</v>
      </c>
      <c r="D21" s="55" t="s">
        <v>50</v>
      </c>
      <c r="E21" s="25"/>
      <c r="F21" s="55"/>
      <c r="G21" s="55"/>
      <c r="H21" s="55" t="s">
        <v>165</v>
      </c>
      <c r="I21" s="55"/>
      <c r="J21" s="25" t="n">
        <f aca="false">COUNTIF('BIM Element Map'!$J$6:$J$1000,$A21)</f>
        <v>0</v>
      </c>
      <c r="K21" s="56"/>
      <c r="L21" s="25" t="s">
        <v>50</v>
      </c>
      <c r="M21" s="55" t="s">
        <v>70</v>
      </c>
      <c r="N21" s="55" t="s">
        <v>189</v>
      </c>
      <c r="O21" s="57"/>
      <c r="P21" s="25"/>
      <c r="Q21" s="58" t="n">
        <v>0</v>
      </c>
      <c r="R21" s="59" t="s">
        <v>193</v>
      </c>
      <c r="S21" s="58" t="s">
        <v>177</v>
      </c>
      <c r="T21" s="58" t="n">
        <v>0</v>
      </c>
      <c r="U21" s="59"/>
      <c r="V21" s="58"/>
      <c r="W21" s="58"/>
      <c r="X21" s="60"/>
      <c r="Y21" s="61" t="n">
        <v>46305</v>
      </c>
      <c r="Z21" s="61" t="n">
        <v>46305</v>
      </c>
      <c r="AA21" s="62" t="n">
        <v>46289</v>
      </c>
      <c r="AB21" s="62" t="n">
        <v>46289</v>
      </c>
      <c r="AC21" s="63" t="n">
        <v>1</v>
      </c>
      <c r="AD21" s="25" t="n">
        <f aca="false">IF($AB21&lt;&gt;"",0,IF($AA21="",$Q21,MAX(1,ROUND($Q21*(1-$AC21),0))))</f>
        <v>0</v>
      </c>
      <c r="AE21" s="61" t="n">
        <f aca="false">IF($AA21&lt;&gt;"",$AA21,MAX($X21,NextWD,IF($R21="",0,IF($S21="SS",INDEX(WorkDays,MATCH(INDEX($AE$6:$AE$156,MATCH($R21,$A$6:$A$156,0))-1,WorkDays,1)+1+$T21),INDEX(WorkDays,MATCH(INDEX($AF$6:$AF$156,MATCH($R21,$A$6:$A$156,0)),WorkDays,1)+IF($Q21=0,0,1)+$T21))),IF($U21="",0,IF($V21="SS",INDEX(WorkDays,MATCH(INDEX($AE$6:$AE$156,MATCH($U21,$A$6:$A$156,0))-1,WorkDays,1)+1+$W21),INDEX(WorkDays,MATCH(INDEX($AF$6:$AF$156,MATCH($U21,$A$6:$A$156,0)),WorkDays,1)+IF($Q21=0,0,1)+$W21)))))</f>
        <v>46289</v>
      </c>
      <c r="AF21" s="61" t="n">
        <f aca="false">IF($AB21&lt;&gt;"",$AB21,IF($Q21=0,$AE21,INDEX(WorkDays,MATCH(MAX($AE21,NextWD)-1,WorkDays,1)+$AD21)))</f>
        <v>46289</v>
      </c>
      <c r="AG21" s="56" t="str">
        <f aca="false">IF($AB21&lt;&gt;"","Completed",IF($AA21&lt;&gt;"","In Progress",IF(AND($Y21&lt;&gt;"",$Y21&lt;=DataDate),"Not Started (Late)","Not Started")))</f>
        <v>Completed</v>
      </c>
      <c r="AH21" s="64" t="n">
        <f aca="false">IF($Z21="","",MATCH($AF21,WorkDays,1)-MATCH($Z21,WorkDays,1))</f>
        <v>-13</v>
      </c>
      <c r="AI21" s="57" t="str">
        <f aca="false">IF($O21="","",$O21*IF($AB21&lt;&gt;"",1,$AC21))</f>
        <v/>
      </c>
      <c r="AJ21" s="55" t="s">
        <v>174</v>
      </c>
    </row>
    <row r="22" customFormat="false" ht="15" hidden="false" customHeight="false" outlineLevel="2" collapsed="false">
      <c r="A22" s="46" t="s">
        <v>197</v>
      </c>
      <c r="B22" s="47" t="n">
        <v>3</v>
      </c>
      <c r="C22" s="48" t="s">
        <v>198</v>
      </c>
      <c r="D22" s="46"/>
      <c r="E22" s="46"/>
      <c r="F22" s="46"/>
      <c r="G22" s="46"/>
      <c r="H22" s="46"/>
      <c r="I22" s="46"/>
      <c r="J22" s="46" t="n">
        <f aca="false">SUMIF($B$23:$B$25,4,$J$23:$J$25)</f>
        <v>0</v>
      </c>
      <c r="K22" s="46"/>
      <c r="L22" s="46"/>
      <c r="M22" s="46"/>
      <c r="N22" s="46"/>
      <c r="O22" s="49" t="str">
        <f aca="false">IF(SUMIF($B$23:$B$25,4,$O$23:$O$25)=0,"",SUMIF($B$23:$B$25,4,$O$23:$O$25))</f>
        <v/>
      </c>
      <c r="P22" s="46"/>
      <c r="Q22" s="46"/>
      <c r="R22" s="46"/>
      <c r="S22" s="46"/>
      <c r="T22" s="46"/>
      <c r="U22" s="46"/>
      <c r="V22" s="46"/>
      <c r="W22" s="46"/>
      <c r="X22" s="46"/>
      <c r="Y22" s="50" t="n">
        <f aca="false">MIN($Y$23:$Y$25)</f>
        <v>46307</v>
      </c>
      <c r="Z22" s="50" t="n">
        <f aca="false">MAX($Z$23:$Z$25)</f>
        <v>46359</v>
      </c>
      <c r="AA22" s="50" t="str">
        <f aca="false">IF(COUNT($AA$23:$AA$25)=0,"",MIN($AA$23:$AA$25))</f>
        <v/>
      </c>
      <c r="AB22" s="50" t="str">
        <f aca="false">IF(COUNTIFS($B$23:$B$25,4,$AG$23:$AG$25,"Completed")=COUNTIF($B$23:$B$25,4),MAX($AB$23:$AB$25),"")</f>
        <v/>
      </c>
      <c r="AC22" s="51" t="n">
        <f aca="false">IFERROR(IF(SUMIF($B$23:$B$25,4,$O$23:$O$25)&gt;0,SUMIF($B$23:$B$25,4,$AI$23:$AI$25)/SUMIF($B$23:$B$25,4,$O$23:$O$25),IFERROR(SUMPRODUCT(--($B$23:$B$25=4),$Q$23:$Q$25,$AC$23:$AC$25)/SUMIF($B$23:$B$25,4,$Q$23:$Q$25),AVERAGEIF($B$23:$B$25,4,$AC$23:$AC$25))),"")</f>
        <v>0</v>
      </c>
      <c r="AD22" s="46"/>
      <c r="AE22" s="50" t="n">
        <f aca="false">MIN($AE$23:$AE$25)</f>
        <v>46298</v>
      </c>
      <c r="AF22" s="50" t="n">
        <f aca="false">MAX($AF$23:$AF$25)</f>
        <v>46345</v>
      </c>
      <c r="AG22" s="46" t="str">
        <f aca="false">IF(COUNTIFS($B$23:$B$25,4,$AG$23:$AG$25,"Completed")=COUNTIF($B$23:$B$25,4),"Completed",IF(COUNTIFS($B$23:$B$25,4,$AG$23:$AG$25,"Not Started*")=COUNTIF($B$23:$B$25,4),"Not Started","In Progress"))</f>
        <v>Not Started</v>
      </c>
      <c r="AH22" s="52" t="n">
        <f aca="false">MATCH($AF22,WorkDays,1)-MATCH($Z22,WorkDays,1)</f>
        <v>-12</v>
      </c>
      <c r="AI22" s="49" t="str">
        <f aca="false">IF(SUMIF($B$23:$B$25,4,$O$23:$O$25)=0,"",SUMIF($B$23:$B$25,4,$AI$23:$AI$25))</f>
        <v/>
      </c>
      <c r="AJ22" s="46" t="str">
        <f aca="false">"P6 check: "&amp;INDEX('P6 Roll-up'!$AB$5:$AB$22,MATCH($A22,'P6 Roll-up'!$A$5:$A$22,0))</f>
        <v>P6 check: ✔ Same as P6</v>
      </c>
    </row>
    <row r="23" customFormat="false" ht="15" hidden="false" customHeight="false" outlineLevel="3" collapsed="false">
      <c r="A23" s="53" t="s">
        <v>199</v>
      </c>
      <c r="B23" s="25" t="n">
        <v>4</v>
      </c>
      <c r="C23" s="55" t="s">
        <v>200</v>
      </c>
      <c r="D23" s="55" t="s">
        <v>171</v>
      </c>
      <c r="E23" s="25"/>
      <c r="F23" s="55"/>
      <c r="G23" s="55"/>
      <c r="H23" s="55" t="s">
        <v>172</v>
      </c>
      <c r="I23" s="55"/>
      <c r="J23" s="25" t="n">
        <f aca="false">COUNTIF('BIM Element Map'!$J$6:$J$1000,$A23)</f>
        <v>0</v>
      </c>
      <c r="K23" s="56"/>
      <c r="L23" s="25" t="s">
        <v>173</v>
      </c>
      <c r="M23" s="55"/>
      <c r="N23" s="55" t="s">
        <v>197</v>
      </c>
      <c r="O23" s="57"/>
      <c r="P23" s="25"/>
      <c r="Q23" s="58" t="n">
        <v>30</v>
      </c>
      <c r="R23" s="59"/>
      <c r="S23" s="58"/>
      <c r="T23" s="58"/>
      <c r="U23" s="59"/>
      <c r="V23" s="58"/>
      <c r="W23" s="58"/>
      <c r="X23" s="60" t="n">
        <v>46298</v>
      </c>
      <c r="Y23" s="61" t="n">
        <v>46307</v>
      </c>
      <c r="Z23" s="61" t="n">
        <v>46346</v>
      </c>
      <c r="AA23" s="62"/>
      <c r="AB23" s="62"/>
      <c r="AC23" s="63" t="n">
        <v>0</v>
      </c>
      <c r="AD23" s="25" t="n">
        <f aca="false">IF($AB23&lt;&gt;"",0,IF($AA23="",$Q23,MAX(1,ROUND($Q23*(1-$AC23),0))))</f>
        <v>30</v>
      </c>
      <c r="AE23" s="61" t="n">
        <f aca="false">IF($AA23&lt;&gt;"",$AA23,MAX($X23,NextWD,IF($R23="",0,IF($S23="SS",INDEX(WorkDays,MATCH(INDEX($AE$6:$AE$156,MATCH($R23,$A$6:$A$156,0))-1,WorkDays,1)+1+$T23),INDEX(WorkDays,MATCH(INDEX($AF$6:$AF$156,MATCH($R23,$A$6:$A$156,0)),WorkDays,1)+IF($Q23=0,0,1)+$T23))),IF($U23="",0,IF($V23="SS",INDEX(WorkDays,MATCH(INDEX($AE$6:$AE$156,MATCH($U23,$A$6:$A$156,0))-1,WorkDays,1)+1+$W23),INDEX(WorkDays,MATCH(INDEX($AF$6:$AF$156,MATCH($U23,$A$6:$A$156,0)),WorkDays,1)+IF($Q23=0,0,1)+$W23)))))</f>
        <v>46298</v>
      </c>
      <c r="AF23" s="61" t="n">
        <f aca="false">IF($AB23&lt;&gt;"",$AB23,IF($Q23=0,$AE23,INDEX(WorkDays,MATCH(MAX($AE23,NextWD)-1,WorkDays,1)+$AD23)))</f>
        <v>46333</v>
      </c>
      <c r="AG23" s="56" t="str">
        <f aca="false">IF($AB23&lt;&gt;"","Completed",IF($AA23&lt;&gt;"","In Progress",IF(AND($Y23&lt;&gt;"",$Y23&lt;=DataDate),"Not Started (Late)","Not Started")))</f>
        <v>Not Started</v>
      </c>
      <c r="AH23" s="64" t="n">
        <f aca="false">IF($Z23="","",MATCH($AF23,WorkDays,1)-MATCH($Z23,WorkDays,1))</f>
        <v>-11</v>
      </c>
      <c r="AI23" s="57" t="str">
        <f aca="false">IF($O23="","",$O23*IF($AB23&lt;&gt;"",1,$AC23))</f>
        <v/>
      </c>
      <c r="AJ23" s="55" t="s">
        <v>201</v>
      </c>
    </row>
    <row r="24" customFormat="false" ht="15" hidden="false" customHeight="false" outlineLevel="3" collapsed="false">
      <c r="A24" s="53" t="s">
        <v>202</v>
      </c>
      <c r="B24" s="25" t="n">
        <v>4</v>
      </c>
      <c r="C24" s="55" t="s">
        <v>203</v>
      </c>
      <c r="D24" s="55" t="s">
        <v>171</v>
      </c>
      <c r="E24" s="25"/>
      <c r="F24" s="55"/>
      <c r="G24" s="55"/>
      <c r="H24" s="55" t="s">
        <v>172</v>
      </c>
      <c r="I24" s="55"/>
      <c r="J24" s="25" t="n">
        <f aca="false">COUNTIF('BIM Element Map'!$J$6:$J$1000,$A24)</f>
        <v>0</v>
      </c>
      <c r="K24" s="56"/>
      <c r="L24" s="25" t="s">
        <v>173</v>
      </c>
      <c r="M24" s="55"/>
      <c r="N24" s="55" t="s">
        <v>197</v>
      </c>
      <c r="O24" s="57"/>
      <c r="P24" s="25"/>
      <c r="Q24" s="58" t="n">
        <v>10</v>
      </c>
      <c r="R24" s="59" t="s">
        <v>199</v>
      </c>
      <c r="S24" s="58" t="s">
        <v>177</v>
      </c>
      <c r="T24" s="58" t="n">
        <v>0</v>
      </c>
      <c r="U24" s="59"/>
      <c r="V24" s="58"/>
      <c r="W24" s="58"/>
      <c r="X24" s="60"/>
      <c r="Y24" s="61" t="n">
        <v>46347</v>
      </c>
      <c r="Z24" s="61" t="n">
        <v>46359</v>
      </c>
      <c r="AA24" s="62"/>
      <c r="AB24" s="62"/>
      <c r="AC24" s="63" t="n">
        <v>0</v>
      </c>
      <c r="AD24" s="25" t="n">
        <f aca="false">IF($AB24&lt;&gt;"",0,IF($AA24="",$Q24,MAX(1,ROUND($Q24*(1-$AC24),0))))</f>
        <v>10</v>
      </c>
      <c r="AE24" s="61" t="n">
        <f aca="false">IF($AA24&lt;&gt;"",$AA24,MAX($X24,NextWD,IF($R24="",0,IF($S24="SS",INDEX(WorkDays,MATCH(INDEX($AE$6:$AE$156,MATCH($R24,$A$6:$A$156,0))-1,WorkDays,1)+1+$T24),INDEX(WorkDays,MATCH(INDEX($AF$6:$AF$156,MATCH($R24,$A$6:$A$156,0)),WorkDays,1)+IF($Q24=0,0,1)+$T24))),IF($U24="",0,IF($V24="SS",INDEX(WorkDays,MATCH(INDEX($AE$6:$AE$156,MATCH($U24,$A$6:$A$156,0))-1,WorkDays,1)+1+$W24),INDEX(WorkDays,MATCH(INDEX($AF$6:$AF$156,MATCH($U24,$A$6:$A$156,0)),WorkDays,1)+IF($Q24=0,0,1)+$W24)))))</f>
        <v>46335</v>
      </c>
      <c r="AF24" s="61" t="n">
        <f aca="false">IF($AB24&lt;&gt;"",$AB24,IF($Q24=0,$AE24,INDEX(WorkDays,MATCH(MAX($AE24,NextWD)-1,WorkDays,1)+$AD24)))</f>
        <v>46345</v>
      </c>
      <c r="AG24" s="56" t="str">
        <f aca="false">IF($AB24&lt;&gt;"","Completed",IF($AA24&lt;&gt;"","In Progress",IF(AND($Y24&lt;&gt;"",$Y24&lt;=DataDate),"Not Started (Late)","Not Started")))</f>
        <v>Not Started</v>
      </c>
      <c r="AH24" s="64" t="n">
        <f aca="false">IF($Z24="","",MATCH($AF24,WorkDays,1)-MATCH($Z24,WorkDays,1))</f>
        <v>-12</v>
      </c>
      <c r="AI24" s="57" t="str">
        <f aca="false">IF($O24="","",$O24*IF($AB24&lt;&gt;"",1,$AC24))</f>
        <v/>
      </c>
      <c r="AJ24" s="55" t="s">
        <v>201</v>
      </c>
    </row>
    <row r="25" customFormat="false" ht="15" hidden="false" customHeight="false" outlineLevel="3" collapsed="false">
      <c r="A25" s="53" t="s">
        <v>204</v>
      </c>
      <c r="B25" s="25" t="n">
        <v>4</v>
      </c>
      <c r="C25" s="54" t="s">
        <v>205</v>
      </c>
      <c r="D25" s="55" t="s">
        <v>50</v>
      </c>
      <c r="E25" s="25"/>
      <c r="F25" s="55"/>
      <c r="G25" s="55"/>
      <c r="H25" s="55" t="s">
        <v>165</v>
      </c>
      <c r="I25" s="55"/>
      <c r="J25" s="25" t="n">
        <f aca="false">COUNTIF('BIM Element Map'!$J$6:$J$1000,$A25)</f>
        <v>0</v>
      </c>
      <c r="K25" s="56"/>
      <c r="L25" s="25" t="s">
        <v>50</v>
      </c>
      <c r="M25" s="55"/>
      <c r="N25" s="55" t="s">
        <v>197</v>
      </c>
      <c r="O25" s="57"/>
      <c r="P25" s="25"/>
      <c r="Q25" s="58" t="n">
        <v>0</v>
      </c>
      <c r="R25" s="59" t="s">
        <v>202</v>
      </c>
      <c r="S25" s="58" t="s">
        <v>177</v>
      </c>
      <c r="T25" s="58" t="n">
        <v>0</v>
      </c>
      <c r="U25" s="59"/>
      <c r="V25" s="58"/>
      <c r="W25" s="58"/>
      <c r="X25" s="60"/>
      <c r="Y25" s="61" t="n">
        <v>46359</v>
      </c>
      <c r="Z25" s="61" t="n">
        <v>46359</v>
      </c>
      <c r="AA25" s="62"/>
      <c r="AB25" s="62"/>
      <c r="AC25" s="63" t="n">
        <v>0</v>
      </c>
      <c r="AD25" s="25" t="n">
        <f aca="false">IF($AB25&lt;&gt;"",0,IF($AA25="",$Q25,MAX(1,ROUND($Q25*(1-$AC25),0))))</f>
        <v>0</v>
      </c>
      <c r="AE25" s="61" t="n">
        <f aca="false">IF($AA25&lt;&gt;"",$AA25,MAX($X25,NextWD,IF($R25="",0,IF($S25="SS",INDEX(WorkDays,MATCH(INDEX($AE$6:$AE$156,MATCH($R25,$A$6:$A$156,0))-1,WorkDays,1)+1+$T25),INDEX(WorkDays,MATCH(INDEX($AF$6:$AF$156,MATCH($R25,$A$6:$A$156,0)),WorkDays,1)+IF($Q25=0,0,1)+$T25))),IF($U25="",0,IF($V25="SS",INDEX(WorkDays,MATCH(INDEX($AE$6:$AE$156,MATCH($U25,$A$6:$A$156,0))-1,WorkDays,1)+1+$W25),INDEX(WorkDays,MATCH(INDEX($AF$6:$AF$156,MATCH($U25,$A$6:$A$156,0)),WorkDays,1)+IF($Q25=0,0,1)+$W25)))))</f>
        <v>46345</v>
      </c>
      <c r="AF25" s="61" t="n">
        <f aca="false">IF($AB25&lt;&gt;"",$AB25,IF($Q25=0,$AE25,INDEX(WorkDays,MATCH(MAX($AE25,NextWD)-1,WorkDays,1)+$AD25)))</f>
        <v>46345</v>
      </c>
      <c r="AG25" s="56" t="str">
        <f aca="false">IF($AB25&lt;&gt;"","Completed",IF($AA25&lt;&gt;"","In Progress",IF(AND($Y25&lt;&gt;"",$Y25&lt;=DataDate),"Not Started (Late)","Not Started")))</f>
        <v>Not Started</v>
      </c>
      <c r="AH25" s="64" t="n">
        <f aca="false">IF($Z25="","",MATCH($AF25,WorkDays,1)-MATCH($Z25,WorkDays,1))</f>
        <v>-12</v>
      </c>
      <c r="AI25" s="57" t="str">
        <f aca="false">IF($O25="","",$O25*IF($AB25&lt;&gt;"",1,$AC25))</f>
        <v/>
      </c>
      <c r="AJ25" s="55" t="s">
        <v>201</v>
      </c>
    </row>
    <row r="26" customFormat="false" ht="15" hidden="false" customHeight="false" outlineLevel="2" collapsed="false">
      <c r="A26" s="46" t="s">
        <v>206</v>
      </c>
      <c r="B26" s="47" t="n">
        <v>3</v>
      </c>
      <c r="C26" s="48" t="s">
        <v>207</v>
      </c>
      <c r="D26" s="46"/>
      <c r="E26" s="46"/>
      <c r="F26" s="46"/>
      <c r="G26" s="46"/>
      <c r="H26" s="46"/>
      <c r="I26" s="46"/>
      <c r="J26" s="46" t="n">
        <f aca="false">SUMIF($B$27:$B$29,4,$J$27:$J$29)</f>
        <v>0</v>
      </c>
      <c r="K26" s="46"/>
      <c r="L26" s="46"/>
      <c r="M26" s="46"/>
      <c r="N26" s="46"/>
      <c r="O26" s="49" t="str">
        <f aca="false">IF(SUMIF($B$27:$B$29,4,$O$27:$O$29)=0,"",SUMIF($B$27:$B$29,4,$O$27:$O$29))</f>
        <v/>
      </c>
      <c r="P26" s="46"/>
      <c r="Q26" s="46"/>
      <c r="R26" s="46"/>
      <c r="S26" s="46"/>
      <c r="T26" s="46"/>
      <c r="U26" s="46"/>
      <c r="V26" s="46"/>
      <c r="W26" s="46"/>
      <c r="X26" s="46"/>
      <c r="Y26" s="50" t="n">
        <f aca="false">MIN($Y$27:$Y$29)</f>
        <v>46360</v>
      </c>
      <c r="Z26" s="50" t="n">
        <f aca="false">MAX($Z$27:$Z$29)</f>
        <v>46396</v>
      </c>
      <c r="AA26" s="50" t="n">
        <f aca="false">IF(COUNT($AA$27:$AA$29)=0,"",MIN($AA$27:$AA$29))</f>
        <v>46296</v>
      </c>
      <c r="AB26" s="50" t="str">
        <f aca="false">IF(COUNTIFS($B$27:$B$29,4,$AG$27:$AG$29,"Completed")=COUNTIF($B$27:$B$29,4),MAX($AB$27:$AB$29),"")</f>
        <v/>
      </c>
      <c r="AC26" s="51" t="n">
        <f aca="false">IFERROR(IF(SUMIF($B$27:$B$29,4,$O$27:$O$29)&gt;0,SUMIF($B$27:$B$29,4,$AI$27:$AI$29)/SUMIF($B$27:$B$29,4,$O$27:$O$29),IFERROR(SUMPRODUCT(--($B$27:$B$29=4),$Q$27:$Q$29,$AC$27:$AC$29)/SUMIF($B$27:$B$29,4,$Q$27:$Q$29),AVERAGEIF($B$27:$B$29,4,$AC$27:$AC$29))),"")</f>
        <v>0.23265306122449</v>
      </c>
      <c r="AD26" s="46"/>
      <c r="AE26" s="50" t="n">
        <f aca="false">MIN($AE$27:$AE$29)</f>
        <v>46296</v>
      </c>
      <c r="AF26" s="50" t="n">
        <f aca="false">MAX($AF$27:$AF$29)</f>
        <v>46367</v>
      </c>
      <c r="AG26" s="46" t="str">
        <f aca="false">IF(COUNTIFS($B$27:$B$29,4,$AG$27:$AG$29,"Completed")=COUNTIF($B$27:$B$29,4),"Completed",IF(COUNTIFS($B$27:$B$29,4,$AG$27:$AG$29,"Not Started*")=COUNTIF($B$27:$B$29,4),"Not Started","In Progress"))</f>
        <v>In Progress</v>
      </c>
      <c r="AH26" s="52" t="n">
        <f aca="false">MATCH($AF26,WorkDays,1)-MATCH($Z26,WorkDays,1)</f>
        <v>-23</v>
      </c>
      <c r="AI26" s="49" t="str">
        <f aca="false">IF(SUMIF($B$27:$B$29,4,$O$27:$O$29)=0,"",SUMIF($B$27:$B$29,4,$AI$27:$AI$29))</f>
        <v/>
      </c>
      <c r="AJ26" s="46" t="str">
        <f aca="false">"P6 check: "&amp;INDEX('P6 Roll-up'!$AB$5:$AB$22,MATCH($A26,'P6 Roll-up'!$A$5:$A$22,0))</f>
        <v>P6 check: ✔ Same as P6</v>
      </c>
    </row>
    <row r="27" customFormat="false" ht="32.8" hidden="false" customHeight="false" outlineLevel="3" collapsed="false">
      <c r="A27" s="53" t="s">
        <v>208</v>
      </c>
      <c r="B27" s="25" t="n">
        <v>4</v>
      </c>
      <c r="C27" s="55" t="s">
        <v>209</v>
      </c>
      <c r="D27" s="55" t="s">
        <v>171</v>
      </c>
      <c r="E27" s="25"/>
      <c r="F27" s="55"/>
      <c r="G27" s="55"/>
      <c r="H27" s="55" t="s">
        <v>172</v>
      </c>
      <c r="I27" s="55"/>
      <c r="J27" s="25" t="n">
        <f aca="false">COUNTIF('BIM Element Map'!$J$6:$J$1000,$A27)</f>
        <v>0</v>
      </c>
      <c r="K27" s="56"/>
      <c r="L27" s="25" t="s">
        <v>173</v>
      </c>
      <c r="M27" s="55"/>
      <c r="N27" s="55" t="s">
        <v>206</v>
      </c>
      <c r="O27" s="57"/>
      <c r="P27" s="25"/>
      <c r="Q27" s="58" t="n">
        <v>30</v>
      </c>
      <c r="R27" s="59"/>
      <c r="S27" s="58"/>
      <c r="T27" s="58"/>
      <c r="U27" s="59"/>
      <c r="V27" s="58"/>
      <c r="W27" s="58"/>
      <c r="X27" s="60" t="n">
        <v>46296</v>
      </c>
      <c r="Y27" s="61" t="n">
        <v>46360</v>
      </c>
      <c r="Z27" s="61" t="n">
        <v>46371</v>
      </c>
      <c r="AA27" s="62" t="n">
        <v>46296</v>
      </c>
      <c r="AB27" s="62"/>
      <c r="AC27" s="63" t="n">
        <v>0.38</v>
      </c>
      <c r="AD27" s="25" t="n">
        <f aca="false">IF($AB27&lt;&gt;"",0,IF($AA27="",$Q27,MAX(1,ROUND($Q27*(1-$AC27),0))))</f>
        <v>19</v>
      </c>
      <c r="AE27" s="61" t="n">
        <f aca="false">IF($AA27&lt;&gt;"",$AA27,MAX($X27,NextWD,IF($R27="",0,IF($S27="SS",INDEX(WorkDays,MATCH(INDEX($AE$6:$AE$156,MATCH($R27,$A$6:$A$156,0))-1,WorkDays,1)+1+$T27),INDEX(WorkDays,MATCH(INDEX($AF$6:$AF$156,MATCH($R27,$A$6:$A$156,0)),WorkDays,1)+IF($Q27=0,0,1)+$T27))),IF($U27="",0,IF($V27="SS",INDEX(WorkDays,MATCH(INDEX($AE$6:$AE$156,MATCH($U27,$A$6:$A$156,0))-1,WorkDays,1)+1+$W27),INDEX(WorkDays,MATCH(INDEX($AF$6:$AF$156,MATCH($U27,$A$6:$A$156,0)),WorkDays,1)+IF($Q27=0,0,1)+$W27)))))</f>
        <v>46296</v>
      </c>
      <c r="AF27" s="61" t="n">
        <f aca="false">IF($AB27&lt;&gt;"",$AB27,IF($Q27=0,$AE27,INDEX(WorkDays,MATCH(MAX($AE27,NextWD)-1,WorkDays,1)+$AD27)))</f>
        <v>46321</v>
      </c>
      <c r="AG27" s="56" t="str">
        <f aca="false">IF($AB27&lt;&gt;"","Completed",IF($AA27&lt;&gt;"","In Progress",IF(AND($Y27&lt;&gt;"",$Y27&lt;=DataDate),"Not Started (Late)","Not Started")))</f>
        <v>In Progress</v>
      </c>
      <c r="AH27" s="64" t="n">
        <f aca="false">IF($Z27="","",MATCH($AF27,WorkDays,1)-MATCH($Z27,WorkDays,1))</f>
        <v>-43</v>
      </c>
      <c r="AI27" s="57" t="str">
        <f aca="false">IF($O27="","",$O27*IF($AB27&lt;&gt;"",1,$AC27))</f>
        <v/>
      </c>
      <c r="AJ27" s="55" t="s">
        <v>210</v>
      </c>
    </row>
    <row r="28" customFormat="false" ht="22.35" hidden="false" customHeight="false" outlineLevel="3" collapsed="false">
      <c r="A28" s="53" t="s">
        <v>211</v>
      </c>
      <c r="B28" s="25" t="n">
        <v>4</v>
      </c>
      <c r="C28" s="55" t="s">
        <v>212</v>
      </c>
      <c r="D28" s="55" t="s">
        <v>171</v>
      </c>
      <c r="E28" s="25"/>
      <c r="F28" s="55"/>
      <c r="G28" s="55"/>
      <c r="H28" s="55" t="s">
        <v>172</v>
      </c>
      <c r="I28" s="55"/>
      <c r="J28" s="25" t="n">
        <f aca="false">COUNTIF('BIM Element Map'!$J$6:$J$1000,$A28)</f>
        <v>0</v>
      </c>
      <c r="K28" s="56"/>
      <c r="L28" s="25" t="s">
        <v>173</v>
      </c>
      <c r="M28" s="55"/>
      <c r="N28" s="55" t="s">
        <v>206</v>
      </c>
      <c r="O28" s="57"/>
      <c r="P28" s="25"/>
      <c r="Q28" s="58" t="n">
        <v>19</v>
      </c>
      <c r="R28" s="59" t="s">
        <v>208</v>
      </c>
      <c r="S28" s="58" t="s">
        <v>177</v>
      </c>
      <c r="T28" s="58" t="n">
        <v>0</v>
      </c>
      <c r="U28" s="59" t="s">
        <v>204</v>
      </c>
      <c r="V28" s="58" t="s">
        <v>177</v>
      </c>
      <c r="W28" s="58" t="n">
        <v>0</v>
      </c>
      <c r="X28" s="60"/>
      <c r="Y28" s="61" t="n">
        <v>46386</v>
      </c>
      <c r="Z28" s="61" t="n">
        <v>46396</v>
      </c>
      <c r="AA28" s="62"/>
      <c r="AB28" s="62"/>
      <c r="AC28" s="63" t="n">
        <v>0</v>
      </c>
      <c r="AD28" s="25" t="n">
        <f aca="false">IF($AB28&lt;&gt;"",0,IF($AA28="",$Q28,MAX(1,ROUND($Q28*(1-$AC28),0))))</f>
        <v>19</v>
      </c>
      <c r="AE28" s="61" t="n">
        <f aca="false">IF($AA28&lt;&gt;"",$AA28,MAX($X28,NextWD,IF($R28="",0,IF($S28="SS",INDEX(WorkDays,MATCH(INDEX($AE$6:$AE$156,MATCH($R28,$A$6:$A$156,0))-1,WorkDays,1)+1+$T28),INDEX(WorkDays,MATCH(INDEX($AF$6:$AF$156,MATCH($R28,$A$6:$A$156,0)),WorkDays,1)+IF($Q28=0,0,1)+$T28))),IF($U28="",0,IF($V28="SS",INDEX(WorkDays,MATCH(INDEX($AE$6:$AE$156,MATCH($U28,$A$6:$A$156,0))-1,WorkDays,1)+1+$W28),INDEX(WorkDays,MATCH(INDEX($AF$6:$AF$156,MATCH($U28,$A$6:$A$156,0)),WorkDays,1)+IF($Q28=0,0,1)+$W28)))))</f>
        <v>46346</v>
      </c>
      <c r="AF28" s="61" t="n">
        <f aca="false">IF($AB28&lt;&gt;"",$AB28,IF($Q28=0,$AE28,INDEX(WorkDays,MATCH(MAX($AE28,NextWD)-1,WorkDays,1)+$AD28)))</f>
        <v>46367</v>
      </c>
      <c r="AG28" s="56" t="str">
        <f aca="false">IF($AB28&lt;&gt;"","Completed",IF($AA28&lt;&gt;"","In Progress",IF(AND($Y28&lt;&gt;"",$Y28&lt;=DataDate),"Not Started (Late)","Not Started")))</f>
        <v>Not Started</v>
      </c>
      <c r="AH28" s="64" t="n">
        <f aca="false">IF($Z28="","",MATCH($AF28,WorkDays,1)-MATCH($Z28,WorkDays,1))</f>
        <v>-23</v>
      </c>
      <c r="AI28" s="57" t="str">
        <f aca="false">IF($O28="","",$O28*IF($AB28&lt;&gt;"",1,$AC28))</f>
        <v/>
      </c>
      <c r="AJ28" s="55" t="s">
        <v>213</v>
      </c>
    </row>
    <row r="29" customFormat="false" ht="15" hidden="false" customHeight="false" outlineLevel="3" collapsed="false">
      <c r="A29" s="53" t="s">
        <v>214</v>
      </c>
      <c r="B29" s="25" t="n">
        <v>4</v>
      </c>
      <c r="C29" s="54" t="s">
        <v>215</v>
      </c>
      <c r="D29" s="55" t="s">
        <v>50</v>
      </c>
      <c r="E29" s="25"/>
      <c r="F29" s="55"/>
      <c r="G29" s="55"/>
      <c r="H29" s="55" t="s">
        <v>165</v>
      </c>
      <c r="I29" s="55"/>
      <c r="J29" s="25" t="n">
        <f aca="false">COUNTIF('BIM Element Map'!$J$6:$J$1000,$A29)</f>
        <v>0</v>
      </c>
      <c r="K29" s="56"/>
      <c r="L29" s="25" t="s">
        <v>50</v>
      </c>
      <c r="M29" s="55"/>
      <c r="N29" s="55" t="s">
        <v>206</v>
      </c>
      <c r="O29" s="57"/>
      <c r="P29" s="25"/>
      <c r="Q29" s="58" t="n">
        <v>0</v>
      </c>
      <c r="R29" s="59" t="s">
        <v>211</v>
      </c>
      <c r="S29" s="58" t="s">
        <v>177</v>
      </c>
      <c r="T29" s="58" t="n">
        <v>0</v>
      </c>
      <c r="U29" s="59"/>
      <c r="V29" s="58"/>
      <c r="W29" s="58"/>
      <c r="X29" s="60"/>
      <c r="Y29" s="61" t="n">
        <v>46396</v>
      </c>
      <c r="Z29" s="61" t="n">
        <v>46396</v>
      </c>
      <c r="AA29" s="62"/>
      <c r="AB29" s="62"/>
      <c r="AC29" s="63" t="n">
        <v>0</v>
      </c>
      <c r="AD29" s="25" t="n">
        <f aca="false">IF($AB29&lt;&gt;"",0,IF($AA29="",$Q29,MAX(1,ROUND($Q29*(1-$AC29),0))))</f>
        <v>0</v>
      </c>
      <c r="AE29" s="61" t="n">
        <f aca="false">IF($AA29&lt;&gt;"",$AA29,MAX($X29,NextWD,IF($R29="",0,IF($S29="SS",INDEX(WorkDays,MATCH(INDEX($AE$6:$AE$156,MATCH($R29,$A$6:$A$156,0))-1,WorkDays,1)+1+$T29),INDEX(WorkDays,MATCH(INDEX($AF$6:$AF$156,MATCH($R29,$A$6:$A$156,0)),WorkDays,1)+IF($Q29=0,0,1)+$T29))),IF($U29="",0,IF($V29="SS",INDEX(WorkDays,MATCH(INDEX($AE$6:$AE$156,MATCH($U29,$A$6:$A$156,0))-1,WorkDays,1)+1+$W29),INDEX(WorkDays,MATCH(INDEX($AF$6:$AF$156,MATCH($U29,$A$6:$A$156,0)),WorkDays,1)+IF($Q29=0,0,1)+$W29)))))</f>
        <v>46367</v>
      </c>
      <c r="AF29" s="61" t="n">
        <f aca="false">IF($AB29&lt;&gt;"",$AB29,IF($Q29=0,$AE29,INDEX(WorkDays,MATCH(MAX($AE29,NextWD)-1,WorkDays,1)+$AD29)))</f>
        <v>46367</v>
      </c>
      <c r="AG29" s="56" t="str">
        <f aca="false">IF($AB29&lt;&gt;"","Completed",IF($AA29&lt;&gt;"","In Progress",IF(AND($Y29&lt;&gt;"",$Y29&lt;=DataDate),"Not Started (Late)","Not Started")))</f>
        <v>Not Started</v>
      </c>
      <c r="AH29" s="64" t="n">
        <f aca="false">IF($Z29="","",MATCH($AF29,WorkDays,1)-MATCH($Z29,WorkDays,1))</f>
        <v>-23</v>
      </c>
      <c r="AI29" s="57" t="str">
        <f aca="false">IF($O29="","",$O29*IF($AB29&lt;&gt;"",1,$AC29))</f>
        <v/>
      </c>
      <c r="AJ29" s="55" t="s">
        <v>213</v>
      </c>
    </row>
    <row r="30" customFormat="false" ht="15" hidden="false" customHeight="false" outlineLevel="1" collapsed="false">
      <c r="A30" s="39" t="s">
        <v>216</v>
      </c>
      <c r="B30" s="40" t="n">
        <v>2</v>
      </c>
      <c r="C30" s="41" t="s">
        <v>217</v>
      </c>
      <c r="D30" s="39"/>
      <c r="E30" s="39"/>
      <c r="F30" s="39"/>
      <c r="G30" s="39"/>
      <c r="H30" s="39"/>
      <c r="I30" s="39"/>
      <c r="J30" s="39" t="n">
        <f aca="false">SUMIF($B$31:$B$48,4,$J$31:$J$48)</f>
        <v>0</v>
      </c>
      <c r="K30" s="39"/>
      <c r="L30" s="39"/>
      <c r="M30" s="39"/>
      <c r="N30" s="39"/>
      <c r="O30" s="42"/>
      <c r="P30" s="39"/>
      <c r="Q30" s="39"/>
      <c r="R30" s="39"/>
      <c r="S30" s="39"/>
      <c r="T30" s="39"/>
      <c r="U30" s="39"/>
      <c r="V30" s="39"/>
      <c r="W30" s="39"/>
      <c r="X30" s="39"/>
      <c r="Y30" s="43" t="n">
        <f aca="false">MIN($Y$31:$Y$48)</f>
        <v>46081</v>
      </c>
      <c r="Z30" s="43" t="n">
        <f aca="false">MAX($Z$31:$Z$48)</f>
        <v>46380</v>
      </c>
      <c r="AA30" s="43" t="n">
        <f aca="false">IF(COUNT($AA$31:$AA$48)=0,"",MIN($AA$31:$AA$48))</f>
        <v>46056</v>
      </c>
      <c r="AB30" s="43" t="str">
        <f aca="false">IF(COUNTIFS($B$31:$B$48,4,$AG$31:$AG$48,"Completed")=COUNTIF($B$31:$B$48,4),MAX($AB$31:$AB$48),"")</f>
        <v/>
      </c>
      <c r="AC30" s="44" t="n">
        <f aca="false">IFERROR(IFERROR(SUMPRODUCT(--($B$31:$B$48=4),$Q$31:$Q$48,$AC$31:$AC$48)/SUMIF($B$31:$B$48,4,$Q$31:$Q$48),AVERAGEIF($B$31:$B$48,4,$AC$31:$AC$48)),"")</f>
        <v>0.729233393501805</v>
      </c>
      <c r="AD30" s="39"/>
      <c r="AE30" s="43" t="n">
        <f aca="false">MIN($AE$31:$AE$48)</f>
        <v>46056</v>
      </c>
      <c r="AF30" s="43" t="n">
        <f aca="false">MAX($AF$31:$AF$48)</f>
        <v>46387</v>
      </c>
      <c r="AG30" s="39" t="str">
        <f aca="false">IF(COUNTIFS($B$31:$B$48,4,$AG$31:$AG$48,"Completed")=COUNTIF($B$31:$B$48,4),"Completed",IF(COUNTIFS($B$31:$B$48,4,$AG$31:$AG$48,"Not Started*")=COUNTIF($B$31:$B$48,4),"Not Started","In Progress"))</f>
        <v>In Progress</v>
      </c>
      <c r="AH30" s="45" t="n">
        <f aca="false">MATCH($AF30,WorkDays,1)-MATCH($Z30,WorkDays,1)</f>
        <v>5</v>
      </c>
      <c r="AI30" s="42"/>
      <c r="AJ30" s="39"/>
    </row>
    <row r="31" customFormat="false" ht="15" hidden="false" customHeight="false" outlineLevel="2" collapsed="false">
      <c r="A31" s="46" t="s">
        <v>218</v>
      </c>
      <c r="B31" s="47" t="n">
        <v>3</v>
      </c>
      <c r="C31" s="48" t="s">
        <v>219</v>
      </c>
      <c r="D31" s="46"/>
      <c r="E31" s="46"/>
      <c r="F31" s="46"/>
      <c r="G31" s="46"/>
      <c r="H31" s="46"/>
      <c r="I31" s="46"/>
      <c r="J31" s="46" t="n">
        <f aca="false">SUMIF($B$32:$B$34,4,$J$32:$J$34)</f>
        <v>0</v>
      </c>
      <c r="K31" s="46"/>
      <c r="L31" s="46"/>
      <c r="M31" s="46"/>
      <c r="N31" s="46"/>
      <c r="O31" s="49" t="str">
        <f aca="false">IF(SUMIF($B$32:$B$34,4,$O$32:$O$34)=0,"",SUMIF($B$32:$B$34,4,$O$32:$O$34))</f>
        <v/>
      </c>
      <c r="P31" s="46"/>
      <c r="Q31" s="46"/>
      <c r="R31" s="46"/>
      <c r="S31" s="46"/>
      <c r="T31" s="46"/>
      <c r="U31" s="46"/>
      <c r="V31" s="46"/>
      <c r="W31" s="46"/>
      <c r="X31" s="46"/>
      <c r="Y31" s="50" t="n">
        <f aca="false">MIN($Y$32:$Y$34)</f>
        <v>46081</v>
      </c>
      <c r="Z31" s="50" t="n">
        <f aca="false">MAX($Z$32:$Z$34)</f>
        <v>46154</v>
      </c>
      <c r="AA31" s="50" t="n">
        <f aca="false">IF(COUNT($AA$32:$AA$34)=0,"",MIN($AA$32:$AA$34))</f>
        <v>46056</v>
      </c>
      <c r="AB31" s="50" t="n">
        <f aca="false">IF(COUNTIFS($B$32:$B$34,4,$AG$32:$AG$34,"Completed")=COUNTIF($B$32:$B$34,4),MAX($AB$32:$AB$34),"")</f>
        <v>46162</v>
      </c>
      <c r="AC31" s="51" t="n">
        <f aca="false">IFERROR(IF(SUMIF($B$32:$B$34,4,$O$32:$O$34)&gt;0,SUMIF($B$32:$B$34,4,$AI$32:$AI$34)/SUMIF($B$32:$B$34,4,$O$32:$O$34),IFERROR(SUMPRODUCT(--($B$32:$B$34=4),$Q$32:$Q$34,$AC$32:$AC$34)/SUMIF($B$32:$B$34,4,$Q$32:$Q$34),AVERAGEIF($B$32:$B$34,4,$AC$32:$AC$34))),"")</f>
        <v>1</v>
      </c>
      <c r="AD31" s="46"/>
      <c r="AE31" s="50" t="n">
        <f aca="false">MIN($AE$32:$AE$34)</f>
        <v>46056</v>
      </c>
      <c r="AF31" s="50" t="n">
        <f aca="false">MAX($AF$32:$AF$34)</f>
        <v>46162</v>
      </c>
      <c r="AG31" s="46" t="str">
        <f aca="false">IF(COUNTIFS($B$32:$B$34,4,$AG$32:$AG$34,"Completed")=COUNTIF($B$32:$B$34,4),"Completed",IF(COUNTIFS($B$32:$B$34,4,$AG$32:$AG$34,"Not Started*")=COUNTIF($B$32:$B$34,4),"Not Started","In Progress"))</f>
        <v>Completed</v>
      </c>
      <c r="AH31" s="52" t="n">
        <f aca="false">MATCH($AF31,WorkDays,1)-MATCH($Z31,WorkDays,1)</f>
        <v>7</v>
      </c>
      <c r="AI31" s="49" t="str">
        <f aca="false">IF(SUMIF($B$32:$B$34,4,$O$32:$O$34)=0,"",SUMIF($B$32:$B$34,4,$AI$32:$AI$34))</f>
        <v/>
      </c>
      <c r="AJ31" s="46" t="str">
        <f aca="false">"P6 check: "&amp;INDEX('P6 Roll-up'!$AB$5:$AB$22,MATCH($A31,'P6 Roll-up'!$A$5:$A$22,0))</f>
        <v>P6 check: ✔ Same as P6</v>
      </c>
    </row>
    <row r="32" customFormat="false" ht="22.35" hidden="false" customHeight="false" outlineLevel="3" collapsed="false">
      <c r="A32" s="53" t="s">
        <v>220</v>
      </c>
      <c r="B32" s="25" t="n">
        <v>4</v>
      </c>
      <c r="C32" s="55" t="s">
        <v>221</v>
      </c>
      <c r="D32" s="55" t="s">
        <v>222</v>
      </c>
      <c r="E32" s="25"/>
      <c r="F32" s="55"/>
      <c r="G32" s="55"/>
      <c r="H32" s="55" t="s">
        <v>172</v>
      </c>
      <c r="I32" s="55"/>
      <c r="J32" s="25" t="n">
        <f aca="false">COUNTIF('BIM Element Map'!$J$6:$J$1000,$A32)</f>
        <v>0</v>
      </c>
      <c r="K32" s="56"/>
      <c r="L32" s="25" t="s">
        <v>173</v>
      </c>
      <c r="M32" s="55"/>
      <c r="N32" s="55" t="s">
        <v>218</v>
      </c>
      <c r="O32" s="57"/>
      <c r="P32" s="25"/>
      <c r="Q32" s="58" t="n">
        <v>58</v>
      </c>
      <c r="R32" s="59"/>
      <c r="S32" s="58"/>
      <c r="T32" s="58"/>
      <c r="U32" s="59"/>
      <c r="V32" s="58"/>
      <c r="W32" s="58"/>
      <c r="X32" s="60" t="n">
        <v>46056</v>
      </c>
      <c r="Y32" s="61" t="n">
        <v>46081</v>
      </c>
      <c r="Z32" s="61" t="n">
        <v>46128</v>
      </c>
      <c r="AA32" s="62" t="n">
        <v>46056</v>
      </c>
      <c r="AB32" s="62" t="n">
        <v>46125</v>
      </c>
      <c r="AC32" s="63" t="n">
        <v>1</v>
      </c>
      <c r="AD32" s="25" t="n">
        <f aca="false">IF($AB32&lt;&gt;"",0,IF($AA32="",$Q32,MAX(1,ROUND($Q32*(1-$AC32),0))))</f>
        <v>0</v>
      </c>
      <c r="AE32" s="61" t="n">
        <f aca="false">IF($AA32&lt;&gt;"",$AA32,MAX($X32,NextWD,IF($R32="",0,IF($S32="SS",INDEX(WorkDays,MATCH(INDEX($AE$6:$AE$156,MATCH($R32,$A$6:$A$156,0))-1,WorkDays,1)+1+$T32),INDEX(WorkDays,MATCH(INDEX($AF$6:$AF$156,MATCH($R32,$A$6:$A$156,0)),WorkDays,1)+IF($Q32=0,0,1)+$T32))),IF($U32="",0,IF($V32="SS",INDEX(WorkDays,MATCH(INDEX($AE$6:$AE$156,MATCH($U32,$A$6:$A$156,0))-1,WorkDays,1)+1+$W32),INDEX(WorkDays,MATCH(INDEX($AF$6:$AF$156,MATCH($U32,$A$6:$A$156,0)),WorkDays,1)+IF($Q32=0,0,1)+$W32)))))</f>
        <v>46056</v>
      </c>
      <c r="AF32" s="61" t="n">
        <f aca="false">IF($AB32&lt;&gt;"",$AB32,IF($Q32=0,$AE32,INDEX(WorkDays,MATCH(MAX($AE32,NextWD)-1,WorkDays,1)+$AD32)))</f>
        <v>46125</v>
      </c>
      <c r="AG32" s="56" t="str">
        <f aca="false">IF($AB32&lt;&gt;"","Completed",IF($AA32&lt;&gt;"","In Progress",IF(AND($Y32&lt;&gt;"",$Y32&lt;=DataDate),"Not Started (Late)","Not Started")))</f>
        <v>Completed</v>
      </c>
      <c r="AH32" s="64" t="n">
        <f aca="false">IF($Z32="","",MATCH($AF32,WorkDays,1)-MATCH($Z32,WorkDays,1))</f>
        <v>-3</v>
      </c>
      <c r="AI32" s="57" t="str">
        <f aca="false">IF($O32="","",$O32*IF($AB32&lt;&gt;"",1,$AC32))</f>
        <v/>
      </c>
      <c r="AJ32" s="55" t="s">
        <v>174</v>
      </c>
    </row>
    <row r="33" customFormat="false" ht="22.35" hidden="false" customHeight="false" outlineLevel="3" collapsed="false">
      <c r="A33" s="53" t="s">
        <v>223</v>
      </c>
      <c r="B33" s="25" t="n">
        <v>4</v>
      </c>
      <c r="C33" s="55" t="s">
        <v>224</v>
      </c>
      <c r="D33" s="55" t="s">
        <v>222</v>
      </c>
      <c r="E33" s="25"/>
      <c r="F33" s="55"/>
      <c r="G33" s="55"/>
      <c r="H33" s="55" t="s">
        <v>172</v>
      </c>
      <c r="I33" s="55"/>
      <c r="J33" s="25" t="n">
        <f aca="false">COUNTIF('BIM Element Map'!$J$6:$J$1000,$A33)</f>
        <v>0</v>
      </c>
      <c r="K33" s="56"/>
      <c r="L33" s="25" t="s">
        <v>173</v>
      </c>
      <c r="M33" s="55"/>
      <c r="N33" s="55" t="s">
        <v>218</v>
      </c>
      <c r="O33" s="57"/>
      <c r="P33" s="25"/>
      <c r="Q33" s="58" t="n">
        <v>31</v>
      </c>
      <c r="R33" s="59" t="s">
        <v>220</v>
      </c>
      <c r="S33" s="58" t="s">
        <v>177</v>
      </c>
      <c r="T33" s="58" t="n">
        <v>0</v>
      </c>
      <c r="U33" s="59"/>
      <c r="V33" s="58"/>
      <c r="W33" s="58"/>
      <c r="X33" s="60"/>
      <c r="Y33" s="61" t="n">
        <v>46129</v>
      </c>
      <c r="Z33" s="61" t="n">
        <v>46154</v>
      </c>
      <c r="AA33" s="62" t="n">
        <v>46126</v>
      </c>
      <c r="AB33" s="62" t="n">
        <v>46162</v>
      </c>
      <c r="AC33" s="63" t="n">
        <v>1</v>
      </c>
      <c r="AD33" s="25" t="n">
        <f aca="false">IF($AB33&lt;&gt;"",0,IF($AA33="",$Q33,MAX(1,ROUND($Q33*(1-$AC33),0))))</f>
        <v>0</v>
      </c>
      <c r="AE33" s="61" t="n">
        <f aca="false">IF($AA33&lt;&gt;"",$AA33,MAX($X33,NextWD,IF($R33="",0,IF($S33="SS",INDEX(WorkDays,MATCH(INDEX($AE$6:$AE$156,MATCH($R33,$A$6:$A$156,0))-1,WorkDays,1)+1+$T33),INDEX(WorkDays,MATCH(INDEX($AF$6:$AF$156,MATCH($R33,$A$6:$A$156,0)),WorkDays,1)+IF($Q33=0,0,1)+$T33))),IF($U33="",0,IF($V33="SS",INDEX(WorkDays,MATCH(INDEX($AE$6:$AE$156,MATCH($U33,$A$6:$A$156,0))-1,WorkDays,1)+1+$W33),INDEX(WorkDays,MATCH(INDEX($AF$6:$AF$156,MATCH($U33,$A$6:$A$156,0)),WorkDays,1)+IF($Q33=0,0,1)+$W33)))))</f>
        <v>46126</v>
      </c>
      <c r="AF33" s="61" t="n">
        <f aca="false">IF($AB33&lt;&gt;"",$AB33,IF($Q33=0,$AE33,INDEX(WorkDays,MATCH(MAX($AE33,NextWD)-1,WorkDays,1)+$AD33)))</f>
        <v>46162</v>
      </c>
      <c r="AG33" s="56" t="str">
        <f aca="false">IF($AB33&lt;&gt;"","Completed",IF($AA33&lt;&gt;"","In Progress",IF(AND($Y33&lt;&gt;"",$Y33&lt;=DataDate),"Not Started (Late)","Not Started")))</f>
        <v>Completed</v>
      </c>
      <c r="AH33" s="64" t="n">
        <f aca="false">IF($Z33="","",MATCH($AF33,WorkDays,1)-MATCH($Z33,WorkDays,1))</f>
        <v>7</v>
      </c>
      <c r="AI33" s="57" t="str">
        <f aca="false">IF($O33="","",$O33*IF($AB33&lt;&gt;"",1,$AC33))</f>
        <v/>
      </c>
      <c r="AJ33" s="55" t="s">
        <v>174</v>
      </c>
    </row>
    <row r="34" customFormat="false" ht="22.35" hidden="false" customHeight="false" outlineLevel="3" collapsed="false">
      <c r="A34" s="53" t="s">
        <v>225</v>
      </c>
      <c r="B34" s="25" t="n">
        <v>4</v>
      </c>
      <c r="C34" s="54" t="s">
        <v>226</v>
      </c>
      <c r="D34" s="55" t="s">
        <v>222</v>
      </c>
      <c r="E34" s="25"/>
      <c r="F34" s="55"/>
      <c r="G34" s="55"/>
      <c r="H34" s="55" t="s">
        <v>165</v>
      </c>
      <c r="I34" s="55"/>
      <c r="J34" s="25" t="n">
        <f aca="false">COUNTIF('BIM Element Map'!$J$6:$J$1000,$A34)</f>
        <v>0</v>
      </c>
      <c r="K34" s="56"/>
      <c r="L34" s="25" t="s">
        <v>50</v>
      </c>
      <c r="M34" s="55"/>
      <c r="N34" s="55" t="s">
        <v>218</v>
      </c>
      <c r="O34" s="57"/>
      <c r="P34" s="25"/>
      <c r="Q34" s="58" t="n">
        <v>0</v>
      </c>
      <c r="R34" s="59" t="s">
        <v>223</v>
      </c>
      <c r="S34" s="58" t="s">
        <v>177</v>
      </c>
      <c r="T34" s="58" t="n">
        <v>0</v>
      </c>
      <c r="U34" s="59"/>
      <c r="V34" s="58"/>
      <c r="W34" s="58"/>
      <c r="X34" s="60"/>
      <c r="Y34" s="61" t="n">
        <v>46154</v>
      </c>
      <c r="Z34" s="61" t="n">
        <v>46154</v>
      </c>
      <c r="AA34" s="62" t="n">
        <v>46162</v>
      </c>
      <c r="AB34" s="62" t="n">
        <v>46162</v>
      </c>
      <c r="AC34" s="63" t="n">
        <v>1</v>
      </c>
      <c r="AD34" s="25" t="n">
        <f aca="false">IF($AB34&lt;&gt;"",0,IF($AA34="",$Q34,MAX(1,ROUND($Q34*(1-$AC34),0))))</f>
        <v>0</v>
      </c>
      <c r="AE34" s="61" t="n">
        <f aca="false">IF($AA34&lt;&gt;"",$AA34,MAX($X34,NextWD,IF($R34="",0,IF($S34="SS",INDEX(WorkDays,MATCH(INDEX($AE$6:$AE$156,MATCH($R34,$A$6:$A$156,0))-1,WorkDays,1)+1+$T34),INDEX(WorkDays,MATCH(INDEX($AF$6:$AF$156,MATCH($R34,$A$6:$A$156,0)),WorkDays,1)+IF($Q34=0,0,1)+$T34))),IF($U34="",0,IF($V34="SS",INDEX(WorkDays,MATCH(INDEX($AE$6:$AE$156,MATCH($U34,$A$6:$A$156,0))-1,WorkDays,1)+1+$W34),INDEX(WorkDays,MATCH(INDEX($AF$6:$AF$156,MATCH($U34,$A$6:$A$156,0)),WorkDays,1)+IF($Q34=0,0,1)+$W34)))))</f>
        <v>46162</v>
      </c>
      <c r="AF34" s="61" t="n">
        <f aca="false">IF($AB34&lt;&gt;"",$AB34,IF($Q34=0,$AE34,INDEX(WorkDays,MATCH(MAX($AE34,NextWD)-1,WorkDays,1)+$AD34)))</f>
        <v>46162</v>
      </c>
      <c r="AG34" s="56" t="str">
        <f aca="false">IF($AB34&lt;&gt;"","Completed",IF($AA34&lt;&gt;"","In Progress",IF(AND($Y34&lt;&gt;"",$Y34&lt;=DataDate),"Not Started (Late)","Not Started")))</f>
        <v>Completed</v>
      </c>
      <c r="AH34" s="64" t="n">
        <f aca="false">IF($Z34="","",MATCH($AF34,WorkDays,1)-MATCH($Z34,WorkDays,1))</f>
        <v>7</v>
      </c>
      <c r="AI34" s="57" t="str">
        <f aca="false">IF($O34="","",$O34*IF($AB34&lt;&gt;"",1,$AC34))</f>
        <v/>
      </c>
      <c r="AJ34" s="55" t="s">
        <v>174</v>
      </c>
    </row>
    <row r="35" customFormat="false" ht="15" hidden="false" customHeight="false" outlineLevel="2" collapsed="false">
      <c r="A35" s="46" t="s">
        <v>227</v>
      </c>
      <c r="B35" s="47" t="n">
        <v>3</v>
      </c>
      <c r="C35" s="48" t="s">
        <v>228</v>
      </c>
      <c r="D35" s="46"/>
      <c r="E35" s="46"/>
      <c r="F35" s="46"/>
      <c r="G35" s="46"/>
      <c r="H35" s="46"/>
      <c r="I35" s="46"/>
      <c r="J35" s="46" t="n">
        <f aca="false">SUMIF($B$36:$B$39,4,$J$36:$J$39)</f>
        <v>0</v>
      </c>
      <c r="K35" s="46"/>
      <c r="L35" s="46"/>
      <c r="M35" s="46"/>
      <c r="N35" s="46"/>
      <c r="O35" s="49" t="str">
        <f aca="false">IF(SUMIF($B$36:$B$39,4,$O$36:$O$39)=0,"",SUMIF($B$36:$B$39,4,$O$36:$O$39))</f>
        <v/>
      </c>
      <c r="P35" s="46"/>
      <c r="Q35" s="46"/>
      <c r="R35" s="46"/>
      <c r="S35" s="46"/>
      <c r="T35" s="46"/>
      <c r="U35" s="46"/>
      <c r="V35" s="46"/>
      <c r="W35" s="46"/>
      <c r="X35" s="46"/>
      <c r="Y35" s="50" t="n">
        <f aca="false">MIN($Y$36:$Y$39)</f>
        <v>46203</v>
      </c>
      <c r="Z35" s="50" t="n">
        <f aca="false">MAX($Z$36:$Z$39)</f>
        <v>46380</v>
      </c>
      <c r="AA35" s="50" t="n">
        <f aca="false">IF(COUNT($AA$36:$AA$39)=0,"",MIN($AA$36:$AA$39))</f>
        <v>46164</v>
      </c>
      <c r="AB35" s="50" t="str">
        <f aca="false">IF(COUNTIFS($B$36:$B$39,4,$AG$36:$AG$39,"Completed")=COUNTIF($B$36:$B$39,4),MAX($AB$36:$AB$39),"")</f>
        <v/>
      </c>
      <c r="AC35" s="51" t="n">
        <f aca="false">IFERROR(IF(SUMIF($B$36:$B$39,4,$O$36:$O$39)&gt;0,SUMIF($B$36:$B$39,4,$AI$36:$AI$39)/SUMIF($B$36:$B$39,4,$O$36:$O$39),IFERROR(SUMPRODUCT(--($B$36:$B$39=4),$Q$36:$Q$39,$AC$36:$AC$39)/SUMIF($B$36:$B$39,4,$Q$36:$Q$39),AVERAGEIF($B$36:$B$39,4,$AC$36:$AC$39))),"")</f>
        <v>0.601021276595745</v>
      </c>
      <c r="AD35" s="46"/>
      <c r="AE35" s="50" t="n">
        <f aca="false">MIN($AE$36:$AE$39)</f>
        <v>46164</v>
      </c>
      <c r="AF35" s="50" t="n">
        <f aca="false">MAX($AF$36:$AF$39)</f>
        <v>46387</v>
      </c>
      <c r="AG35" s="46" t="str">
        <f aca="false">IF(COUNTIFS($B$36:$B$39,4,$AG$36:$AG$39,"Completed")=COUNTIF($B$36:$B$39,4),"Completed",IF(COUNTIFS($B$36:$B$39,4,$AG$36:$AG$39,"Not Started*")=COUNTIF($B$36:$B$39,4),"Not Started","In Progress"))</f>
        <v>In Progress</v>
      </c>
      <c r="AH35" s="52" t="n">
        <f aca="false">MATCH($AF35,WorkDays,1)-MATCH($Z35,WorkDays,1)</f>
        <v>5</v>
      </c>
      <c r="AI35" s="49" t="str">
        <f aca="false">IF(SUMIF($B$36:$B$39,4,$O$36:$O$39)=0,"",SUMIF($B$36:$B$39,4,$AI$36:$AI$39))</f>
        <v/>
      </c>
      <c r="AJ35" s="46" t="str">
        <f aca="false">"P6 check: "&amp;INDEX('P6 Roll-up'!$AB$5:$AB$22,MATCH($A35,'P6 Roll-up'!$A$5:$A$22,0))</f>
        <v>P6 check: ✔ Same as P6</v>
      </c>
    </row>
    <row r="36" customFormat="false" ht="32.8" hidden="false" customHeight="false" outlineLevel="3" collapsed="false">
      <c r="A36" s="53" t="s">
        <v>229</v>
      </c>
      <c r="B36" s="25" t="n">
        <v>4</v>
      </c>
      <c r="C36" s="55" t="s">
        <v>230</v>
      </c>
      <c r="D36" s="55" t="s">
        <v>222</v>
      </c>
      <c r="E36" s="25"/>
      <c r="F36" s="55"/>
      <c r="G36" s="55"/>
      <c r="H36" s="55" t="s">
        <v>172</v>
      </c>
      <c r="I36" s="55"/>
      <c r="J36" s="25" t="n">
        <f aca="false">COUNTIF('BIM Element Map'!$J$6:$J$1000,$A36)</f>
        <v>0</v>
      </c>
      <c r="K36" s="56"/>
      <c r="L36" s="25" t="s">
        <v>173</v>
      </c>
      <c r="M36" s="55"/>
      <c r="N36" s="55" t="s">
        <v>227</v>
      </c>
      <c r="O36" s="57"/>
      <c r="P36" s="25"/>
      <c r="Q36" s="58" t="n">
        <v>165</v>
      </c>
      <c r="R36" s="59"/>
      <c r="S36" s="58"/>
      <c r="T36" s="58"/>
      <c r="U36" s="59"/>
      <c r="V36" s="58"/>
      <c r="W36" s="58"/>
      <c r="X36" s="60" t="n">
        <v>46164</v>
      </c>
      <c r="Y36" s="61" t="n">
        <v>46203</v>
      </c>
      <c r="Z36" s="61" t="n">
        <v>46359</v>
      </c>
      <c r="AA36" s="62" t="n">
        <v>46164</v>
      </c>
      <c r="AB36" s="62"/>
      <c r="AC36" s="63" t="n">
        <v>0.6848</v>
      </c>
      <c r="AD36" s="25" t="n">
        <f aca="false">IF($AB36&lt;&gt;"",0,IF($AA36="",$Q36,MAX(1,ROUND($Q36*(1-$AC36),0))))</f>
        <v>52</v>
      </c>
      <c r="AE36" s="61" t="n">
        <f aca="false">IF($AA36&lt;&gt;"",$AA36,MAX($X36,NextWD,IF($R36="",0,IF($S36="SS",INDEX(WorkDays,MATCH(INDEX($AE$6:$AE$156,MATCH($R36,$A$6:$A$156,0))-1,WorkDays,1)+1+$T36),INDEX(WorkDays,MATCH(INDEX($AF$6:$AF$156,MATCH($R36,$A$6:$A$156,0)),WorkDays,1)+IF($Q36=0,0,1)+$T36))),IF($U36="",0,IF($V36="SS",INDEX(WorkDays,MATCH(INDEX($AE$6:$AE$156,MATCH($U36,$A$6:$A$156,0))-1,WorkDays,1)+1+$W36),INDEX(WorkDays,MATCH(INDEX($AF$6:$AF$156,MATCH($U36,$A$6:$A$156,0)),WorkDays,1)+IF($Q36=0,0,1)+$W36)))))</f>
        <v>46164</v>
      </c>
      <c r="AF36" s="61" t="n">
        <f aca="false">IF($AB36&lt;&gt;"",$AB36,IF($Q36=0,$AE36,INDEX(WorkDays,MATCH(MAX($AE36,NextWD)-1,WorkDays,1)+$AD36)))</f>
        <v>46359</v>
      </c>
      <c r="AG36" s="56" t="str">
        <f aca="false">IF($AB36&lt;&gt;"","Completed",IF($AA36&lt;&gt;"","In Progress",IF(AND($Y36&lt;&gt;"",$Y36&lt;=DataDate),"Not Started (Late)","Not Started")))</f>
        <v>In Progress</v>
      </c>
      <c r="AH36" s="64" t="n">
        <f aca="false">IF($Z36="","",MATCH($AF36,WorkDays,1)-MATCH($Z36,WorkDays,1))</f>
        <v>0</v>
      </c>
      <c r="AI36" s="57" t="str">
        <f aca="false">IF($O36="","",$O36*IF($AB36&lt;&gt;"",1,$AC36))</f>
        <v/>
      </c>
      <c r="AJ36" s="55" t="s">
        <v>210</v>
      </c>
    </row>
    <row r="37" customFormat="false" ht="15" hidden="false" customHeight="false" outlineLevel="3" collapsed="false">
      <c r="A37" s="53" t="s">
        <v>231</v>
      </c>
      <c r="B37" s="25" t="n">
        <v>4</v>
      </c>
      <c r="C37" s="55" t="s">
        <v>232</v>
      </c>
      <c r="D37" s="55" t="s">
        <v>222</v>
      </c>
      <c r="E37" s="25"/>
      <c r="F37" s="55"/>
      <c r="G37" s="55"/>
      <c r="H37" s="55" t="s">
        <v>172</v>
      </c>
      <c r="I37" s="55"/>
      <c r="J37" s="25" t="n">
        <f aca="false">COUNTIF('BIM Element Map'!$J$6:$J$1000,$A37)</f>
        <v>0</v>
      </c>
      <c r="K37" s="56"/>
      <c r="L37" s="25" t="s">
        <v>173</v>
      </c>
      <c r="M37" s="55"/>
      <c r="N37" s="55" t="s">
        <v>227</v>
      </c>
      <c r="O37" s="57"/>
      <c r="P37" s="25"/>
      <c r="Q37" s="58" t="n">
        <v>8</v>
      </c>
      <c r="R37" s="59" t="s">
        <v>229</v>
      </c>
      <c r="S37" s="58" t="s">
        <v>177</v>
      </c>
      <c r="T37" s="58" t="n">
        <v>0</v>
      </c>
      <c r="U37" s="59"/>
      <c r="V37" s="58"/>
      <c r="W37" s="58"/>
      <c r="X37" s="60"/>
      <c r="Y37" s="61" t="n">
        <v>46360</v>
      </c>
      <c r="Z37" s="61" t="n">
        <v>46366</v>
      </c>
      <c r="AA37" s="62"/>
      <c r="AB37" s="62"/>
      <c r="AC37" s="63" t="n">
        <v>0</v>
      </c>
      <c r="AD37" s="25" t="n">
        <f aca="false">IF($AB37&lt;&gt;"",0,IF($AA37="",$Q37,MAX(1,ROUND($Q37*(1-$AC37),0))))</f>
        <v>8</v>
      </c>
      <c r="AE37" s="61" t="n">
        <f aca="false">IF($AA37&lt;&gt;"",$AA37,MAX($X37,NextWD,IF($R37="",0,IF($S37="SS",INDEX(WorkDays,MATCH(INDEX($AE$6:$AE$156,MATCH($R37,$A$6:$A$156,0))-1,WorkDays,1)+1+$T37),INDEX(WorkDays,MATCH(INDEX($AF$6:$AF$156,MATCH($R37,$A$6:$A$156,0)),WorkDays,1)+IF($Q37=0,0,1)+$T37))),IF($U37="",0,IF($V37="SS",INDEX(WorkDays,MATCH(INDEX($AE$6:$AE$156,MATCH($U37,$A$6:$A$156,0))-1,WorkDays,1)+1+$W37),INDEX(WorkDays,MATCH(INDEX($AF$6:$AF$156,MATCH($U37,$A$6:$A$156,0)),WorkDays,1)+IF($Q37=0,0,1)+$W37)))))</f>
        <v>46360</v>
      </c>
      <c r="AF37" s="61" t="n">
        <f aca="false">IF($AB37&lt;&gt;"",$AB37,IF($Q37=0,$AE37,INDEX(WorkDays,MATCH(MAX($AE37,NextWD)-1,WorkDays,1)+$AD37)))</f>
        <v>46368</v>
      </c>
      <c r="AG37" s="56" t="str">
        <f aca="false">IF($AB37&lt;&gt;"","Completed",IF($AA37&lt;&gt;"","In Progress",IF(AND($Y37&lt;&gt;"",$Y37&lt;=DataDate),"Not Started (Late)","Not Started")))</f>
        <v>Not Started</v>
      </c>
      <c r="AH37" s="64" t="n">
        <f aca="false">IF($Z37="","",MATCH($AF37,WorkDays,1)-MATCH($Z37,WorkDays,1))</f>
        <v>2</v>
      </c>
      <c r="AI37" s="57" t="str">
        <f aca="false">IF($O37="","",$O37*IF($AB37&lt;&gt;"",1,$AC37))</f>
        <v/>
      </c>
      <c r="AJ37" s="55" t="s">
        <v>233</v>
      </c>
    </row>
    <row r="38" customFormat="false" ht="15" hidden="false" customHeight="false" outlineLevel="3" collapsed="false">
      <c r="A38" s="53" t="s">
        <v>234</v>
      </c>
      <c r="B38" s="25" t="n">
        <v>4</v>
      </c>
      <c r="C38" s="55" t="s">
        <v>235</v>
      </c>
      <c r="D38" s="55" t="s">
        <v>222</v>
      </c>
      <c r="E38" s="25"/>
      <c r="F38" s="55"/>
      <c r="G38" s="55"/>
      <c r="H38" s="55" t="s">
        <v>172</v>
      </c>
      <c r="I38" s="55"/>
      <c r="J38" s="25" t="n">
        <f aca="false">COUNTIF('BIM Element Map'!$J$6:$J$1000,$A38)</f>
        <v>0</v>
      </c>
      <c r="K38" s="56"/>
      <c r="L38" s="25" t="s">
        <v>173</v>
      </c>
      <c r="M38" s="55"/>
      <c r="N38" s="55" t="s">
        <v>227</v>
      </c>
      <c r="O38" s="57"/>
      <c r="P38" s="25"/>
      <c r="Q38" s="58" t="n">
        <v>15</v>
      </c>
      <c r="R38" s="59" t="s">
        <v>231</v>
      </c>
      <c r="S38" s="58" t="s">
        <v>177</v>
      </c>
      <c r="T38" s="58" t="n">
        <v>0</v>
      </c>
      <c r="U38" s="59"/>
      <c r="V38" s="58"/>
      <c r="W38" s="58"/>
      <c r="X38" s="60"/>
      <c r="Y38" s="61" t="n">
        <v>46367</v>
      </c>
      <c r="Z38" s="61" t="n">
        <v>46380</v>
      </c>
      <c r="AA38" s="62"/>
      <c r="AB38" s="62"/>
      <c r="AC38" s="63" t="n">
        <v>0</v>
      </c>
      <c r="AD38" s="25" t="n">
        <f aca="false">IF($AB38&lt;&gt;"",0,IF($AA38="",$Q38,MAX(1,ROUND($Q38*(1-$AC38),0))))</f>
        <v>15</v>
      </c>
      <c r="AE38" s="61" t="n">
        <f aca="false">IF($AA38&lt;&gt;"",$AA38,MAX($X38,NextWD,IF($R38="",0,IF($S38="SS",INDEX(WorkDays,MATCH(INDEX($AE$6:$AE$156,MATCH($R38,$A$6:$A$156,0))-1,WorkDays,1)+1+$T38),INDEX(WorkDays,MATCH(INDEX($AF$6:$AF$156,MATCH($R38,$A$6:$A$156,0)),WorkDays,1)+IF($Q38=0,0,1)+$T38))),IF($U38="",0,IF($V38="SS",INDEX(WorkDays,MATCH(INDEX($AE$6:$AE$156,MATCH($U38,$A$6:$A$156,0))-1,WorkDays,1)+1+$W38),INDEX(WorkDays,MATCH(INDEX($AF$6:$AF$156,MATCH($U38,$A$6:$A$156,0)),WorkDays,1)+IF($Q38=0,0,1)+$W38)))))</f>
        <v>46370</v>
      </c>
      <c r="AF38" s="61" t="n">
        <f aca="false">IF($AB38&lt;&gt;"",$AB38,IF($Q38=0,$AE38,INDEX(WorkDays,MATCH(MAX($AE38,NextWD)-1,WorkDays,1)+$AD38)))</f>
        <v>46387</v>
      </c>
      <c r="AG38" s="56" t="str">
        <f aca="false">IF($AB38&lt;&gt;"","Completed",IF($AA38&lt;&gt;"","In Progress",IF(AND($Y38&lt;&gt;"",$Y38&lt;=DataDate),"Not Started (Late)","Not Started")))</f>
        <v>Not Started</v>
      </c>
      <c r="AH38" s="64" t="n">
        <f aca="false">IF($Z38="","",MATCH($AF38,WorkDays,1)-MATCH($Z38,WorkDays,1))</f>
        <v>5</v>
      </c>
      <c r="AI38" s="57" t="str">
        <f aca="false">IF($O38="","",$O38*IF($AB38&lt;&gt;"",1,$AC38))</f>
        <v/>
      </c>
      <c r="AJ38" s="55" t="s">
        <v>233</v>
      </c>
    </row>
    <row r="39" customFormat="false" ht="15" hidden="false" customHeight="false" outlineLevel="3" collapsed="false">
      <c r="A39" s="53" t="s">
        <v>236</v>
      </c>
      <c r="B39" s="25" t="n">
        <v>4</v>
      </c>
      <c r="C39" s="54" t="s">
        <v>237</v>
      </c>
      <c r="D39" s="55" t="s">
        <v>50</v>
      </c>
      <c r="E39" s="25"/>
      <c r="F39" s="55"/>
      <c r="G39" s="55"/>
      <c r="H39" s="55" t="s">
        <v>165</v>
      </c>
      <c r="I39" s="55"/>
      <c r="J39" s="25" t="n">
        <f aca="false">COUNTIF('BIM Element Map'!$J$6:$J$1000,$A39)</f>
        <v>0</v>
      </c>
      <c r="K39" s="56"/>
      <c r="L39" s="25" t="s">
        <v>50</v>
      </c>
      <c r="M39" s="55"/>
      <c r="N39" s="55" t="s">
        <v>227</v>
      </c>
      <c r="O39" s="57"/>
      <c r="P39" s="25"/>
      <c r="Q39" s="58" t="n">
        <v>0</v>
      </c>
      <c r="R39" s="59" t="s">
        <v>234</v>
      </c>
      <c r="S39" s="58" t="s">
        <v>177</v>
      </c>
      <c r="T39" s="58" t="n">
        <v>0</v>
      </c>
      <c r="U39" s="59"/>
      <c r="V39" s="58"/>
      <c r="W39" s="58"/>
      <c r="X39" s="60"/>
      <c r="Y39" s="61" t="n">
        <v>46380</v>
      </c>
      <c r="Z39" s="61" t="n">
        <v>46380</v>
      </c>
      <c r="AA39" s="62"/>
      <c r="AB39" s="62"/>
      <c r="AC39" s="63" t="n">
        <v>0</v>
      </c>
      <c r="AD39" s="25" t="n">
        <f aca="false">IF($AB39&lt;&gt;"",0,IF($AA39="",$Q39,MAX(1,ROUND($Q39*(1-$AC39),0))))</f>
        <v>0</v>
      </c>
      <c r="AE39" s="61" t="n">
        <f aca="false">IF($AA39&lt;&gt;"",$AA39,MAX($X39,NextWD,IF($R39="",0,IF($S39="SS",INDEX(WorkDays,MATCH(INDEX($AE$6:$AE$156,MATCH($R39,$A$6:$A$156,0))-1,WorkDays,1)+1+$T39),INDEX(WorkDays,MATCH(INDEX($AF$6:$AF$156,MATCH($R39,$A$6:$A$156,0)),WorkDays,1)+IF($Q39=0,0,1)+$T39))),IF($U39="",0,IF($V39="SS",INDEX(WorkDays,MATCH(INDEX($AE$6:$AE$156,MATCH($U39,$A$6:$A$156,0))-1,WorkDays,1)+1+$W39),INDEX(WorkDays,MATCH(INDEX($AF$6:$AF$156,MATCH($U39,$A$6:$A$156,0)),WorkDays,1)+IF($Q39=0,0,1)+$W39)))))</f>
        <v>46387</v>
      </c>
      <c r="AF39" s="61" t="n">
        <f aca="false">IF($AB39&lt;&gt;"",$AB39,IF($Q39=0,$AE39,INDEX(WorkDays,MATCH(MAX($AE39,NextWD)-1,WorkDays,1)+$AD39)))</f>
        <v>46387</v>
      </c>
      <c r="AG39" s="56" t="str">
        <f aca="false">IF($AB39&lt;&gt;"","Completed",IF($AA39&lt;&gt;"","In Progress",IF(AND($Y39&lt;&gt;"",$Y39&lt;=DataDate),"Not Started (Late)","Not Started")))</f>
        <v>Not Started</v>
      </c>
      <c r="AH39" s="64" t="n">
        <f aca="false">IF($Z39="","",MATCH($AF39,WorkDays,1)-MATCH($Z39,WorkDays,1))</f>
        <v>5</v>
      </c>
      <c r="AI39" s="57" t="str">
        <f aca="false">IF($O39="","",$O39*IF($AB39&lt;&gt;"",1,$AC39))</f>
        <v/>
      </c>
      <c r="AJ39" s="55" t="s">
        <v>233</v>
      </c>
    </row>
    <row r="40" customFormat="false" ht="15" hidden="false" customHeight="false" outlineLevel="2" collapsed="false">
      <c r="A40" s="46" t="s">
        <v>238</v>
      </c>
      <c r="B40" s="47" t="n">
        <v>3</v>
      </c>
      <c r="C40" s="48" t="s">
        <v>239</v>
      </c>
      <c r="D40" s="46"/>
      <c r="E40" s="46"/>
      <c r="F40" s="46"/>
      <c r="G40" s="46"/>
      <c r="H40" s="46"/>
      <c r="I40" s="46"/>
      <c r="J40" s="46" t="n">
        <f aca="false">SUMIF($B$41:$B$43,4,$J$41:$J$43)</f>
        <v>0</v>
      </c>
      <c r="K40" s="46"/>
      <c r="L40" s="46"/>
      <c r="M40" s="46"/>
      <c r="N40" s="46"/>
      <c r="O40" s="49" t="str">
        <f aca="false">IF(SUMIF($B$41:$B$43,4,$O$41:$O$43)=0,"",SUMIF($B$41:$B$43,4,$O$41:$O$43))</f>
        <v/>
      </c>
      <c r="P40" s="46"/>
      <c r="Q40" s="46"/>
      <c r="R40" s="46"/>
      <c r="S40" s="46"/>
      <c r="T40" s="46"/>
      <c r="U40" s="46"/>
      <c r="V40" s="46"/>
      <c r="W40" s="46"/>
      <c r="X40" s="46"/>
      <c r="Y40" s="50" t="n">
        <f aca="false">MIN($Y$41:$Y$43)</f>
        <v>46081</v>
      </c>
      <c r="Z40" s="50" t="n">
        <f aca="false">MAX($Z$41:$Z$43)</f>
        <v>46154</v>
      </c>
      <c r="AA40" s="50" t="n">
        <f aca="false">IF(COUNT($AA$41:$AA$43)=0,"",MIN($AA$41:$AA$43))</f>
        <v>46056</v>
      </c>
      <c r="AB40" s="50" t="n">
        <f aca="false">IF(COUNTIFS($B$41:$B$43,4,$AG$41:$AG$43,"Completed")=COUNTIF($B$41:$B$43,4),MAX($AB$41:$AB$43),"")</f>
        <v>46139</v>
      </c>
      <c r="AC40" s="51" t="n">
        <f aca="false">IFERROR(IF(SUMIF($B$41:$B$43,4,$O$41:$O$43)&gt;0,SUMIF($B$41:$B$43,4,$AI$41:$AI$43)/SUMIF($B$41:$B$43,4,$O$41:$O$43),IFERROR(SUMPRODUCT(--($B$41:$B$43=4),$Q$41:$Q$43,$AC$41:$AC$43)/SUMIF($B$41:$B$43,4,$Q$41:$Q$43),AVERAGEIF($B$41:$B$43,4,$AC$41:$AC$43))),"")</f>
        <v>1</v>
      </c>
      <c r="AD40" s="46"/>
      <c r="AE40" s="50" t="n">
        <f aca="false">MIN($AE$41:$AE$43)</f>
        <v>46056</v>
      </c>
      <c r="AF40" s="50" t="n">
        <f aca="false">MAX($AF$41:$AF$43)</f>
        <v>46139</v>
      </c>
      <c r="AG40" s="46" t="str">
        <f aca="false">IF(COUNTIFS($B$41:$B$43,4,$AG$41:$AG$43,"Completed")=COUNTIF($B$41:$B$43,4),"Completed",IF(COUNTIFS($B$41:$B$43,4,$AG$41:$AG$43,"Not Started*")=COUNTIF($B$41:$B$43,4),"Not Started","In Progress"))</f>
        <v>Completed</v>
      </c>
      <c r="AH40" s="52" t="n">
        <f aca="false">MATCH($AF40,WorkDays,1)-MATCH($Z40,WorkDays,1)</f>
        <v>-12</v>
      </c>
      <c r="AI40" s="49" t="str">
        <f aca="false">IF(SUMIF($B$41:$B$43,4,$O$41:$O$43)=0,"",SUMIF($B$41:$B$43,4,$AI$41:$AI$43))</f>
        <v/>
      </c>
      <c r="AJ40" s="46" t="str">
        <f aca="false">"P6 check: "&amp;INDEX('P6 Roll-up'!$AB$5:$AB$22,MATCH($A40,'P6 Roll-up'!$A$5:$A$22,0))</f>
        <v>P6 check: ✔ Same as P6</v>
      </c>
    </row>
    <row r="41" customFormat="false" ht="22.35" hidden="false" customHeight="false" outlineLevel="3" collapsed="false">
      <c r="A41" s="53" t="s">
        <v>240</v>
      </c>
      <c r="B41" s="25" t="n">
        <v>4</v>
      </c>
      <c r="C41" s="55" t="s">
        <v>241</v>
      </c>
      <c r="D41" s="55" t="s">
        <v>222</v>
      </c>
      <c r="E41" s="25"/>
      <c r="F41" s="55"/>
      <c r="G41" s="55"/>
      <c r="H41" s="55" t="s">
        <v>172</v>
      </c>
      <c r="I41" s="55"/>
      <c r="J41" s="25" t="n">
        <f aca="false">COUNTIF('BIM Element Map'!$J$6:$J$1000,$A41)</f>
        <v>0</v>
      </c>
      <c r="K41" s="56"/>
      <c r="L41" s="25" t="s">
        <v>173</v>
      </c>
      <c r="M41" s="55"/>
      <c r="N41" s="55" t="s">
        <v>238</v>
      </c>
      <c r="O41" s="57"/>
      <c r="P41" s="25"/>
      <c r="Q41" s="58" t="n">
        <v>46</v>
      </c>
      <c r="R41" s="59"/>
      <c r="S41" s="58"/>
      <c r="T41" s="58"/>
      <c r="U41" s="59"/>
      <c r="V41" s="58"/>
      <c r="W41" s="58"/>
      <c r="X41" s="60" t="n">
        <v>46056</v>
      </c>
      <c r="Y41" s="61" t="n">
        <v>46081</v>
      </c>
      <c r="Z41" s="61" t="n">
        <v>46128</v>
      </c>
      <c r="AA41" s="62" t="n">
        <v>46056</v>
      </c>
      <c r="AB41" s="62" t="n">
        <v>46111</v>
      </c>
      <c r="AC41" s="63" t="n">
        <v>1</v>
      </c>
      <c r="AD41" s="25" t="n">
        <f aca="false">IF($AB41&lt;&gt;"",0,IF($AA41="",$Q41,MAX(1,ROUND($Q41*(1-$AC41),0))))</f>
        <v>0</v>
      </c>
      <c r="AE41" s="61" t="n">
        <f aca="false">IF($AA41&lt;&gt;"",$AA41,MAX($X41,NextWD,IF($R41="",0,IF($S41="SS",INDEX(WorkDays,MATCH(INDEX($AE$6:$AE$156,MATCH($R41,$A$6:$A$156,0))-1,WorkDays,1)+1+$T41),INDEX(WorkDays,MATCH(INDEX($AF$6:$AF$156,MATCH($R41,$A$6:$A$156,0)),WorkDays,1)+IF($Q41=0,0,1)+$T41))),IF($U41="",0,IF($V41="SS",INDEX(WorkDays,MATCH(INDEX($AE$6:$AE$156,MATCH($U41,$A$6:$A$156,0))-1,WorkDays,1)+1+$W41),INDEX(WorkDays,MATCH(INDEX($AF$6:$AF$156,MATCH($U41,$A$6:$A$156,0)),WorkDays,1)+IF($Q41=0,0,1)+$W41)))))</f>
        <v>46056</v>
      </c>
      <c r="AF41" s="61" t="n">
        <f aca="false">IF($AB41&lt;&gt;"",$AB41,IF($Q41=0,$AE41,INDEX(WorkDays,MATCH(MAX($AE41,NextWD)-1,WorkDays,1)+$AD41)))</f>
        <v>46111</v>
      </c>
      <c r="AG41" s="56" t="str">
        <f aca="false">IF($AB41&lt;&gt;"","Completed",IF($AA41&lt;&gt;"","In Progress",IF(AND($Y41&lt;&gt;"",$Y41&lt;=DataDate),"Not Started (Late)","Not Started")))</f>
        <v>Completed</v>
      </c>
      <c r="AH41" s="64" t="n">
        <f aca="false">IF($Z41="","",MATCH($AF41,WorkDays,1)-MATCH($Z41,WorkDays,1))</f>
        <v>-15</v>
      </c>
      <c r="AI41" s="57" t="str">
        <f aca="false">IF($O41="","",$O41*IF($AB41&lt;&gt;"",1,$AC41))</f>
        <v/>
      </c>
      <c r="AJ41" s="55" t="s">
        <v>174</v>
      </c>
    </row>
    <row r="42" customFormat="false" ht="22.35" hidden="false" customHeight="false" outlineLevel="3" collapsed="false">
      <c r="A42" s="53" t="s">
        <v>242</v>
      </c>
      <c r="B42" s="25" t="n">
        <v>4</v>
      </c>
      <c r="C42" s="55" t="s">
        <v>243</v>
      </c>
      <c r="D42" s="55" t="s">
        <v>222</v>
      </c>
      <c r="E42" s="25"/>
      <c r="F42" s="55"/>
      <c r="G42" s="55"/>
      <c r="H42" s="55" t="s">
        <v>172</v>
      </c>
      <c r="I42" s="55"/>
      <c r="J42" s="25" t="n">
        <f aca="false">COUNTIF('BIM Element Map'!$J$6:$J$1000,$A42)</f>
        <v>0</v>
      </c>
      <c r="K42" s="56"/>
      <c r="L42" s="25" t="s">
        <v>173</v>
      </c>
      <c r="M42" s="55"/>
      <c r="N42" s="55" t="s">
        <v>238</v>
      </c>
      <c r="O42" s="57"/>
      <c r="P42" s="25"/>
      <c r="Q42" s="58" t="n">
        <v>24</v>
      </c>
      <c r="R42" s="59" t="s">
        <v>240</v>
      </c>
      <c r="S42" s="58" t="s">
        <v>177</v>
      </c>
      <c r="T42" s="58" t="n">
        <v>0</v>
      </c>
      <c r="U42" s="59"/>
      <c r="V42" s="58"/>
      <c r="W42" s="58"/>
      <c r="X42" s="60"/>
      <c r="Y42" s="61" t="n">
        <v>46129</v>
      </c>
      <c r="Z42" s="61" t="n">
        <v>46154</v>
      </c>
      <c r="AA42" s="62" t="n">
        <v>46112</v>
      </c>
      <c r="AB42" s="62" t="n">
        <v>46139</v>
      </c>
      <c r="AC42" s="63" t="n">
        <v>1</v>
      </c>
      <c r="AD42" s="25" t="n">
        <f aca="false">IF($AB42&lt;&gt;"",0,IF($AA42="",$Q42,MAX(1,ROUND($Q42*(1-$AC42),0))))</f>
        <v>0</v>
      </c>
      <c r="AE42" s="61" t="n">
        <f aca="false">IF($AA42&lt;&gt;"",$AA42,MAX($X42,NextWD,IF($R42="",0,IF($S42="SS",INDEX(WorkDays,MATCH(INDEX($AE$6:$AE$156,MATCH($R42,$A$6:$A$156,0))-1,WorkDays,1)+1+$T42),INDEX(WorkDays,MATCH(INDEX($AF$6:$AF$156,MATCH($R42,$A$6:$A$156,0)),WorkDays,1)+IF($Q42=0,0,1)+$T42))),IF($U42="",0,IF($V42="SS",INDEX(WorkDays,MATCH(INDEX($AE$6:$AE$156,MATCH($U42,$A$6:$A$156,0))-1,WorkDays,1)+1+$W42),INDEX(WorkDays,MATCH(INDEX($AF$6:$AF$156,MATCH($U42,$A$6:$A$156,0)),WorkDays,1)+IF($Q42=0,0,1)+$W42)))))</f>
        <v>46112</v>
      </c>
      <c r="AF42" s="61" t="n">
        <f aca="false">IF($AB42&lt;&gt;"",$AB42,IF($Q42=0,$AE42,INDEX(WorkDays,MATCH(MAX($AE42,NextWD)-1,WorkDays,1)+$AD42)))</f>
        <v>46139</v>
      </c>
      <c r="AG42" s="56" t="str">
        <f aca="false">IF($AB42&lt;&gt;"","Completed",IF($AA42&lt;&gt;"","In Progress",IF(AND($Y42&lt;&gt;"",$Y42&lt;=DataDate),"Not Started (Late)","Not Started")))</f>
        <v>Completed</v>
      </c>
      <c r="AH42" s="64" t="n">
        <f aca="false">IF($Z42="","",MATCH($AF42,WorkDays,1)-MATCH($Z42,WorkDays,1))</f>
        <v>-12</v>
      </c>
      <c r="AI42" s="57" t="str">
        <f aca="false">IF($O42="","",$O42*IF($AB42&lt;&gt;"",1,$AC42))</f>
        <v/>
      </c>
      <c r="AJ42" s="55" t="s">
        <v>174</v>
      </c>
    </row>
    <row r="43" customFormat="false" ht="22.35" hidden="false" customHeight="false" outlineLevel="3" collapsed="false">
      <c r="A43" s="53" t="s">
        <v>244</v>
      </c>
      <c r="B43" s="25" t="n">
        <v>4</v>
      </c>
      <c r="C43" s="54" t="s">
        <v>245</v>
      </c>
      <c r="D43" s="55" t="s">
        <v>222</v>
      </c>
      <c r="E43" s="25"/>
      <c r="F43" s="55"/>
      <c r="G43" s="55"/>
      <c r="H43" s="55" t="s">
        <v>165</v>
      </c>
      <c r="I43" s="55"/>
      <c r="J43" s="25" t="n">
        <f aca="false">COUNTIF('BIM Element Map'!$J$6:$J$1000,$A43)</f>
        <v>0</v>
      </c>
      <c r="K43" s="56"/>
      <c r="L43" s="25" t="s">
        <v>50</v>
      </c>
      <c r="M43" s="55"/>
      <c r="N43" s="55" t="s">
        <v>238</v>
      </c>
      <c r="O43" s="57"/>
      <c r="P43" s="25"/>
      <c r="Q43" s="58" t="n">
        <v>0</v>
      </c>
      <c r="R43" s="59" t="s">
        <v>242</v>
      </c>
      <c r="S43" s="58" t="s">
        <v>177</v>
      </c>
      <c r="T43" s="58" t="n">
        <v>0</v>
      </c>
      <c r="U43" s="59"/>
      <c r="V43" s="58"/>
      <c r="W43" s="58"/>
      <c r="X43" s="60"/>
      <c r="Y43" s="61" t="n">
        <v>46154</v>
      </c>
      <c r="Z43" s="61" t="n">
        <v>46154</v>
      </c>
      <c r="AA43" s="62" t="n">
        <v>46139</v>
      </c>
      <c r="AB43" s="62" t="n">
        <v>46139</v>
      </c>
      <c r="AC43" s="63" t="n">
        <v>1</v>
      </c>
      <c r="AD43" s="25" t="n">
        <f aca="false">IF($AB43&lt;&gt;"",0,IF($AA43="",$Q43,MAX(1,ROUND($Q43*(1-$AC43),0))))</f>
        <v>0</v>
      </c>
      <c r="AE43" s="61" t="n">
        <f aca="false">IF($AA43&lt;&gt;"",$AA43,MAX($X43,NextWD,IF($R43="",0,IF($S43="SS",INDEX(WorkDays,MATCH(INDEX($AE$6:$AE$156,MATCH($R43,$A$6:$A$156,0))-1,WorkDays,1)+1+$T43),INDEX(WorkDays,MATCH(INDEX($AF$6:$AF$156,MATCH($R43,$A$6:$A$156,0)),WorkDays,1)+IF($Q43=0,0,1)+$T43))),IF($U43="",0,IF($V43="SS",INDEX(WorkDays,MATCH(INDEX($AE$6:$AE$156,MATCH($U43,$A$6:$A$156,0))-1,WorkDays,1)+1+$W43),INDEX(WorkDays,MATCH(INDEX($AF$6:$AF$156,MATCH($U43,$A$6:$A$156,0)),WorkDays,1)+IF($Q43=0,0,1)+$W43)))))</f>
        <v>46139</v>
      </c>
      <c r="AF43" s="61" t="n">
        <f aca="false">IF($AB43&lt;&gt;"",$AB43,IF($Q43=0,$AE43,INDEX(WorkDays,MATCH(MAX($AE43,NextWD)-1,WorkDays,1)+$AD43)))</f>
        <v>46139</v>
      </c>
      <c r="AG43" s="56" t="str">
        <f aca="false">IF($AB43&lt;&gt;"","Completed",IF($AA43&lt;&gt;"","In Progress",IF(AND($Y43&lt;&gt;"",$Y43&lt;=DataDate),"Not Started (Late)","Not Started")))</f>
        <v>Completed</v>
      </c>
      <c r="AH43" s="64" t="n">
        <f aca="false">IF($Z43="","",MATCH($AF43,WorkDays,1)-MATCH($Z43,WorkDays,1))</f>
        <v>-12</v>
      </c>
      <c r="AI43" s="57" t="str">
        <f aca="false">IF($O43="","",$O43*IF($AB43&lt;&gt;"",1,$AC43))</f>
        <v/>
      </c>
      <c r="AJ43" s="55" t="s">
        <v>174</v>
      </c>
    </row>
    <row r="44" customFormat="false" ht="15" hidden="false" customHeight="false" outlineLevel="2" collapsed="false">
      <c r="A44" s="46" t="s">
        <v>246</v>
      </c>
      <c r="B44" s="47" t="n">
        <v>3</v>
      </c>
      <c r="C44" s="48" t="s">
        <v>247</v>
      </c>
      <c r="D44" s="46"/>
      <c r="E44" s="46"/>
      <c r="F44" s="46"/>
      <c r="G44" s="46"/>
      <c r="H44" s="46"/>
      <c r="I44" s="46"/>
      <c r="J44" s="46" t="n">
        <f aca="false">SUMIF($B$45:$B$48,4,$J$45:$J$48)</f>
        <v>0</v>
      </c>
      <c r="K44" s="46"/>
      <c r="L44" s="46"/>
      <c r="M44" s="46"/>
      <c r="N44" s="46"/>
      <c r="O44" s="49" t="str">
        <f aca="false">IF(SUMIF($B$45:$B$48,4,$O$45:$O$48)=0,"",SUMIF($B$45:$B$48,4,$O$45:$O$48))</f>
        <v/>
      </c>
      <c r="P44" s="46"/>
      <c r="Q44" s="46"/>
      <c r="R44" s="46"/>
      <c r="S44" s="46"/>
      <c r="T44" s="46"/>
      <c r="U44" s="46"/>
      <c r="V44" s="46"/>
      <c r="W44" s="46"/>
      <c r="X44" s="46"/>
      <c r="Y44" s="50" t="n">
        <f aca="false">MIN($Y$45:$Y$48)</f>
        <v>46142</v>
      </c>
      <c r="Z44" s="50" t="n">
        <f aca="false">MAX($Z$45:$Z$48)</f>
        <v>46283</v>
      </c>
      <c r="AA44" s="50" t="n">
        <f aca="false">IF(COUNT($AA$45:$AA$48)=0,"",MIN($AA$45:$AA$48))</f>
        <v>46141</v>
      </c>
      <c r="AB44" s="50" t="str">
        <f aca="false">IF(COUNTIFS($B$45:$B$48,4,$AG$45:$AG$48,"Completed")=COUNTIF($B$45:$B$48,4),MAX($AB$45:$AB$48),"")</f>
        <v/>
      </c>
      <c r="AC44" s="51" t="n">
        <f aca="false">IFERROR(IF(SUMIF($B$45:$B$48,4,$O$45:$O$48)&gt;0,SUMIF($B$45:$B$48,4,$AI$45:$AI$48)/SUMIF($B$45:$B$48,4,$O$45:$O$48),IFERROR(SUMPRODUCT(--($B$45:$B$48=4),$Q$45:$Q$48,$AC$45:$AC$48)/SUMIF($B$45:$B$48,4,$Q$45:$Q$48),AVERAGEIF($B$45:$B$48,4,$AC$45:$AC$48))),"")</f>
        <v>0.637697101449275</v>
      </c>
      <c r="AD44" s="46"/>
      <c r="AE44" s="50" t="n">
        <f aca="false">MIN($AE$45:$AE$48)</f>
        <v>46141</v>
      </c>
      <c r="AF44" s="50" t="n">
        <f aca="false">MAX($AF$45:$AF$48)</f>
        <v>46387</v>
      </c>
      <c r="AG44" s="46" t="str">
        <f aca="false">IF(COUNTIFS($B$45:$B$48,4,$AG$45:$AG$48,"Completed")=COUNTIF($B$45:$B$48,4),"Completed",IF(COUNTIFS($B$45:$B$48,4,$AG$45:$AG$48,"Not Started*")=COUNTIF($B$45:$B$48,4),"Not Started","In Progress"))</f>
        <v>In Progress</v>
      </c>
      <c r="AH44" s="52" t="n">
        <f aca="false">MATCH($AF44,WorkDays,1)-MATCH($Z44,WorkDays,1)</f>
        <v>86</v>
      </c>
      <c r="AI44" s="49" t="str">
        <f aca="false">IF(SUMIF($B$45:$B$48,4,$O$45:$O$48)=0,"",SUMIF($B$45:$B$48,4,$AI$45:$AI$48))</f>
        <v/>
      </c>
      <c r="AJ44" s="46" t="str">
        <f aca="false">"P6 check: "&amp;INDEX('P6 Roll-up'!$AB$5:$AB$22,MATCH($A44,'P6 Roll-up'!$A$5:$A$22,0))</f>
        <v>P6 check: ✔ Same as P6</v>
      </c>
    </row>
    <row r="45" customFormat="false" ht="32.8" hidden="false" customHeight="false" outlineLevel="3" collapsed="false">
      <c r="A45" s="53" t="s">
        <v>248</v>
      </c>
      <c r="B45" s="25" t="n">
        <v>4</v>
      </c>
      <c r="C45" s="55" t="s">
        <v>249</v>
      </c>
      <c r="D45" s="55" t="s">
        <v>222</v>
      </c>
      <c r="E45" s="25"/>
      <c r="F45" s="55"/>
      <c r="G45" s="55"/>
      <c r="H45" s="55" t="s">
        <v>172</v>
      </c>
      <c r="I45" s="55"/>
      <c r="J45" s="25" t="n">
        <f aca="false">COUNTIF('BIM Element Map'!$J$6:$J$1000,$A45)</f>
        <v>0</v>
      </c>
      <c r="K45" s="56"/>
      <c r="L45" s="25" t="s">
        <v>173</v>
      </c>
      <c r="M45" s="55"/>
      <c r="N45" s="55" t="s">
        <v>246</v>
      </c>
      <c r="O45" s="57"/>
      <c r="P45" s="25"/>
      <c r="Q45" s="58" t="n">
        <v>187</v>
      </c>
      <c r="R45" s="59"/>
      <c r="S45" s="58"/>
      <c r="T45" s="58"/>
      <c r="U45" s="59"/>
      <c r="V45" s="58"/>
      <c r="W45" s="58"/>
      <c r="X45" s="60" t="n">
        <v>46141</v>
      </c>
      <c r="Y45" s="61" t="n">
        <v>46142</v>
      </c>
      <c r="Z45" s="61" t="n">
        <v>46269</v>
      </c>
      <c r="AA45" s="62" t="n">
        <v>46141</v>
      </c>
      <c r="AB45" s="62"/>
      <c r="AC45" s="63" t="n">
        <v>0.7059</v>
      </c>
      <c r="AD45" s="25" t="n">
        <f aca="false">IF($AB45&lt;&gt;"",0,IF($AA45="",$Q45,MAX(1,ROUND($Q45*(1-$AC45),0))))</f>
        <v>55</v>
      </c>
      <c r="AE45" s="61" t="n">
        <f aca="false">IF($AA45&lt;&gt;"",$AA45,MAX($X45,NextWD,IF($R45="",0,IF($S45="SS",INDEX(WorkDays,MATCH(INDEX($AE$6:$AE$156,MATCH($R45,$A$6:$A$156,0))-1,WorkDays,1)+1+$T45),INDEX(WorkDays,MATCH(INDEX($AF$6:$AF$156,MATCH($R45,$A$6:$A$156,0)),WorkDays,1)+IF($Q45=0,0,1)+$T45))),IF($U45="",0,IF($V45="SS",INDEX(WorkDays,MATCH(INDEX($AE$6:$AE$156,MATCH($U45,$A$6:$A$156,0))-1,WorkDays,1)+1+$W45),INDEX(WorkDays,MATCH(INDEX($AF$6:$AF$156,MATCH($U45,$A$6:$A$156,0)),WorkDays,1)+IF($Q45=0,0,1)+$W45)))))</f>
        <v>46141</v>
      </c>
      <c r="AF45" s="61" t="n">
        <f aca="false">IF($AB45&lt;&gt;"",$AB45,IF($Q45=0,$AE45,INDEX(WorkDays,MATCH(MAX($AE45,NextWD)-1,WorkDays,1)+$AD45)))</f>
        <v>46363</v>
      </c>
      <c r="AG45" s="56" t="str">
        <f aca="false">IF($AB45&lt;&gt;"","Completed",IF($AA45&lt;&gt;"","In Progress",IF(AND($Y45&lt;&gt;"",$Y45&lt;=DataDate),"Not Started (Late)","Not Started")))</f>
        <v>In Progress</v>
      </c>
      <c r="AH45" s="64" t="n">
        <f aca="false">IF($Z45="","",MATCH($AF45,WorkDays,1)-MATCH($Z45,WorkDays,1))</f>
        <v>78</v>
      </c>
      <c r="AI45" s="57" t="str">
        <f aca="false">IF($O45="","",$O45*IF($AB45&lt;&gt;"",1,$AC45))</f>
        <v/>
      </c>
      <c r="AJ45" s="55" t="s">
        <v>210</v>
      </c>
    </row>
    <row r="46" customFormat="false" ht="15" hidden="false" customHeight="false" outlineLevel="3" collapsed="false">
      <c r="A46" s="53" t="s">
        <v>250</v>
      </c>
      <c r="B46" s="25" t="n">
        <v>4</v>
      </c>
      <c r="C46" s="55" t="s">
        <v>251</v>
      </c>
      <c r="D46" s="55" t="s">
        <v>222</v>
      </c>
      <c r="E46" s="25"/>
      <c r="F46" s="55"/>
      <c r="G46" s="55"/>
      <c r="H46" s="55" t="s">
        <v>172</v>
      </c>
      <c r="I46" s="55"/>
      <c r="J46" s="25" t="n">
        <f aca="false">COUNTIF('BIM Element Map'!$J$6:$J$1000,$A46)</f>
        <v>0</v>
      </c>
      <c r="K46" s="56"/>
      <c r="L46" s="25" t="s">
        <v>173</v>
      </c>
      <c r="M46" s="55"/>
      <c r="N46" s="55" t="s">
        <v>246</v>
      </c>
      <c r="O46" s="57"/>
      <c r="P46" s="25"/>
      <c r="Q46" s="58" t="n">
        <v>6</v>
      </c>
      <c r="R46" s="59" t="s">
        <v>248</v>
      </c>
      <c r="S46" s="58" t="s">
        <v>177</v>
      </c>
      <c r="T46" s="58" t="n">
        <v>0</v>
      </c>
      <c r="U46" s="59"/>
      <c r="V46" s="58"/>
      <c r="W46" s="58"/>
      <c r="X46" s="60"/>
      <c r="Y46" s="61" t="n">
        <v>46270</v>
      </c>
      <c r="Z46" s="61" t="n">
        <v>46274</v>
      </c>
      <c r="AA46" s="62"/>
      <c r="AB46" s="62"/>
      <c r="AC46" s="63" t="n">
        <v>0</v>
      </c>
      <c r="AD46" s="25" t="n">
        <f aca="false">IF($AB46&lt;&gt;"",0,IF($AA46="",$Q46,MAX(1,ROUND($Q46*(1-$AC46),0))))</f>
        <v>6</v>
      </c>
      <c r="AE46" s="61" t="n">
        <f aca="false">IF($AA46&lt;&gt;"",$AA46,MAX($X46,NextWD,IF($R46="",0,IF($S46="SS",INDEX(WorkDays,MATCH(INDEX($AE$6:$AE$156,MATCH($R46,$A$6:$A$156,0))-1,WorkDays,1)+1+$T46),INDEX(WorkDays,MATCH(INDEX($AF$6:$AF$156,MATCH($R46,$A$6:$A$156,0)),WorkDays,1)+IF($Q46=0,0,1)+$T46))),IF($U46="",0,IF($V46="SS",INDEX(WorkDays,MATCH(INDEX($AE$6:$AE$156,MATCH($U46,$A$6:$A$156,0))-1,WorkDays,1)+1+$W46),INDEX(WorkDays,MATCH(INDEX($AF$6:$AF$156,MATCH($U46,$A$6:$A$156,0)),WorkDays,1)+IF($Q46=0,0,1)+$W46)))))</f>
        <v>46364</v>
      </c>
      <c r="AF46" s="61" t="n">
        <f aca="false">IF($AB46&lt;&gt;"",$AB46,IF($Q46=0,$AE46,INDEX(WorkDays,MATCH(MAX($AE46,NextWD)-1,WorkDays,1)+$AD46)))</f>
        <v>46370</v>
      </c>
      <c r="AG46" s="56" t="str">
        <f aca="false">IF($AB46&lt;&gt;"","Completed",IF($AA46&lt;&gt;"","In Progress",IF(AND($Y46&lt;&gt;"",$Y46&lt;=DataDate),"Not Started (Late)","Not Started")))</f>
        <v>Not Started (Late)</v>
      </c>
      <c r="AH46" s="64" t="n">
        <f aca="false">IF($Z46="","",MATCH($AF46,WorkDays,1)-MATCH($Z46,WorkDays,1))</f>
        <v>80</v>
      </c>
      <c r="AI46" s="57" t="str">
        <f aca="false">IF($O46="","",$O46*IF($AB46&lt;&gt;"",1,$AC46))</f>
        <v/>
      </c>
      <c r="AJ46" s="55" t="s">
        <v>233</v>
      </c>
    </row>
    <row r="47" customFormat="false" ht="15" hidden="false" customHeight="false" outlineLevel="3" collapsed="false">
      <c r="A47" s="53" t="s">
        <v>252</v>
      </c>
      <c r="B47" s="25" t="n">
        <v>4</v>
      </c>
      <c r="C47" s="55" t="s">
        <v>253</v>
      </c>
      <c r="D47" s="55" t="s">
        <v>222</v>
      </c>
      <c r="E47" s="25"/>
      <c r="F47" s="55"/>
      <c r="G47" s="55"/>
      <c r="H47" s="55" t="s">
        <v>172</v>
      </c>
      <c r="I47" s="55"/>
      <c r="J47" s="25" t="n">
        <f aca="false">COUNTIF('BIM Element Map'!$J$6:$J$1000,$A47)</f>
        <v>0</v>
      </c>
      <c r="K47" s="56"/>
      <c r="L47" s="25" t="s">
        <v>173</v>
      </c>
      <c r="M47" s="55"/>
      <c r="N47" s="55" t="s">
        <v>246</v>
      </c>
      <c r="O47" s="57"/>
      <c r="P47" s="25"/>
      <c r="Q47" s="58" t="n">
        <v>14</v>
      </c>
      <c r="R47" s="59" t="s">
        <v>250</v>
      </c>
      <c r="S47" s="58" t="s">
        <v>177</v>
      </c>
      <c r="T47" s="58" t="n">
        <v>0</v>
      </c>
      <c r="U47" s="59"/>
      <c r="V47" s="58"/>
      <c r="W47" s="58"/>
      <c r="X47" s="60"/>
      <c r="Y47" s="61" t="n">
        <v>46275</v>
      </c>
      <c r="Z47" s="61" t="n">
        <v>46283</v>
      </c>
      <c r="AA47" s="62"/>
      <c r="AB47" s="62"/>
      <c r="AC47" s="63" t="n">
        <v>0</v>
      </c>
      <c r="AD47" s="25" t="n">
        <f aca="false">IF($AB47&lt;&gt;"",0,IF($AA47="",$Q47,MAX(1,ROUND($Q47*(1-$AC47),0))))</f>
        <v>14</v>
      </c>
      <c r="AE47" s="61" t="n">
        <f aca="false">IF($AA47&lt;&gt;"",$AA47,MAX($X47,NextWD,IF($R47="",0,IF($S47="SS",INDEX(WorkDays,MATCH(INDEX($AE$6:$AE$156,MATCH($R47,$A$6:$A$156,0))-1,WorkDays,1)+1+$T47),INDEX(WorkDays,MATCH(INDEX($AF$6:$AF$156,MATCH($R47,$A$6:$A$156,0)),WorkDays,1)+IF($Q47=0,0,1)+$T47))),IF($U47="",0,IF($V47="SS",INDEX(WorkDays,MATCH(INDEX($AE$6:$AE$156,MATCH($U47,$A$6:$A$156,0))-1,WorkDays,1)+1+$W47),INDEX(WorkDays,MATCH(INDEX($AF$6:$AF$156,MATCH($U47,$A$6:$A$156,0)),WorkDays,1)+IF($Q47=0,0,1)+$W47)))))</f>
        <v>46371</v>
      </c>
      <c r="AF47" s="61" t="n">
        <f aca="false">IF($AB47&lt;&gt;"",$AB47,IF($Q47=0,$AE47,INDEX(WorkDays,MATCH(MAX($AE47,NextWD)-1,WorkDays,1)+$AD47)))</f>
        <v>46387</v>
      </c>
      <c r="AG47" s="56" t="str">
        <f aca="false">IF($AB47&lt;&gt;"","Completed",IF($AA47&lt;&gt;"","In Progress",IF(AND($Y47&lt;&gt;"",$Y47&lt;=DataDate),"Not Started (Late)","Not Started")))</f>
        <v>Not Started (Late)</v>
      </c>
      <c r="AH47" s="64" t="n">
        <f aca="false">IF($Z47="","",MATCH($AF47,WorkDays,1)-MATCH($Z47,WorkDays,1))</f>
        <v>86</v>
      </c>
      <c r="AI47" s="57" t="str">
        <f aca="false">IF($O47="","",$O47*IF($AB47&lt;&gt;"",1,$AC47))</f>
        <v/>
      </c>
      <c r="AJ47" s="55" t="s">
        <v>233</v>
      </c>
    </row>
    <row r="48" customFormat="false" ht="15" hidden="false" customHeight="false" outlineLevel="3" collapsed="false">
      <c r="A48" s="53" t="s">
        <v>254</v>
      </c>
      <c r="B48" s="25" t="n">
        <v>4</v>
      </c>
      <c r="C48" s="54" t="s">
        <v>255</v>
      </c>
      <c r="D48" s="55" t="s">
        <v>50</v>
      </c>
      <c r="E48" s="25"/>
      <c r="F48" s="55"/>
      <c r="G48" s="55"/>
      <c r="H48" s="55" t="s">
        <v>165</v>
      </c>
      <c r="I48" s="55"/>
      <c r="J48" s="25" t="n">
        <f aca="false">COUNTIF('BIM Element Map'!$J$6:$J$1000,$A48)</f>
        <v>0</v>
      </c>
      <c r="K48" s="56"/>
      <c r="L48" s="25" t="s">
        <v>50</v>
      </c>
      <c r="M48" s="55"/>
      <c r="N48" s="55" t="s">
        <v>246</v>
      </c>
      <c r="O48" s="57"/>
      <c r="P48" s="25"/>
      <c r="Q48" s="58" t="n">
        <v>0</v>
      </c>
      <c r="R48" s="59" t="s">
        <v>252</v>
      </c>
      <c r="S48" s="58" t="s">
        <v>177</v>
      </c>
      <c r="T48" s="58" t="n">
        <v>0</v>
      </c>
      <c r="U48" s="59"/>
      <c r="V48" s="58"/>
      <c r="W48" s="58"/>
      <c r="X48" s="60"/>
      <c r="Y48" s="61" t="n">
        <v>46283</v>
      </c>
      <c r="Z48" s="61" t="n">
        <v>46283</v>
      </c>
      <c r="AA48" s="62"/>
      <c r="AB48" s="62"/>
      <c r="AC48" s="63" t="n">
        <v>0</v>
      </c>
      <c r="AD48" s="25" t="n">
        <f aca="false">IF($AB48&lt;&gt;"",0,IF($AA48="",$Q48,MAX(1,ROUND($Q48*(1-$AC48),0))))</f>
        <v>0</v>
      </c>
      <c r="AE48" s="61" t="n">
        <f aca="false">IF($AA48&lt;&gt;"",$AA48,MAX($X48,NextWD,IF($R48="",0,IF($S48="SS",INDEX(WorkDays,MATCH(INDEX($AE$6:$AE$156,MATCH($R48,$A$6:$A$156,0))-1,WorkDays,1)+1+$T48),INDEX(WorkDays,MATCH(INDEX($AF$6:$AF$156,MATCH($R48,$A$6:$A$156,0)),WorkDays,1)+IF($Q48=0,0,1)+$T48))),IF($U48="",0,IF($V48="SS",INDEX(WorkDays,MATCH(INDEX($AE$6:$AE$156,MATCH($U48,$A$6:$A$156,0))-1,WorkDays,1)+1+$W48),INDEX(WorkDays,MATCH(INDEX($AF$6:$AF$156,MATCH($U48,$A$6:$A$156,0)),WorkDays,1)+IF($Q48=0,0,1)+$W48)))))</f>
        <v>46387</v>
      </c>
      <c r="AF48" s="61" t="n">
        <f aca="false">IF($AB48&lt;&gt;"",$AB48,IF($Q48=0,$AE48,INDEX(WorkDays,MATCH(MAX($AE48,NextWD)-1,WorkDays,1)+$AD48)))</f>
        <v>46387</v>
      </c>
      <c r="AG48" s="56" t="str">
        <f aca="false">IF($AB48&lt;&gt;"","Completed",IF($AA48&lt;&gt;"","In Progress",IF(AND($Y48&lt;&gt;"",$Y48&lt;=DataDate),"Not Started (Late)","Not Started")))</f>
        <v>Not Started (Late)</v>
      </c>
      <c r="AH48" s="64" t="n">
        <f aca="false">IF($Z48="","",MATCH($AF48,WorkDays,1)-MATCH($Z48,WorkDays,1))</f>
        <v>86</v>
      </c>
      <c r="AI48" s="57" t="str">
        <f aca="false">IF($O48="","",$O48*IF($AB48&lt;&gt;"",1,$AC48))</f>
        <v/>
      </c>
      <c r="AJ48" s="55" t="s">
        <v>233</v>
      </c>
    </row>
    <row r="49" customFormat="false" ht="15" hidden="false" customHeight="false" outlineLevel="1" collapsed="false">
      <c r="A49" s="39" t="s">
        <v>256</v>
      </c>
      <c r="B49" s="40" t="n">
        <v>2</v>
      </c>
      <c r="C49" s="41" t="s">
        <v>257</v>
      </c>
      <c r="D49" s="39"/>
      <c r="E49" s="39"/>
      <c r="F49" s="39"/>
      <c r="G49" s="39"/>
      <c r="H49" s="39"/>
      <c r="I49" s="39"/>
      <c r="J49" s="39" t="n">
        <f aca="false">SUMIF($B$50:$B$139,4,$J$50:$J$139)</f>
        <v>396</v>
      </c>
      <c r="K49" s="39"/>
      <c r="L49" s="39"/>
      <c r="M49" s="39"/>
      <c r="N49" s="39"/>
      <c r="O49" s="42"/>
      <c r="P49" s="39"/>
      <c r="Q49" s="39"/>
      <c r="R49" s="39"/>
      <c r="S49" s="39"/>
      <c r="T49" s="39"/>
      <c r="U49" s="39"/>
      <c r="V49" s="39"/>
      <c r="W49" s="39"/>
      <c r="X49" s="39"/>
      <c r="Y49" s="43" t="n">
        <f aca="false">MIN($Y$50:$Y$139)</f>
        <v>46042</v>
      </c>
      <c r="Z49" s="43" t="n">
        <f aca="false">MAX($Z$50:$Z$139)</f>
        <v>46522</v>
      </c>
      <c r="AA49" s="43" t="n">
        <f aca="false">IF(COUNT($AA$50:$AA$139)=0,"",MIN($AA$50:$AA$139))</f>
        <v>46008</v>
      </c>
      <c r="AB49" s="43" t="str">
        <f aca="false">IF(COUNTIFS($B$50:$B$139,4,$AG$50:$AG$139,"Completed")=COUNTIF($B$50:$B$139,4),MAX($AB$50:$AB$139),"")</f>
        <v/>
      </c>
      <c r="AC49" s="44" t="n">
        <f aca="false">IFERROR(IFERROR(SUMPRODUCT(--($B$50:$B$139=4),$Q$50:$Q$139,$AC$50:$AC$139)/SUMIF($B$50:$B$139,4,$Q$50:$Q$139),AVERAGEIF($B$50:$B$139,4,$AC$50:$AC$139)),"")</f>
        <v>0.520175131348511</v>
      </c>
      <c r="AD49" s="39"/>
      <c r="AE49" s="43" t="n">
        <f aca="false">MIN($AE$50:$AE$139)</f>
        <v>46008</v>
      </c>
      <c r="AF49" s="43" t="n">
        <f aca="false">MAX($AF$50:$AF$139)</f>
        <v>46510</v>
      </c>
      <c r="AG49" s="39" t="str">
        <f aca="false">IF(COUNTIFS($B$50:$B$139,4,$AG$50:$AG$139,"Completed")=COUNTIF($B$50:$B$139,4),"Completed",IF(COUNTIFS($B$50:$B$139,4,$AG$50:$AG$139,"Not Started*")=COUNTIF($B$50:$B$139,4),"Not Started","In Progress"))</f>
        <v>In Progress</v>
      </c>
      <c r="AH49" s="45" t="n">
        <f aca="false">MATCH($AF49,WorkDays,1)-MATCH($Z49,WorkDays,1)</f>
        <v>-11</v>
      </c>
      <c r="AI49" s="42"/>
      <c r="AJ49" s="39"/>
    </row>
    <row r="50" customFormat="false" ht="15" hidden="false" customHeight="false" outlineLevel="2" collapsed="false">
      <c r="A50" s="46" t="s">
        <v>258</v>
      </c>
      <c r="B50" s="47" t="n">
        <v>3</v>
      </c>
      <c r="C50" s="48" t="s">
        <v>259</v>
      </c>
      <c r="D50" s="46"/>
      <c r="E50" s="46"/>
      <c r="F50" s="46"/>
      <c r="G50" s="46"/>
      <c r="H50" s="46"/>
      <c r="I50" s="46"/>
      <c r="J50" s="46" t="n">
        <f aca="false">SUMIF($B$51:$B$56,4,$J$51:$J$56)</f>
        <v>53</v>
      </c>
      <c r="K50" s="46"/>
      <c r="L50" s="46"/>
      <c r="M50" s="46"/>
      <c r="N50" s="46"/>
      <c r="O50" s="49" t="n">
        <f aca="false">IF(SUMIF($B$51:$B$56,4,$O$51:$O$56)=0,"",SUMIF($B$51:$B$56,4,$O$51:$O$56))</f>
        <v>53</v>
      </c>
      <c r="P50" s="46"/>
      <c r="Q50" s="46"/>
      <c r="R50" s="46"/>
      <c r="S50" s="46"/>
      <c r="T50" s="46"/>
      <c r="U50" s="46"/>
      <c r="V50" s="46"/>
      <c r="W50" s="46"/>
      <c r="X50" s="46"/>
      <c r="Y50" s="50" t="n">
        <f aca="false">MIN($Y$51:$Y$56)</f>
        <v>46042</v>
      </c>
      <c r="Z50" s="50" t="n">
        <f aca="false">MAX($Z$51:$Z$56)</f>
        <v>46077</v>
      </c>
      <c r="AA50" s="50" t="n">
        <f aca="false">IF(COUNT($AA$51:$AA$56)=0,"",MIN($AA$51:$AA$56))</f>
        <v>46008</v>
      </c>
      <c r="AB50" s="50" t="n">
        <f aca="false">IF(COUNTIFS($B$51:$B$56,4,$AG$51:$AG$56,"Completed")=COUNTIF($B$51:$B$56,4),MAX($AB$51:$AB$56),"")</f>
        <v>46041</v>
      </c>
      <c r="AC50" s="51" t="n">
        <f aca="false">IFERROR(IF(SUMIF($B$51:$B$56,4,$O$51:$O$56)&gt;0,SUMIF($B$51:$B$56,4,$AI$51:$AI$56)/SUMIF($B$51:$B$56,4,$O$51:$O$56),IFERROR(SUMPRODUCT(--($B$51:$B$56=4),$Q$51:$Q$56,$AC$51:$AC$56)/SUMIF($B$51:$B$56,4,$Q$51:$Q$56),AVERAGEIF($B$51:$B$56,4,$AC$51:$AC$56))),"")</f>
        <v>1</v>
      </c>
      <c r="AD50" s="46"/>
      <c r="AE50" s="50" t="n">
        <f aca="false">MIN($AE$51:$AE$56)</f>
        <v>46008</v>
      </c>
      <c r="AF50" s="50" t="n">
        <f aca="false">MAX($AF$51:$AF$56)</f>
        <v>46041</v>
      </c>
      <c r="AG50" s="46" t="str">
        <f aca="false">IF(COUNTIFS($B$51:$B$56,4,$AG$51:$AG$56,"Completed")=COUNTIF($B$51:$B$56,4),"Completed",IF(COUNTIFS($B$51:$B$56,4,$AG$51:$AG$56,"Not Started*")=COUNTIF($B$51:$B$56,4),"Not Started","In Progress"))</f>
        <v>Completed</v>
      </c>
      <c r="AH50" s="52" t="n">
        <f aca="false">MATCH($AF50,WorkDays,1)-MATCH($Z50,WorkDays,1)</f>
        <v>-30</v>
      </c>
      <c r="AI50" s="49" t="n">
        <f aca="false">IF(SUMIF($B$51:$B$56,4,$O$51:$O$56)=0,"",SUMIF($B$51:$B$56,4,$AI$51:$AI$56))</f>
        <v>53</v>
      </c>
      <c r="AJ50" s="46" t="str">
        <f aca="false">"P6 check: "&amp;INDEX('P6 Roll-up'!$AB$5:$AB$22,MATCH($A50,'P6 Roll-up'!$A$5:$A$22,0))</f>
        <v>P6 check: ✔ Same as P6</v>
      </c>
    </row>
    <row r="51" customFormat="false" ht="22.35" hidden="false" customHeight="false" outlineLevel="3" collapsed="false">
      <c r="A51" s="53" t="s">
        <v>260</v>
      </c>
      <c r="B51" s="25" t="n">
        <v>4</v>
      </c>
      <c r="C51" s="55" t="s">
        <v>261</v>
      </c>
      <c r="D51" s="55" t="s">
        <v>262</v>
      </c>
      <c r="E51" s="25" t="s">
        <v>263</v>
      </c>
      <c r="F51" s="55" t="s">
        <v>264</v>
      </c>
      <c r="G51" s="55" t="s">
        <v>265</v>
      </c>
      <c r="H51" s="55" t="s">
        <v>266</v>
      </c>
      <c r="I51" s="55" t="s">
        <v>267</v>
      </c>
      <c r="J51" s="25" t="n">
        <f aca="false">COUNTIF('BIM Element Map'!$J$6:$J$1000,$A51)</f>
        <v>7</v>
      </c>
      <c r="K51" s="56" t="s">
        <v>260</v>
      </c>
      <c r="L51" s="25" t="s">
        <v>173</v>
      </c>
      <c r="M51" s="55" t="s">
        <v>55</v>
      </c>
      <c r="N51" s="55" t="s">
        <v>258</v>
      </c>
      <c r="O51" s="57" t="n">
        <v>7</v>
      </c>
      <c r="P51" s="25" t="s">
        <v>268</v>
      </c>
      <c r="Q51" s="58" t="n">
        <v>4</v>
      </c>
      <c r="R51" s="59"/>
      <c r="S51" s="58"/>
      <c r="T51" s="58"/>
      <c r="U51" s="59"/>
      <c r="V51" s="58"/>
      <c r="W51" s="58"/>
      <c r="X51" s="60" t="n">
        <v>46008</v>
      </c>
      <c r="Y51" s="61" t="n">
        <v>46042</v>
      </c>
      <c r="Z51" s="61" t="n">
        <v>46045</v>
      </c>
      <c r="AA51" s="62" t="n">
        <v>46008</v>
      </c>
      <c r="AB51" s="62" t="n">
        <v>46011</v>
      </c>
      <c r="AC51" s="63" t="n">
        <v>1</v>
      </c>
      <c r="AD51" s="25" t="n">
        <f aca="false">IF($AB51&lt;&gt;"",0,IF($AA51="",$Q51,MAX(1,ROUND($Q51*(1-$AC51),0))))</f>
        <v>0</v>
      </c>
      <c r="AE51" s="61" t="n">
        <f aca="false">IF($AA51&lt;&gt;"",$AA51,MAX($X51,NextWD,IF($R51="",0,IF($S51="SS",INDEX(WorkDays,MATCH(INDEX($AE$6:$AE$156,MATCH($R51,$A$6:$A$156,0))-1,WorkDays,1)+1+$T51),INDEX(WorkDays,MATCH(INDEX($AF$6:$AF$156,MATCH($R51,$A$6:$A$156,0)),WorkDays,1)+IF($Q51=0,0,1)+$T51))),IF($U51="",0,IF($V51="SS",INDEX(WorkDays,MATCH(INDEX($AE$6:$AE$156,MATCH($U51,$A$6:$A$156,0))-1,WorkDays,1)+1+$W51),INDEX(WorkDays,MATCH(INDEX($AF$6:$AF$156,MATCH($U51,$A$6:$A$156,0)),WorkDays,1)+IF($Q51=0,0,1)+$W51)))))</f>
        <v>46008</v>
      </c>
      <c r="AF51" s="61" t="n">
        <f aca="false">IF($AB51&lt;&gt;"",$AB51,IF($Q51=0,$AE51,INDEX(WorkDays,MATCH(MAX($AE51,NextWD)-1,WorkDays,1)+$AD51)))</f>
        <v>46011</v>
      </c>
      <c r="AG51" s="56" t="str">
        <f aca="false">IF($AB51&lt;&gt;"","Completed",IF($AA51&lt;&gt;"","In Progress",IF(AND($Y51&lt;&gt;"",$Y51&lt;=DataDate),"Not Started (Late)","Not Started")))</f>
        <v>Completed</v>
      </c>
      <c r="AH51" s="64" t="n">
        <f aca="false">IF($Z51="","",MATCH($AF51,WorkDays,1)-MATCH($Z51,WorkDays,1))</f>
        <v>-27</v>
      </c>
      <c r="AI51" s="57" t="n">
        <f aca="false">IF($O51="","",$O51*IF($AB51&lt;&gt;"",1,$AC51))</f>
        <v>7</v>
      </c>
      <c r="AJ51" s="55" t="s">
        <v>174</v>
      </c>
    </row>
    <row r="52" customFormat="false" ht="22.35" hidden="false" customHeight="false" outlineLevel="3" collapsed="false">
      <c r="A52" s="53" t="s">
        <v>269</v>
      </c>
      <c r="B52" s="25" t="n">
        <v>4</v>
      </c>
      <c r="C52" s="55" t="s">
        <v>270</v>
      </c>
      <c r="D52" s="55" t="s">
        <v>262</v>
      </c>
      <c r="E52" s="25" t="s">
        <v>271</v>
      </c>
      <c r="F52" s="55" t="s">
        <v>272</v>
      </c>
      <c r="G52" s="55" t="s">
        <v>265</v>
      </c>
      <c r="H52" s="55" t="s">
        <v>266</v>
      </c>
      <c r="I52" s="55" t="s">
        <v>273</v>
      </c>
      <c r="J52" s="25" t="n">
        <f aca="false">COUNTIF('BIM Element Map'!$J$6:$J$1000,$A52)</f>
        <v>9</v>
      </c>
      <c r="K52" s="56" t="s">
        <v>269</v>
      </c>
      <c r="L52" s="25" t="s">
        <v>173</v>
      </c>
      <c r="M52" s="55" t="s">
        <v>55</v>
      </c>
      <c r="N52" s="55" t="s">
        <v>258</v>
      </c>
      <c r="O52" s="57" t="n">
        <v>9</v>
      </c>
      <c r="P52" s="25" t="s">
        <v>268</v>
      </c>
      <c r="Q52" s="58" t="n">
        <v>5</v>
      </c>
      <c r="R52" s="59" t="s">
        <v>260</v>
      </c>
      <c r="S52" s="58" t="s">
        <v>177</v>
      </c>
      <c r="T52" s="58" t="n">
        <v>0</v>
      </c>
      <c r="U52" s="59"/>
      <c r="V52" s="58"/>
      <c r="W52" s="58"/>
      <c r="X52" s="60"/>
      <c r="Y52" s="61" t="n">
        <v>46046</v>
      </c>
      <c r="Z52" s="61" t="n">
        <v>46053</v>
      </c>
      <c r="AA52" s="62" t="n">
        <v>46013</v>
      </c>
      <c r="AB52" s="62" t="n">
        <v>46018</v>
      </c>
      <c r="AC52" s="63" t="n">
        <v>1</v>
      </c>
      <c r="AD52" s="25" t="n">
        <f aca="false">IF($AB52&lt;&gt;"",0,IF($AA52="",$Q52,MAX(1,ROUND($Q52*(1-$AC52),0))))</f>
        <v>0</v>
      </c>
      <c r="AE52" s="61" t="n">
        <f aca="false">IF($AA52&lt;&gt;"",$AA52,MAX($X52,NextWD,IF($R52="",0,IF($S52="SS",INDEX(WorkDays,MATCH(INDEX($AE$6:$AE$156,MATCH($R52,$A$6:$A$156,0))-1,WorkDays,1)+1+$T52),INDEX(WorkDays,MATCH(INDEX($AF$6:$AF$156,MATCH($R52,$A$6:$A$156,0)),WorkDays,1)+IF($Q52=0,0,1)+$T52))),IF($U52="",0,IF($V52="SS",INDEX(WorkDays,MATCH(INDEX($AE$6:$AE$156,MATCH($U52,$A$6:$A$156,0))-1,WorkDays,1)+1+$W52),INDEX(WorkDays,MATCH(INDEX($AF$6:$AF$156,MATCH($U52,$A$6:$A$156,0)),WorkDays,1)+IF($Q52=0,0,1)+$W52)))))</f>
        <v>46013</v>
      </c>
      <c r="AF52" s="61" t="n">
        <f aca="false">IF($AB52&lt;&gt;"",$AB52,IF($Q52=0,$AE52,INDEX(WorkDays,MATCH(MAX($AE52,NextWD)-1,WorkDays,1)+$AD52)))</f>
        <v>46018</v>
      </c>
      <c r="AG52" s="56" t="str">
        <f aca="false">IF($AB52&lt;&gt;"","Completed",IF($AA52&lt;&gt;"","In Progress",IF(AND($Y52&lt;&gt;"",$Y52&lt;=DataDate),"Not Started (Late)","Not Started")))</f>
        <v>Completed</v>
      </c>
      <c r="AH52" s="64" t="n">
        <f aca="false">IF($Z52="","",MATCH($AF52,WorkDays,1)-MATCH($Z52,WorkDays,1))</f>
        <v>-28</v>
      </c>
      <c r="AI52" s="57" t="n">
        <f aca="false">IF($O52="","",$O52*IF($AB52&lt;&gt;"",1,$AC52))</f>
        <v>9</v>
      </c>
      <c r="AJ52" s="55" t="s">
        <v>174</v>
      </c>
    </row>
    <row r="53" customFormat="false" ht="22.35" hidden="false" customHeight="false" outlineLevel="3" collapsed="false">
      <c r="A53" s="53" t="s">
        <v>274</v>
      </c>
      <c r="B53" s="25" t="n">
        <v>4</v>
      </c>
      <c r="C53" s="55" t="s">
        <v>275</v>
      </c>
      <c r="D53" s="55" t="s">
        <v>262</v>
      </c>
      <c r="E53" s="25" t="s">
        <v>276</v>
      </c>
      <c r="F53" s="55" t="s">
        <v>277</v>
      </c>
      <c r="G53" s="55" t="s">
        <v>265</v>
      </c>
      <c r="H53" s="55" t="s">
        <v>266</v>
      </c>
      <c r="I53" s="55" t="s">
        <v>278</v>
      </c>
      <c r="J53" s="25" t="n">
        <f aca="false">COUNTIF('BIM Element Map'!$J$6:$J$1000,$A53)</f>
        <v>6</v>
      </c>
      <c r="K53" s="56" t="s">
        <v>274</v>
      </c>
      <c r="L53" s="25" t="s">
        <v>173</v>
      </c>
      <c r="M53" s="55" t="s">
        <v>55</v>
      </c>
      <c r="N53" s="55" t="s">
        <v>258</v>
      </c>
      <c r="O53" s="57" t="n">
        <v>6</v>
      </c>
      <c r="P53" s="25" t="s">
        <v>268</v>
      </c>
      <c r="Q53" s="58" t="n">
        <v>3</v>
      </c>
      <c r="R53" s="59" t="s">
        <v>269</v>
      </c>
      <c r="S53" s="58" t="s">
        <v>177</v>
      </c>
      <c r="T53" s="58" t="n">
        <v>0</v>
      </c>
      <c r="U53" s="59"/>
      <c r="V53" s="58"/>
      <c r="W53" s="58"/>
      <c r="X53" s="60"/>
      <c r="Y53" s="61" t="n">
        <v>46055</v>
      </c>
      <c r="Z53" s="61" t="n">
        <v>46057</v>
      </c>
      <c r="AA53" s="62" t="n">
        <v>46020</v>
      </c>
      <c r="AB53" s="62" t="n">
        <v>46022</v>
      </c>
      <c r="AC53" s="63" t="n">
        <v>1</v>
      </c>
      <c r="AD53" s="25" t="n">
        <f aca="false">IF($AB53&lt;&gt;"",0,IF($AA53="",$Q53,MAX(1,ROUND($Q53*(1-$AC53),0))))</f>
        <v>0</v>
      </c>
      <c r="AE53" s="61" t="n">
        <f aca="false">IF($AA53&lt;&gt;"",$AA53,MAX($X53,NextWD,IF($R53="",0,IF($S53="SS",INDEX(WorkDays,MATCH(INDEX($AE$6:$AE$156,MATCH($R53,$A$6:$A$156,0))-1,WorkDays,1)+1+$T53),INDEX(WorkDays,MATCH(INDEX($AF$6:$AF$156,MATCH($R53,$A$6:$A$156,0)),WorkDays,1)+IF($Q53=0,0,1)+$T53))),IF($U53="",0,IF($V53="SS",INDEX(WorkDays,MATCH(INDEX($AE$6:$AE$156,MATCH($U53,$A$6:$A$156,0))-1,WorkDays,1)+1+$W53),INDEX(WorkDays,MATCH(INDEX($AF$6:$AF$156,MATCH($U53,$A$6:$A$156,0)),WorkDays,1)+IF($Q53=0,0,1)+$W53)))))</f>
        <v>46020</v>
      </c>
      <c r="AF53" s="61" t="n">
        <f aca="false">IF($AB53&lt;&gt;"",$AB53,IF($Q53=0,$AE53,INDEX(WorkDays,MATCH(MAX($AE53,NextWD)-1,WorkDays,1)+$AD53)))</f>
        <v>46022</v>
      </c>
      <c r="AG53" s="56" t="str">
        <f aca="false">IF($AB53&lt;&gt;"","Completed",IF($AA53&lt;&gt;"","In Progress",IF(AND($Y53&lt;&gt;"",$Y53&lt;=DataDate),"Not Started (Late)","Not Started")))</f>
        <v>Completed</v>
      </c>
      <c r="AH53" s="64" t="n">
        <f aca="false">IF($Z53="","",MATCH($AF53,WorkDays,1)-MATCH($Z53,WorkDays,1))</f>
        <v>-28</v>
      </c>
      <c r="AI53" s="57" t="n">
        <f aca="false">IF($O53="","",$O53*IF($AB53&lt;&gt;"",1,$AC53))</f>
        <v>6</v>
      </c>
      <c r="AJ53" s="55" t="s">
        <v>174</v>
      </c>
    </row>
    <row r="54" customFormat="false" ht="22.35" hidden="false" customHeight="false" outlineLevel="3" collapsed="false">
      <c r="A54" s="53" t="s">
        <v>279</v>
      </c>
      <c r="B54" s="25" t="n">
        <v>4</v>
      </c>
      <c r="C54" s="55" t="s">
        <v>280</v>
      </c>
      <c r="D54" s="55" t="s">
        <v>262</v>
      </c>
      <c r="E54" s="25" t="s">
        <v>281</v>
      </c>
      <c r="F54" s="55" t="s">
        <v>282</v>
      </c>
      <c r="G54" s="55" t="s">
        <v>265</v>
      </c>
      <c r="H54" s="55" t="s">
        <v>266</v>
      </c>
      <c r="I54" s="55" t="s">
        <v>283</v>
      </c>
      <c r="J54" s="25" t="n">
        <f aca="false">COUNTIF('BIM Element Map'!$J$6:$J$1000,$A54)</f>
        <v>12</v>
      </c>
      <c r="K54" s="56" t="s">
        <v>279</v>
      </c>
      <c r="L54" s="25" t="s">
        <v>173</v>
      </c>
      <c r="M54" s="55" t="s">
        <v>55</v>
      </c>
      <c r="N54" s="55" t="s">
        <v>258</v>
      </c>
      <c r="O54" s="57" t="n">
        <v>12</v>
      </c>
      <c r="P54" s="25" t="s">
        <v>268</v>
      </c>
      <c r="Q54" s="58" t="n">
        <v>6</v>
      </c>
      <c r="R54" s="59" t="s">
        <v>274</v>
      </c>
      <c r="S54" s="58" t="s">
        <v>177</v>
      </c>
      <c r="T54" s="58" t="n">
        <v>0</v>
      </c>
      <c r="U54" s="59"/>
      <c r="V54" s="58"/>
      <c r="W54" s="58"/>
      <c r="X54" s="60"/>
      <c r="Y54" s="61" t="n">
        <v>46058</v>
      </c>
      <c r="Z54" s="61" t="n">
        <v>46065</v>
      </c>
      <c r="AA54" s="62" t="n">
        <v>46024</v>
      </c>
      <c r="AB54" s="62" t="n">
        <v>46030</v>
      </c>
      <c r="AC54" s="63" t="n">
        <v>1</v>
      </c>
      <c r="AD54" s="25" t="n">
        <f aca="false">IF($AB54&lt;&gt;"",0,IF($AA54="",$Q54,MAX(1,ROUND($Q54*(1-$AC54),0))))</f>
        <v>0</v>
      </c>
      <c r="AE54" s="61" t="n">
        <f aca="false">IF($AA54&lt;&gt;"",$AA54,MAX($X54,NextWD,IF($R54="",0,IF($S54="SS",INDEX(WorkDays,MATCH(INDEX($AE$6:$AE$156,MATCH($R54,$A$6:$A$156,0))-1,WorkDays,1)+1+$T54),INDEX(WorkDays,MATCH(INDEX($AF$6:$AF$156,MATCH($R54,$A$6:$A$156,0)),WorkDays,1)+IF($Q54=0,0,1)+$T54))),IF($U54="",0,IF($V54="SS",INDEX(WorkDays,MATCH(INDEX($AE$6:$AE$156,MATCH($U54,$A$6:$A$156,0))-1,WorkDays,1)+1+$W54),INDEX(WorkDays,MATCH(INDEX($AF$6:$AF$156,MATCH($U54,$A$6:$A$156,0)),WorkDays,1)+IF($Q54=0,0,1)+$W54)))))</f>
        <v>46024</v>
      </c>
      <c r="AF54" s="61" t="n">
        <f aca="false">IF($AB54&lt;&gt;"",$AB54,IF($Q54=0,$AE54,INDEX(WorkDays,MATCH(MAX($AE54,NextWD)-1,WorkDays,1)+$AD54)))</f>
        <v>46030</v>
      </c>
      <c r="AG54" s="56" t="str">
        <f aca="false">IF($AB54&lt;&gt;"","Completed",IF($AA54&lt;&gt;"","In Progress",IF(AND($Y54&lt;&gt;"",$Y54&lt;=DataDate),"Not Started (Late)","Not Started")))</f>
        <v>Completed</v>
      </c>
      <c r="AH54" s="64" t="n">
        <f aca="false">IF($Z54="","",MATCH($AF54,WorkDays,1)-MATCH($Z54,WorkDays,1))</f>
        <v>-29</v>
      </c>
      <c r="AI54" s="57" t="n">
        <f aca="false">IF($O54="","",$O54*IF($AB54&lt;&gt;"",1,$AC54))</f>
        <v>12</v>
      </c>
      <c r="AJ54" s="55" t="s">
        <v>174</v>
      </c>
    </row>
    <row r="55" customFormat="false" ht="22.35" hidden="false" customHeight="false" outlineLevel="3" collapsed="false">
      <c r="A55" s="53" t="s">
        <v>284</v>
      </c>
      <c r="B55" s="25" t="n">
        <v>4</v>
      </c>
      <c r="C55" s="55" t="s">
        <v>285</v>
      </c>
      <c r="D55" s="55" t="s">
        <v>262</v>
      </c>
      <c r="E55" s="25" t="s">
        <v>286</v>
      </c>
      <c r="F55" s="55" t="s">
        <v>287</v>
      </c>
      <c r="G55" s="55" t="s">
        <v>265</v>
      </c>
      <c r="H55" s="55" t="s">
        <v>266</v>
      </c>
      <c r="I55" s="55" t="s">
        <v>288</v>
      </c>
      <c r="J55" s="25" t="n">
        <f aca="false">COUNTIF('BIM Element Map'!$J$6:$J$1000,$A55)</f>
        <v>7</v>
      </c>
      <c r="K55" s="56" t="s">
        <v>284</v>
      </c>
      <c r="L55" s="25" t="s">
        <v>173</v>
      </c>
      <c r="M55" s="55" t="s">
        <v>55</v>
      </c>
      <c r="N55" s="55" t="s">
        <v>258</v>
      </c>
      <c r="O55" s="57" t="n">
        <v>7</v>
      </c>
      <c r="P55" s="25" t="s">
        <v>268</v>
      </c>
      <c r="Q55" s="58" t="n">
        <v>4</v>
      </c>
      <c r="R55" s="59" t="s">
        <v>279</v>
      </c>
      <c r="S55" s="58" t="s">
        <v>177</v>
      </c>
      <c r="T55" s="58" t="n">
        <v>0</v>
      </c>
      <c r="U55" s="59"/>
      <c r="V55" s="58"/>
      <c r="W55" s="58"/>
      <c r="X55" s="60"/>
      <c r="Y55" s="61" t="n">
        <v>46066</v>
      </c>
      <c r="Z55" s="61" t="n">
        <v>46070</v>
      </c>
      <c r="AA55" s="62" t="n">
        <v>46031</v>
      </c>
      <c r="AB55" s="62" t="n">
        <v>46035</v>
      </c>
      <c r="AC55" s="63" t="n">
        <v>1</v>
      </c>
      <c r="AD55" s="25" t="n">
        <f aca="false">IF($AB55&lt;&gt;"",0,IF($AA55="",$Q55,MAX(1,ROUND($Q55*(1-$AC55),0))))</f>
        <v>0</v>
      </c>
      <c r="AE55" s="61" t="n">
        <f aca="false">IF($AA55&lt;&gt;"",$AA55,MAX($X55,NextWD,IF($R55="",0,IF($S55="SS",INDEX(WorkDays,MATCH(INDEX($AE$6:$AE$156,MATCH($R55,$A$6:$A$156,0))-1,WorkDays,1)+1+$T55),INDEX(WorkDays,MATCH(INDEX($AF$6:$AF$156,MATCH($R55,$A$6:$A$156,0)),WorkDays,1)+IF($Q55=0,0,1)+$T55))),IF($U55="",0,IF($V55="SS",INDEX(WorkDays,MATCH(INDEX($AE$6:$AE$156,MATCH($U55,$A$6:$A$156,0))-1,WorkDays,1)+1+$W55),INDEX(WorkDays,MATCH(INDEX($AF$6:$AF$156,MATCH($U55,$A$6:$A$156,0)),WorkDays,1)+IF($Q55=0,0,1)+$W55)))))</f>
        <v>46031</v>
      </c>
      <c r="AF55" s="61" t="n">
        <f aca="false">IF($AB55&lt;&gt;"",$AB55,IF($Q55=0,$AE55,INDEX(WorkDays,MATCH(MAX($AE55,NextWD)-1,WorkDays,1)+$AD55)))</f>
        <v>46035</v>
      </c>
      <c r="AG55" s="56" t="str">
        <f aca="false">IF($AB55&lt;&gt;"","Completed",IF($AA55&lt;&gt;"","In Progress",IF(AND($Y55&lt;&gt;"",$Y55&lt;=DataDate),"Not Started (Late)","Not Started")))</f>
        <v>Completed</v>
      </c>
      <c r="AH55" s="64" t="n">
        <f aca="false">IF($Z55="","",MATCH($AF55,WorkDays,1)-MATCH($Z55,WorkDays,1))</f>
        <v>-29</v>
      </c>
      <c r="AI55" s="57" t="n">
        <f aca="false">IF($O55="","",$O55*IF($AB55&lt;&gt;"",1,$AC55))</f>
        <v>7</v>
      </c>
      <c r="AJ55" s="55" t="s">
        <v>174</v>
      </c>
    </row>
    <row r="56" customFormat="false" ht="22.35" hidden="false" customHeight="false" outlineLevel="3" collapsed="false">
      <c r="A56" s="53" t="s">
        <v>289</v>
      </c>
      <c r="B56" s="25" t="n">
        <v>4</v>
      </c>
      <c r="C56" s="55" t="s">
        <v>290</v>
      </c>
      <c r="D56" s="55" t="s">
        <v>262</v>
      </c>
      <c r="E56" s="25" t="s">
        <v>291</v>
      </c>
      <c r="F56" s="55" t="s">
        <v>292</v>
      </c>
      <c r="G56" s="55" t="s">
        <v>265</v>
      </c>
      <c r="H56" s="55" t="s">
        <v>266</v>
      </c>
      <c r="I56" s="55" t="s">
        <v>293</v>
      </c>
      <c r="J56" s="25" t="n">
        <f aca="false">COUNTIF('BIM Element Map'!$J$6:$J$1000,$A56)</f>
        <v>12</v>
      </c>
      <c r="K56" s="56" t="s">
        <v>289</v>
      </c>
      <c r="L56" s="25" t="s">
        <v>173</v>
      </c>
      <c r="M56" s="55" t="s">
        <v>55</v>
      </c>
      <c r="N56" s="55" t="s">
        <v>258</v>
      </c>
      <c r="O56" s="57" t="n">
        <v>12</v>
      </c>
      <c r="P56" s="25" t="s">
        <v>268</v>
      </c>
      <c r="Q56" s="58" t="n">
        <v>5</v>
      </c>
      <c r="R56" s="59" t="s">
        <v>284</v>
      </c>
      <c r="S56" s="58" t="s">
        <v>177</v>
      </c>
      <c r="T56" s="58" t="n">
        <v>0</v>
      </c>
      <c r="U56" s="59"/>
      <c r="V56" s="58"/>
      <c r="W56" s="58"/>
      <c r="X56" s="60"/>
      <c r="Y56" s="61" t="n">
        <v>46071</v>
      </c>
      <c r="Z56" s="61" t="n">
        <v>46077</v>
      </c>
      <c r="AA56" s="62" t="n">
        <v>46036</v>
      </c>
      <c r="AB56" s="62" t="n">
        <v>46041</v>
      </c>
      <c r="AC56" s="63" t="n">
        <v>1</v>
      </c>
      <c r="AD56" s="25" t="n">
        <f aca="false">IF($AB56&lt;&gt;"",0,IF($AA56="",$Q56,MAX(1,ROUND($Q56*(1-$AC56),0))))</f>
        <v>0</v>
      </c>
      <c r="AE56" s="61" t="n">
        <f aca="false">IF($AA56&lt;&gt;"",$AA56,MAX($X56,NextWD,IF($R56="",0,IF($S56="SS",INDEX(WorkDays,MATCH(INDEX($AE$6:$AE$156,MATCH($R56,$A$6:$A$156,0))-1,WorkDays,1)+1+$T56),INDEX(WorkDays,MATCH(INDEX($AF$6:$AF$156,MATCH($R56,$A$6:$A$156,0)),WorkDays,1)+IF($Q56=0,0,1)+$T56))),IF($U56="",0,IF($V56="SS",INDEX(WorkDays,MATCH(INDEX($AE$6:$AE$156,MATCH($U56,$A$6:$A$156,0))-1,WorkDays,1)+1+$W56),INDEX(WorkDays,MATCH(INDEX($AF$6:$AF$156,MATCH($U56,$A$6:$A$156,0)),WorkDays,1)+IF($Q56=0,0,1)+$W56)))))</f>
        <v>46036</v>
      </c>
      <c r="AF56" s="61" t="n">
        <f aca="false">IF($AB56&lt;&gt;"",$AB56,IF($Q56=0,$AE56,INDEX(WorkDays,MATCH(MAX($AE56,NextWD)-1,WorkDays,1)+$AD56)))</f>
        <v>46041</v>
      </c>
      <c r="AG56" s="56" t="str">
        <f aca="false">IF($AB56&lt;&gt;"","Completed",IF($AA56&lt;&gt;"","In Progress",IF(AND($Y56&lt;&gt;"",$Y56&lt;=DataDate),"Not Started (Late)","Not Started")))</f>
        <v>Completed</v>
      </c>
      <c r="AH56" s="64" t="n">
        <f aca="false">IF($Z56="","",MATCH($AF56,WorkDays,1)-MATCH($Z56,WorkDays,1))</f>
        <v>-30</v>
      </c>
      <c r="AI56" s="57" t="n">
        <f aca="false">IF($O56="","",$O56*IF($AB56&lt;&gt;"",1,$AC56))</f>
        <v>12</v>
      </c>
      <c r="AJ56" s="55" t="s">
        <v>174</v>
      </c>
    </row>
    <row r="57" customFormat="false" ht="15" hidden="false" customHeight="false" outlineLevel="2" collapsed="false">
      <c r="A57" s="46" t="s">
        <v>294</v>
      </c>
      <c r="B57" s="47" t="n">
        <v>3</v>
      </c>
      <c r="C57" s="48" t="s">
        <v>295</v>
      </c>
      <c r="D57" s="46"/>
      <c r="E57" s="46"/>
      <c r="F57" s="46"/>
      <c r="G57" s="46"/>
      <c r="H57" s="46"/>
      <c r="I57" s="46"/>
      <c r="J57" s="46" t="n">
        <f aca="false">SUMIF($B$58:$B$60,4,$J$58:$J$60)</f>
        <v>3</v>
      </c>
      <c r="K57" s="46"/>
      <c r="L57" s="46"/>
      <c r="M57" s="46"/>
      <c r="N57" s="46"/>
      <c r="O57" s="49" t="str">
        <f aca="false">IF(SUMIF($B$58:$B$60,4,$O$58:$O$60)=0,"",SUMIF($B$58:$B$60,4,$O$58:$O$60))</f>
        <v/>
      </c>
      <c r="P57" s="46"/>
      <c r="Q57" s="46"/>
      <c r="R57" s="46"/>
      <c r="S57" s="46"/>
      <c r="T57" s="46"/>
      <c r="U57" s="46"/>
      <c r="V57" s="46"/>
      <c r="W57" s="46"/>
      <c r="X57" s="46"/>
      <c r="Y57" s="50" t="n">
        <f aca="false">MIN($Y$58:$Y$60)</f>
        <v>46112</v>
      </c>
      <c r="Z57" s="50" t="n">
        <f aca="false">MAX($Z$58:$Z$60)</f>
        <v>46182</v>
      </c>
      <c r="AA57" s="50" t="n">
        <f aca="false">IF(COUNT($AA$58:$AA$60)=0,"",MIN($AA$58:$AA$60))</f>
        <v>46071</v>
      </c>
      <c r="AB57" s="50" t="n">
        <f aca="false">IF(COUNTIFS($B$58:$B$60,4,$AG$58:$AG$60,"Completed")=COUNTIF($B$58:$B$60,4),MAX($AB$58:$AB$60),"")</f>
        <v>46111</v>
      </c>
      <c r="AC57" s="51" t="n">
        <f aca="false">IFERROR(IF(SUMIF($B$58:$B$60,4,$O$58:$O$60)&gt;0,SUMIF($B$58:$B$60,4,$AI$58:$AI$60)/SUMIF($B$58:$B$60,4,$O$58:$O$60),IFERROR(SUMPRODUCT(--($B$58:$B$60=4),$Q$58:$Q$60,$AC$58:$AC$60)/SUMIF($B$58:$B$60,4,$Q$58:$Q$60),AVERAGEIF($B$58:$B$60,4,$AC$58:$AC$60))),"")</f>
        <v>1</v>
      </c>
      <c r="AD57" s="46"/>
      <c r="AE57" s="50" t="n">
        <f aca="false">MIN($AE$58:$AE$60)</f>
        <v>46071</v>
      </c>
      <c r="AF57" s="50" t="n">
        <f aca="false">MAX($AF$58:$AF$60)</f>
        <v>46111</v>
      </c>
      <c r="AG57" s="46" t="str">
        <f aca="false">IF(COUNTIFS($B$58:$B$60,4,$AG$58:$AG$60,"Completed")=COUNTIF($B$58:$B$60,4),"Completed",IF(COUNTIFS($B$58:$B$60,4,$AG$58:$AG$60,"Not Started*")=COUNTIF($B$58:$B$60,4),"Not Started","In Progress"))</f>
        <v>Completed</v>
      </c>
      <c r="AH57" s="52" t="n">
        <f aca="false">MATCH($AF57,WorkDays,1)-MATCH($Z57,WorkDays,1)</f>
        <v>-60</v>
      </c>
      <c r="AI57" s="49" t="str">
        <f aca="false">IF(SUMIF($B$58:$B$60,4,$O$58:$O$60)=0,"",SUMIF($B$58:$B$60,4,$AI$58:$AI$60))</f>
        <v/>
      </c>
      <c r="AJ57" s="46" t="str">
        <f aca="false">"P6 check: "&amp;INDEX('P6 Roll-up'!$AB$5:$AB$22,MATCH($A57,'P6 Roll-up'!$A$5:$A$22,0))</f>
        <v>P6 check: ✔ Same as P6</v>
      </c>
    </row>
    <row r="58" customFormat="false" ht="32.8" hidden="false" customHeight="false" outlineLevel="3" collapsed="false">
      <c r="A58" s="53" t="s">
        <v>296</v>
      </c>
      <c r="B58" s="25" t="n">
        <v>4</v>
      </c>
      <c r="C58" s="55" t="s">
        <v>297</v>
      </c>
      <c r="D58" s="55" t="s">
        <v>298</v>
      </c>
      <c r="E58" s="25" t="s">
        <v>75</v>
      </c>
      <c r="F58" s="55" t="s">
        <v>299</v>
      </c>
      <c r="G58" s="55" t="s">
        <v>300</v>
      </c>
      <c r="H58" s="55" t="s">
        <v>301</v>
      </c>
      <c r="I58" s="55"/>
      <c r="J58" s="25" t="n">
        <f aca="false">COUNTIF('BIM Element Map'!$J$6:$J$1000,$A58)</f>
        <v>1</v>
      </c>
      <c r="K58" s="56" t="s">
        <v>296</v>
      </c>
      <c r="L58" s="25" t="s">
        <v>302</v>
      </c>
      <c r="M58" s="55"/>
      <c r="N58" s="55" t="s">
        <v>294</v>
      </c>
      <c r="O58" s="57"/>
      <c r="P58" s="25"/>
      <c r="Q58" s="58" t="n">
        <v>15</v>
      </c>
      <c r="R58" s="59"/>
      <c r="S58" s="58"/>
      <c r="T58" s="58"/>
      <c r="U58" s="59"/>
      <c r="V58" s="58"/>
      <c r="W58" s="58"/>
      <c r="X58" s="60" t="n">
        <v>46071</v>
      </c>
      <c r="Y58" s="61" t="n">
        <v>46112</v>
      </c>
      <c r="Z58" s="61" t="n">
        <v>46142</v>
      </c>
      <c r="AA58" s="62" t="n">
        <v>46071</v>
      </c>
      <c r="AB58" s="62" t="n">
        <v>46088</v>
      </c>
      <c r="AC58" s="63" t="n">
        <v>1</v>
      </c>
      <c r="AD58" s="25" t="n">
        <f aca="false">IF($AB58&lt;&gt;"",0,IF($AA58="",$Q58,MAX(1,ROUND($Q58*(1-$AC58),0))))</f>
        <v>0</v>
      </c>
      <c r="AE58" s="61" t="n">
        <f aca="false">IF($AA58&lt;&gt;"",$AA58,MAX($X58,NextWD,IF($R58="",0,IF($S58="SS",INDEX(WorkDays,MATCH(INDEX($AE$6:$AE$156,MATCH($R58,$A$6:$A$156,0))-1,WorkDays,1)+1+$T58),INDEX(WorkDays,MATCH(INDEX($AF$6:$AF$156,MATCH($R58,$A$6:$A$156,0)),WorkDays,1)+IF($Q58=0,0,1)+$T58))),IF($U58="",0,IF($V58="SS",INDEX(WorkDays,MATCH(INDEX($AE$6:$AE$156,MATCH($U58,$A$6:$A$156,0))-1,WorkDays,1)+1+$W58),INDEX(WorkDays,MATCH(INDEX($AF$6:$AF$156,MATCH($U58,$A$6:$A$156,0)),WorkDays,1)+IF($Q58=0,0,1)+$W58)))))</f>
        <v>46071</v>
      </c>
      <c r="AF58" s="61" t="n">
        <f aca="false">IF($AB58&lt;&gt;"",$AB58,IF($Q58=0,$AE58,INDEX(WorkDays,MATCH(MAX($AE58,NextWD)-1,WorkDays,1)+$AD58)))</f>
        <v>46088</v>
      </c>
      <c r="AG58" s="56" t="str">
        <f aca="false">IF($AB58&lt;&gt;"","Completed",IF($AA58&lt;&gt;"","In Progress",IF(AND($Y58&lt;&gt;"",$Y58&lt;=DataDate),"Not Started (Late)","Not Started")))</f>
        <v>Completed</v>
      </c>
      <c r="AH58" s="64" t="n">
        <f aca="false">IF($Z58="","",MATCH($AF58,WorkDays,1)-MATCH($Z58,WorkDays,1))</f>
        <v>-45</v>
      </c>
      <c r="AI58" s="57" t="str">
        <f aca="false">IF($O58="","",$O58*IF($AB58&lt;&gt;"",1,$AC58))</f>
        <v/>
      </c>
      <c r="AJ58" s="55" t="s">
        <v>303</v>
      </c>
    </row>
    <row r="59" customFormat="false" ht="32.8" hidden="false" customHeight="false" outlineLevel="3" collapsed="false">
      <c r="A59" s="53" t="s">
        <v>304</v>
      </c>
      <c r="B59" s="25" t="n">
        <v>4</v>
      </c>
      <c r="C59" s="55" t="s">
        <v>305</v>
      </c>
      <c r="D59" s="55" t="s">
        <v>298</v>
      </c>
      <c r="E59" s="25" t="s">
        <v>77</v>
      </c>
      <c r="F59" s="55" t="s">
        <v>306</v>
      </c>
      <c r="G59" s="55" t="s">
        <v>300</v>
      </c>
      <c r="H59" s="55" t="s">
        <v>301</v>
      </c>
      <c r="I59" s="55"/>
      <c r="J59" s="25" t="n">
        <f aca="false">COUNTIF('BIM Element Map'!$J$6:$J$1000,$A59)</f>
        <v>1</v>
      </c>
      <c r="K59" s="56" t="s">
        <v>304</v>
      </c>
      <c r="L59" s="25" t="s">
        <v>302</v>
      </c>
      <c r="M59" s="55"/>
      <c r="N59" s="55" t="s">
        <v>294</v>
      </c>
      <c r="O59" s="57"/>
      <c r="P59" s="25"/>
      <c r="Q59" s="58" t="n">
        <v>12</v>
      </c>
      <c r="R59" s="59" t="s">
        <v>296</v>
      </c>
      <c r="S59" s="58" t="s">
        <v>307</v>
      </c>
      <c r="T59" s="58" t="n">
        <v>10</v>
      </c>
      <c r="U59" s="59"/>
      <c r="V59" s="58"/>
      <c r="W59" s="58"/>
      <c r="X59" s="60" t="n">
        <v>46086</v>
      </c>
      <c r="Y59" s="61" t="n">
        <v>46137</v>
      </c>
      <c r="Z59" s="61" t="n">
        <v>46163</v>
      </c>
      <c r="AA59" s="62" t="n">
        <v>46086</v>
      </c>
      <c r="AB59" s="62" t="n">
        <v>46099</v>
      </c>
      <c r="AC59" s="63" t="n">
        <v>1</v>
      </c>
      <c r="AD59" s="25" t="n">
        <f aca="false">IF($AB59&lt;&gt;"",0,IF($AA59="",$Q59,MAX(1,ROUND($Q59*(1-$AC59),0))))</f>
        <v>0</v>
      </c>
      <c r="AE59" s="61" t="n">
        <f aca="false">IF($AA59&lt;&gt;"",$AA59,MAX($X59,NextWD,IF($R59="",0,IF($S59="SS",INDEX(WorkDays,MATCH(INDEX($AE$6:$AE$156,MATCH($R59,$A$6:$A$156,0))-1,WorkDays,1)+1+$T59),INDEX(WorkDays,MATCH(INDEX($AF$6:$AF$156,MATCH($R59,$A$6:$A$156,0)),WorkDays,1)+IF($Q59=0,0,1)+$T59))),IF($U59="",0,IF($V59="SS",INDEX(WorkDays,MATCH(INDEX($AE$6:$AE$156,MATCH($U59,$A$6:$A$156,0))-1,WorkDays,1)+1+$W59),INDEX(WorkDays,MATCH(INDEX($AF$6:$AF$156,MATCH($U59,$A$6:$A$156,0)),WorkDays,1)+IF($Q59=0,0,1)+$W59)))))</f>
        <v>46086</v>
      </c>
      <c r="AF59" s="61" t="n">
        <f aca="false">IF($AB59&lt;&gt;"",$AB59,IF($Q59=0,$AE59,INDEX(WorkDays,MATCH(MAX($AE59,NextWD)-1,WorkDays,1)+$AD59)))</f>
        <v>46099</v>
      </c>
      <c r="AG59" s="56" t="str">
        <f aca="false">IF($AB59&lt;&gt;"","Completed",IF($AA59&lt;&gt;"","In Progress",IF(AND($Y59&lt;&gt;"",$Y59&lt;=DataDate),"Not Started (Late)","Not Started")))</f>
        <v>Completed</v>
      </c>
      <c r="AH59" s="64" t="n">
        <f aca="false">IF($Z59="","",MATCH($AF59,WorkDays,1)-MATCH($Z59,WorkDays,1))</f>
        <v>-53</v>
      </c>
      <c r="AI59" s="57" t="str">
        <f aca="false">IF($O59="","",$O59*IF($AB59&lt;&gt;"",1,$AC59))</f>
        <v/>
      </c>
      <c r="AJ59" s="55" t="s">
        <v>303</v>
      </c>
    </row>
    <row r="60" customFormat="false" ht="32.8" hidden="false" customHeight="false" outlineLevel="3" collapsed="false">
      <c r="A60" s="53" t="s">
        <v>308</v>
      </c>
      <c r="B60" s="25" t="n">
        <v>4</v>
      </c>
      <c r="C60" s="55" t="s">
        <v>309</v>
      </c>
      <c r="D60" s="55" t="s">
        <v>298</v>
      </c>
      <c r="E60" s="25" t="s">
        <v>79</v>
      </c>
      <c r="F60" s="55" t="s">
        <v>310</v>
      </c>
      <c r="G60" s="55" t="s">
        <v>300</v>
      </c>
      <c r="H60" s="55" t="s">
        <v>301</v>
      </c>
      <c r="I60" s="55"/>
      <c r="J60" s="25" t="n">
        <f aca="false">COUNTIF('BIM Element Map'!$J$6:$J$1000,$A60)</f>
        <v>1</v>
      </c>
      <c r="K60" s="56" t="s">
        <v>308</v>
      </c>
      <c r="L60" s="25" t="s">
        <v>302</v>
      </c>
      <c r="M60" s="55"/>
      <c r="N60" s="55" t="s">
        <v>294</v>
      </c>
      <c r="O60" s="57"/>
      <c r="P60" s="25"/>
      <c r="Q60" s="58" t="n">
        <v>12</v>
      </c>
      <c r="R60" s="59" t="s">
        <v>304</v>
      </c>
      <c r="S60" s="58" t="s">
        <v>307</v>
      </c>
      <c r="T60" s="58" t="n">
        <v>9</v>
      </c>
      <c r="U60" s="59"/>
      <c r="V60" s="58"/>
      <c r="W60" s="58"/>
      <c r="X60" s="60" t="n">
        <v>46097</v>
      </c>
      <c r="Y60" s="61" t="n">
        <v>46157</v>
      </c>
      <c r="Z60" s="61" t="n">
        <v>46182</v>
      </c>
      <c r="AA60" s="62" t="n">
        <v>46097</v>
      </c>
      <c r="AB60" s="62" t="n">
        <v>46111</v>
      </c>
      <c r="AC60" s="63" t="n">
        <v>1</v>
      </c>
      <c r="AD60" s="25" t="n">
        <f aca="false">IF($AB60&lt;&gt;"",0,IF($AA60="",$Q60,MAX(1,ROUND($Q60*(1-$AC60),0))))</f>
        <v>0</v>
      </c>
      <c r="AE60" s="61" t="n">
        <f aca="false">IF($AA60&lt;&gt;"",$AA60,MAX($X60,NextWD,IF($R60="",0,IF($S60="SS",INDEX(WorkDays,MATCH(INDEX($AE$6:$AE$156,MATCH($R60,$A$6:$A$156,0))-1,WorkDays,1)+1+$T60),INDEX(WorkDays,MATCH(INDEX($AF$6:$AF$156,MATCH($R60,$A$6:$A$156,0)),WorkDays,1)+IF($Q60=0,0,1)+$T60))),IF($U60="",0,IF($V60="SS",INDEX(WorkDays,MATCH(INDEX($AE$6:$AE$156,MATCH($U60,$A$6:$A$156,0))-1,WorkDays,1)+1+$W60),INDEX(WorkDays,MATCH(INDEX($AF$6:$AF$156,MATCH($U60,$A$6:$A$156,0)),WorkDays,1)+IF($Q60=0,0,1)+$W60)))))</f>
        <v>46097</v>
      </c>
      <c r="AF60" s="61" t="n">
        <f aca="false">IF($AB60&lt;&gt;"",$AB60,IF($Q60=0,$AE60,INDEX(WorkDays,MATCH(MAX($AE60,NextWD)-1,WorkDays,1)+$AD60)))</f>
        <v>46111</v>
      </c>
      <c r="AG60" s="56" t="str">
        <f aca="false">IF($AB60&lt;&gt;"","Completed",IF($AA60&lt;&gt;"","In Progress",IF(AND($Y60&lt;&gt;"",$Y60&lt;=DataDate),"Not Started (Late)","Not Started")))</f>
        <v>Completed</v>
      </c>
      <c r="AH60" s="64" t="n">
        <f aca="false">IF($Z60="","",MATCH($AF60,WorkDays,1)-MATCH($Z60,WorkDays,1))</f>
        <v>-60</v>
      </c>
      <c r="AI60" s="57" t="str">
        <f aca="false">IF($O60="","",$O60*IF($AB60&lt;&gt;"",1,$AC60))</f>
        <v/>
      </c>
      <c r="AJ60" s="55" t="s">
        <v>303</v>
      </c>
    </row>
    <row r="61" customFormat="false" ht="15" hidden="false" customHeight="false" outlineLevel="2" collapsed="false">
      <c r="A61" s="46" t="s">
        <v>311</v>
      </c>
      <c r="B61" s="47" t="n">
        <v>3</v>
      </c>
      <c r="C61" s="48" t="s">
        <v>312</v>
      </c>
      <c r="D61" s="46"/>
      <c r="E61" s="46"/>
      <c r="F61" s="46"/>
      <c r="G61" s="46"/>
      <c r="H61" s="46"/>
      <c r="I61" s="46"/>
      <c r="J61" s="46" t="n">
        <f aca="false">SUMIF($B$62:$B$110,4,$J$62:$J$110)</f>
        <v>309</v>
      </c>
      <c r="K61" s="46"/>
      <c r="L61" s="46"/>
      <c r="M61" s="46"/>
      <c r="N61" s="46"/>
      <c r="O61" s="49" t="n">
        <f aca="false">IF(SUMIF($B$62:$B$110,4,$O$62:$O$110)=0,"",SUMIF($B$62:$B$110,4,$O$62:$O$110))</f>
        <v>1171.5</v>
      </c>
      <c r="P61" s="46"/>
      <c r="Q61" s="46"/>
      <c r="R61" s="46"/>
      <c r="S61" s="46"/>
      <c r="T61" s="46"/>
      <c r="U61" s="46"/>
      <c r="V61" s="46"/>
      <c r="W61" s="46"/>
      <c r="X61" s="46"/>
      <c r="Y61" s="50" t="n">
        <f aca="false">MIN($Y$62:$Y$110)</f>
        <v>46129</v>
      </c>
      <c r="Z61" s="50" t="n">
        <f aca="false">MAX($Z$62:$Z$110)</f>
        <v>46307</v>
      </c>
      <c r="AA61" s="50" t="n">
        <f aca="false">IF(COUNT($AA$62:$AA$110)=0,"",MIN($AA$62:$AA$110))</f>
        <v>46089</v>
      </c>
      <c r="AB61" s="50" t="str">
        <f aca="false">IF(COUNTIFS($B$62:$B$110,4,$AG$62:$AG$110,"Completed")=COUNTIF($B$62:$B$110,4),MAX($AB$62:$AB$110),"")</f>
        <v/>
      </c>
      <c r="AC61" s="51" t="n">
        <f aca="false">IFERROR(IF(SUMIF($B$62:$B$110,4,$O$62:$O$110)&gt;0,SUMIF($B$62:$B$110,4,$AI$62:$AI$110)/SUMIF($B$62:$B$110,4,$O$62:$O$110),IFERROR(SUMPRODUCT(--($B$62:$B$110=4),$Q$62:$Q$110,$AC$62:$AC$110)/SUMIF($B$62:$B$110,4,$Q$62:$Q$110),AVERAGEIF($B$62:$B$110,4,$AC$62:$AC$110))),"")</f>
        <v>0.737362355953905</v>
      </c>
      <c r="AD61" s="46"/>
      <c r="AE61" s="50" t="n">
        <f aca="false">MIN($AE$62:$AE$110)</f>
        <v>46089</v>
      </c>
      <c r="AF61" s="50" t="n">
        <f aca="false">MAX($AF$62:$AF$110)</f>
        <v>46351</v>
      </c>
      <c r="AG61" s="46" t="str">
        <f aca="false">IF(COUNTIFS($B$62:$B$110,4,$AG$62:$AG$110,"Completed")=COUNTIF($B$62:$B$110,4),"Completed",IF(COUNTIFS($B$62:$B$110,4,$AG$62:$AG$110,"Not Started*")=COUNTIF($B$62:$B$110,4),"Not Started","In Progress"))</f>
        <v>In Progress</v>
      </c>
      <c r="AH61" s="52" t="n">
        <f aca="false">MATCH($AF61,WorkDays,1)-MATCH($Z61,WorkDays,1)</f>
        <v>37</v>
      </c>
      <c r="AI61" s="49" t="n">
        <f aca="false">IF(SUMIF($B$62:$B$110,4,$O$62:$O$110)=0,"",SUMIF($B$62:$B$110,4,$AI$62:$AI$110))</f>
        <v>863.82</v>
      </c>
      <c r="AJ61" s="46" t="str">
        <f aca="false">"P6 check: "&amp;INDEX('P6 Roll-up'!$AB$5:$AB$22,MATCH($A61,'P6 Roll-up'!$A$5:$A$22,0))</f>
        <v>P6 check: ✔ Same as P6</v>
      </c>
    </row>
    <row r="62" customFormat="false" ht="22.35" hidden="false" customHeight="false" outlineLevel="3" collapsed="false">
      <c r="A62" s="53" t="s">
        <v>313</v>
      </c>
      <c r="B62" s="25" t="n">
        <v>4</v>
      </c>
      <c r="C62" s="55" t="s">
        <v>314</v>
      </c>
      <c r="D62" s="55" t="s">
        <v>315</v>
      </c>
      <c r="E62" s="25" t="s">
        <v>75</v>
      </c>
      <c r="F62" s="55" t="s">
        <v>316</v>
      </c>
      <c r="G62" s="55" t="s">
        <v>317</v>
      </c>
      <c r="H62" s="55" t="s">
        <v>318</v>
      </c>
      <c r="I62" s="55" t="s">
        <v>319</v>
      </c>
      <c r="J62" s="25" t="n">
        <f aca="false">COUNTIF('BIM Element Map'!$J$6:$J$1000,$A62)</f>
        <v>17</v>
      </c>
      <c r="K62" s="56" t="s">
        <v>313</v>
      </c>
      <c r="L62" s="25" t="s">
        <v>173</v>
      </c>
      <c r="M62" s="55" t="s">
        <v>58</v>
      </c>
      <c r="N62" s="55" t="s">
        <v>311</v>
      </c>
      <c r="O62" s="57" t="n">
        <v>25.5</v>
      </c>
      <c r="P62" s="25" t="s">
        <v>320</v>
      </c>
      <c r="Q62" s="58" t="n">
        <v>14</v>
      </c>
      <c r="R62" s="59" t="s">
        <v>296</v>
      </c>
      <c r="S62" s="58" t="s">
        <v>307</v>
      </c>
      <c r="T62" s="58" t="n">
        <v>14</v>
      </c>
      <c r="U62" s="59"/>
      <c r="V62" s="58"/>
      <c r="W62" s="58"/>
      <c r="X62" s="60" t="n">
        <v>46089</v>
      </c>
      <c r="Y62" s="61" t="n">
        <v>46129</v>
      </c>
      <c r="Z62" s="61" t="n">
        <v>46140</v>
      </c>
      <c r="AA62" s="62" t="n">
        <v>46089</v>
      </c>
      <c r="AB62" s="62" t="n">
        <v>46106</v>
      </c>
      <c r="AC62" s="63" t="n">
        <v>1</v>
      </c>
      <c r="AD62" s="25" t="n">
        <f aca="false">IF($AB62&lt;&gt;"",0,IF($AA62="",$Q62,MAX(1,ROUND($Q62*(1-$AC62),0))))</f>
        <v>0</v>
      </c>
      <c r="AE62" s="61" t="n">
        <f aca="false">IF($AA62&lt;&gt;"",$AA62,MAX($X62,NextWD,IF($R62="",0,IF($S62="SS",INDEX(WorkDays,MATCH(INDEX($AE$6:$AE$156,MATCH($R62,$A$6:$A$156,0))-1,WorkDays,1)+1+$T62),INDEX(WorkDays,MATCH(INDEX($AF$6:$AF$156,MATCH($R62,$A$6:$A$156,0)),WorkDays,1)+IF($Q62=0,0,1)+$T62))),IF($U62="",0,IF($V62="SS",INDEX(WorkDays,MATCH(INDEX($AE$6:$AE$156,MATCH($U62,$A$6:$A$156,0))-1,WorkDays,1)+1+$W62),INDEX(WorkDays,MATCH(INDEX($AF$6:$AF$156,MATCH($U62,$A$6:$A$156,0)),WorkDays,1)+IF($Q62=0,0,1)+$W62)))))</f>
        <v>46089</v>
      </c>
      <c r="AF62" s="61" t="n">
        <f aca="false">IF($AB62&lt;&gt;"",$AB62,IF($Q62=0,$AE62,INDEX(WorkDays,MATCH(MAX($AE62,NextWD)-1,WorkDays,1)+$AD62)))</f>
        <v>46106</v>
      </c>
      <c r="AG62" s="56" t="str">
        <f aca="false">IF($AB62&lt;&gt;"","Completed",IF($AA62&lt;&gt;"","In Progress",IF(AND($Y62&lt;&gt;"",$Y62&lt;=DataDate),"Not Started (Late)","Not Started")))</f>
        <v>Completed</v>
      </c>
      <c r="AH62" s="64" t="n">
        <f aca="false">IF($Z62="","",MATCH($AF62,WorkDays,1)-MATCH($Z62,WorkDays,1))</f>
        <v>-29</v>
      </c>
      <c r="AI62" s="57" t="n">
        <f aca="false">IF($O62="","",$O62*IF($AB62&lt;&gt;"",1,$AC62))</f>
        <v>25.5</v>
      </c>
      <c r="AJ62" s="55" t="s">
        <v>321</v>
      </c>
    </row>
    <row r="63" customFormat="false" ht="22.35" hidden="false" customHeight="false" outlineLevel="3" collapsed="false">
      <c r="A63" s="53" t="s">
        <v>322</v>
      </c>
      <c r="B63" s="25" t="n">
        <v>4</v>
      </c>
      <c r="C63" s="55" t="s">
        <v>323</v>
      </c>
      <c r="D63" s="55" t="s">
        <v>315</v>
      </c>
      <c r="E63" s="25" t="s">
        <v>77</v>
      </c>
      <c r="F63" s="55" t="s">
        <v>324</v>
      </c>
      <c r="G63" s="55" t="s">
        <v>317</v>
      </c>
      <c r="H63" s="55" t="s">
        <v>318</v>
      </c>
      <c r="I63" s="55" t="s">
        <v>325</v>
      </c>
      <c r="J63" s="25" t="n">
        <f aca="false">COUNTIF('BIM Element Map'!$J$6:$J$1000,$A63)</f>
        <v>10</v>
      </c>
      <c r="K63" s="56" t="s">
        <v>322</v>
      </c>
      <c r="L63" s="25" t="s">
        <v>173</v>
      </c>
      <c r="M63" s="55" t="s">
        <v>58</v>
      </c>
      <c r="N63" s="55" t="s">
        <v>311</v>
      </c>
      <c r="O63" s="57" t="n">
        <v>17</v>
      </c>
      <c r="P63" s="25" t="s">
        <v>320</v>
      </c>
      <c r="Q63" s="58" t="n">
        <v>10</v>
      </c>
      <c r="R63" s="59" t="s">
        <v>304</v>
      </c>
      <c r="S63" s="58" t="s">
        <v>177</v>
      </c>
      <c r="T63" s="58" t="n">
        <v>0</v>
      </c>
      <c r="U63" s="59" t="s">
        <v>313</v>
      </c>
      <c r="V63" s="58" t="s">
        <v>307</v>
      </c>
      <c r="W63" s="58" t="n">
        <v>8</v>
      </c>
      <c r="X63" s="60"/>
      <c r="Y63" s="61" t="n">
        <v>46136</v>
      </c>
      <c r="Z63" s="61" t="n">
        <v>46144</v>
      </c>
      <c r="AA63" s="62" t="n">
        <v>46100</v>
      </c>
      <c r="AB63" s="62" t="n">
        <v>46112</v>
      </c>
      <c r="AC63" s="63" t="n">
        <v>1</v>
      </c>
      <c r="AD63" s="25" t="n">
        <f aca="false">IF($AB63&lt;&gt;"",0,IF($AA63="",$Q63,MAX(1,ROUND($Q63*(1-$AC63),0))))</f>
        <v>0</v>
      </c>
      <c r="AE63" s="61" t="n">
        <f aca="false">IF($AA63&lt;&gt;"",$AA63,MAX($X63,NextWD,IF($R63="",0,IF($S63="SS",INDEX(WorkDays,MATCH(INDEX($AE$6:$AE$156,MATCH($R63,$A$6:$A$156,0))-1,WorkDays,1)+1+$T63),INDEX(WorkDays,MATCH(INDEX($AF$6:$AF$156,MATCH($R63,$A$6:$A$156,0)),WorkDays,1)+IF($Q63=0,0,1)+$T63))),IF($U63="",0,IF($V63="SS",INDEX(WorkDays,MATCH(INDEX($AE$6:$AE$156,MATCH($U63,$A$6:$A$156,0))-1,WorkDays,1)+1+$W63),INDEX(WorkDays,MATCH(INDEX($AF$6:$AF$156,MATCH($U63,$A$6:$A$156,0)),WorkDays,1)+IF($Q63=0,0,1)+$W63)))))</f>
        <v>46100</v>
      </c>
      <c r="AF63" s="61" t="n">
        <f aca="false">IF($AB63&lt;&gt;"",$AB63,IF($Q63=0,$AE63,INDEX(WorkDays,MATCH(MAX($AE63,NextWD)-1,WorkDays,1)+$AD63)))</f>
        <v>46112</v>
      </c>
      <c r="AG63" s="56" t="str">
        <f aca="false">IF($AB63&lt;&gt;"","Completed",IF($AA63&lt;&gt;"","In Progress",IF(AND($Y63&lt;&gt;"",$Y63&lt;=DataDate),"Not Started (Late)","Not Started")))</f>
        <v>Completed</v>
      </c>
      <c r="AH63" s="64" t="n">
        <f aca="false">IF($Z63="","",MATCH($AF63,WorkDays,1)-MATCH($Z63,WorkDays,1))</f>
        <v>-27</v>
      </c>
      <c r="AI63" s="57" t="n">
        <f aca="false">IF($O63="","",$O63*IF($AB63&lt;&gt;"",1,$AC63))</f>
        <v>17</v>
      </c>
      <c r="AJ63" s="55" t="s">
        <v>321</v>
      </c>
    </row>
    <row r="64" customFormat="false" ht="22.35" hidden="false" customHeight="false" outlineLevel="3" collapsed="false">
      <c r="A64" s="53" t="s">
        <v>326</v>
      </c>
      <c r="B64" s="25" t="n">
        <v>4</v>
      </c>
      <c r="C64" s="55" t="s">
        <v>327</v>
      </c>
      <c r="D64" s="55" t="s">
        <v>315</v>
      </c>
      <c r="E64" s="25" t="s">
        <v>79</v>
      </c>
      <c r="F64" s="55" t="s">
        <v>328</v>
      </c>
      <c r="G64" s="55" t="s">
        <v>317</v>
      </c>
      <c r="H64" s="55" t="s">
        <v>318</v>
      </c>
      <c r="I64" s="55" t="s">
        <v>329</v>
      </c>
      <c r="J64" s="25" t="n">
        <f aca="false">COUNTIF('BIM Element Map'!$J$6:$J$1000,$A64)</f>
        <v>8</v>
      </c>
      <c r="K64" s="56" t="s">
        <v>326</v>
      </c>
      <c r="L64" s="25" t="s">
        <v>173</v>
      </c>
      <c r="M64" s="55" t="s">
        <v>58</v>
      </c>
      <c r="N64" s="55" t="s">
        <v>311</v>
      </c>
      <c r="O64" s="57" t="n">
        <v>12.5</v>
      </c>
      <c r="P64" s="25" t="s">
        <v>320</v>
      </c>
      <c r="Q64" s="58" t="n">
        <v>8</v>
      </c>
      <c r="R64" s="59" t="s">
        <v>308</v>
      </c>
      <c r="S64" s="58" t="s">
        <v>177</v>
      </c>
      <c r="T64" s="58" t="n">
        <v>0</v>
      </c>
      <c r="U64" s="59" t="s">
        <v>322</v>
      </c>
      <c r="V64" s="58" t="s">
        <v>307</v>
      </c>
      <c r="W64" s="58" t="n">
        <v>6</v>
      </c>
      <c r="X64" s="60"/>
      <c r="Y64" s="61" t="n">
        <v>46144</v>
      </c>
      <c r="Z64" s="61" t="n">
        <v>46150</v>
      </c>
      <c r="AA64" s="62" t="n">
        <v>46112</v>
      </c>
      <c r="AB64" s="62" t="n">
        <v>46120</v>
      </c>
      <c r="AC64" s="63" t="n">
        <v>1</v>
      </c>
      <c r="AD64" s="25" t="n">
        <f aca="false">IF($AB64&lt;&gt;"",0,IF($AA64="",$Q64,MAX(1,ROUND($Q64*(1-$AC64),0))))</f>
        <v>0</v>
      </c>
      <c r="AE64" s="61" t="n">
        <f aca="false">IF($AA64&lt;&gt;"",$AA64,MAX($X64,NextWD,IF($R64="",0,IF($S64="SS",INDEX(WorkDays,MATCH(INDEX($AE$6:$AE$156,MATCH($R64,$A$6:$A$156,0))-1,WorkDays,1)+1+$T64),INDEX(WorkDays,MATCH(INDEX($AF$6:$AF$156,MATCH($R64,$A$6:$A$156,0)),WorkDays,1)+IF($Q64=0,0,1)+$T64))),IF($U64="",0,IF($V64="SS",INDEX(WorkDays,MATCH(INDEX($AE$6:$AE$156,MATCH($U64,$A$6:$A$156,0))-1,WorkDays,1)+1+$W64),INDEX(WorkDays,MATCH(INDEX($AF$6:$AF$156,MATCH($U64,$A$6:$A$156,0)),WorkDays,1)+IF($Q64=0,0,1)+$W64)))))</f>
        <v>46112</v>
      </c>
      <c r="AF64" s="61" t="n">
        <f aca="false">IF($AB64&lt;&gt;"",$AB64,IF($Q64=0,$AE64,INDEX(WorkDays,MATCH(MAX($AE64,NextWD)-1,WorkDays,1)+$AD64)))</f>
        <v>46120</v>
      </c>
      <c r="AG64" s="56" t="str">
        <f aca="false">IF($AB64&lt;&gt;"","Completed",IF($AA64&lt;&gt;"","In Progress",IF(AND($Y64&lt;&gt;"",$Y64&lt;=DataDate),"Not Started (Late)","Not Started")))</f>
        <v>Completed</v>
      </c>
      <c r="AH64" s="64" t="n">
        <f aca="false">IF($Z64="","",MATCH($AF64,WorkDays,1)-MATCH($Z64,WorkDays,1))</f>
        <v>-25</v>
      </c>
      <c r="AI64" s="57" t="n">
        <f aca="false">IF($O64="","",$O64*IF($AB64&lt;&gt;"",1,$AC64))</f>
        <v>12.5</v>
      </c>
      <c r="AJ64" s="55" t="s">
        <v>321</v>
      </c>
    </row>
    <row r="65" customFormat="false" ht="32.8" hidden="false" customHeight="false" outlineLevel="3" collapsed="false">
      <c r="A65" s="53" t="s">
        <v>330</v>
      </c>
      <c r="B65" s="25" t="n">
        <v>4</v>
      </c>
      <c r="C65" s="55" t="s">
        <v>331</v>
      </c>
      <c r="D65" s="55" t="s">
        <v>315</v>
      </c>
      <c r="E65" s="25" t="s">
        <v>75</v>
      </c>
      <c r="F65" s="55" t="s">
        <v>316</v>
      </c>
      <c r="G65" s="55" t="s">
        <v>332</v>
      </c>
      <c r="H65" s="55" t="s">
        <v>333</v>
      </c>
      <c r="I65" s="55" t="s">
        <v>334</v>
      </c>
      <c r="J65" s="25" t="n">
        <f aca="false">COUNTIF('BIM Element Map'!$J$6:$J$1000,$A65)</f>
        <v>32</v>
      </c>
      <c r="K65" s="56" t="s">
        <v>330</v>
      </c>
      <c r="L65" s="25" t="s">
        <v>173</v>
      </c>
      <c r="M65" s="55" t="s">
        <v>58</v>
      </c>
      <c r="N65" s="55" t="s">
        <v>311</v>
      </c>
      <c r="O65" s="57" t="n">
        <v>23.5</v>
      </c>
      <c r="P65" s="25" t="s">
        <v>320</v>
      </c>
      <c r="Q65" s="58" t="n">
        <v>15</v>
      </c>
      <c r="R65" s="59" t="s">
        <v>313</v>
      </c>
      <c r="S65" s="58" t="s">
        <v>177</v>
      </c>
      <c r="T65" s="58" t="n">
        <v>0</v>
      </c>
      <c r="U65" s="59"/>
      <c r="V65" s="58"/>
      <c r="W65" s="58"/>
      <c r="X65" s="60"/>
      <c r="Y65" s="61" t="n">
        <v>46141</v>
      </c>
      <c r="Z65" s="61" t="n">
        <v>46153</v>
      </c>
      <c r="AA65" s="62" t="n">
        <v>46107</v>
      </c>
      <c r="AB65" s="62" t="n">
        <v>46123</v>
      </c>
      <c r="AC65" s="63" t="n">
        <v>1</v>
      </c>
      <c r="AD65" s="25" t="n">
        <f aca="false">IF($AB65&lt;&gt;"",0,IF($AA65="",$Q65,MAX(1,ROUND($Q65*(1-$AC65),0))))</f>
        <v>0</v>
      </c>
      <c r="AE65" s="61" t="n">
        <f aca="false">IF($AA65&lt;&gt;"",$AA65,MAX($X65,NextWD,IF($R65="",0,IF($S65="SS",INDEX(WorkDays,MATCH(INDEX($AE$6:$AE$156,MATCH($R65,$A$6:$A$156,0))-1,WorkDays,1)+1+$T65),INDEX(WorkDays,MATCH(INDEX($AF$6:$AF$156,MATCH($R65,$A$6:$A$156,0)),WorkDays,1)+IF($Q65=0,0,1)+$T65))),IF($U65="",0,IF($V65="SS",INDEX(WorkDays,MATCH(INDEX($AE$6:$AE$156,MATCH($U65,$A$6:$A$156,0))-1,WorkDays,1)+1+$W65),INDEX(WorkDays,MATCH(INDEX($AF$6:$AF$156,MATCH($U65,$A$6:$A$156,0)),WorkDays,1)+IF($Q65=0,0,1)+$W65)))))</f>
        <v>46107</v>
      </c>
      <c r="AF65" s="61" t="n">
        <f aca="false">IF($AB65&lt;&gt;"",$AB65,IF($Q65=0,$AE65,INDEX(WorkDays,MATCH(MAX($AE65,NextWD)-1,WorkDays,1)+$AD65)))</f>
        <v>46123</v>
      </c>
      <c r="AG65" s="56" t="str">
        <f aca="false">IF($AB65&lt;&gt;"","Completed",IF($AA65&lt;&gt;"","In Progress",IF(AND($Y65&lt;&gt;"",$Y65&lt;=DataDate),"Not Started (Late)","Not Started")))</f>
        <v>Completed</v>
      </c>
      <c r="AH65" s="64" t="n">
        <f aca="false">IF($Z65="","",MATCH($AF65,WorkDays,1)-MATCH($Z65,WorkDays,1))</f>
        <v>-24</v>
      </c>
      <c r="AI65" s="57" t="n">
        <f aca="false">IF($O65="","",$O65*IF($AB65&lt;&gt;"",1,$AC65))</f>
        <v>23.5</v>
      </c>
      <c r="AJ65" s="55" t="s">
        <v>321</v>
      </c>
    </row>
    <row r="66" customFormat="false" ht="22.35" hidden="false" customHeight="false" outlineLevel="3" collapsed="false">
      <c r="A66" s="53" t="s">
        <v>335</v>
      </c>
      <c r="B66" s="25" t="n">
        <v>4</v>
      </c>
      <c r="C66" s="55" t="s">
        <v>336</v>
      </c>
      <c r="D66" s="55" t="s">
        <v>315</v>
      </c>
      <c r="E66" s="25" t="s">
        <v>77</v>
      </c>
      <c r="F66" s="55" t="s">
        <v>324</v>
      </c>
      <c r="G66" s="55" t="s">
        <v>337</v>
      </c>
      <c r="H66" s="55" t="s">
        <v>333</v>
      </c>
      <c r="I66" s="55" t="s">
        <v>338</v>
      </c>
      <c r="J66" s="25" t="n">
        <f aca="false">COUNTIF('BIM Element Map'!$J$6:$J$1000,$A66)</f>
        <v>18</v>
      </c>
      <c r="K66" s="56" t="s">
        <v>335</v>
      </c>
      <c r="L66" s="25" t="s">
        <v>173</v>
      </c>
      <c r="M66" s="55" t="s">
        <v>58</v>
      </c>
      <c r="N66" s="55" t="s">
        <v>311</v>
      </c>
      <c r="O66" s="57" t="n">
        <v>13.3</v>
      </c>
      <c r="P66" s="25" t="s">
        <v>320</v>
      </c>
      <c r="Q66" s="58" t="n">
        <v>12</v>
      </c>
      <c r="R66" s="59" t="s">
        <v>322</v>
      </c>
      <c r="S66" s="58" t="s">
        <v>177</v>
      </c>
      <c r="T66" s="58" t="n">
        <v>0</v>
      </c>
      <c r="U66" s="59" t="s">
        <v>330</v>
      </c>
      <c r="V66" s="58" t="s">
        <v>307</v>
      </c>
      <c r="W66" s="58" t="n">
        <v>8</v>
      </c>
      <c r="X66" s="60"/>
      <c r="Y66" s="61" t="n">
        <v>46148</v>
      </c>
      <c r="Z66" s="61" t="n">
        <v>46156</v>
      </c>
      <c r="AA66" s="62" t="n">
        <v>46116</v>
      </c>
      <c r="AB66" s="62" t="n">
        <v>46129</v>
      </c>
      <c r="AC66" s="63" t="n">
        <v>1</v>
      </c>
      <c r="AD66" s="25" t="n">
        <f aca="false">IF($AB66&lt;&gt;"",0,IF($AA66="",$Q66,MAX(1,ROUND($Q66*(1-$AC66),0))))</f>
        <v>0</v>
      </c>
      <c r="AE66" s="61" t="n">
        <f aca="false">IF($AA66&lt;&gt;"",$AA66,MAX($X66,NextWD,IF($R66="",0,IF($S66="SS",INDEX(WorkDays,MATCH(INDEX($AE$6:$AE$156,MATCH($R66,$A$6:$A$156,0))-1,WorkDays,1)+1+$T66),INDEX(WorkDays,MATCH(INDEX($AF$6:$AF$156,MATCH($R66,$A$6:$A$156,0)),WorkDays,1)+IF($Q66=0,0,1)+$T66))),IF($U66="",0,IF($V66="SS",INDEX(WorkDays,MATCH(INDEX($AE$6:$AE$156,MATCH($U66,$A$6:$A$156,0))-1,WorkDays,1)+1+$W66),INDEX(WorkDays,MATCH(INDEX($AF$6:$AF$156,MATCH($U66,$A$6:$A$156,0)),WorkDays,1)+IF($Q66=0,0,1)+$W66)))))</f>
        <v>46116</v>
      </c>
      <c r="AF66" s="61" t="n">
        <f aca="false">IF($AB66&lt;&gt;"",$AB66,IF($Q66=0,$AE66,INDEX(WorkDays,MATCH(MAX($AE66,NextWD)-1,WorkDays,1)+$AD66)))</f>
        <v>46129</v>
      </c>
      <c r="AG66" s="56" t="str">
        <f aca="false">IF($AB66&lt;&gt;"","Completed",IF($AA66&lt;&gt;"","In Progress",IF(AND($Y66&lt;&gt;"",$Y66&lt;=DataDate),"Not Started (Late)","Not Started")))</f>
        <v>Completed</v>
      </c>
      <c r="AH66" s="64" t="n">
        <f aca="false">IF($Z66="","",MATCH($AF66,WorkDays,1)-MATCH($Z66,WorkDays,1))</f>
        <v>-22</v>
      </c>
      <c r="AI66" s="57" t="n">
        <f aca="false">IF($O66="","",$O66*IF($AB66&lt;&gt;"",1,$AC66))</f>
        <v>13.3</v>
      </c>
      <c r="AJ66" s="55" t="s">
        <v>321</v>
      </c>
    </row>
    <row r="67" customFormat="false" ht="22.35" hidden="false" customHeight="false" outlineLevel="3" collapsed="false">
      <c r="A67" s="53" t="s">
        <v>339</v>
      </c>
      <c r="B67" s="25" t="n">
        <v>4</v>
      </c>
      <c r="C67" s="55" t="s">
        <v>340</v>
      </c>
      <c r="D67" s="55" t="s">
        <v>315</v>
      </c>
      <c r="E67" s="25" t="s">
        <v>79</v>
      </c>
      <c r="F67" s="55" t="s">
        <v>328</v>
      </c>
      <c r="G67" s="55" t="s">
        <v>337</v>
      </c>
      <c r="H67" s="55" t="s">
        <v>333</v>
      </c>
      <c r="I67" s="55" t="s">
        <v>341</v>
      </c>
      <c r="J67" s="25" t="n">
        <f aca="false">COUNTIF('BIM Element Map'!$J$6:$J$1000,$A67)</f>
        <v>15</v>
      </c>
      <c r="K67" s="56" t="s">
        <v>339</v>
      </c>
      <c r="L67" s="25" t="s">
        <v>173</v>
      </c>
      <c r="M67" s="55" t="s">
        <v>58</v>
      </c>
      <c r="N67" s="55" t="s">
        <v>311</v>
      </c>
      <c r="O67" s="57" t="n">
        <v>11.2</v>
      </c>
      <c r="P67" s="25" t="s">
        <v>320</v>
      </c>
      <c r="Q67" s="58" t="n">
        <v>10</v>
      </c>
      <c r="R67" s="59" t="s">
        <v>326</v>
      </c>
      <c r="S67" s="58" t="s">
        <v>177</v>
      </c>
      <c r="T67" s="58" t="n">
        <v>0</v>
      </c>
      <c r="U67" s="59" t="s">
        <v>335</v>
      </c>
      <c r="V67" s="58" t="s">
        <v>307</v>
      </c>
      <c r="W67" s="58" t="n">
        <v>6</v>
      </c>
      <c r="X67" s="60"/>
      <c r="Y67" s="61" t="n">
        <v>46153</v>
      </c>
      <c r="Z67" s="61" t="n">
        <v>46160</v>
      </c>
      <c r="AA67" s="62" t="n">
        <v>46123</v>
      </c>
      <c r="AB67" s="62" t="n">
        <v>46134</v>
      </c>
      <c r="AC67" s="63" t="n">
        <v>1</v>
      </c>
      <c r="AD67" s="25" t="n">
        <f aca="false">IF($AB67&lt;&gt;"",0,IF($AA67="",$Q67,MAX(1,ROUND($Q67*(1-$AC67),0))))</f>
        <v>0</v>
      </c>
      <c r="AE67" s="61" t="n">
        <f aca="false">IF($AA67&lt;&gt;"",$AA67,MAX($X67,NextWD,IF($R67="",0,IF($S67="SS",INDEX(WorkDays,MATCH(INDEX($AE$6:$AE$156,MATCH($R67,$A$6:$A$156,0))-1,WorkDays,1)+1+$T67),INDEX(WorkDays,MATCH(INDEX($AF$6:$AF$156,MATCH($R67,$A$6:$A$156,0)),WorkDays,1)+IF($Q67=0,0,1)+$T67))),IF($U67="",0,IF($V67="SS",INDEX(WorkDays,MATCH(INDEX($AE$6:$AE$156,MATCH($U67,$A$6:$A$156,0))-1,WorkDays,1)+1+$W67),INDEX(WorkDays,MATCH(INDEX($AF$6:$AF$156,MATCH($U67,$A$6:$A$156,0)),WorkDays,1)+IF($Q67=0,0,1)+$W67)))))</f>
        <v>46123</v>
      </c>
      <c r="AF67" s="61" t="n">
        <f aca="false">IF($AB67&lt;&gt;"",$AB67,IF($Q67=0,$AE67,INDEX(WorkDays,MATCH(MAX($AE67,NextWD)-1,WorkDays,1)+$AD67)))</f>
        <v>46134</v>
      </c>
      <c r="AG67" s="56" t="str">
        <f aca="false">IF($AB67&lt;&gt;"","Completed",IF($AA67&lt;&gt;"","In Progress",IF(AND($Y67&lt;&gt;"",$Y67&lt;=DataDate),"Not Started (Late)","Not Started")))</f>
        <v>Completed</v>
      </c>
      <c r="AH67" s="64" t="n">
        <f aca="false">IF($Z67="","",MATCH($AF67,WorkDays,1)-MATCH($Z67,WorkDays,1))</f>
        <v>-21</v>
      </c>
      <c r="AI67" s="57" t="n">
        <f aca="false">IF($O67="","",$O67*IF($AB67&lt;&gt;"",1,$AC67))</f>
        <v>11.2</v>
      </c>
      <c r="AJ67" s="55" t="s">
        <v>321</v>
      </c>
    </row>
    <row r="68" customFormat="false" ht="22.35" hidden="false" customHeight="false" outlineLevel="3" collapsed="false">
      <c r="A68" s="53" t="s">
        <v>342</v>
      </c>
      <c r="B68" s="25" t="n">
        <v>4</v>
      </c>
      <c r="C68" s="55" t="s">
        <v>343</v>
      </c>
      <c r="D68" s="55" t="s">
        <v>315</v>
      </c>
      <c r="E68" s="25" t="s">
        <v>75</v>
      </c>
      <c r="F68" s="55" t="s">
        <v>344</v>
      </c>
      <c r="G68" s="55" t="s">
        <v>345</v>
      </c>
      <c r="H68" s="55" t="s">
        <v>346</v>
      </c>
      <c r="I68" s="55"/>
      <c r="J68" s="25" t="n">
        <f aca="false">COUNTIF('BIM Element Map'!$J$6:$J$1000,$A68)</f>
        <v>1</v>
      </c>
      <c r="K68" s="56" t="s">
        <v>342</v>
      </c>
      <c r="L68" s="25" t="s">
        <v>173</v>
      </c>
      <c r="M68" s="55"/>
      <c r="N68" s="55" t="s">
        <v>311</v>
      </c>
      <c r="O68" s="57"/>
      <c r="P68" s="25"/>
      <c r="Q68" s="58" t="n">
        <v>6</v>
      </c>
      <c r="R68" s="59" t="s">
        <v>330</v>
      </c>
      <c r="S68" s="58" t="s">
        <v>177</v>
      </c>
      <c r="T68" s="58" t="n">
        <v>0</v>
      </c>
      <c r="U68" s="59"/>
      <c r="V68" s="58"/>
      <c r="W68" s="58"/>
      <c r="X68" s="60"/>
      <c r="Y68" s="61" t="n">
        <v>46154</v>
      </c>
      <c r="Z68" s="61" t="n">
        <v>46157</v>
      </c>
      <c r="AA68" s="62" t="n">
        <v>46125</v>
      </c>
      <c r="AB68" s="62" t="n">
        <v>46130</v>
      </c>
      <c r="AC68" s="63" t="n">
        <v>1</v>
      </c>
      <c r="AD68" s="25" t="n">
        <f aca="false">IF($AB68&lt;&gt;"",0,IF($AA68="",$Q68,MAX(1,ROUND($Q68*(1-$AC68),0))))</f>
        <v>0</v>
      </c>
      <c r="AE68" s="61" t="n">
        <f aca="false">IF($AA68&lt;&gt;"",$AA68,MAX($X68,NextWD,IF($R68="",0,IF($S68="SS",INDEX(WorkDays,MATCH(INDEX($AE$6:$AE$156,MATCH($R68,$A$6:$A$156,0))-1,WorkDays,1)+1+$T68),INDEX(WorkDays,MATCH(INDEX($AF$6:$AF$156,MATCH($R68,$A$6:$A$156,0)),WorkDays,1)+IF($Q68=0,0,1)+$T68))),IF($U68="",0,IF($V68="SS",INDEX(WorkDays,MATCH(INDEX($AE$6:$AE$156,MATCH($U68,$A$6:$A$156,0))-1,WorkDays,1)+1+$W68),INDEX(WorkDays,MATCH(INDEX($AF$6:$AF$156,MATCH($U68,$A$6:$A$156,0)),WorkDays,1)+IF($Q68=0,0,1)+$W68)))))</f>
        <v>46125</v>
      </c>
      <c r="AF68" s="61" t="n">
        <f aca="false">IF($AB68&lt;&gt;"",$AB68,IF($Q68=0,$AE68,INDEX(WorkDays,MATCH(MAX($AE68,NextWD)-1,WorkDays,1)+$AD68)))</f>
        <v>46130</v>
      </c>
      <c r="AG68" s="56" t="str">
        <f aca="false">IF($AB68&lt;&gt;"","Completed",IF($AA68&lt;&gt;"","In Progress",IF(AND($Y68&lt;&gt;"",$Y68&lt;=DataDate),"Not Started (Late)","Not Started")))</f>
        <v>Completed</v>
      </c>
      <c r="AH68" s="64" t="n">
        <f aca="false">IF($Z68="","",MATCH($AF68,WorkDays,1)-MATCH($Z68,WorkDays,1))</f>
        <v>-22</v>
      </c>
      <c r="AI68" s="57" t="str">
        <f aca="false">IF($O68="","",$O68*IF($AB68&lt;&gt;"",1,$AC68))</f>
        <v/>
      </c>
      <c r="AJ68" s="55" t="s">
        <v>321</v>
      </c>
    </row>
    <row r="69" customFormat="false" ht="22.35" hidden="false" customHeight="false" outlineLevel="3" collapsed="false">
      <c r="A69" s="53" t="s">
        <v>347</v>
      </c>
      <c r="B69" s="25" t="n">
        <v>4</v>
      </c>
      <c r="C69" s="55" t="s">
        <v>348</v>
      </c>
      <c r="D69" s="55" t="s">
        <v>315</v>
      </c>
      <c r="E69" s="25" t="s">
        <v>77</v>
      </c>
      <c r="F69" s="55" t="s">
        <v>349</v>
      </c>
      <c r="G69" s="55" t="s">
        <v>345</v>
      </c>
      <c r="H69" s="55" t="s">
        <v>346</v>
      </c>
      <c r="I69" s="55"/>
      <c r="J69" s="25" t="n">
        <f aca="false">COUNTIF('BIM Element Map'!$J$6:$J$1000,$A69)</f>
        <v>1</v>
      </c>
      <c r="K69" s="56" t="s">
        <v>347</v>
      </c>
      <c r="L69" s="25" t="s">
        <v>173</v>
      </c>
      <c r="M69" s="55"/>
      <c r="N69" s="55" t="s">
        <v>311</v>
      </c>
      <c r="O69" s="57"/>
      <c r="P69" s="25"/>
      <c r="Q69" s="58" t="n">
        <v>5</v>
      </c>
      <c r="R69" s="59" t="s">
        <v>335</v>
      </c>
      <c r="S69" s="58" t="s">
        <v>177</v>
      </c>
      <c r="T69" s="58" t="n">
        <v>0</v>
      </c>
      <c r="U69" s="59" t="s">
        <v>342</v>
      </c>
      <c r="V69" s="58" t="s">
        <v>177</v>
      </c>
      <c r="W69" s="58" t="n">
        <v>0</v>
      </c>
      <c r="X69" s="60"/>
      <c r="Y69" s="61" t="n">
        <v>46158</v>
      </c>
      <c r="Z69" s="61" t="n">
        <v>46161</v>
      </c>
      <c r="AA69" s="62" t="n">
        <v>46132</v>
      </c>
      <c r="AB69" s="62" t="n">
        <v>46136</v>
      </c>
      <c r="AC69" s="63" t="n">
        <v>1</v>
      </c>
      <c r="AD69" s="25" t="n">
        <f aca="false">IF($AB69&lt;&gt;"",0,IF($AA69="",$Q69,MAX(1,ROUND($Q69*(1-$AC69),0))))</f>
        <v>0</v>
      </c>
      <c r="AE69" s="61" t="n">
        <f aca="false">IF($AA69&lt;&gt;"",$AA69,MAX($X69,NextWD,IF($R69="",0,IF($S69="SS",INDEX(WorkDays,MATCH(INDEX($AE$6:$AE$156,MATCH($R69,$A$6:$A$156,0))-1,WorkDays,1)+1+$T69),INDEX(WorkDays,MATCH(INDEX($AF$6:$AF$156,MATCH($R69,$A$6:$A$156,0)),WorkDays,1)+IF($Q69=0,0,1)+$T69))),IF($U69="",0,IF($V69="SS",INDEX(WorkDays,MATCH(INDEX($AE$6:$AE$156,MATCH($U69,$A$6:$A$156,0))-1,WorkDays,1)+1+$W69),INDEX(WorkDays,MATCH(INDEX($AF$6:$AF$156,MATCH($U69,$A$6:$A$156,0)),WorkDays,1)+IF($Q69=0,0,1)+$W69)))))</f>
        <v>46132</v>
      </c>
      <c r="AF69" s="61" t="n">
        <f aca="false">IF($AB69&lt;&gt;"",$AB69,IF($Q69=0,$AE69,INDEX(WorkDays,MATCH(MAX($AE69,NextWD)-1,WorkDays,1)+$AD69)))</f>
        <v>46136</v>
      </c>
      <c r="AG69" s="56" t="str">
        <f aca="false">IF($AB69&lt;&gt;"","Completed",IF($AA69&lt;&gt;"","In Progress",IF(AND($Y69&lt;&gt;"",$Y69&lt;=DataDate),"Not Started (Late)","Not Started")))</f>
        <v>Completed</v>
      </c>
      <c r="AH69" s="64" t="n">
        <f aca="false">IF($Z69="","",MATCH($AF69,WorkDays,1)-MATCH($Z69,WorkDays,1))</f>
        <v>-20</v>
      </c>
      <c r="AI69" s="57" t="str">
        <f aca="false">IF($O69="","",$O69*IF($AB69&lt;&gt;"",1,$AC69))</f>
        <v/>
      </c>
      <c r="AJ69" s="55" t="s">
        <v>321</v>
      </c>
    </row>
    <row r="70" customFormat="false" ht="22.35" hidden="false" customHeight="false" outlineLevel="3" collapsed="false">
      <c r="A70" s="53" t="s">
        <v>350</v>
      </c>
      <c r="B70" s="25" t="n">
        <v>4</v>
      </c>
      <c r="C70" s="55" t="s">
        <v>351</v>
      </c>
      <c r="D70" s="55" t="s">
        <v>315</v>
      </c>
      <c r="E70" s="25" t="s">
        <v>79</v>
      </c>
      <c r="F70" s="55" t="s">
        <v>352</v>
      </c>
      <c r="G70" s="55" t="s">
        <v>345</v>
      </c>
      <c r="H70" s="55" t="s">
        <v>346</v>
      </c>
      <c r="I70" s="55"/>
      <c r="J70" s="25" t="n">
        <f aca="false">COUNTIF('BIM Element Map'!$J$6:$J$1000,$A70)</f>
        <v>1</v>
      </c>
      <c r="K70" s="56" t="s">
        <v>350</v>
      </c>
      <c r="L70" s="25" t="s">
        <v>173</v>
      </c>
      <c r="M70" s="55"/>
      <c r="N70" s="55" t="s">
        <v>311</v>
      </c>
      <c r="O70" s="57"/>
      <c r="P70" s="25"/>
      <c r="Q70" s="58" t="n">
        <v>5</v>
      </c>
      <c r="R70" s="59" t="s">
        <v>339</v>
      </c>
      <c r="S70" s="58" t="s">
        <v>177</v>
      </c>
      <c r="T70" s="58" t="n">
        <v>0</v>
      </c>
      <c r="U70" s="59" t="s">
        <v>347</v>
      </c>
      <c r="V70" s="58" t="s">
        <v>177</v>
      </c>
      <c r="W70" s="58" t="n">
        <v>0</v>
      </c>
      <c r="X70" s="60"/>
      <c r="Y70" s="61" t="n">
        <v>46162</v>
      </c>
      <c r="Z70" s="61" t="n">
        <v>46165</v>
      </c>
      <c r="AA70" s="62" t="n">
        <v>46137</v>
      </c>
      <c r="AB70" s="62" t="n">
        <v>46142</v>
      </c>
      <c r="AC70" s="63" t="n">
        <v>1</v>
      </c>
      <c r="AD70" s="25" t="n">
        <f aca="false">IF($AB70&lt;&gt;"",0,IF($AA70="",$Q70,MAX(1,ROUND($Q70*(1-$AC70),0))))</f>
        <v>0</v>
      </c>
      <c r="AE70" s="61" t="n">
        <f aca="false">IF($AA70&lt;&gt;"",$AA70,MAX($X70,NextWD,IF($R70="",0,IF($S70="SS",INDEX(WorkDays,MATCH(INDEX($AE$6:$AE$156,MATCH($R70,$A$6:$A$156,0))-1,WorkDays,1)+1+$T70),INDEX(WorkDays,MATCH(INDEX($AF$6:$AF$156,MATCH($R70,$A$6:$A$156,0)),WorkDays,1)+IF($Q70=0,0,1)+$T70))),IF($U70="",0,IF($V70="SS",INDEX(WorkDays,MATCH(INDEX($AE$6:$AE$156,MATCH($U70,$A$6:$A$156,0))-1,WorkDays,1)+1+$W70),INDEX(WorkDays,MATCH(INDEX($AF$6:$AF$156,MATCH($U70,$A$6:$A$156,0)),WorkDays,1)+IF($Q70=0,0,1)+$W70)))))</f>
        <v>46137</v>
      </c>
      <c r="AF70" s="61" t="n">
        <f aca="false">IF($AB70&lt;&gt;"",$AB70,IF($Q70=0,$AE70,INDEX(WorkDays,MATCH(MAX($AE70,NextWD)-1,WorkDays,1)+$AD70)))</f>
        <v>46142</v>
      </c>
      <c r="AG70" s="56" t="str">
        <f aca="false">IF($AB70&lt;&gt;"","Completed",IF($AA70&lt;&gt;"","In Progress",IF(AND($Y70&lt;&gt;"",$Y70&lt;=DataDate),"Not Started (Late)","Not Started")))</f>
        <v>Completed</v>
      </c>
      <c r="AH70" s="64" t="n">
        <f aca="false">IF($Z70="","",MATCH($AF70,WorkDays,1)-MATCH($Z70,WorkDays,1))</f>
        <v>-19</v>
      </c>
      <c r="AI70" s="57" t="str">
        <f aca="false">IF($O70="","",$O70*IF($AB70&lt;&gt;"",1,$AC70))</f>
        <v/>
      </c>
      <c r="AJ70" s="55" t="s">
        <v>321</v>
      </c>
    </row>
    <row r="71" customFormat="false" ht="22.35" hidden="false" customHeight="false" outlineLevel="3" collapsed="false">
      <c r="A71" s="53" t="s">
        <v>353</v>
      </c>
      <c r="B71" s="25" t="n">
        <v>4</v>
      </c>
      <c r="C71" s="55" t="s">
        <v>354</v>
      </c>
      <c r="D71" s="55" t="s">
        <v>315</v>
      </c>
      <c r="E71" s="25" t="s">
        <v>75</v>
      </c>
      <c r="F71" s="55" t="s">
        <v>316</v>
      </c>
      <c r="G71" s="55" t="s">
        <v>355</v>
      </c>
      <c r="H71" s="55" t="s">
        <v>356</v>
      </c>
      <c r="I71" s="55" t="s">
        <v>357</v>
      </c>
      <c r="J71" s="25" t="n">
        <f aca="false">COUNTIF('BIM Element Map'!$J$6:$J$1000,$A71)</f>
        <v>13</v>
      </c>
      <c r="K71" s="56" t="s">
        <v>353</v>
      </c>
      <c r="L71" s="25" t="s">
        <v>173</v>
      </c>
      <c r="M71" s="55" t="s">
        <v>60</v>
      </c>
      <c r="N71" s="55" t="s">
        <v>311</v>
      </c>
      <c r="O71" s="57" t="n">
        <v>19</v>
      </c>
      <c r="P71" s="25" t="s">
        <v>320</v>
      </c>
      <c r="Q71" s="58" t="n">
        <v>12</v>
      </c>
      <c r="R71" s="59" t="s">
        <v>342</v>
      </c>
      <c r="S71" s="58" t="s">
        <v>177</v>
      </c>
      <c r="T71" s="58" t="n">
        <v>0</v>
      </c>
      <c r="U71" s="59"/>
      <c r="V71" s="58"/>
      <c r="W71" s="58"/>
      <c r="X71" s="60"/>
      <c r="Y71" s="61" t="n">
        <v>46158</v>
      </c>
      <c r="Z71" s="61" t="n">
        <v>46167</v>
      </c>
      <c r="AA71" s="62" t="n">
        <v>46132</v>
      </c>
      <c r="AB71" s="62" t="n">
        <v>46146</v>
      </c>
      <c r="AC71" s="63" t="n">
        <v>1</v>
      </c>
      <c r="AD71" s="25" t="n">
        <f aca="false">IF($AB71&lt;&gt;"",0,IF($AA71="",$Q71,MAX(1,ROUND($Q71*(1-$AC71),0))))</f>
        <v>0</v>
      </c>
      <c r="AE71" s="61" t="n">
        <f aca="false">IF($AA71&lt;&gt;"",$AA71,MAX($X71,NextWD,IF($R71="",0,IF($S71="SS",INDEX(WorkDays,MATCH(INDEX($AE$6:$AE$156,MATCH($R71,$A$6:$A$156,0))-1,WorkDays,1)+1+$T71),INDEX(WorkDays,MATCH(INDEX($AF$6:$AF$156,MATCH($R71,$A$6:$A$156,0)),WorkDays,1)+IF($Q71=0,0,1)+$T71))),IF($U71="",0,IF($V71="SS",INDEX(WorkDays,MATCH(INDEX($AE$6:$AE$156,MATCH($U71,$A$6:$A$156,0))-1,WorkDays,1)+1+$W71),INDEX(WorkDays,MATCH(INDEX($AF$6:$AF$156,MATCH($U71,$A$6:$A$156,0)),WorkDays,1)+IF($Q71=0,0,1)+$W71)))))</f>
        <v>46132</v>
      </c>
      <c r="AF71" s="61" t="n">
        <f aca="false">IF($AB71&lt;&gt;"",$AB71,IF($Q71=0,$AE71,INDEX(WorkDays,MATCH(MAX($AE71,NextWD)-1,WorkDays,1)+$AD71)))</f>
        <v>46146</v>
      </c>
      <c r="AG71" s="56" t="str">
        <f aca="false">IF($AB71&lt;&gt;"","Completed",IF($AA71&lt;&gt;"","In Progress",IF(AND($Y71&lt;&gt;"",$Y71&lt;=DataDate),"Not Started (Late)","Not Started")))</f>
        <v>Completed</v>
      </c>
      <c r="AH71" s="64" t="n">
        <f aca="false">IF($Z71="","",MATCH($AF71,WorkDays,1)-MATCH($Z71,WorkDays,1))</f>
        <v>-18</v>
      </c>
      <c r="AI71" s="57" t="n">
        <f aca="false">IF($O71="","",$O71*IF($AB71&lt;&gt;"",1,$AC71))</f>
        <v>19</v>
      </c>
      <c r="AJ71" s="55" t="s">
        <v>321</v>
      </c>
    </row>
    <row r="72" customFormat="false" ht="22.35" hidden="false" customHeight="false" outlineLevel="3" collapsed="false">
      <c r="A72" s="53" t="s">
        <v>358</v>
      </c>
      <c r="B72" s="25" t="n">
        <v>4</v>
      </c>
      <c r="C72" s="55" t="s">
        <v>359</v>
      </c>
      <c r="D72" s="55" t="s">
        <v>315</v>
      </c>
      <c r="E72" s="25" t="s">
        <v>77</v>
      </c>
      <c r="F72" s="55" t="s">
        <v>324</v>
      </c>
      <c r="G72" s="55" t="s">
        <v>355</v>
      </c>
      <c r="H72" s="55" t="s">
        <v>356</v>
      </c>
      <c r="I72" s="55" t="s">
        <v>360</v>
      </c>
      <c r="J72" s="25" t="n">
        <f aca="false">COUNTIF('BIM Element Map'!$J$6:$J$1000,$A72)</f>
        <v>6</v>
      </c>
      <c r="K72" s="56" t="s">
        <v>358</v>
      </c>
      <c r="L72" s="25" t="s">
        <v>173</v>
      </c>
      <c r="M72" s="55" t="s">
        <v>60</v>
      </c>
      <c r="N72" s="55" t="s">
        <v>311</v>
      </c>
      <c r="O72" s="57" t="n">
        <v>14</v>
      </c>
      <c r="P72" s="25" t="s">
        <v>320</v>
      </c>
      <c r="Q72" s="58" t="n">
        <v>10</v>
      </c>
      <c r="R72" s="59" t="s">
        <v>347</v>
      </c>
      <c r="S72" s="58" t="s">
        <v>177</v>
      </c>
      <c r="T72" s="58" t="n">
        <v>0</v>
      </c>
      <c r="U72" s="59" t="s">
        <v>353</v>
      </c>
      <c r="V72" s="58" t="s">
        <v>307</v>
      </c>
      <c r="W72" s="58" t="n">
        <v>6</v>
      </c>
      <c r="X72" s="60"/>
      <c r="Y72" s="61" t="n">
        <v>46163</v>
      </c>
      <c r="Z72" s="61" t="n">
        <v>46170</v>
      </c>
      <c r="AA72" s="62" t="n">
        <v>46139</v>
      </c>
      <c r="AB72" s="62" t="n">
        <v>46150</v>
      </c>
      <c r="AC72" s="63" t="n">
        <v>1</v>
      </c>
      <c r="AD72" s="25" t="n">
        <f aca="false">IF($AB72&lt;&gt;"",0,IF($AA72="",$Q72,MAX(1,ROUND($Q72*(1-$AC72),0))))</f>
        <v>0</v>
      </c>
      <c r="AE72" s="61" t="n">
        <f aca="false">IF($AA72&lt;&gt;"",$AA72,MAX($X72,NextWD,IF($R72="",0,IF($S72="SS",INDEX(WorkDays,MATCH(INDEX($AE$6:$AE$156,MATCH($R72,$A$6:$A$156,0))-1,WorkDays,1)+1+$T72),INDEX(WorkDays,MATCH(INDEX($AF$6:$AF$156,MATCH($R72,$A$6:$A$156,0)),WorkDays,1)+IF($Q72=0,0,1)+$T72))),IF($U72="",0,IF($V72="SS",INDEX(WorkDays,MATCH(INDEX($AE$6:$AE$156,MATCH($U72,$A$6:$A$156,0))-1,WorkDays,1)+1+$W72),INDEX(WorkDays,MATCH(INDEX($AF$6:$AF$156,MATCH($U72,$A$6:$A$156,0)),WorkDays,1)+IF($Q72=0,0,1)+$W72)))))</f>
        <v>46139</v>
      </c>
      <c r="AF72" s="61" t="n">
        <f aca="false">IF($AB72&lt;&gt;"",$AB72,IF($Q72=0,$AE72,INDEX(WorkDays,MATCH(MAX($AE72,NextWD)-1,WorkDays,1)+$AD72)))</f>
        <v>46150</v>
      </c>
      <c r="AG72" s="56" t="str">
        <f aca="false">IF($AB72&lt;&gt;"","Completed",IF($AA72&lt;&gt;"","In Progress",IF(AND($Y72&lt;&gt;"",$Y72&lt;=DataDate),"Not Started (Late)","Not Started")))</f>
        <v>Completed</v>
      </c>
      <c r="AH72" s="64" t="n">
        <f aca="false">IF($Z72="","",MATCH($AF72,WorkDays,1)-MATCH($Z72,WorkDays,1))</f>
        <v>-17</v>
      </c>
      <c r="AI72" s="57" t="n">
        <f aca="false">IF($O72="","",$O72*IF($AB72&lt;&gt;"",1,$AC72))</f>
        <v>14</v>
      </c>
      <c r="AJ72" s="55" t="s">
        <v>321</v>
      </c>
    </row>
    <row r="73" customFormat="false" ht="22.35" hidden="false" customHeight="false" outlineLevel="3" collapsed="false">
      <c r="A73" s="53" t="s">
        <v>361</v>
      </c>
      <c r="B73" s="25" t="n">
        <v>4</v>
      </c>
      <c r="C73" s="55" t="s">
        <v>362</v>
      </c>
      <c r="D73" s="55" t="s">
        <v>315</v>
      </c>
      <c r="E73" s="25" t="s">
        <v>79</v>
      </c>
      <c r="F73" s="55" t="s">
        <v>328</v>
      </c>
      <c r="G73" s="55" t="s">
        <v>355</v>
      </c>
      <c r="H73" s="55" t="s">
        <v>356</v>
      </c>
      <c r="I73" s="55" t="s">
        <v>363</v>
      </c>
      <c r="J73" s="25" t="n">
        <f aca="false">COUNTIF('BIM Element Map'!$J$6:$J$1000,$A73)</f>
        <v>8</v>
      </c>
      <c r="K73" s="56" t="s">
        <v>361</v>
      </c>
      <c r="L73" s="25" t="s">
        <v>173</v>
      </c>
      <c r="M73" s="55" t="s">
        <v>60</v>
      </c>
      <c r="N73" s="55" t="s">
        <v>311</v>
      </c>
      <c r="O73" s="57" t="n">
        <v>14.5</v>
      </c>
      <c r="P73" s="25" t="s">
        <v>320</v>
      </c>
      <c r="Q73" s="58" t="n">
        <v>10</v>
      </c>
      <c r="R73" s="59" t="s">
        <v>350</v>
      </c>
      <c r="S73" s="58" t="s">
        <v>177</v>
      </c>
      <c r="T73" s="58" t="n">
        <v>0</v>
      </c>
      <c r="U73" s="59" t="s">
        <v>358</v>
      </c>
      <c r="V73" s="58" t="s">
        <v>307</v>
      </c>
      <c r="W73" s="58" t="n">
        <v>5</v>
      </c>
      <c r="X73" s="60"/>
      <c r="Y73" s="61" t="n">
        <v>46167</v>
      </c>
      <c r="Z73" s="61" t="n">
        <v>46174</v>
      </c>
      <c r="AA73" s="62" t="n">
        <v>46146</v>
      </c>
      <c r="AB73" s="62" t="n">
        <v>46156</v>
      </c>
      <c r="AC73" s="63" t="n">
        <v>1</v>
      </c>
      <c r="AD73" s="25" t="n">
        <f aca="false">IF($AB73&lt;&gt;"",0,IF($AA73="",$Q73,MAX(1,ROUND($Q73*(1-$AC73),0))))</f>
        <v>0</v>
      </c>
      <c r="AE73" s="61" t="n">
        <f aca="false">IF($AA73&lt;&gt;"",$AA73,MAX($X73,NextWD,IF($R73="",0,IF($S73="SS",INDEX(WorkDays,MATCH(INDEX($AE$6:$AE$156,MATCH($R73,$A$6:$A$156,0))-1,WorkDays,1)+1+$T73),INDEX(WorkDays,MATCH(INDEX($AF$6:$AF$156,MATCH($R73,$A$6:$A$156,0)),WorkDays,1)+IF($Q73=0,0,1)+$T73))),IF($U73="",0,IF($V73="SS",INDEX(WorkDays,MATCH(INDEX($AE$6:$AE$156,MATCH($U73,$A$6:$A$156,0))-1,WorkDays,1)+1+$W73),INDEX(WorkDays,MATCH(INDEX($AF$6:$AF$156,MATCH($U73,$A$6:$A$156,0)),WorkDays,1)+IF($Q73=0,0,1)+$W73)))))</f>
        <v>46146</v>
      </c>
      <c r="AF73" s="61" t="n">
        <f aca="false">IF($AB73&lt;&gt;"",$AB73,IF($Q73=0,$AE73,INDEX(WorkDays,MATCH(MAX($AE73,NextWD)-1,WorkDays,1)+$AD73)))</f>
        <v>46156</v>
      </c>
      <c r="AG73" s="56" t="str">
        <f aca="false">IF($AB73&lt;&gt;"","Completed",IF($AA73&lt;&gt;"","In Progress",IF(AND($Y73&lt;&gt;"",$Y73&lt;=DataDate),"Not Started (Late)","Not Started")))</f>
        <v>Completed</v>
      </c>
      <c r="AH73" s="64" t="n">
        <f aca="false">IF($Z73="","",MATCH($AF73,WorkDays,1)-MATCH($Z73,WorkDays,1))</f>
        <v>-15</v>
      </c>
      <c r="AI73" s="57" t="n">
        <f aca="false">IF($O73="","",$O73*IF($AB73&lt;&gt;"",1,$AC73))</f>
        <v>14.5</v>
      </c>
      <c r="AJ73" s="55" t="s">
        <v>321</v>
      </c>
    </row>
    <row r="74" customFormat="false" ht="22.35" hidden="false" customHeight="false" outlineLevel="3" collapsed="false">
      <c r="A74" s="53" t="s">
        <v>364</v>
      </c>
      <c r="B74" s="25" t="n">
        <v>4</v>
      </c>
      <c r="C74" s="55" t="s">
        <v>365</v>
      </c>
      <c r="D74" s="55" t="s">
        <v>366</v>
      </c>
      <c r="E74" s="25" t="s">
        <v>75</v>
      </c>
      <c r="F74" s="55" t="s">
        <v>316</v>
      </c>
      <c r="G74" s="55" t="s">
        <v>367</v>
      </c>
      <c r="H74" s="55" t="s">
        <v>368</v>
      </c>
      <c r="I74" s="55" t="s">
        <v>369</v>
      </c>
      <c r="J74" s="25" t="n">
        <f aca="false">COUNTIF('BIM Element Map'!$J$6:$J$1000,$A74)</f>
        <v>18</v>
      </c>
      <c r="K74" s="56" t="s">
        <v>364</v>
      </c>
      <c r="L74" s="25" t="s">
        <v>173</v>
      </c>
      <c r="M74" s="55" t="s">
        <v>58</v>
      </c>
      <c r="N74" s="55" t="s">
        <v>311</v>
      </c>
      <c r="O74" s="57" t="n">
        <v>19.5</v>
      </c>
      <c r="P74" s="25" t="s">
        <v>320</v>
      </c>
      <c r="Q74" s="58" t="n">
        <v>14</v>
      </c>
      <c r="R74" s="59" t="s">
        <v>353</v>
      </c>
      <c r="S74" s="58" t="s">
        <v>177</v>
      </c>
      <c r="T74" s="58" t="n">
        <v>0</v>
      </c>
      <c r="U74" s="59"/>
      <c r="V74" s="58"/>
      <c r="W74" s="58"/>
      <c r="X74" s="60"/>
      <c r="Y74" s="61" t="n">
        <v>46168</v>
      </c>
      <c r="Z74" s="61" t="n">
        <v>46178</v>
      </c>
      <c r="AA74" s="62" t="n">
        <v>46147</v>
      </c>
      <c r="AB74" s="62" t="n">
        <v>46162</v>
      </c>
      <c r="AC74" s="63" t="n">
        <v>1</v>
      </c>
      <c r="AD74" s="25" t="n">
        <f aca="false">IF($AB74&lt;&gt;"",0,IF($AA74="",$Q74,MAX(1,ROUND($Q74*(1-$AC74),0))))</f>
        <v>0</v>
      </c>
      <c r="AE74" s="61" t="n">
        <f aca="false">IF($AA74&lt;&gt;"",$AA74,MAX($X74,NextWD,IF($R74="",0,IF($S74="SS",INDEX(WorkDays,MATCH(INDEX($AE$6:$AE$156,MATCH($R74,$A$6:$A$156,0))-1,WorkDays,1)+1+$T74),INDEX(WorkDays,MATCH(INDEX($AF$6:$AF$156,MATCH($R74,$A$6:$A$156,0)),WorkDays,1)+IF($Q74=0,0,1)+$T74))),IF($U74="",0,IF($V74="SS",INDEX(WorkDays,MATCH(INDEX($AE$6:$AE$156,MATCH($U74,$A$6:$A$156,0))-1,WorkDays,1)+1+$W74),INDEX(WorkDays,MATCH(INDEX($AF$6:$AF$156,MATCH($U74,$A$6:$A$156,0)),WorkDays,1)+IF($Q74=0,0,1)+$W74)))))</f>
        <v>46147</v>
      </c>
      <c r="AF74" s="61" t="n">
        <f aca="false">IF($AB74&lt;&gt;"",$AB74,IF($Q74=0,$AE74,INDEX(WorkDays,MATCH(MAX($AE74,NextWD)-1,WorkDays,1)+$AD74)))</f>
        <v>46162</v>
      </c>
      <c r="AG74" s="56" t="str">
        <f aca="false">IF($AB74&lt;&gt;"","Completed",IF($AA74&lt;&gt;"","In Progress",IF(AND($Y74&lt;&gt;"",$Y74&lt;=DataDate),"Not Started (Late)","Not Started")))</f>
        <v>Completed</v>
      </c>
      <c r="AH74" s="64" t="n">
        <f aca="false">IF($Z74="","",MATCH($AF74,WorkDays,1)-MATCH($Z74,WorkDays,1))</f>
        <v>-14</v>
      </c>
      <c r="AI74" s="57" t="n">
        <f aca="false">IF($O74="","",$O74*IF($AB74&lt;&gt;"",1,$AC74))</f>
        <v>19.5</v>
      </c>
      <c r="AJ74" s="55" t="s">
        <v>321</v>
      </c>
    </row>
    <row r="75" customFormat="false" ht="22.35" hidden="false" customHeight="false" outlineLevel="3" collapsed="false">
      <c r="A75" s="53" t="s">
        <v>370</v>
      </c>
      <c r="B75" s="25" t="n">
        <v>4</v>
      </c>
      <c r="C75" s="55" t="s">
        <v>371</v>
      </c>
      <c r="D75" s="55" t="s">
        <v>366</v>
      </c>
      <c r="E75" s="25" t="s">
        <v>77</v>
      </c>
      <c r="F75" s="55" t="s">
        <v>324</v>
      </c>
      <c r="G75" s="55" t="s">
        <v>367</v>
      </c>
      <c r="H75" s="55" t="s">
        <v>368</v>
      </c>
      <c r="I75" s="55" t="s">
        <v>372</v>
      </c>
      <c r="J75" s="25" t="n">
        <f aca="false">COUNTIF('BIM Element Map'!$J$6:$J$1000,$A75)</f>
        <v>10</v>
      </c>
      <c r="K75" s="56" t="s">
        <v>370</v>
      </c>
      <c r="L75" s="25" t="s">
        <v>173</v>
      </c>
      <c r="M75" s="55" t="s">
        <v>58</v>
      </c>
      <c r="N75" s="55" t="s">
        <v>311</v>
      </c>
      <c r="O75" s="57" t="n">
        <v>10.8</v>
      </c>
      <c r="P75" s="25" t="s">
        <v>320</v>
      </c>
      <c r="Q75" s="58" t="n">
        <v>10</v>
      </c>
      <c r="R75" s="59" t="s">
        <v>358</v>
      </c>
      <c r="S75" s="58" t="s">
        <v>177</v>
      </c>
      <c r="T75" s="58" t="n">
        <v>0</v>
      </c>
      <c r="U75" s="59" t="s">
        <v>364</v>
      </c>
      <c r="V75" s="58" t="s">
        <v>307</v>
      </c>
      <c r="W75" s="58" t="n">
        <v>7</v>
      </c>
      <c r="X75" s="60"/>
      <c r="Y75" s="61" t="n">
        <v>46174</v>
      </c>
      <c r="Z75" s="61" t="n">
        <v>46181</v>
      </c>
      <c r="AA75" s="62" t="n">
        <v>46155</v>
      </c>
      <c r="AB75" s="62" t="n">
        <v>46165</v>
      </c>
      <c r="AC75" s="63" t="n">
        <v>1</v>
      </c>
      <c r="AD75" s="25" t="n">
        <f aca="false">IF($AB75&lt;&gt;"",0,IF($AA75="",$Q75,MAX(1,ROUND($Q75*(1-$AC75),0))))</f>
        <v>0</v>
      </c>
      <c r="AE75" s="61" t="n">
        <f aca="false">IF($AA75&lt;&gt;"",$AA75,MAX($X75,NextWD,IF($R75="",0,IF($S75="SS",INDEX(WorkDays,MATCH(INDEX($AE$6:$AE$156,MATCH($R75,$A$6:$A$156,0))-1,WorkDays,1)+1+$T75),INDEX(WorkDays,MATCH(INDEX($AF$6:$AF$156,MATCH($R75,$A$6:$A$156,0)),WorkDays,1)+IF($Q75=0,0,1)+$T75))),IF($U75="",0,IF($V75="SS",INDEX(WorkDays,MATCH(INDEX($AE$6:$AE$156,MATCH($U75,$A$6:$A$156,0))-1,WorkDays,1)+1+$W75),INDEX(WorkDays,MATCH(INDEX($AF$6:$AF$156,MATCH($U75,$A$6:$A$156,0)),WorkDays,1)+IF($Q75=0,0,1)+$W75)))))</f>
        <v>46155</v>
      </c>
      <c r="AF75" s="61" t="n">
        <f aca="false">IF($AB75&lt;&gt;"",$AB75,IF($Q75=0,$AE75,INDEX(WorkDays,MATCH(MAX($AE75,NextWD)-1,WorkDays,1)+$AD75)))</f>
        <v>46165</v>
      </c>
      <c r="AG75" s="56" t="str">
        <f aca="false">IF($AB75&lt;&gt;"","Completed",IF($AA75&lt;&gt;"","In Progress",IF(AND($Y75&lt;&gt;"",$Y75&lt;=DataDate),"Not Started (Late)","Not Started")))</f>
        <v>Completed</v>
      </c>
      <c r="AH75" s="64" t="n">
        <f aca="false">IF($Z75="","",MATCH($AF75,WorkDays,1)-MATCH($Z75,WorkDays,1))</f>
        <v>-13</v>
      </c>
      <c r="AI75" s="57" t="n">
        <f aca="false">IF($O75="","",$O75*IF($AB75&lt;&gt;"",1,$AC75))</f>
        <v>10.8</v>
      </c>
      <c r="AJ75" s="55" t="s">
        <v>321</v>
      </c>
    </row>
    <row r="76" customFormat="false" ht="22.35" hidden="false" customHeight="false" outlineLevel="3" collapsed="false">
      <c r="A76" s="53" t="s">
        <v>373</v>
      </c>
      <c r="B76" s="25" t="n">
        <v>4</v>
      </c>
      <c r="C76" s="55" t="s">
        <v>374</v>
      </c>
      <c r="D76" s="55" t="s">
        <v>366</v>
      </c>
      <c r="E76" s="25" t="s">
        <v>79</v>
      </c>
      <c r="F76" s="55" t="s">
        <v>328</v>
      </c>
      <c r="G76" s="55" t="s">
        <v>367</v>
      </c>
      <c r="H76" s="55" t="s">
        <v>368</v>
      </c>
      <c r="I76" s="55" t="s">
        <v>375</v>
      </c>
      <c r="J76" s="25" t="n">
        <f aca="false">COUNTIF('BIM Element Map'!$J$6:$J$1000,$A76)</f>
        <v>8</v>
      </c>
      <c r="K76" s="56" t="s">
        <v>373</v>
      </c>
      <c r="L76" s="25" t="s">
        <v>173</v>
      </c>
      <c r="M76" s="55" t="s">
        <v>58</v>
      </c>
      <c r="N76" s="55" t="s">
        <v>311</v>
      </c>
      <c r="O76" s="57" t="n">
        <v>8.7</v>
      </c>
      <c r="P76" s="25" t="s">
        <v>320</v>
      </c>
      <c r="Q76" s="58" t="n">
        <v>8</v>
      </c>
      <c r="R76" s="59" t="s">
        <v>361</v>
      </c>
      <c r="S76" s="58" t="s">
        <v>177</v>
      </c>
      <c r="T76" s="58" t="n">
        <v>0</v>
      </c>
      <c r="U76" s="59" t="s">
        <v>370</v>
      </c>
      <c r="V76" s="58" t="s">
        <v>307</v>
      </c>
      <c r="W76" s="58" t="n">
        <v>5</v>
      </c>
      <c r="X76" s="60"/>
      <c r="Y76" s="61" t="n">
        <v>46177</v>
      </c>
      <c r="Z76" s="61" t="n">
        <v>46183</v>
      </c>
      <c r="AA76" s="62" t="n">
        <v>46161</v>
      </c>
      <c r="AB76" s="62" t="n">
        <v>46169</v>
      </c>
      <c r="AC76" s="63" t="n">
        <v>1</v>
      </c>
      <c r="AD76" s="25" t="n">
        <f aca="false">IF($AB76&lt;&gt;"",0,IF($AA76="",$Q76,MAX(1,ROUND($Q76*(1-$AC76),0))))</f>
        <v>0</v>
      </c>
      <c r="AE76" s="61" t="n">
        <f aca="false">IF($AA76&lt;&gt;"",$AA76,MAX($X76,NextWD,IF($R76="",0,IF($S76="SS",INDEX(WorkDays,MATCH(INDEX($AE$6:$AE$156,MATCH($R76,$A$6:$A$156,0))-1,WorkDays,1)+1+$T76),INDEX(WorkDays,MATCH(INDEX($AF$6:$AF$156,MATCH($R76,$A$6:$A$156,0)),WorkDays,1)+IF($Q76=0,0,1)+$T76))),IF($U76="",0,IF($V76="SS",INDEX(WorkDays,MATCH(INDEX($AE$6:$AE$156,MATCH($U76,$A$6:$A$156,0))-1,WorkDays,1)+1+$W76),INDEX(WorkDays,MATCH(INDEX($AF$6:$AF$156,MATCH($U76,$A$6:$A$156,0)),WorkDays,1)+IF($Q76=0,0,1)+$W76)))))</f>
        <v>46161</v>
      </c>
      <c r="AF76" s="61" t="n">
        <f aca="false">IF($AB76&lt;&gt;"",$AB76,IF($Q76=0,$AE76,INDEX(WorkDays,MATCH(MAX($AE76,NextWD)-1,WorkDays,1)+$AD76)))</f>
        <v>46169</v>
      </c>
      <c r="AG76" s="56" t="str">
        <f aca="false">IF($AB76&lt;&gt;"","Completed",IF($AA76&lt;&gt;"","In Progress",IF(AND($Y76&lt;&gt;"",$Y76&lt;=DataDate),"Not Started (Late)","Not Started")))</f>
        <v>Completed</v>
      </c>
      <c r="AH76" s="64" t="n">
        <f aca="false">IF($Z76="","",MATCH($AF76,WorkDays,1)-MATCH($Z76,WorkDays,1))</f>
        <v>-12</v>
      </c>
      <c r="AI76" s="57" t="n">
        <f aca="false">IF($O76="","",$O76*IF($AB76&lt;&gt;"",1,$AC76))</f>
        <v>8.7</v>
      </c>
      <c r="AJ76" s="55" t="s">
        <v>321</v>
      </c>
    </row>
    <row r="77" customFormat="false" ht="22.35" hidden="false" customHeight="false" outlineLevel="3" collapsed="false">
      <c r="A77" s="53" t="s">
        <v>376</v>
      </c>
      <c r="B77" s="25" t="n">
        <v>4</v>
      </c>
      <c r="C77" s="55" t="s">
        <v>377</v>
      </c>
      <c r="D77" s="55" t="s">
        <v>366</v>
      </c>
      <c r="E77" s="25" t="s">
        <v>75</v>
      </c>
      <c r="F77" s="55" t="s">
        <v>378</v>
      </c>
      <c r="G77" s="55" t="s">
        <v>379</v>
      </c>
      <c r="H77" s="55" t="s">
        <v>380</v>
      </c>
      <c r="I77" s="55" t="s">
        <v>381</v>
      </c>
      <c r="J77" s="25" t="n">
        <f aca="false">COUNTIF('BIM Element Map'!$J$6:$J$1000,$A77)</f>
        <v>1</v>
      </c>
      <c r="K77" s="56" t="s">
        <v>376</v>
      </c>
      <c r="L77" s="25" t="s">
        <v>173</v>
      </c>
      <c r="M77" s="55" t="s">
        <v>62</v>
      </c>
      <c r="N77" s="55" t="s">
        <v>311</v>
      </c>
      <c r="O77" s="57" t="n">
        <v>1</v>
      </c>
      <c r="P77" s="25" t="s">
        <v>320</v>
      </c>
      <c r="Q77" s="58" t="n">
        <v>5</v>
      </c>
      <c r="R77" s="59" t="s">
        <v>364</v>
      </c>
      <c r="S77" s="58" t="s">
        <v>307</v>
      </c>
      <c r="T77" s="58" t="n">
        <v>6</v>
      </c>
      <c r="U77" s="59"/>
      <c r="V77" s="58"/>
      <c r="W77" s="58"/>
      <c r="X77" s="60"/>
      <c r="Y77" s="61" t="n">
        <v>46172</v>
      </c>
      <c r="Z77" s="61" t="n">
        <v>46176</v>
      </c>
      <c r="AA77" s="62" t="n">
        <v>46154</v>
      </c>
      <c r="AB77" s="62" t="n">
        <v>46158</v>
      </c>
      <c r="AC77" s="63" t="n">
        <v>1</v>
      </c>
      <c r="AD77" s="25" t="n">
        <f aca="false">IF($AB77&lt;&gt;"",0,IF($AA77="",$Q77,MAX(1,ROUND($Q77*(1-$AC77),0))))</f>
        <v>0</v>
      </c>
      <c r="AE77" s="61" t="n">
        <f aca="false">IF($AA77&lt;&gt;"",$AA77,MAX($X77,NextWD,IF($R77="",0,IF($S77="SS",INDEX(WorkDays,MATCH(INDEX($AE$6:$AE$156,MATCH($R77,$A$6:$A$156,0))-1,WorkDays,1)+1+$T77),INDEX(WorkDays,MATCH(INDEX($AF$6:$AF$156,MATCH($R77,$A$6:$A$156,0)),WorkDays,1)+IF($Q77=0,0,1)+$T77))),IF($U77="",0,IF($V77="SS",INDEX(WorkDays,MATCH(INDEX($AE$6:$AE$156,MATCH($U77,$A$6:$A$156,0))-1,WorkDays,1)+1+$W77),INDEX(WorkDays,MATCH(INDEX($AF$6:$AF$156,MATCH($U77,$A$6:$A$156,0)),WorkDays,1)+IF($Q77=0,0,1)+$W77)))))</f>
        <v>46154</v>
      </c>
      <c r="AF77" s="61" t="n">
        <f aca="false">IF($AB77&lt;&gt;"",$AB77,IF($Q77=0,$AE77,INDEX(WorkDays,MATCH(MAX($AE77,NextWD)-1,WorkDays,1)+$AD77)))</f>
        <v>46158</v>
      </c>
      <c r="AG77" s="56" t="str">
        <f aca="false">IF($AB77&lt;&gt;"","Completed",IF($AA77&lt;&gt;"","In Progress",IF(AND($Y77&lt;&gt;"",$Y77&lt;=DataDate),"Not Started (Late)","Not Started")))</f>
        <v>Completed</v>
      </c>
      <c r="AH77" s="64" t="n">
        <f aca="false">IF($Z77="","",MATCH($AF77,WorkDays,1)-MATCH($Z77,WorkDays,1))</f>
        <v>-15</v>
      </c>
      <c r="AI77" s="57" t="n">
        <f aca="false">IF($O77="","",$O77*IF($AB77&lt;&gt;"",1,$AC77))</f>
        <v>1</v>
      </c>
      <c r="AJ77" s="55" t="s">
        <v>321</v>
      </c>
    </row>
    <row r="78" customFormat="false" ht="32.8" hidden="false" customHeight="false" outlineLevel="3" collapsed="false">
      <c r="A78" s="53" t="s">
        <v>382</v>
      </c>
      <c r="B78" s="25" t="n">
        <v>4</v>
      </c>
      <c r="C78" s="55" t="s">
        <v>383</v>
      </c>
      <c r="D78" s="55" t="s">
        <v>366</v>
      </c>
      <c r="E78" s="25" t="s">
        <v>75</v>
      </c>
      <c r="F78" s="55" t="s">
        <v>384</v>
      </c>
      <c r="G78" s="55" t="s">
        <v>385</v>
      </c>
      <c r="H78" s="55" t="s">
        <v>386</v>
      </c>
      <c r="I78" s="55" t="s">
        <v>387</v>
      </c>
      <c r="J78" s="25" t="n">
        <f aca="false">COUNTIF('BIM Element Map'!$J$6:$J$1000,$A78)</f>
        <v>3</v>
      </c>
      <c r="K78" s="56" t="s">
        <v>382</v>
      </c>
      <c r="L78" s="25" t="s">
        <v>173</v>
      </c>
      <c r="M78" s="55" t="s">
        <v>66</v>
      </c>
      <c r="N78" s="55" t="s">
        <v>311</v>
      </c>
      <c r="O78" s="57" t="n">
        <v>10</v>
      </c>
      <c r="P78" s="25" t="s">
        <v>320</v>
      </c>
      <c r="Q78" s="58" t="n">
        <v>15</v>
      </c>
      <c r="R78" s="59" t="s">
        <v>364</v>
      </c>
      <c r="S78" s="58" t="s">
        <v>177</v>
      </c>
      <c r="T78" s="58" t="n">
        <v>0</v>
      </c>
      <c r="U78" s="59"/>
      <c r="V78" s="58"/>
      <c r="W78" s="58"/>
      <c r="X78" s="60"/>
      <c r="Y78" s="61" t="n">
        <v>46179</v>
      </c>
      <c r="Z78" s="61" t="n">
        <v>46190</v>
      </c>
      <c r="AA78" s="62" t="n">
        <v>46163</v>
      </c>
      <c r="AB78" s="62" t="n">
        <v>46179</v>
      </c>
      <c r="AC78" s="63" t="n">
        <v>1</v>
      </c>
      <c r="AD78" s="25" t="n">
        <f aca="false">IF($AB78&lt;&gt;"",0,IF($AA78="",$Q78,MAX(1,ROUND($Q78*(1-$AC78),0))))</f>
        <v>0</v>
      </c>
      <c r="AE78" s="61" t="n">
        <f aca="false">IF($AA78&lt;&gt;"",$AA78,MAX($X78,NextWD,IF($R78="",0,IF($S78="SS",INDEX(WorkDays,MATCH(INDEX($AE$6:$AE$156,MATCH($R78,$A$6:$A$156,0))-1,WorkDays,1)+1+$T78),INDEX(WorkDays,MATCH(INDEX($AF$6:$AF$156,MATCH($R78,$A$6:$A$156,0)),WorkDays,1)+IF($Q78=0,0,1)+$T78))),IF($U78="",0,IF($V78="SS",INDEX(WorkDays,MATCH(INDEX($AE$6:$AE$156,MATCH($U78,$A$6:$A$156,0))-1,WorkDays,1)+1+$W78),INDEX(WorkDays,MATCH(INDEX($AF$6:$AF$156,MATCH($U78,$A$6:$A$156,0)),WorkDays,1)+IF($Q78=0,0,1)+$W78)))))</f>
        <v>46163</v>
      </c>
      <c r="AF78" s="61" t="n">
        <f aca="false">IF($AB78&lt;&gt;"",$AB78,IF($Q78=0,$AE78,INDEX(WorkDays,MATCH(MAX($AE78,NextWD)-1,WorkDays,1)+$AD78)))</f>
        <v>46179</v>
      </c>
      <c r="AG78" s="56" t="str">
        <f aca="false">IF($AB78&lt;&gt;"","Completed",IF($AA78&lt;&gt;"","In Progress",IF(AND($Y78&lt;&gt;"",$Y78&lt;=DataDate),"Not Started (Late)","Not Started")))</f>
        <v>Completed</v>
      </c>
      <c r="AH78" s="64" t="n">
        <f aca="false">IF($Z78="","",MATCH($AF78,WorkDays,1)-MATCH($Z78,WorkDays,1))</f>
        <v>-9</v>
      </c>
      <c r="AI78" s="57" t="n">
        <f aca="false">IF($O78="","",$O78*IF($AB78&lt;&gt;"",1,$AC78))</f>
        <v>10</v>
      </c>
      <c r="AJ78" s="55" t="s">
        <v>321</v>
      </c>
    </row>
    <row r="79" customFormat="false" ht="32.8" hidden="false" customHeight="false" outlineLevel="3" collapsed="false">
      <c r="A79" s="53" t="s">
        <v>388</v>
      </c>
      <c r="B79" s="25" t="n">
        <v>4</v>
      </c>
      <c r="C79" s="55" t="s">
        <v>389</v>
      </c>
      <c r="D79" s="55" t="s">
        <v>366</v>
      </c>
      <c r="E79" s="25" t="s">
        <v>75</v>
      </c>
      <c r="F79" s="55" t="s">
        <v>316</v>
      </c>
      <c r="G79" s="55" t="s">
        <v>390</v>
      </c>
      <c r="H79" s="55" t="s">
        <v>391</v>
      </c>
      <c r="I79" s="55" t="s">
        <v>392</v>
      </c>
      <c r="J79" s="25" t="n">
        <f aca="false">COUNTIF('BIM Element Map'!$J$6:$J$1000,$A79)</f>
        <v>8</v>
      </c>
      <c r="K79" s="56" t="s">
        <v>388</v>
      </c>
      <c r="L79" s="25" t="s">
        <v>173</v>
      </c>
      <c r="M79" s="55" t="s">
        <v>62</v>
      </c>
      <c r="N79" s="55" t="s">
        <v>311</v>
      </c>
      <c r="O79" s="57" t="n">
        <v>33</v>
      </c>
      <c r="P79" s="25" t="s">
        <v>320</v>
      </c>
      <c r="Q79" s="58" t="n">
        <v>24</v>
      </c>
      <c r="R79" s="59" t="s">
        <v>364</v>
      </c>
      <c r="S79" s="58" t="s">
        <v>177</v>
      </c>
      <c r="T79" s="58" t="n">
        <v>0</v>
      </c>
      <c r="U79" s="59"/>
      <c r="V79" s="58"/>
      <c r="W79" s="58"/>
      <c r="X79" s="60"/>
      <c r="Y79" s="61" t="n">
        <v>46179</v>
      </c>
      <c r="Z79" s="61" t="n">
        <v>46197</v>
      </c>
      <c r="AA79" s="62" t="n">
        <v>46163</v>
      </c>
      <c r="AB79" s="62" t="n">
        <v>46190</v>
      </c>
      <c r="AC79" s="63" t="n">
        <v>1</v>
      </c>
      <c r="AD79" s="25" t="n">
        <f aca="false">IF($AB79&lt;&gt;"",0,IF($AA79="",$Q79,MAX(1,ROUND($Q79*(1-$AC79),0))))</f>
        <v>0</v>
      </c>
      <c r="AE79" s="61" t="n">
        <f aca="false">IF($AA79&lt;&gt;"",$AA79,MAX($X79,NextWD,IF($R79="",0,IF($S79="SS",INDEX(WorkDays,MATCH(INDEX($AE$6:$AE$156,MATCH($R79,$A$6:$A$156,0))-1,WorkDays,1)+1+$T79),INDEX(WorkDays,MATCH(INDEX($AF$6:$AF$156,MATCH($R79,$A$6:$A$156,0)),WorkDays,1)+IF($Q79=0,0,1)+$T79))),IF($U79="",0,IF($V79="SS",INDEX(WorkDays,MATCH(INDEX($AE$6:$AE$156,MATCH($U79,$A$6:$A$156,0))-1,WorkDays,1)+1+$W79),INDEX(WorkDays,MATCH(INDEX($AF$6:$AF$156,MATCH($U79,$A$6:$A$156,0)),WorkDays,1)+IF($Q79=0,0,1)+$W79)))))</f>
        <v>46163</v>
      </c>
      <c r="AF79" s="61" t="n">
        <f aca="false">IF($AB79&lt;&gt;"",$AB79,IF($Q79=0,$AE79,INDEX(WorkDays,MATCH(MAX($AE79,NextWD)-1,WorkDays,1)+$AD79)))</f>
        <v>46190</v>
      </c>
      <c r="AG79" s="56" t="str">
        <f aca="false">IF($AB79&lt;&gt;"","Completed",IF($AA79&lt;&gt;"","In Progress",IF(AND($Y79&lt;&gt;"",$Y79&lt;=DataDate),"Not Started (Late)","Not Started")))</f>
        <v>Completed</v>
      </c>
      <c r="AH79" s="64" t="n">
        <f aca="false">IF($Z79="","",MATCH($AF79,WorkDays,1)-MATCH($Z79,WorkDays,1))</f>
        <v>-6</v>
      </c>
      <c r="AI79" s="57" t="n">
        <f aca="false">IF($O79="","",$O79*IF($AB79&lt;&gt;"",1,$AC79))</f>
        <v>33</v>
      </c>
      <c r="AJ79" s="55" t="s">
        <v>321</v>
      </c>
    </row>
    <row r="80" customFormat="false" ht="32.8" hidden="false" customHeight="false" outlineLevel="3" collapsed="false">
      <c r="A80" s="53" t="s">
        <v>393</v>
      </c>
      <c r="B80" s="25" t="n">
        <v>4</v>
      </c>
      <c r="C80" s="55" t="s">
        <v>394</v>
      </c>
      <c r="D80" s="55" t="s">
        <v>366</v>
      </c>
      <c r="E80" s="25" t="s">
        <v>77</v>
      </c>
      <c r="F80" s="55" t="s">
        <v>324</v>
      </c>
      <c r="G80" s="55" t="s">
        <v>390</v>
      </c>
      <c r="H80" s="55" t="s">
        <v>391</v>
      </c>
      <c r="I80" s="55" t="s">
        <v>395</v>
      </c>
      <c r="J80" s="25" t="n">
        <f aca="false">COUNTIF('BIM Element Map'!$J$6:$J$1000,$A80)</f>
        <v>7</v>
      </c>
      <c r="K80" s="56" t="s">
        <v>393</v>
      </c>
      <c r="L80" s="25" t="s">
        <v>173</v>
      </c>
      <c r="M80" s="55" t="s">
        <v>62</v>
      </c>
      <c r="N80" s="55" t="s">
        <v>311</v>
      </c>
      <c r="O80" s="57" t="n">
        <v>30</v>
      </c>
      <c r="P80" s="25" t="s">
        <v>320</v>
      </c>
      <c r="Q80" s="58" t="n">
        <v>22</v>
      </c>
      <c r="R80" s="59" t="s">
        <v>370</v>
      </c>
      <c r="S80" s="58" t="s">
        <v>177</v>
      </c>
      <c r="T80" s="58" t="n">
        <v>0</v>
      </c>
      <c r="U80" s="59" t="s">
        <v>388</v>
      </c>
      <c r="V80" s="58" t="s">
        <v>307</v>
      </c>
      <c r="W80" s="58" t="n">
        <v>12</v>
      </c>
      <c r="X80" s="60"/>
      <c r="Y80" s="61" t="n">
        <v>46189</v>
      </c>
      <c r="Z80" s="61" t="n">
        <v>46205</v>
      </c>
      <c r="AA80" s="62" t="n">
        <v>46177</v>
      </c>
      <c r="AB80" s="62" t="n">
        <v>46202</v>
      </c>
      <c r="AC80" s="63" t="n">
        <v>1</v>
      </c>
      <c r="AD80" s="25" t="n">
        <f aca="false">IF($AB80&lt;&gt;"",0,IF($AA80="",$Q80,MAX(1,ROUND($Q80*(1-$AC80),0))))</f>
        <v>0</v>
      </c>
      <c r="AE80" s="61" t="n">
        <f aca="false">IF($AA80&lt;&gt;"",$AA80,MAX($X80,NextWD,IF($R80="",0,IF($S80="SS",INDEX(WorkDays,MATCH(INDEX($AE$6:$AE$156,MATCH($R80,$A$6:$A$156,0))-1,WorkDays,1)+1+$T80),INDEX(WorkDays,MATCH(INDEX($AF$6:$AF$156,MATCH($R80,$A$6:$A$156,0)),WorkDays,1)+IF($Q80=0,0,1)+$T80))),IF($U80="",0,IF($V80="SS",INDEX(WorkDays,MATCH(INDEX($AE$6:$AE$156,MATCH($U80,$A$6:$A$156,0))-1,WorkDays,1)+1+$W80),INDEX(WorkDays,MATCH(INDEX($AF$6:$AF$156,MATCH($U80,$A$6:$A$156,0)),WorkDays,1)+IF($Q80=0,0,1)+$W80)))))</f>
        <v>46177</v>
      </c>
      <c r="AF80" s="61" t="n">
        <f aca="false">IF($AB80&lt;&gt;"",$AB80,IF($Q80=0,$AE80,INDEX(WorkDays,MATCH(MAX($AE80,NextWD)-1,WorkDays,1)+$AD80)))</f>
        <v>46202</v>
      </c>
      <c r="AG80" s="56" t="str">
        <f aca="false">IF($AB80&lt;&gt;"","Completed",IF($AA80&lt;&gt;"","In Progress",IF(AND($Y80&lt;&gt;"",$Y80&lt;=DataDate),"Not Started (Late)","Not Started")))</f>
        <v>Completed</v>
      </c>
      <c r="AH80" s="64" t="n">
        <f aca="false">IF($Z80="","",MATCH($AF80,WorkDays,1)-MATCH($Z80,WorkDays,1))</f>
        <v>-3</v>
      </c>
      <c r="AI80" s="57" t="n">
        <f aca="false">IF($O80="","",$O80*IF($AB80&lt;&gt;"",1,$AC80))</f>
        <v>30</v>
      </c>
      <c r="AJ80" s="55" t="s">
        <v>321</v>
      </c>
    </row>
    <row r="81" customFormat="false" ht="32.8" hidden="false" customHeight="false" outlineLevel="3" collapsed="false">
      <c r="A81" s="53" t="s">
        <v>396</v>
      </c>
      <c r="B81" s="25" t="n">
        <v>4</v>
      </c>
      <c r="C81" s="55" t="s">
        <v>397</v>
      </c>
      <c r="D81" s="55" t="s">
        <v>366</v>
      </c>
      <c r="E81" s="25" t="s">
        <v>79</v>
      </c>
      <c r="F81" s="55" t="s">
        <v>328</v>
      </c>
      <c r="G81" s="55" t="s">
        <v>390</v>
      </c>
      <c r="H81" s="55" t="s">
        <v>391</v>
      </c>
      <c r="I81" s="55" t="s">
        <v>398</v>
      </c>
      <c r="J81" s="25" t="n">
        <f aca="false">COUNTIF('BIM Element Map'!$J$6:$J$1000,$A81)</f>
        <v>7</v>
      </c>
      <c r="K81" s="56" t="s">
        <v>396</v>
      </c>
      <c r="L81" s="25" t="s">
        <v>173</v>
      </c>
      <c r="M81" s="55" t="s">
        <v>62</v>
      </c>
      <c r="N81" s="55" t="s">
        <v>311</v>
      </c>
      <c r="O81" s="57" t="n">
        <v>18</v>
      </c>
      <c r="P81" s="25" t="s">
        <v>320</v>
      </c>
      <c r="Q81" s="58" t="n">
        <v>20</v>
      </c>
      <c r="R81" s="59" t="s">
        <v>373</v>
      </c>
      <c r="S81" s="58" t="s">
        <v>177</v>
      </c>
      <c r="T81" s="58" t="n">
        <v>0</v>
      </c>
      <c r="U81" s="59" t="s">
        <v>393</v>
      </c>
      <c r="V81" s="58" t="s">
        <v>307</v>
      </c>
      <c r="W81" s="58" t="n">
        <v>10</v>
      </c>
      <c r="X81" s="60"/>
      <c r="Y81" s="61" t="n">
        <v>46197</v>
      </c>
      <c r="Z81" s="61" t="n">
        <v>46211</v>
      </c>
      <c r="AA81" s="62" t="n">
        <v>46189</v>
      </c>
      <c r="AB81" s="62" t="n">
        <v>46211</v>
      </c>
      <c r="AC81" s="63" t="n">
        <v>1</v>
      </c>
      <c r="AD81" s="25" t="n">
        <f aca="false">IF($AB81&lt;&gt;"",0,IF($AA81="",$Q81,MAX(1,ROUND($Q81*(1-$AC81),0))))</f>
        <v>0</v>
      </c>
      <c r="AE81" s="61" t="n">
        <f aca="false">IF($AA81&lt;&gt;"",$AA81,MAX($X81,NextWD,IF($R81="",0,IF($S81="SS",INDEX(WorkDays,MATCH(INDEX($AE$6:$AE$156,MATCH($R81,$A$6:$A$156,0))-1,WorkDays,1)+1+$T81),INDEX(WorkDays,MATCH(INDEX($AF$6:$AF$156,MATCH($R81,$A$6:$A$156,0)),WorkDays,1)+IF($Q81=0,0,1)+$T81))),IF($U81="",0,IF($V81="SS",INDEX(WorkDays,MATCH(INDEX($AE$6:$AE$156,MATCH($U81,$A$6:$A$156,0))-1,WorkDays,1)+1+$W81),INDEX(WorkDays,MATCH(INDEX($AF$6:$AF$156,MATCH($U81,$A$6:$A$156,0)),WorkDays,1)+IF($Q81=0,0,1)+$W81)))))</f>
        <v>46189</v>
      </c>
      <c r="AF81" s="61" t="n">
        <f aca="false">IF($AB81&lt;&gt;"",$AB81,IF($Q81=0,$AE81,INDEX(WorkDays,MATCH(MAX($AE81,NextWD)-1,WorkDays,1)+$AD81)))</f>
        <v>46211</v>
      </c>
      <c r="AG81" s="56" t="str">
        <f aca="false">IF($AB81&lt;&gt;"","Completed",IF($AA81&lt;&gt;"","In Progress",IF(AND($Y81&lt;&gt;"",$Y81&lt;=DataDate),"Not Started (Late)","Not Started")))</f>
        <v>Completed</v>
      </c>
      <c r="AH81" s="64" t="n">
        <f aca="false">IF($Z81="","",MATCH($AF81,WorkDays,1)-MATCH($Z81,WorkDays,1))</f>
        <v>0</v>
      </c>
      <c r="AI81" s="57" t="n">
        <f aca="false">IF($O81="","",$O81*IF($AB81&lt;&gt;"",1,$AC81))</f>
        <v>18</v>
      </c>
      <c r="AJ81" s="55" t="s">
        <v>321</v>
      </c>
    </row>
    <row r="82" customFormat="false" ht="32.8" hidden="false" customHeight="false" outlineLevel="3" collapsed="false">
      <c r="A82" s="53" t="s">
        <v>399</v>
      </c>
      <c r="B82" s="25" t="n">
        <v>4</v>
      </c>
      <c r="C82" s="55" t="s">
        <v>400</v>
      </c>
      <c r="D82" s="55" t="s">
        <v>366</v>
      </c>
      <c r="E82" s="25" t="s">
        <v>79</v>
      </c>
      <c r="F82" s="55" t="s">
        <v>401</v>
      </c>
      <c r="G82" s="55" t="s">
        <v>385</v>
      </c>
      <c r="H82" s="55" t="s">
        <v>386</v>
      </c>
      <c r="I82" s="55" t="s">
        <v>387</v>
      </c>
      <c r="J82" s="25" t="n">
        <f aca="false">COUNTIF('BIM Element Map'!$J$6:$J$1000,$A82)</f>
        <v>3</v>
      </c>
      <c r="K82" s="56" t="s">
        <v>399</v>
      </c>
      <c r="L82" s="25" t="s">
        <v>173</v>
      </c>
      <c r="M82" s="55" t="s">
        <v>66</v>
      </c>
      <c r="N82" s="55" t="s">
        <v>311</v>
      </c>
      <c r="O82" s="57" t="n">
        <v>10</v>
      </c>
      <c r="P82" s="25" t="s">
        <v>320</v>
      </c>
      <c r="Q82" s="58" t="n">
        <v>15</v>
      </c>
      <c r="R82" s="59" t="s">
        <v>373</v>
      </c>
      <c r="S82" s="58" t="s">
        <v>177</v>
      </c>
      <c r="T82" s="58" t="n">
        <v>0</v>
      </c>
      <c r="U82" s="59"/>
      <c r="V82" s="58"/>
      <c r="W82" s="58"/>
      <c r="X82" s="60"/>
      <c r="Y82" s="61" t="n">
        <v>46184</v>
      </c>
      <c r="Z82" s="61" t="n">
        <v>46195</v>
      </c>
      <c r="AA82" s="62" t="n">
        <v>46170</v>
      </c>
      <c r="AB82" s="62" t="n">
        <v>46186</v>
      </c>
      <c r="AC82" s="63" t="n">
        <v>1</v>
      </c>
      <c r="AD82" s="25" t="n">
        <f aca="false">IF($AB82&lt;&gt;"",0,IF($AA82="",$Q82,MAX(1,ROUND($Q82*(1-$AC82),0))))</f>
        <v>0</v>
      </c>
      <c r="AE82" s="61" t="n">
        <f aca="false">IF($AA82&lt;&gt;"",$AA82,MAX($X82,NextWD,IF($R82="",0,IF($S82="SS",INDEX(WorkDays,MATCH(INDEX($AE$6:$AE$156,MATCH($R82,$A$6:$A$156,0))-1,WorkDays,1)+1+$T82),INDEX(WorkDays,MATCH(INDEX($AF$6:$AF$156,MATCH($R82,$A$6:$A$156,0)),WorkDays,1)+IF($Q82=0,0,1)+$T82))),IF($U82="",0,IF($V82="SS",INDEX(WorkDays,MATCH(INDEX($AE$6:$AE$156,MATCH($U82,$A$6:$A$156,0))-1,WorkDays,1)+1+$W82),INDEX(WorkDays,MATCH(INDEX($AF$6:$AF$156,MATCH($U82,$A$6:$A$156,0)),WorkDays,1)+IF($Q82=0,0,1)+$W82)))))</f>
        <v>46170</v>
      </c>
      <c r="AF82" s="61" t="n">
        <f aca="false">IF($AB82&lt;&gt;"",$AB82,IF($Q82=0,$AE82,INDEX(WorkDays,MATCH(MAX($AE82,NextWD)-1,WorkDays,1)+$AD82)))</f>
        <v>46186</v>
      </c>
      <c r="AG82" s="56" t="str">
        <f aca="false">IF($AB82&lt;&gt;"","Completed",IF($AA82&lt;&gt;"","In Progress",IF(AND($Y82&lt;&gt;"",$Y82&lt;=DataDate),"Not Started (Late)","Not Started")))</f>
        <v>Completed</v>
      </c>
      <c r="AH82" s="64" t="n">
        <f aca="false">IF($Z82="","",MATCH($AF82,WorkDays,1)-MATCH($Z82,WorkDays,1))</f>
        <v>-7</v>
      </c>
      <c r="AI82" s="57" t="n">
        <f aca="false">IF($O82="","",$O82*IF($AB82&lt;&gt;"",1,$AC82))</f>
        <v>10</v>
      </c>
      <c r="AJ82" s="55" t="s">
        <v>321</v>
      </c>
    </row>
    <row r="83" customFormat="false" ht="22.35" hidden="false" customHeight="false" outlineLevel="3" collapsed="false">
      <c r="A83" s="53" t="s">
        <v>402</v>
      </c>
      <c r="B83" s="25" t="n">
        <v>4</v>
      </c>
      <c r="C83" s="55" t="s">
        <v>403</v>
      </c>
      <c r="D83" s="55" t="s">
        <v>366</v>
      </c>
      <c r="E83" s="25" t="s">
        <v>75</v>
      </c>
      <c r="F83" s="55" t="s">
        <v>316</v>
      </c>
      <c r="G83" s="55" t="s">
        <v>404</v>
      </c>
      <c r="H83" s="55" t="s">
        <v>368</v>
      </c>
      <c r="I83" s="55" t="s">
        <v>369</v>
      </c>
      <c r="J83" s="25" t="n">
        <f aca="false">COUNTIF('BIM Element Map'!$J$6:$J$1000,$A83)</f>
        <v>18</v>
      </c>
      <c r="K83" s="56" t="s">
        <v>402</v>
      </c>
      <c r="L83" s="25" t="s">
        <v>173</v>
      </c>
      <c r="M83" s="55" t="s">
        <v>58</v>
      </c>
      <c r="N83" s="55" t="s">
        <v>311</v>
      </c>
      <c r="O83" s="57" t="n">
        <v>21.5</v>
      </c>
      <c r="P83" s="25" t="s">
        <v>320</v>
      </c>
      <c r="Q83" s="58" t="n">
        <v>18</v>
      </c>
      <c r="R83" s="59" t="s">
        <v>388</v>
      </c>
      <c r="S83" s="58" t="s">
        <v>177</v>
      </c>
      <c r="T83" s="58" t="n">
        <v>0</v>
      </c>
      <c r="U83" s="59"/>
      <c r="V83" s="58"/>
      <c r="W83" s="58"/>
      <c r="X83" s="60"/>
      <c r="Y83" s="61" t="n">
        <v>46198</v>
      </c>
      <c r="Z83" s="61" t="n">
        <v>46211</v>
      </c>
      <c r="AA83" s="62" t="n">
        <v>46191</v>
      </c>
      <c r="AB83" s="62" t="n">
        <v>46211</v>
      </c>
      <c r="AC83" s="63" t="n">
        <v>1</v>
      </c>
      <c r="AD83" s="25" t="n">
        <f aca="false">IF($AB83&lt;&gt;"",0,IF($AA83="",$Q83,MAX(1,ROUND($Q83*(1-$AC83),0))))</f>
        <v>0</v>
      </c>
      <c r="AE83" s="61" t="n">
        <f aca="false">IF($AA83&lt;&gt;"",$AA83,MAX($X83,NextWD,IF($R83="",0,IF($S83="SS",INDEX(WorkDays,MATCH(INDEX($AE$6:$AE$156,MATCH($R83,$A$6:$A$156,0))-1,WorkDays,1)+1+$T83),INDEX(WorkDays,MATCH(INDEX($AF$6:$AF$156,MATCH($R83,$A$6:$A$156,0)),WorkDays,1)+IF($Q83=0,0,1)+$T83))),IF($U83="",0,IF($V83="SS",INDEX(WorkDays,MATCH(INDEX($AE$6:$AE$156,MATCH($U83,$A$6:$A$156,0))-1,WorkDays,1)+1+$W83),INDEX(WorkDays,MATCH(INDEX($AF$6:$AF$156,MATCH($U83,$A$6:$A$156,0)),WorkDays,1)+IF($Q83=0,0,1)+$W83)))))</f>
        <v>46191</v>
      </c>
      <c r="AF83" s="61" t="n">
        <f aca="false">IF($AB83&lt;&gt;"",$AB83,IF($Q83=0,$AE83,INDEX(WorkDays,MATCH(MAX($AE83,NextWD)-1,WorkDays,1)+$AD83)))</f>
        <v>46211</v>
      </c>
      <c r="AG83" s="56" t="str">
        <f aca="false">IF($AB83&lt;&gt;"","Completed",IF($AA83&lt;&gt;"","In Progress",IF(AND($Y83&lt;&gt;"",$Y83&lt;=DataDate),"Not Started (Late)","Not Started")))</f>
        <v>Completed</v>
      </c>
      <c r="AH83" s="64" t="n">
        <f aca="false">IF($Z83="","",MATCH($AF83,WorkDays,1)-MATCH($Z83,WorkDays,1))</f>
        <v>0</v>
      </c>
      <c r="AI83" s="57" t="n">
        <f aca="false">IF($O83="","",$O83*IF($AB83&lt;&gt;"",1,$AC83))</f>
        <v>21.5</v>
      </c>
      <c r="AJ83" s="55" t="s">
        <v>321</v>
      </c>
    </row>
    <row r="84" customFormat="false" ht="22.35" hidden="false" customHeight="false" outlineLevel="3" collapsed="false">
      <c r="A84" s="53" t="s">
        <v>405</v>
      </c>
      <c r="B84" s="25" t="n">
        <v>4</v>
      </c>
      <c r="C84" s="55" t="s">
        <v>406</v>
      </c>
      <c r="D84" s="55" t="s">
        <v>366</v>
      </c>
      <c r="E84" s="25" t="s">
        <v>77</v>
      </c>
      <c r="F84" s="55" t="s">
        <v>324</v>
      </c>
      <c r="G84" s="55" t="s">
        <v>404</v>
      </c>
      <c r="H84" s="55" t="s">
        <v>368</v>
      </c>
      <c r="I84" s="55" t="s">
        <v>372</v>
      </c>
      <c r="J84" s="25" t="n">
        <f aca="false">COUNTIF('BIM Element Map'!$J$6:$J$1000,$A84)</f>
        <v>10</v>
      </c>
      <c r="K84" s="56" t="s">
        <v>405</v>
      </c>
      <c r="L84" s="25" t="s">
        <v>173</v>
      </c>
      <c r="M84" s="55" t="s">
        <v>58</v>
      </c>
      <c r="N84" s="55" t="s">
        <v>311</v>
      </c>
      <c r="O84" s="57" t="n">
        <v>11.9</v>
      </c>
      <c r="P84" s="25" t="s">
        <v>320</v>
      </c>
      <c r="Q84" s="58" t="n">
        <v>14</v>
      </c>
      <c r="R84" s="59" t="s">
        <v>393</v>
      </c>
      <c r="S84" s="58" t="s">
        <v>177</v>
      </c>
      <c r="T84" s="58" t="n">
        <v>0</v>
      </c>
      <c r="U84" s="59" t="s">
        <v>402</v>
      </c>
      <c r="V84" s="58" t="s">
        <v>307</v>
      </c>
      <c r="W84" s="58" t="n">
        <v>8</v>
      </c>
      <c r="X84" s="60"/>
      <c r="Y84" s="61" t="n">
        <v>46206</v>
      </c>
      <c r="Z84" s="61" t="n">
        <v>46216</v>
      </c>
      <c r="AA84" s="62" t="n">
        <v>46203</v>
      </c>
      <c r="AB84" s="62" t="n">
        <v>46218</v>
      </c>
      <c r="AC84" s="63" t="n">
        <v>1</v>
      </c>
      <c r="AD84" s="25" t="n">
        <f aca="false">IF($AB84&lt;&gt;"",0,IF($AA84="",$Q84,MAX(1,ROUND($Q84*(1-$AC84),0))))</f>
        <v>0</v>
      </c>
      <c r="AE84" s="61" t="n">
        <f aca="false">IF($AA84&lt;&gt;"",$AA84,MAX($X84,NextWD,IF($R84="",0,IF($S84="SS",INDEX(WorkDays,MATCH(INDEX($AE$6:$AE$156,MATCH($R84,$A$6:$A$156,0))-1,WorkDays,1)+1+$T84),INDEX(WorkDays,MATCH(INDEX($AF$6:$AF$156,MATCH($R84,$A$6:$A$156,0)),WorkDays,1)+IF($Q84=0,0,1)+$T84))),IF($U84="",0,IF($V84="SS",INDEX(WorkDays,MATCH(INDEX($AE$6:$AE$156,MATCH($U84,$A$6:$A$156,0))-1,WorkDays,1)+1+$W84),INDEX(WorkDays,MATCH(INDEX($AF$6:$AF$156,MATCH($U84,$A$6:$A$156,0)),WorkDays,1)+IF($Q84=0,0,1)+$W84)))))</f>
        <v>46203</v>
      </c>
      <c r="AF84" s="61" t="n">
        <f aca="false">IF($AB84&lt;&gt;"",$AB84,IF($Q84=0,$AE84,INDEX(WorkDays,MATCH(MAX($AE84,NextWD)-1,WorkDays,1)+$AD84)))</f>
        <v>46218</v>
      </c>
      <c r="AG84" s="56" t="str">
        <f aca="false">IF($AB84&lt;&gt;"","Completed",IF($AA84&lt;&gt;"","In Progress",IF(AND($Y84&lt;&gt;"",$Y84&lt;=DataDate),"Not Started (Late)","Not Started")))</f>
        <v>Completed</v>
      </c>
      <c r="AH84" s="64" t="n">
        <f aca="false">IF($Z84="","",MATCH($AF84,WorkDays,1)-MATCH($Z84,WorkDays,1))</f>
        <v>2</v>
      </c>
      <c r="AI84" s="57" t="n">
        <f aca="false">IF($O84="","",$O84*IF($AB84&lt;&gt;"",1,$AC84))</f>
        <v>11.9</v>
      </c>
      <c r="AJ84" s="55" t="s">
        <v>321</v>
      </c>
    </row>
    <row r="85" customFormat="false" ht="22.35" hidden="false" customHeight="false" outlineLevel="3" collapsed="false">
      <c r="A85" s="53" t="s">
        <v>407</v>
      </c>
      <c r="B85" s="25" t="n">
        <v>4</v>
      </c>
      <c r="C85" s="55" t="s">
        <v>408</v>
      </c>
      <c r="D85" s="55" t="s">
        <v>366</v>
      </c>
      <c r="E85" s="25" t="s">
        <v>79</v>
      </c>
      <c r="F85" s="55" t="s">
        <v>328</v>
      </c>
      <c r="G85" s="55" t="s">
        <v>404</v>
      </c>
      <c r="H85" s="55" t="s">
        <v>368</v>
      </c>
      <c r="I85" s="55" t="s">
        <v>375</v>
      </c>
      <c r="J85" s="25" t="n">
        <f aca="false">COUNTIF('BIM Element Map'!$J$6:$J$1000,$A85)</f>
        <v>8</v>
      </c>
      <c r="K85" s="56" t="s">
        <v>407</v>
      </c>
      <c r="L85" s="25" t="s">
        <v>173</v>
      </c>
      <c r="M85" s="55" t="s">
        <v>58</v>
      </c>
      <c r="N85" s="55" t="s">
        <v>311</v>
      </c>
      <c r="O85" s="57" t="n">
        <v>9.6</v>
      </c>
      <c r="P85" s="25" t="s">
        <v>320</v>
      </c>
      <c r="Q85" s="58" t="n">
        <v>12</v>
      </c>
      <c r="R85" s="59" t="s">
        <v>396</v>
      </c>
      <c r="S85" s="58" t="s">
        <v>177</v>
      </c>
      <c r="T85" s="58" t="n">
        <v>0</v>
      </c>
      <c r="U85" s="59" t="s">
        <v>405</v>
      </c>
      <c r="V85" s="58" t="s">
        <v>307</v>
      </c>
      <c r="W85" s="58" t="n">
        <v>6</v>
      </c>
      <c r="X85" s="60"/>
      <c r="Y85" s="61" t="n">
        <v>46212</v>
      </c>
      <c r="Z85" s="61" t="n">
        <v>46220</v>
      </c>
      <c r="AA85" s="62" t="n">
        <v>46212</v>
      </c>
      <c r="AB85" s="62" t="n">
        <v>46225</v>
      </c>
      <c r="AC85" s="63" t="n">
        <v>1</v>
      </c>
      <c r="AD85" s="25" t="n">
        <f aca="false">IF($AB85&lt;&gt;"",0,IF($AA85="",$Q85,MAX(1,ROUND($Q85*(1-$AC85),0))))</f>
        <v>0</v>
      </c>
      <c r="AE85" s="61" t="n">
        <f aca="false">IF($AA85&lt;&gt;"",$AA85,MAX($X85,NextWD,IF($R85="",0,IF($S85="SS",INDEX(WorkDays,MATCH(INDEX($AE$6:$AE$156,MATCH($R85,$A$6:$A$156,0))-1,WorkDays,1)+1+$T85),INDEX(WorkDays,MATCH(INDEX($AF$6:$AF$156,MATCH($R85,$A$6:$A$156,0)),WorkDays,1)+IF($Q85=0,0,1)+$T85))),IF($U85="",0,IF($V85="SS",INDEX(WorkDays,MATCH(INDEX($AE$6:$AE$156,MATCH($U85,$A$6:$A$156,0))-1,WorkDays,1)+1+$W85),INDEX(WorkDays,MATCH(INDEX($AF$6:$AF$156,MATCH($U85,$A$6:$A$156,0)),WorkDays,1)+IF($Q85=0,0,1)+$W85)))))</f>
        <v>46212</v>
      </c>
      <c r="AF85" s="61" t="n">
        <f aca="false">IF($AB85&lt;&gt;"",$AB85,IF($Q85=0,$AE85,INDEX(WorkDays,MATCH(MAX($AE85,NextWD)-1,WorkDays,1)+$AD85)))</f>
        <v>46225</v>
      </c>
      <c r="AG85" s="56" t="str">
        <f aca="false">IF($AB85&lt;&gt;"","Completed",IF($AA85&lt;&gt;"","In Progress",IF(AND($Y85&lt;&gt;"",$Y85&lt;=DataDate),"Not Started (Late)","Not Started")))</f>
        <v>Completed</v>
      </c>
      <c r="AH85" s="64" t="n">
        <f aca="false">IF($Z85="","",MATCH($AF85,WorkDays,1)-MATCH($Z85,WorkDays,1))</f>
        <v>4</v>
      </c>
      <c r="AI85" s="57" t="n">
        <f aca="false">IF($O85="","",$O85*IF($AB85&lt;&gt;"",1,$AC85))</f>
        <v>9.6</v>
      </c>
      <c r="AJ85" s="55" t="s">
        <v>321</v>
      </c>
    </row>
    <row r="86" customFormat="false" ht="32.8" hidden="false" customHeight="false" outlineLevel="3" collapsed="false">
      <c r="A86" s="53" t="s">
        <v>409</v>
      </c>
      <c r="B86" s="25" t="n">
        <v>4</v>
      </c>
      <c r="C86" s="55" t="s">
        <v>410</v>
      </c>
      <c r="D86" s="55" t="s">
        <v>366</v>
      </c>
      <c r="E86" s="25" t="s">
        <v>75</v>
      </c>
      <c r="F86" s="55" t="s">
        <v>384</v>
      </c>
      <c r="G86" s="55" t="s">
        <v>404</v>
      </c>
      <c r="H86" s="55" t="s">
        <v>386</v>
      </c>
      <c r="I86" s="55" t="s">
        <v>411</v>
      </c>
      <c r="J86" s="25" t="n">
        <f aca="false">COUNTIF('BIM Element Map'!$J$6:$J$1000,$A86)</f>
        <v>3</v>
      </c>
      <c r="K86" s="56" t="s">
        <v>409</v>
      </c>
      <c r="L86" s="25" t="s">
        <v>173</v>
      </c>
      <c r="M86" s="55" t="s">
        <v>66</v>
      </c>
      <c r="N86" s="55" t="s">
        <v>311</v>
      </c>
      <c r="O86" s="57" t="n">
        <v>13</v>
      </c>
      <c r="P86" s="25" t="s">
        <v>320</v>
      </c>
      <c r="Q86" s="58" t="n">
        <v>22</v>
      </c>
      <c r="R86" s="59" t="s">
        <v>382</v>
      </c>
      <c r="S86" s="58" t="s">
        <v>177</v>
      </c>
      <c r="T86" s="58" t="n">
        <v>0</v>
      </c>
      <c r="U86" s="59" t="s">
        <v>388</v>
      </c>
      <c r="V86" s="58" t="s">
        <v>177</v>
      </c>
      <c r="W86" s="58" t="n">
        <v>0</v>
      </c>
      <c r="X86" s="60"/>
      <c r="Y86" s="61" t="n">
        <v>46198</v>
      </c>
      <c r="Z86" s="61" t="n">
        <v>46214</v>
      </c>
      <c r="AA86" s="62" t="n">
        <v>46191</v>
      </c>
      <c r="AB86" s="62" t="n">
        <v>46216</v>
      </c>
      <c r="AC86" s="63" t="n">
        <v>1</v>
      </c>
      <c r="AD86" s="25" t="n">
        <f aca="false">IF($AB86&lt;&gt;"",0,IF($AA86="",$Q86,MAX(1,ROUND($Q86*(1-$AC86),0))))</f>
        <v>0</v>
      </c>
      <c r="AE86" s="61" t="n">
        <f aca="false">IF($AA86&lt;&gt;"",$AA86,MAX($X86,NextWD,IF($R86="",0,IF($S86="SS",INDEX(WorkDays,MATCH(INDEX($AE$6:$AE$156,MATCH($R86,$A$6:$A$156,0))-1,WorkDays,1)+1+$T86),INDEX(WorkDays,MATCH(INDEX($AF$6:$AF$156,MATCH($R86,$A$6:$A$156,0)),WorkDays,1)+IF($Q86=0,0,1)+$T86))),IF($U86="",0,IF($V86="SS",INDEX(WorkDays,MATCH(INDEX($AE$6:$AE$156,MATCH($U86,$A$6:$A$156,0))-1,WorkDays,1)+1+$W86),INDEX(WorkDays,MATCH(INDEX($AF$6:$AF$156,MATCH($U86,$A$6:$A$156,0)),WorkDays,1)+IF($Q86=0,0,1)+$W86)))))</f>
        <v>46191</v>
      </c>
      <c r="AF86" s="61" t="n">
        <f aca="false">IF($AB86&lt;&gt;"",$AB86,IF($Q86=0,$AE86,INDEX(WorkDays,MATCH(MAX($AE86,NextWD)-1,WorkDays,1)+$AD86)))</f>
        <v>46216</v>
      </c>
      <c r="AG86" s="56" t="str">
        <f aca="false">IF($AB86&lt;&gt;"","Completed",IF($AA86&lt;&gt;"","In Progress",IF(AND($Y86&lt;&gt;"",$Y86&lt;=DataDate),"Not Started (Late)","Not Started")))</f>
        <v>Completed</v>
      </c>
      <c r="AH86" s="64" t="n">
        <f aca="false">IF($Z86="","",MATCH($AF86,WorkDays,1)-MATCH($Z86,WorkDays,1))</f>
        <v>1</v>
      </c>
      <c r="AI86" s="57" t="n">
        <f aca="false">IF($O86="","",$O86*IF($AB86&lt;&gt;"",1,$AC86))</f>
        <v>13</v>
      </c>
      <c r="AJ86" s="55" t="s">
        <v>321</v>
      </c>
    </row>
    <row r="87" customFormat="false" ht="32.8" hidden="false" customHeight="false" outlineLevel="3" collapsed="false">
      <c r="A87" s="53" t="s">
        <v>412</v>
      </c>
      <c r="B87" s="25" t="n">
        <v>4</v>
      </c>
      <c r="C87" s="55" t="s">
        <v>413</v>
      </c>
      <c r="D87" s="55" t="s">
        <v>366</v>
      </c>
      <c r="E87" s="25" t="s">
        <v>79</v>
      </c>
      <c r="F87" s="55" t="s">
        <v>401</v>
      </c>
      <c r="G87" s="55" t="s">
        <v>404</v>
      </c>
      <c r="H87" s="55" t="s">
        <v>386</v>
      </c>
      <c r="I87" s="55" t="s">
        <v>411</v>
      </c>
      <c r="J87" s="25" t="n">
        <f aca="false">COUNTIF('BIM Element Map'!$J$6:$J$1000,$A87)</f>
        <v>3</v>
      </c>
      <c r="K87" s="56" t="s">
        <v>412</v>
      </c>
      <c r="L87" s="25" t="s">
        <v>173</v>
      </c>
      <c r="M87" s="55" t="s">
        <v>66</v>
      </c>
      <c r="N87" s="55" t="s">
        <v>311</v>
      </c>
      <c r="O87" s="57" t="n">
        <v>13</v>
      </c>
      <c r="P87" s="25" t="s">
        <v>320</v>
      </c>
      <c r="Q87" s="58" t="n">
        <v>22</v>
      </c>
      <c r="R87" s="59" t="s">
        <v>399</v>
      </c>
      <c r="S87" s="58" t="s">
        <v>177</v>
      </c>
      <c r="T87" s="58" t="n">
        <v>0</v>
      </c>
      <c r="U87" s="59" t="s">
        <v>396</v>
      </c>
      <c r="V87" s="58" t="s">
        <v>177</v>
      </c>
      <c r="W87" s="58" t="n">
        <v>0</v>
      </c>
      <c r="X87" s="60"/>
      <c r="Y87" s="61" t="n">
        <v>46212</v>
      </c>
      <c r="Z87" s="61" t="n">
        <v>46228</v>
      </c>
      <c r="AA87" s="62" t="n">
        <v>46212</v>
      </c>
      <c r="AB87" s="62" t="n">
        <v>46237</v>
      </c>
      <c r="AC87" s="63" t="n">
        <v>1</v>
      </c>
      <c r="AD87" s="25" t="n">
        <f aca="false">IF($AB87&lt;&gt;"",0,IF($AA87="",$Q87,MAX(1,ROUND($Q87*(1-$AC87),0))))</f>
        <v>0</v>
      </c>
      <c r="AE87" s="61" t="n">
        <f aca="false">IF($AA87&lt;&gt;"",$AA87,MAX($X87,NextWD,IF($R87="",0,IF($S87="SS",INDEX(WorkDays,MATCH(INDEX($AE$6:$AE$156,MATCH($R87,$A$6:$A$156,0))-1,WorkDays,1)+1+$T87),INDEX(WorkDays,MATCH(INDEX($AF$6:$AF$156,MATCH($R87,$A$6:$A$156,0)),WorkDays,1)+IF($Q87=0,0,1)+$T87))),IF($U87="",0,IF($V87="SS",INDEX(WorkDays,MATCH(INDEX($AE$6:$AE$156,MATCH($U87,$A$6:$A$156,0))-1,WorkDays,1)+1+$W87),INDEX(WorkDays,MATCH(INDEX($AF$6:$AF$156,MATCH($U87,$A$6:$A$156,0)),WorkDays,1)+IF($Q87=0,0,1)+$W87)))))</f>
        <v>46212</v>
      </c>
      <c r="AF87" s="61" t="n">
        <f aca="false">IF($AB87&lt;&gt;"",$AB87,IF($Q87=0,$AE87,INDEX(WorkDays,MATCH(MAX($AE87,NextWD)-1,WorkDays,1)+$AD87)))</f>
        <v>46237</v>
      </c>
      <c r="AG87" s="56" t="str">
        <f aca="false">IF($AB87&lt;&gt;"","Completed",IF($AA87&lt;&gt;"","In Progress",IF(AND($Y87&lt;&gt;"",$Y87&lt;=DataDate),"Not Started (Late)","Not Started")))</f>
        <v>Completed</v>
      </c>
      <c r="AH87" s="64" t="n">
        <f aca="false">IF($Z87="","",MATCH($AF87,WorkDays,1)-MATCH($Z87,WorkDays,1))</f>
        <v>7</v>
      </c>
      <c r="AI87" s="57" t="n">
        <f aca="false">IF($O87="","",$O87*IF($AB87&lt;&gt;"",1,$AC87))</f>
        <v>13</v>
      </c>
      <c r="AJ87" s="55" t="s">
        <v>321</v>
      </c>
    </row>
    <row r="88" customFormat="false" ht="32.8" hidden="false" customHeight="false" outlineLevel="3" collapsed="false">
      <c r="A88" s="53" t="s">
        <v>414</v>
      </c>
      <c r="B88" s="25" t="n">
        <v>4</v>
      </c>
      <c r="C88" s="55" t="s">
        <v>415</v>
      </c>
      <c r="D88" s="55" t="s">
        <v>366</v>
      </c>
      <c r="E88" s="25" t="s">
        <v>75</v>
      </c>
      <c r="F88" s="55" t="s">
        <v>316</v>
      </c>
      <c r="G88" s="55" t="s">
        <v>416</v>
      </c>
      <c r="H88" s="55" t="s">
        <v>417</v>
      </c>
      <c r="I88" s="55" t="s">
        <v>418</v>
      </c>
      <c r="J88" s="25" t="n">
        <f aca="false">COUNTIF('BIM Element Map'!$J$6:$J$1000,$A88)</f>
        <v>11</v>
      </c>
      <c r="K88" s="56" t="s">
        <v>414</v>
      </c>
      <c r="L88" s="25" t="s">
        <v>173</v>
      </c>
      <c r="M88" s="55" t="s">
        <v>64</v>
      </c>
      <c r="N88" s="55" t="s">
        <v>311</v>
      </c>
      <c r="O88" s="57" t="n">
        <v>88</v>
      </c>
      <c r="P88" s="25" t="s">
        <v>320</v>
      </c>
      <c r="Q88" s="58" t="n">
        <v>30</v>
      </c>
      <c r="R88" s="59" t="s">
        <v>402</v>
      </c>
      <c r="S88" s="58" t="s">
        <v>177</v>
      </c>
      <c r="T88" s="58" t="n">
        <v>0</v>
      </c>
      <c r="U88" s="59"/>
      <c r="V88" s="58"/>
      <c r="W88" s="58"/>
      <c r="X88" s="60"/>
      <c r="Y88" s="61" t="n">
        <v>46212</v>
      </c>
      <c r="Z88" s="61" t="n">
        <v>46235</v>
      </c>
      <c r="AA88" s="62" t="n">
        <v>46212</v>
      </c>
      <c r="AB88" s="62" t="n">
        <v>46246</v>
      </c>
      <c r="AC88" s="63" t="n">
        <v>1</v>
      </c>
      <c r="AD88" s="25" t="n">
        <f aca="false">IF($AB88&lt;&gt;"",0,IF($AA88="",$Q88,MAX(1,ROUND($Q88*(1-$AC88),0))))</f>
        <v>0</v>
      </c>
      <c r="AE88" s="61" t="n">
        <f aca="false">IF($AA88&lt;&gt;"",$AA88,MAX($X88,NextWD,IF($R88="",0,IF($S88="SS",INDEX(WorkDays,MATCH(INDEX($AE$6:$AE$156,MATCH($R88,$A$6:$A$156,0))-1,WorkDays,1)+1+$T88),INDEX(WorkDays,MATCH(INDEX($AF$6:$AF$156,MATCH($R88,$A$6:$A$156,0)),WorkDays,1)+IF($Q88=0,0,1)+$T88))),IF($U88="",0,IF($V88="SS",INDEX(WorkDays,MATCH(INDEX($AE$6:$AE$156,MATCH($U88,$A$6:$A$156,0))-1,WorkDays,1)+1+$W88),INDEX(WorkDays,MATCH(INDEX($AF$6:$AF$156,MATCH($U88,$A$6:$A$156,0)),WorkDays,1)+IF($Q88=0,0,1)+$W88)))))</f>
        <v>46212</v>
      </c>
      <c r="AF88" s="61" t="n">
        <f aca="false">IF($AB88&lt;&gt;"",$AB88,IF($Q88=0,$AE88,INDEX(WorkDays,MATCH(MAX($AE88,NextWD)-1,WorkDays,1)+$AD88)))</f>
        <v>46246</v>
      </c>
      <c r="AG88" s="56" t="str">
        <f aca="false">IF($AB88&lt;&gt;"","Completed",IF($AA88&lt;&gt;"","In Progress",IF(AND($Y88&lt;&gt;"",$Y88&lt;=DataDate),"Not Started (Late)","Not Started")))</f>
        <v>Completed</v>
      </c>
      <c r="AH88" s="64" t="n">
        <f aca="false">IF($Z88="","",MATCH($AF88,WorkDays,1)-MATCH($Z88,WorkDays,1))</f>
        <v>9</v>
      </c>
      <c r="AI88" s="57" t="n">
        <f aca="false">IF($O88="","",$O88*IF($AB88&lt;&gt;"",1,$AC88))</f>
        <v>88</v>
      </c>
      <c r="AJ88" s="55" t="s">
        <v>321</v>
      </c>
    </row>
    <row r="89" customFormat="false" ht="32.8" hidden="false" customHeight="false" outlineLevel="3" collapsed="false">
      <c r="A89" s="53" t="s">
        <v>419</v>
      </c>
      <c r="B89" s="25" t="n">
        <v>4</v>
      </c>
      <c r="C89" s="55" t="s">
        <v>420</v>
      </c>
      <c r="D89" s="55" t="s">
        <v>366</v>
      </c>
      <c r="E89" s="25" t="s">
        <v>77</v>
      </c>
      <c r="F89" s="55" t="s">
        <v>324</v>
      </c>
      <c r="G89" s="55" t="s">
        <v>416</v>
      </c>
      <c r="H89" s="55" t="s">
        <v>417</v>
      </c>
      <c r="I89" s="55" t="s">
        <v>421</v>
      </c>
      <c r="J89" s="25" t="n">
        <f aca="false">COUNTIF('BIM Element Map'!$J$6:$J$1000,$A89)</f>
        <v>9</v>
      </c>
      <c r="K89" s="56" t="s">
        <v>419</v>
      </c>
      <c r="L89" s="25" t="s">
        <v>173</v>
      </c>
      <c r="M89" s="55" t="s">
        <v>64</v>
      </c>
      <c r="N89" s="55" t="s">
        <v>311</v>
      </c>
      <c r="O89" s="57" t="n">
        <v>88</v>
      </c>
      <c r="P89" s="25" t="s">
        <v>320</v>
      </c>
      <c r="Q89" s="58" t="n">
        <v>28</v>
      </c>
      <c r="R89" s="59" t="s">
        <v>405</v>
      </c>
      <c r="S89" s="58" t="s">
        <v>177</v>
      </c>
      <c r="T89" s="58" t="n">
        <v>0</v>
      </c>
      <c r="U89" s="59" t="s">
        <v>414</v>
      </c>
      <c r="V89" s="58" t="s">
        <v>307</v>
      </c>
      <c r="W89" s="58" t="n">
        <v>15</v>
      </c>
      <c r="X89" s="60"/>
      <c r="Y89" s="61" t="n">
        <v>46224</v>
      </c>
      <c r="Z89" s="61" t="n">
        <v>46246</v>
      </c>
      <c r="AA89" s="62" t="n">
        <v>46230</v>
      </c>
      <c r="AB89" s="62" t="n">
        <v>46262</v>
      </c>
      <c r="AC89" s="63" t="n">
        <v>1</v>
      </c>
      <c r="AD89" s="25" t="n">
        <f aca="false">IF($AB89&lt;&gt;"",0,IF($AA89="",$Q89,MAX(1,ROUND($Q89*(1-$AC89),0))))</f>
        <v>0</v>
      </c>
      <c r="AE89" s="61" t="n">
        <f aca="false">IF($AA89&lt;&gt;"",$AA89,MAX($X89,NextWD,IF($R89="",0,IF($S89="SS",INDEX(WorkDays,MATCH(INDEX($AE$6:$AE$156,MATCH($R89,$A$6:$A$156,0))-1,WorkDays,1)+1+$T89),INDEX(WorkDays,MATCH(INDEX($AF$6:$AF$156,MATCH($R89,$A$6:$A$156,0)),WorkDays,1)+IF($Q89=0,0,1)+$T89))),IF($U89="",0,IF($V89="SS",INDEX(WorkDays,MATCH(INDEX($AE$6:$AE$156,MATCH($U89,$A$6:$A$156,0))-1,WorkDays,1)+1+$W89),INDEX(WorkDays,MATCH(INDEX($AF$6:$AF$156,MATCH($U89,$A$6:$A$156,0)),WorkDays,1)+IF($Q89=0,0,1)+$W89)))))</f>
        <v>46230</v>
      </c>
      <c r="AF89" s="61" t="n">
        <f aca="false">IF($AB89&lt;&gt;"",$AB89,IF($Q89=0,$AE89,INDEX(WorkDays,MATCH(MAX($AE89,NextWD)-1,WorkDays,1)+$AD89)))</f>
        <v>46262</v>
      </c>
      <c r="AG89" s="56" t="str">
        <f aca="false">IF($AB89&lt;&gt;"","Completed",IF($AA89&lt;&gt;"","In Progress",IF(AND($Y89&lt;&gt;"",$Y89&lt;=DataDate),"Not Started (Late)","Not Started")))</f>
        <v>Completed</v>
      </c>
      <c r="AH89" s="64" t="n">
        <f aca="false">IF($Z89="","",MATCH($AF89,WorkDays,1)-MATCH($Z89,WorkDays,1))</f>
        <v>13</v>
      </c>
      <c r="AI89" s="57" t="n">
        <f aca="false">IF($O89="","",$O89*IF($AB89&lt;&gt;"",1,$AC89))</f>
        <v>88</v>
      </c>
      <c r="AJ89" s="55" t="s">
        <v>321</v>
      </c>
    </row>
    <row r="90" customFormat="false" ht="32.8" hidden="false" customHeight="false" outlineLevel="3" collapsed="false">
      <c r="A90" s="53" t="s">
        <v>422</v>
      </c>
      <c r="B90" s="25" t="n">
        <v>4</v>
      </c>
      <c r="C90" s="55" t="s">
        <v>423</v>
      </c>
      <c r="D90" s="55" t="s">
        <v>366</v>
      </c>
      <c r="E90" s="25" t="s">
        <v>79</v>
      </c>
      <c r="F90" s="55" t="s">
        <v>328</v>
      </c>
      <c r="G90" s="55" t="s">
        <v>416</v>
      </c>
      <c r="H90" s="55" t="s">
        <v>417</v>
      </c>
      <c r="I90" s="55" t="s">
        <v>424</v>
      </c>
      <c r="J90" s="25" t="n">
        <f aca="false">COUNTIF('BIM Element Map'!$J$6:$J$1000,$A90)</f>
        <v>9</v>
      </c>
      <c r="K90" s="56" t="s">
        <v>422</v>
      </c>
      <c r="L90" s="25" t="s">
        <v>173</v>
      </c>
      <c r="M90" s="55" t="s">
        <v>64</v>
      </c>
      <c r="N90" s="55" t="s">
        <v>311</v>
      </c>
      <c r="O90" s="57" t="n">
        <v>62</v>
      </c>
      <c r="P90" s="25" t="s">
        <v>320</v>
      </c>
      <c r="Q90" s="58" t="n">
        <v>24</v>
      </c>
      <c r="R90" s="59" t="s">
        <v>407</v>
      </c>
      <c r="S90" s="58" t="s">
        <v>177</v>
      </c>
      <c r="T90" s="58" t="n">
        <v>0</v>
      </c>
      <c r="U90" s="59" t="s">
        <v>419</v>
      </c>
      <c r="V90" s="58" t="s">
        <v>307</v>
      </c>
      <c r="W90" s="58" t="n">
        <v>14</v>
      </c>
      <c r="X90" s="60"/>
      <c r="Y90" s="61" t="n">
        <v>46235</v>
      </c>
      <c r="Z90" s="61" t="n">
        <v>46254</v>
      </c>
      <c r="AA90" s="62" t="n">
        <v>46246</v>
      </c>
      <c r="AB90" s="62" t="n">
        <v>46274</v>
      </c>
      <c r="AC90" s="63" t="n">
        <v>1</v>
      </c>
      <c r="AD90" s="25" t="n">
        <f aca="false">IF($AB90&lt;&gt;"",0,IF($AA90="",$Q90,MAX(1,ROUND($Q90*(1-$AC90),0))))</f>
        <v>0</v>
      </c>
      <c r="AE90" s="61" t="n">
        <f aca="false">IF($AA90&lt;&gt;"",$AA90,MAX($X90,NextWD,IF($R90="",0,IF($S90="SS",INDEX(WorkDays,MATCH(INDEX($AE$6:$AE$156,MATCH($R90,$A$6:$A$156,0))-1,WorkDays,1)+1+$T90),INDEX(WorkDays,MATCH(INDEX($AF$6:$AF$156,MATCH($R90,$A$6:$A$156,0)),WorkDays,1)+IF($Q90=0,0,1)+$T90))),IF($U90="",0,IF($V90="SS",INDEX(WorkDays,MATCH(INDEX($AE$6:$AE$156,MATCH($U90,$A$6:$A$156,0))-1,WorkDays,1)+1+$W90),INDEX(WorkDays,MATCH(INDEX($AF$6:$AF$156,MATCH($U90,$A$6:$A$156,0)),WorkDays,1)+IF($Q90=0,0,1)+$W90)))))</f>
        <v>46246</v>
      </c>
      <c r="AF90" s="61" t="n">
        <f aca="false">IF($AB90&lt;&gt;"",$AB90,IF($Q90=0,$AE90,INDEX(WorkDays,MATCH(MAX($AE90,NextWD)-1,WorkDays,1)+$AD90)))</f>
        <v>46274</v>
      </c>
      <c r="AG90" s="56" t="str">
        <f aca="false">IF($AB90&lt;&gt;"","Completed",IF($AA90&lt;&gt;"","In Progress",IF(AND($Y90&lt;&gt;"",$Y90&lt;=DataDate),"Not Started (Late)","Not Started")))</f>
        <v>Completed</v>
      </c>
      <c r="AH90" s="64" t="n">
        <f aca="false">IF($Z90="","",MATCH($AF90,WorkDays,1)-MATCH($Z90,WorkDays,1))</f>
        <v>17</v>
      </c>
      <c r="AI90" s="57" t="n">
        <f aca="false">IF($O90="","",$O90*IF($AB90&lt;&gt;"",1,$AC90))</f>
        <v>62</v>
      </c>
      <c r="AJ90" s="55" t="s">
        <v>321</v>
      </c>
    </row>
    <row r="91" customFormat="false" ht="22.35" hidden="false" customHeight="false" outlineLevel="3" collapsed="false">
      <c r="A91" s="53" t="s">
        <v>425</v>
      </c>
      <c r="B91" s="25" t="n">
        <v>4</v>
      </c>
      <c r="C91" s="55" t="s">
        <v>426</v>
      </c>
      <c r="D91" s="55" t="s">
        <v>366</v>
      </c>
      <c r="E91" s="25" t="s">
        <v>75</v>
      </c>
      <c r="F91" s="55" t="s">
        <v>427</v>
      </c>
      <c r="G91" s="55" t="s">
        <v>428</v>
      </c>
      <c r="H91" s="55" t="s">
        <v>368</v>
      </c>
      <c r="I91" s="55" t="s">
        <v>429</v>
      </c>
      <c r="J91" s="25" t="n">
        <f aca="false">COUNTIF('BIM Element Map'!$J$6:$J$1000,$A91)</f>
        <v>4</v>
      </c>
      <c r="K91" s="56" t="s">
        <v>425</v>
      </c>
      <c r="L91" s="25" t="s">
        <v>173</v>
      </c>
      <c r="M91" s="55" t="s">
        <v>58</v>
      </c>
      <c r="N91" s="55" t="s">
        <v>311</v>
      </c>
      <c r="O91" s="57" t="n">
        <v>2</v>
      </c>
      <c r="P91" s="25" t="s">
        <v>320</v>
      </c>
      <c r="Q91" s="58" t="n">
        <v>8</v>
      </c>
      <c r="R91" s="59" t="s">
        <v>414</v>
      </c>
      <c r="S91" s="58" t="s">
        <v>177</v>
      </c>
      <c r="T91" s="58" t="n">
        <v>0</v>
      </c>
      <c r="U91" s="59" t="s">
        <v>409</v>
      </c>
      <c r="V91" s="58" t="s">
        <v>177</v>
      </c>
      <c r="W91" s="58" t="n">
        <v>0</v>
      </c>
      <c r="X91" s="60"/>
      <c r="Y91" s="61" t="n">
        <v>46237</v>
      </c>
      <c r="Z91" s="61" t="n">
        <v>46241</v>
      </c>
      <c r="AA91" s="62" t="n">
        <v>46247</v>
      </c>
      <c r="AB91" s="62" t="n">
        <v>46256</v>
      </c>
      <c r="AC91" s="63" t="n">
        <v>1</v>
      </c>
      <c r="AD91" s="25" t="n">
        <f aca="false">IF($AB91&lt;&gt;"",0,IF($AA91="",$Q91,MAX(1,ROUND($Q91*(1-$AC91),0))))</f>
        <v>0</v>
      </c>
      <c r="AE91" s="61" t="n">
        <f aca="false">IF($AA91&lt;&gt;"",$AA91,MAX($X91,NextWD,IF($R91="",0,IF($S91="SS",INDEX(WorkDays,MATCH(INDEX($AE$6:$AE$156,MATCH($R91,$A$6:$A$156,0))-1,WorkDays,1)+1+$T91),INDEX(WorkDays,MATCH(INDEX($AF$6:$AF$156,MATCH($R91,$A$6:$A$156,0)),WorkDays,1)+IF($Q91=0,0,1)+$T91))),IF($U91="",0,IF($V91="SS",INDEX(WorkDays,MATCH(INDEX($AE$6:$AE$156,MATCH($U91,$A$6:$A$156,0))-1,WorkDays,1)+1+$W91),INDEX(WorkDays,MATCH(INDEX($AF$6:$AF$156,MATCH($U91,$A$6:$A$156,0)),WorkDays,1)+IF($Q91=0,0,1)+$W91)))))</f>
        <v>46247</v>
      </c>
      <c r="AF91" s="61" t="n">
        <f aca="false">IF($AB91&lt;&gt;"",$AB91,IF($Q91=0,$AE91,INDEX(WorkDays,MATCH(MAX($AE91,NextWD)-1,WorkDays,1)+$AD91)))</f>
        <v>46256</v>
      </c>
      <c r="AG91" s="56" t="str">
        <f aca="false">IF($AB91&lt;&gt;"","Completed",IF($AA91&lt;&gt;"","In Progress",IF(AND($Y91&lt;&gt;"",$Y91&lt;=DataDate),"Not Started (Late)","Not Started")))</f>
        <v>Completed</v>
      </c>
      <c r="AH91" s="64" t="n">
        <f aca="false">IF($Z91="","",MATCH($AF91,WorkDays,1)-MATCH($Z91,WorkDays,1))</f>
        <v>12</v>
      </c>
      <c r="AI91" s="57" t="n">
        <f aca="false">IF($O91="","",$O91*IF($AB91&lt;&gt;"",1,$AC91))</f>
        <v>2</v>
      </c>
      <c r="AJ91" s="55" t="s">
        <v>321</v>
      </c>
    </row>
    <row r="92" customFormat="false" ht="32.8" hidden="false" customHeight="false" outlineLevel="3" collapsed="false">
      <c r="A92" s="53" t="s">
        <v>430</v>
      </c>
      <c r="B92" s="25" t="n">
        <v>4</v>
      </c>
      <c r="C92" s="55" t="s">
        <v>431</v>
      </c>
      <c r="D92" s="55" t="s">
        <v>366</v>
      </c>
      <c r="E92" s="25" t="s">
        <v>75</v>
      </c>
      <c r="F92" s="55" t="s">
        <v>384</v>
      </c>
      <c r="G92" s="55" t="s">
        <v>432</v>
      </c>
      <c r="H92" s="55" t="s">
        <v>417</v>
      </c>
      <c r="I92" s="55" t="s">
        <v>433</v>
      </c>
      <c r="J92" s="25" t="n">
        <f aca="false">COUNTIF('BIM Element Map'!$J$6:$J$1000,$A92)</f>
        <v>2</v>
      </c>
      <c r="K92" s="56" t="s">
        <v>430</v>
      </c>
      <c r="L92" s="25" t="s">
        <v>173</v>
      </c>
      <c r="M92" s="55" t="s">
        <v>64</v>
      </c>
      <c r="N92" s="55" t="s">
        <v>311</v>
      </c>
      <c r="O92" s="57" t="n">
        <v>8.5</v>
      </c>
      <c r="P92" s="25" t="s">
        <v>320</v>
      </c>
      <c r="Q92" s="58" t="n">
        <v>12</v>
      </c>
      <c r="R92" s="59" t="s">
        <v>425</v>
      </c>
      <c r="S92" s="58" t="s">
        <v>177</v>
      </c>
      <c r="T92" s="58" t="n">
        <v>0</v>
      </c>
      <c r="U92" s="59"/>
      <c r="V92" s="58"/>
      <c r="W92" s="58"/>
      <c r="X92" s="60"/>
      <c r="Y92" s="61" t="n">
        <v>46242</v>
      </c>
      <c r="Z92" s="61" t="n">
        <v>46252</v>
      </c>
      <c r="AA92" s="62" t="n">
        <v>46258</v>
      </c>
      <c r="AB92" s="62" t="n">
        <v>46270</v>
      </c>
      <c r="AC92" s="63" t="n">
        <v>1</v>
      </c>
      <c r="AD92" s="25" t="n">
        <f aca="false">IF($AB92&lt;&gt;"",0,IF($AA92="",$Q92,MAX(1,ROUND($Q92*(1-$AC92),0))))</f>
        <v>0</v>
      </c>
      <c r="AE92" s="61" t="n">
        <f aca="false">IF($AA92&lt;&gt;"",$AA92,MAX($X92,NextWD,IF($R92="",0,IF($S92="SS",INDEX(WorkDays,MATCH(INDEX($AE$6:$AE$156,MATCH($R92,$A$6:$A$156,0))-1,WorkDays,1)+1+$T92),INDEX(WorkDays,MATCH(INDEX($AF$6:$AF$156,MATCH($R92,$A$6:$A$156,0)),WorkDays,1)+IF($Q92=0,0,1)+$T92))),IF($U92="",0,IF($V92="SS",INDEX(WorkDays,MATCH(INDEX($AE$6:$AE$156,MATCH($U92,$A$6:$A$156,0))-1,WorkDays,1)+1+$W92),INDEX(WorkDays,MATCH(INDEX($AF$6:$AF$156,MATCH($U92,$A$6:$A$156,0)),WorkDays,1)+IF($Q92=0,0,1)+$W92)))))</f>
        <v>46258</v>
      </c>
      <c r="AF92" s="61" t="n">
        <f aca="false">IF($AB92&lt;&gt;"",$AB92,IF($Q92=0,$AE92,INDEX(WorkDays,MATCH(MAX($AE92,NextWD)-1,WorkDays,1)+$AD92)))</f>
        <v>46270</v>
      </c>
      <c r="AG92" s="56" t="str">
        <f aca="false">IF($AB92&lt;&gt;"","Completed",IF($AA92&lt;&gt;"","In Progress",IF(AND($Y92&lt;&gt;"",$Y92&lt;=DataDate),"Not Started (Late)","Not Started")))</f>
        <v>Completed</v>
      </c>
      <c r="AH92" s="64" t="n">
        <f aca="false">IF($Z92="","",MATCH($AF92,WorkDays,1)-MATCH($Z92,WorkDays,1))</f>
        <v>16</v>
      </c>
      <c r="AI92" s="57" t="n">
        <f aca="false">IF($O92="","",$O92*IF($AB92&lt;&gt;"",1,$AC92))</f>
        <v>8.5</v>
      </c>
      <c r="AJ92" s="55" t="s">
        <v>321</v>
      </c>
    </row>
    <row r="93" customFormat="false" ht="22.35" hidden="false" customHeight="false" outlineLevel="3" collapsed="false">
      <c r="A93" s="53" t="s">
        <v>434</v>
      </c>
      <c r="B93" s="25" t="n">
        <v>4</v>
      </c>
      <c r="C93" s="55" t="s">
        <v>435</v>
      </c>
      <c r="D93" s="55" t="s">
        <v>366</v>
      </c>
      <c r="E93" s="25" t="s">
        <v>79</v>
      </c>
      <c r="F93" s="55" t="s">
        <v>436</v>
      </c>
      <c r="G93" s="55" t="s">
        <v>428</v>
      </c>
      <c r="H93" s="55" t="s">
        <v>368</v>
      </c>
      <c r="I93" s="55" t="s">
        <v>429</v>
      </c>
      <c r="J93" s="25" t="n">
        <f aca="false">COUNTIF('BIM Element Map'!$J$6:$J$1000,$A93)</f>
        <v>4</v>
      </c>
      <c r="K93" s="56" t="s">
        <v>434</v>
      </c>
      <c r="L93" s="25" t="s">
        <v>173</v>
      </c>
      <c r="M93" s="55" t="s">
        <v>58</v>
      </c>
      <c r="N93" s="55" t="s">
        <v>311</v>
      </c>
      <c r="O93" s="57" t="n">
        <v>2</v>
      </c>
      <c r="P93" s="25" t="s">
        <v>320</v>
      </c>
      <c r="Q93" s="58" t="n">
        <v>8</v>
      </c>
      <c r="R93" s="59" t="s">
        <v>422</v>
      </c>
      <c r="S93" s="58" t="s">
        <v>177</v>
      </c>
      <c r="T93" s="58" t="n">
        <v>0</v>
      </c>
      <c r="U93" s="59" t="s">
        <v>412</v>
      </c>
      <c r="V93" s="58" t="s">
        <v>177</v>
      </c>
      <c r="W93" s="58" t="n">
        <v>0</v>
      </c>
      <c r="X93" s="60"/>
      <c r="Y93" s="61" t="n">
        <v>46255</v>
      </c>
      <c r="Z93" s="61" t="n">
        <v>46261</v>
      </c>
      <c r="AA93" s="62" t="n">
        <v>46275</v>
      </c>
      <c r="AB93" s="62" t="n">
        <v>46283</v>
      </c>
      <c r="AC93" s="63" t="n">
        <v>1</v>
      </c>
      <c r="AD93" s="25" t="n">
        <f aca="false">IF($AB93&lt;&gt;"",0,IF($AA93="",$Q93,MAX(1,ROUND($Q93*(1-$AC93),0))))</f>
        <v>0</v>
      </c>
      <c r="AE93" s="61" t="n">
        <f aca="false">IF($AA93&lt;&gt;"",$AA93,MAX($X93,NextWD,IF($R93="",0,IF($S93="SS",INDEX(WorkDays,MATCH(INDEX($AE$6:$AE$156,MATCH($R93,$A$6:$A$156,0))-1,WorkDays,1)+1+$T93),INDEX(WorkDays,MATCH(INDEX($AF$6:$AF$156,MATCH($R93,$A$6:$A$156,0)),WorkDays,1)+IF($Q93=0,0,1)+$T93))),IF($U93="",0,IF($V93="SS",INDEX(WorkDays,MATCH(INDEX($AE$6:$AE$156,MATCH($U93,$A$6:$A$156,0))-1,WorkDays,1)+1+$W93),INDEX(WorkDays,MATCH(INDEX($AF$6:$AF$156,MATCH($U93,$A$6:$A$156,0)),WorkDays,1)+IF($Q93=0,0,1)+$W93)))))</f>
        <v>46275</v>
      </c>
      <c r="AF93" s="61" t="n">
        <f aca="false">IF($AB93&lt;&gt;"",$AB93,IF($Q93=0,$AE93,INDEX(WorkDays,MATCH(MAX($AE93,NextWD)-1,WorkDays,1)+$AD93)))</f>
        <v>46283</v>
      </c>
      <c r="AG93" s="56" t="str">
        <f aca="false">IF($AB93&lt;&gt;"","Completed",IF($AA93&lt;&gt;"","In Progress",IF(AND($Y93&lt;&gt;"",$Y93&lt;=DataDate),"Not Started (Late)","Not Started")))</f>
        <v>Completed</v>
      </c>
      <c r="AH93" s="64" t="n">
        <f aca="false">IF($Z93="","",MATCH($AF93,WorkDays,1)-MATCH($Z93,WorkDays,1))</f>
        <v>19</v>
      </c>
      <c r="AI93" s="57" t="n">
        <f aca="false">IF($O93="","",$O93*IF($AB93&lt;&gt;"",1,$AC93))</f>
        <v>2</v>
      </c>
      <c r="AJ93" s="55" t="s">
        <v>321</v>
      </c>
    </row>
    <row r="94" customFormat="false" ht="32.8" hidden="false" customHeight="false" outlineLevel="3" collapsed="false">
      <c r="A94" s="53" t="s">
        <v>437</v>
      </c>
      <c r="B94" s="25" t="n">
        <v>4</v>
      </c>
      <c r="C94" s="55" t="s">
        <v>438</v>
      </c>
      <c r="D94" s="55" t="s">
        <v>366</v>
      </c>
      <c r="E94" s="25" t="s">
        <v>79</v>
      </c>
      <c r="F94" s="55" t="s">
        <v>401</v>
      </c>
      <c r="G94" s="55" t="s">
        <v>432</v>
      </c>
      <c r="H94" s="55" t="s">
        <v>417</v>
      </c>
      <c r="I94" s="55" t="s">
        <v>433</v>
      </c>
      <c r="J94" s="25" t="n">
        <f aca="false">COUNTIF('BIM Element Map'!$J$6:$J$1000,$A94)</f>
        <v>2</v>
      </c>
      <c r="K94" s="56" t="s">
        <v>437</v>
      </c>
      <c r="L94" s="25" t="s">
        <v>173</v>
      </c>
      <c r="M94" s="55" t="s">
        <v>64</v>
      </c>
      <c r="N94" s="55" t="s">
        <v>311</v>
      </c>
      <c r="O94" s="57" t="n">
        <v>8.5</v>
      </c>
      <c r="P94" s="25" t="s">
        <v>320</v>
      </c>
      <c r="Q94" s="58" t="n">
        <v>12</v>
      </c>
      <c r="R94" s="59" t="s">
        <v>434</v>
      </c>
      <c r="S94" s="58" t="s">
        <v>177</v>
      </c>
      <c r="T94" s="58" t="n">
        <v>0</v>
      </c>
      <c r="U94" s="59"/>
      <c r="V94" s="58"/>
      <c r="W94" s="58"/>
      <c r="X94" s="60"/>
      <c r="Y94" s="61" t="n">
        <v>46262</v>
      </c>
      <c r="Z94" s="61" t="n">
        <v>46270</v>
      </c>
      <c r="AA94" s="62" t="n">
        <v>46284</v>
      </c>
      <c r="AB94" s="62"/>
      <c r="AC94" s="63" t="n">
        <v>0.92</v>
      </c>
      <c r="AD94" s="25" t="n">
        <f aca="false">IF($AB94&lt;&gt;"",0,IF($AA94="",$Q94,MAX(1,ROUND($Q94*(1-$AC94),0))))</f>
        <v>1</v>
      </c>
      <c r="AE94" s="61" t="n">
        <f aca="false">IF($AA94&lt;&gt;"",$AA94,MAX($X94,NextWD,IF($R94="",0,IF($S94="SS",INDEX(WorkDays,MATCH(INDEX($AE$6:$AE$156,MATCH($R94,$A$6:$A$156,0))-1,WorkDays,1)+1+$T94),INDEX(WorkDays,MATCH(INDEX($AF$6:$AF$156,MATCH($R94,$A$6:$A$156,0)),WorkDays,1)+IF($Q94=0,0,1)+$T94))),IF($U94="",0,IF($V94="SS",INDEX(WorkDays,MATCH(INDEX($AE$6:$AE$156,MATCH($U94,$A$6:$A$156,0))-1,WorkDays,1)+1+$W94),INDEX(WorkDays,MATCH(INDEX($AF$6:$AF$156,MATCH($U94,$A$6:$A$156,0)),WorkDays,1)+IF($Q94=0,0,1)+$W94)))))</f>
        <v>46284</v>
      </c>
      <c r="AF94" s="61" t="n">
        <f aca="false">IF($AB94&lt;&gt;"",$AB94,IF($Q94=0,$AE94,INDEX(WorkDays,MATCH(MAX($AE94,NextWD)-1,WorkDays,1)+$AD94)))</f>
        <v>46298</v>
      </c>
      <c r="AG94" s="56" t="str">
        <f aca="false">IF($AB94&lt;&gt;"","Completed",IF($AA94&lt;&gt;"","In Progress",IF(AND($Y94&lt;&gt;"",$Y94&lt;=DataDate),"Not Started (Late)","Not Started")))</f>
        <v>In Progress</v>
      </c>
      <c r="AH94" s="64" t="n">
        <f aca="false">IF($Z94="","",MATCH($AF94,WorkDays,1)-MATCH($Z94,WorkDays,1))</f>
        <v>23</v>
      </c>
      <c r="AI94" s="57" t="n">
        <f aca="false">IF($O94="","",$O94*IF($AB94&lt;&gt;"",1,$AC94))</f>
        <v>7.82</v>
      </c>
      <c r="AJ94" s="55" t="s">
        <v>439</v>
      </c>
    </row>
    <row r="95" customFormat="false" ht="32.8" hidden="false" customHeight="false" outlineLevel="3" collapsed="false">
      <c r="A95" s="53" t="s">
        <v>440</v>
      </c>
      <c r="B95" s="25" t="n">
        <v>4</v>
      </c>
      <c r="C95" s="55" t="s">
        <v>441</v>
      </c>
      <c r="D95" s="55" t="s">
        <v>442</v>
      </c>
      <c r="E95" s="25" t="s">
        <v>443</v>
      </c>
      <c r="F95" s="55" t="s">
        <v>444</v>
      </c>
      <c r="G95" s="55" t="s">
        <v>445</v>
      </c>
      <c r="H95" s="55" t="s">
        <v>446</v>
      </c>
      <c r="I95" s="55" t="s">
        <v>447</v>
      </c>
      <c r="J95" s="25" t="n">
        <f aca="false">COUNTIF('BIM Element Map'!$J$6:$J$1000,$A95)</f>
        <v>2</v>
      </c>
      <c r="K95" s="56" t="s">
        <v>440</v>
      </c>
      <c r="L95" s="25" t="s">
        <v>173</v>
      </c>
      <c r="M95" s="55" t="s">
        <v>70</v>
      </c>
      <c r="N95" s="55" t="s">
        <v>311</v>
      </c>
      <c r="O95" s="57" t="n">
        <v>95</v>
      </c>
      <c r="P95" s="25" t="s">
        <v>320</v>
      </c>
      <c r="Q95" s="58" t="n">
        <v>25</v>
      </c>
      <c r="R95" s="59" t="s">
        <v>361</v>
      </c>
      <c r="S95" s="58" t="s">
        <v>177</v>
      </c>
      <c r="T95" s="58" t="n">
        <v>0</v>
      </c>
      <c r="U95" s="59"/>
      <c r="V95" s="58"/>
      <c r="W95" s="58"/>
      <c r="X95" s="60"/>
      <c r="Y95" s="61" t="n">
        <v>46175</v>
      </c>
      <c r="Z95" s="61" t="n">
        <v>46193</v>
      </c>
      <c r="AA95" s="62" t="n">
        <v>46157</v>
      </c>
      <c r="AB95" s="62" t="n">
        <v>46185</v>
      </c>
      <c r="AC95" s="63" t="n">
        <v>1</v>
      </c>
      <c r="AD95" s="25" t="n">
        <f aca="false">IF($AB95&lt;&gt;"",0,IF($AA95="",$Q95,MAX(1,ROUND($Q95*(1-$AC95),0))))</f>
        <v>0</v>
      </c>
      <c r="AE95" s="61" t="n">
        <f aca="false">IF($AA95&lt;&gt;"",$AA95,MAX($X95,NextWD,IF($R95="",0,IF($S95="SS",INDEX(WorkDays,MATCH(INDEX($AE$6:$AE$156,MATCH($R95,$A$6:$A$156,0))-1,WorkDays,1)+1+$T95),INDEX(WorkDays,MATCH(INDEX($AF$6:$AF$156,MATCH($R95,$A$6:$A$156,0)),WorkDays,1)+IF($Q95=0,0,1)+$T95))),IF($U95="",0,IF($V95="SS",INDEX(WorkDays,MATCH(INDEX($AE$6:$AE$156,MATCH($U95,$A$6:$A$156,0))-1,WorkDays,1)+1+$W95),INDEX(WorkDays,MATCH(INDEX($AF$6:$AF$156,MATCH($U95,$A$6:$A$156,0)),WorkDays,1)+IF($Q95=0,0,1)+$W95)))))</f>
        <v>46157</v>
      </c>
      <c r="AF95" s="61" t="n">
        <f aca="false">IF($AB95&lt;&gt;"",$AB95,IF($Q95=0,$AE95,INDEX(WorkDays,MATCH(MAX($AE95,NextWD)-1,WorkDays,1)+$AD95)))</f>
        <v>46185</v>
      </c>
      <c r="AG95" s="56" t="str">
        <f aca="false">IF($AB95&lt;&gt;"","Completed",IF($AA95&lt;&gt;"","In Progress",IF(AND($Y95&lt;&gt;"",$Y95&lt;=DataDate),"Not Started (Late)","Not Started")))</f>
        <v>Completed</v>
      </c>
      <c r="AH95" s="64" t="n">
        <f aca="false">IF($Z95="","",MATCH($AF95,WorkDays,1)-MATCH($Z95,WorkDays,1))</f>
        <v>-7</v>
      </c>
      <c r="AI95" s="57" t="n">
        <f aca="false">IF($O95="","",$O95*IF($AB95&lt;&gt;"",1,$AC95))</f>
        <v>95</v>
      </c>
      <c r="AJ95" s="55" t="s">
        <v>321</v>
      </c>
    </row>
    <row r="96" customFormat="false" ht="22.35" hidden="false" customHeight="false" outlineLevel="3" collapsed="false">
      <c r="A96" s="53" t="s">
        <v>448</v>
      </c>
      <c r="B96" s="25" t="n">
        <v>4</v>
      </c>
      <c r="C96" s="55" t="s">
        <v>449</v>
      </c>
      <c r="D96" s="55" t="s">
        <v>442</v>
      </c>
      <c r="E96" s="25" t="s">
        <v>443</v>
      </c>
      <c r="F96" s="55" t="s">
        <v>450</v>
      </c>
      <c r="G96" s="55" t="s">
        <v>451</v>
      </c>
      <c r="H96" s="55" t="s">
        <v>452</v>
      </c>
      <c r="I96" s="55" t="s">
        <v>453</v>
      </c>
      <c r="J96" s="25" t="n">
        <f aca="false">COUNTIF('BIM Element Map'!$J$6:$J$1000,$A96)</f>
        <v>1</v>
      </c>
      <c r="K96" s="56" t="s">
        <v>448</v>
      </c>
      <c r="L96" s="25" t="s">
        <v>173</v>
      </c>
      <c r="M96" s="55" t="s">
        <v>70</v>
      </c>
      <c r="N96" s="55" t="s">
        <v>311</v>
      </c>
      <c r="O96" s="57" t="n">
        <v>85</v>
      </c>
      <c r="P96" s="25" t="s">
        <v>320</v>
      </c>
      <c r="Q96" s="58" t="n">
        <v>22</v>
      </c>
      <c r="R96" s="59" t="s">
        <v>440</v>
      </c>
      <c r="S96" s="58" t="s">
        <v>307</v>
      </c>
      <c r="T96" s="58" t="n">
        <v>10</v>
      </c>
      <c r="U96" s="59"/>
      <c r="V96" s="58"/>
      <c r="W96" s="58"/>
      <c r="X96" s="60"/>
      <c r="Y96" s="61" t="n">
        <v>46183</v>
      </c>
      <c r="Z96" s="61" t="n">
        <v>46199</v>
      </c>
      <c r="AA96" s="62" t="n">
        <v>46169</v>
      </c>
      <c r="AB96" s="62" t="n">
        <v>46193</v>
      </c>
      <c r="AC96" s="63" t="n">
        <v>1</v>
      </c>
      <c r="AD96" s="25" t="n">
        <f aca="false">IF($AB96&lt;&gt;"",0,IF($AA96="",$Q96,MAX(1,ROUND($Q96*(1-$AC96),0))))</f>
        <v>0</v>
      </c>
      <c r="AE96" s="61" t="n">
        <f aca="false">IF($AA96&lt;&gt;"",$AA96,MAX($X96,NextWD,IF($R96="",0,IF($S96="SS",INDEX(WorkDays,MATCH(INDEX($AE$6:$AE$156,MATCH($R96,$A$6:$A$156,0))-1,WorkDays,1)+1+$T96),INDEX(WorkDays,MATCH(INDEX($AF$6:$AF$156,MATCH($R96,$A$6:$A$156,0)),WorkDays,1)+IF($Q96=0,0,1)+$T96))),IF($U96="",0,IF($V96="SS",INDEX(WorkDays,MATCH(INDEX($AE$6:$AE$156,MATCH($U96,$A$6:$A$156,0))-1,WorkDays,1)+1+$W96),INDEX(WorkDays,MATCH(INDEX($AF$6:$AF$156,MATCH($U96,$A$6:$A$156,0)),WorkDays,1)+IF($Q96=0,0,1)+$W96)))))</f>
        <v>46169</v>
      </c>
      <c r="AF96" s="61" t="n">
        <f aca="false">IF($AB96&lt;&gt;"",$AB96,IF($Q96=0,$AE96,INDEX(WorkDays,MATCH(MAX($AE96,NextWD)-1,WorkDays,1)+$AD96)))</f>
        <v>46193</v>
      </c>
      <c r="AG96" s="56" t="str">
        <f aca="false">IF($AB96&lt;&gt;"","Completed",IF($AA96&lt;&gt;"","In Progress",IF(AND($Y96&lt;&gt;"",$Y96&lt;=DataDate),"Not Started (Late)","Not Started")))</f>
        <v>Completed</v>
      </c>
      <c r="AH96" s="64" t="n">
        <f aca="false">IF($Z96="","",MATCH($AF96,WorkDays,1)-MATCH($Z96,WorkDays,1))</f>
        <v>-5</v>
      </c>
      <c r="AI96" s="57" t="n">
        <f aca="false">IF($O96="","",$O96*IF($AB96&lt;&gt;"",1,$AC96))</f>
        <v>85</v>
      </c>
      <c r="AJ96" s="55" t="s">
        <v>321</v>
      </c>
    </row>
    <row r="97" customFormat="false" ht="22.35" hidden="false" customHeight="false" outlineLevel="3" collapsed="false">
      <c r="A97" s="53" t="s">
        <v>454</v>
      </c>
      <c r="B97" s="25" t="n">
        <v>4</v>
      </c>
      <c r="C97" s="55" t="s">
        <v>455</v>
      </c>
      <c r="D97" s="55" t="s">
        <v>442</v>
      </c>
      <c r="E97" s="25" t="s">
        <v>443</v>
      </c>
      <c r="F97" s="55" t="s">
        <v>456</v>
      </c>
      <c r="G97" s="55" t="s">
        <v>457</v>
      </c>
      <c r="H97" s="55" t="s">
        <v>458</v>
      </c>
      <c r="I97" s="55" t="s">
        <v>459</v>
      </c>
      <c r="J97" s="25" t="n">
        <f aca="false">COUNTIF('BIM Element Map'!$J$6:$J$1000,$A97)</f>
        <v>1</v>
      </c>
      <c r="K97" s="56" t="s">
        <v>454</v>
      </c>
      <c r="L97" s="25" t="s">
        <v>173</v>
      </c>
      <c r="M97" s="55" t="s">
        <v>70</v>
      </c>
      <c r="N97" s="55" t="s">
        <v>311</v>
      </c>
      <c r="O97" s="57" t="n">
        <v>40</v>
      </c>
      <c r="P97" s="25" t="s">
        <v>320</v>
      </c>
      <c r="Q97" s="58" t="n">
        <v>12</v>
      </c>
      <c r="R97" s="59" t="s">
        <v>396</v>
      </c>
      <c r="S97" s="58" t="s">
        <v>177</v>
      </c>
      <c r="T97" s="58" t="n">
        <v>10</v>
      </c>
      <c r="U97" s="59" t="s">
        <v>440</v>
      </c>
      <c r="V97" s="58" t="s">
        <v>177</v>
      </c>
      <c r="W97" s="58" t="n">
        <v>0</v>
      </c>
      <c r="X97" s="60"/>
      <c r="Y97" s="61" t="n">
        <v>46220</v>
      </c>
      <c r="Z97" s="61" t="n">
        <v>46228</v>
      </c>
      <c r="AA97" s="62" t="n">
        <v>46224</v>
      </c>
      <c r="AB97" s="62" t="n">
        <v>46237</v>
      </c>
      <c r="AC97" s="63" t="n">
        <v>1</v>
      </c>
      <c r="AD97" s="25" t="n">
        <f aca="false">IF($AB97&lt;&gt;"",0,IF($AA97="",$Q97,MAX(1,ROUND($Q97*(1-$AC97),0))))</f>
        <v>0</v>
      </c>
      <c r="AE97" s="61" t="n">
        <f aca="false">IF($AA97&lt;&gt;"",$AA97,MAX($X97,NextWD,IF($R97="",0,IF($S97="SS",INDEX(WorkDays,MATCH(INDEX($AE$6:$AE$156,MATCH($R97,$A$6:$A$156,0))-1,WorkDays,1)+1+$T97),INDEX(WorkDays,MATCH(INDEX($AF$6:$AF$156,MATCH($R97,$A$6:$A$156,0)),WorkDays,1)+IF($Q97=0,0,1)+$T97))),IF($U97="",0,IF($V97="SS",INDEX(WorkDays,MATCH(INDEX($AE$6:$AE$156,MATCH($U97,$A$6:$A$156,0))-1,WorkDays,1)+1+$W97),INDEX(WorkDays,MATCH(INDEX($AF$6:$AF$156,MATCH($U97,$A$6:$A$156,0)),WorkDays,1)+IF($Q97=0,0,1)+$W97)))))</f>
        <v>46224</v>
      </c>
      <c r="AF97" s="61" t="n">
        <f aca="false">IF($AB97&lt;&gt;"",$AB97,IF($Q97=0,$AE97,INDEX(WorkDays,MATCH(MAX($AE97,NextWD)-1,WorkDays,1)+$AD97)))</f>
        <v>46237</v>
      </c>
      <c r="AG97" s="56" t="str">
        <f aca="false">IF($AB97&lt;&gt;"","Completed",IF($AA97&lt;&gt;"","In Progress",IF(AND($Y97&lt;&gt;"",$Y97&lt;=DataDate),"Not Started (Late)","Not Started")))</f>
        <v>Completed</v>
      </c>
      <c r="AH97" s="64" t="n">
        <f aca="false">IF($Z97="","",MATCH($AF97,WorkDays,1)-MATCH($Z97,WorkDays,1))</f>
        <v>7</v>
      </c>
      <c r="AI97" s="57" t="n">
        <f aca="false">IF($O97="","",$O97*IF($AB97&lt;&gt;"",1,$AC97))</f>
        <v>40</v>
      </c>
      <c r="AJ97" s="55" t="s">
        <v>321</v>
      </c>
    </row>
    <row r="98" customFormat="false" ht="22.35" hidden="false" customHeight="false" outlineLevel="3" collapsed="false">
      <c r="A98" s="53" t="s">
        <v>460</v>
      </c>
      <c r="B98" s="25" t="n">
        <v>4</v>
      </c>
      <c r="C98" s="55" t="s">
        <v>461</v>
      </c>
      <c r="D98" s="55" t="s">
        <v>442</v>
      </c>
      <c r="E98" s="25" t="s">
        <v>443</v>
      </c>
      <c r="F98" s="55" t="s">
        <v>462</v>
      </c>
      <c r="G98" s="55" t="s">
        <v>463</v>
      </c>
      <c r="H98" s="55" t="s">
        <v>458</v>
      </c>
      <c r="I98" s="55" t="s">
        <v>464</v>
      </c>
      <c r="J98" s="25" t="n">
        <f aca="false">COUNTIF('BIM Element Map'!$J$6:$J$1000,$A98)</f>
        <v>1</v>
      </c>
      <c r="K98" s="56" t="s">
        <v>460</v>
      </c>
      <c r="L98" s="25" t="s">
        <v>173</v>
      </c>
      <c r="M98" s="55" t="s">
        <v>70</v>
      </c>
      <c r="N98" s="55" t="s">
        <v>311</v>
      </c>
      <c r="O98" s="57" t="n">
        <v>25</v>
      </c>
      <c r="P98" s="25" t="s">
        <v>320</v>
      </c>
      <c r="Q98" s="58" t="n">
        <v>10</v>
      </c>
      <c r="R98" s="59" t="s">
        <v>440</v>
      </c>
      <c r="S98" s="58" t="s">
        <v>177</v>
      </c>
      <c r="T98" s="58" t="n">
        <v>0</v>
      </c>
      <c r="U98" s="59" t="s">
        <v>454</v>
      </c>
      <c r="V98" s="58" t="s">
        <v>307</v>
      </c>
      <c r="W98" s="58" t="n">
        <v>5</v>
      </c>
      <c r="X98" s="60"/>
      <c r="Y98" s="61" t="n">
        <v>46224</v>
      </c>
      <c r="Z98" s="61" t="n">
        <v>46231</v>
      </c>
      <c r="AA98" s="62" t="n">
        <v>46230</v>
      </c>
      <c r="AB98" s="62" t="n">
        <v>46240</v>
      </c>
      <c r="AC98" s="63" t="n">
        <v>1</v>
      </c>
      <c r="AD98" s="25" t="n">
        <f aca="false">IF($AB98&lt;&gt;"",0,IF($AA98="",$Q98,MAX(1,ROUND($Q98*(1-$AC98),0))))</f>
        <v>0</v>
      </c>
      <c r="AE98" s="61" t="n">
        <f aca="false">IF($AA98&lt;&gt;"",$AA98,MAX($X98,NextWD,IF($R98="",0,IF($S98="SS",INDEX(WorkDays,MATCH(INDEX($AE$6:$AE$156,MATCH($R98,$A$6:$A$156,0))-1,WorkDays,1)+1+$T98),INDEX(WorkDays,MATCH(INDEX($AF$6:$AF$156,MATCH($R98,$A$6:$A$156,0)),WorkDays,1)+IF($Q98=0,0,1)+$T98))),IF($U98="",0,IF($V98="SS",INDEX(WorkDays,MATCH(INDEX($AE$6:$AE$156,MATCH($U98,$A$6:$A$156,0))-1,WorkDays,1)+1+$W98),INDEX(WorkDays,MATCH(INDEX($AF$6:$AF$156,MATCH($U98,$A$6:$A$156,0)),WorkDays,1)+IF($Q98=0,0,1)+$W98)))))</f>
        <v>46230</v>
      </c>
      <c r="AF98" s="61" t="n">
        <f aca="false">IF($AB98&lt;&gt;"",$AB98,IF($Q98=0,$AE98,INDEX(WorkDays,MATCH(MAX($AE98,NextWD)-1,WorkDays,1)+$AD98)))</f>
        <v>46240</v>
      </c>
      <c r="AG98" s="56" t="str">
        <f aca="false">IF($AB98&lt;&gt;"","Completed",IF($AA98&lt;&gt;"","In Progress",IF(AND($Y98&lt;&gt;"",$Y98&lt;=DataDate),"Not Started (Late)","Not Started")))</f>
        <v>Completed</v>
      </c>
      <c r="AH98" s="64" t="n">
        <f aca="false">IF($Z98="","",MATCH($AF98,WorkDays,1)-MATCH($Z98,WorkDays,1))</f>
        <v>8</v>
      </c>
      <c r="AI98" s="57" t="n">
        <f aca="false">IF($O98="","",$O98*IF($AB98&lt;&gt;"",1,$AC98))</f>
        <v>25</v>
      </c>
      <c r="AJ98" s="55" t="s">
        <v>321</v>
      </c>
    </row>
    <row r="99" customFormat="false" ht="22.35" hidden="false" customHeight="false" outlineLevel="3" collapsed="false">
      <c r="A99" s="53" t="s">
        <v>465</v>
      </c>
      <c r="B99" s="25" t="n">
        <v>4</v>
      </c>
      <c r="C99" s="55" t="s">
        <v>466</v>
      </c>
      <c r="D99" s="55" t="s">
        <v>442</v>
      </c>
      <c r="E99" s="25" t="s">
        <v>75</v>
      </c>
      <c r="F99" s="55" t="s">
        <v>467</v>
      </c>
      <c r="G99" s="55" t="s">
        <v>463</v>
      </c>
      <c r="H99" s="55" t="s">
        <v>468</v>
      </c>
      <c r="I99" s="55" t="s">
        <v>469</v>
      </c>
      <c r="J99" s="25" t="n">
        <f aca="false">COUNTIF('BIM Element Map'!$J$6:$J$1000,$A99)</f>
        <v>2</v>
      </c>
      <c r="K99" s="56" t="s">
        <v>465</v>
      </c>
      <c r="L99" s="25" t="s">
        <v>173</v>
      </c>
      <c r="M99" s="55" t="s">
        <v>72</v>
      </c>
      <c r="N99" s="55" t="s">
        <v>311</v>
      </c>
      <c r="O99" s="57" t="n">
        <v>56</v>
      </c>
      <c r="P99" s="25" t="s">
        <v>320</v>
      </c>
      <c r="Q99" s="58" t="n">
        <v>18</v>
      </c>
      <c r="R99" s="59" t="s">
        <v>195</v>
      </c>
      <c r="S99" s="58" t="s">
        <v>177</v>
      </c>
      <c r="T99" s="58" t="n">
        <v>0</v>
      </c>
      <c r="U99" s="59" t="s">
        <v>414</v>
      </c>
      <c r="V99" s="58" t="s">
        <v>177</v>
      </c>
      <c r="W99" s="58" t="n">
        <v>0</v>
      </c>
      <c r="X99" s="60" t="n">
        <v>46298</v>
      </c>
      <c r="Y99" s="61" t="n">
        <v>46270</v>
      </c>
      <c r="Z99" s="61" t="n">
        <v>46284</v>
      </c>
      <c r="AA99" s="62"/>
      <c r="AB99" s="62"/>
      <c r="AC99" s="63" t="n">
        <v>0</v>
      </c>
      <c r="AD99" s="25" t="n">
        <f aca="false">IF($AB99&lt;&gt;"",0,IF($AA99="",$Q99,MAX(1,ROUND($Q99*(1-$AC99),0))))</f>
        <v>18</v>
      </c>
      <c r="AE99" s="61" t="n">
        <f aca="false">IF($AA99&lt;&gt;"",$AA99,MAX($X99,NextWD,IF($R99="",0,IF($S99="SS",INDEX(WorkDays,MATCH(INDEX($AE$6:$AE$156,MATCH($R99,$A$6:$A$156,0))-1,WorkDays,1)+1+$T99),INDEX(WorkDays,MATCH(INDEX($AF$6:$AF$156,MATCH($R99,$A$6:$A$156,0)),WorkDays,1)+IF($Q99=0,0,1)+$T99))),IF($U99="",0,IF($V99="SS",INDEX(WorkDays,MATCH(INDEX($AE$6:$AE$156,MATCH($U99,$A$6:$A$156,0))-1,WorkDays,1)+1+$W99),INDEX(WorkDays,MATCH(INDEX($AF$6:$AF$156,MATCH($U99,$A$6:$A$156,0)),WorkDays,1)+IF($Q99=0,0,1)+$W99)))))</f>
        <v>46298</v>
      </c>
      <c r="AF99" s="61" t="n">
        <f aca="false">IF($AB99&lt;&gt;"",$AB99,IF($Q99=0,$AE99,INDEX(WorkDays,MATCH(MAX($AE99,NextWD)-1,WorkDays,1)+$AD99)))</f>
        <v>46319</v>
      </c>
      <c r="AG99" s="56" t="str">
        <f aca="false">IF($AB99&lt;&gt;"","Completed",IF($AA99&lt;&gt;"","In Progress",IF(AND($Y99&lt;&gt;"",$Y99&lt;=DataDate),"Not Started (Late)","Not Started")))</f>
        <v>Not Started (Late)</v>
      </c>
      <c r="AH99" s="64" t="n">
        <f aca="false">IF($Z99="","",MATCH($AF99,WorkDays,1)-MATCH($Z99,WorkDays,1))</f>
        <v>28</v>
      </c>
      <c r="AI99" s="57" t="n">
        <f aca="false">IF($O99="","",$O99*IF($AB99&lt;&gt;"",1,$AC99))</f>
        <v>0</v>
      </c>
      <c r="AJ99" s="55" t="s">
        <v>470</v>
      </c>
    </row>
    <row r="100" customFormat="false" ht="22.35" hidden="false" customHeight="false" outlineLevel="3" collapsed="false">
      <c r="A100" s="53" t="s">
        <v>471</v>
      </c>
      <c r="B100" s="25" t="n">
        <v>4</v>
      </c>
      <c r="C100" s="55" t="s">
        <v>472</v>
      </c>
      <c r="D100" s="55" t="s">
        <v>442</v>
      </c>
      <c r="E100" s="25" t="s">
        <v>77</v>
      </c>
      <c r="F100" s="55" t="s">
        <v>473</v>
      </c>
      <c r="G100" s="55" t="s">
        <v>463</v>
      </c>
      <c r="H100" s="55" t="s">
        <v>468</v>
      </c>
      <c r="I100" s="55" t="s">
        <v>474</v>
      </c>
      <c r="J100" s="25" t="n">
        <f aca="false">COUNTIF('BIM Element Map'!$J$6:$J$1000,$A100)</f>
        <v>2</v>
      </c>
      <c r="K100" s="56" t="s">
        <v>471</v>
      </c>
      <c r="L100" s="25" t="s">
        <v>173</v>
      </c>
      <c r="M100" s="55" t="s">
        <v>72</v>
      </c>
      <c r="N100" s="55" t="s">
        <v>311</v>
      </c>
      <c r="O100" s="57" t="n">
        <v>56</v>
      </c>
      <c r="P100" s="25" t="s">
        <v>320</v>
      </c>
      <c r="Q100" s="58" t="n">
        <v>18</v>
      </c>
      <c r="R100" s="59" t="s">
        <v>465</v>
      </c>
      <c r="S100" s="58" t="s">
        <v>307</v>
      </c>
      <c r="T100" s="58" t="n">
        <v>5</v>
      </c>
      <c r="U100" s="59" t="s">
        <v>419</v>
      </c>
      <c r="V100" s="58" t="s">
        <v>177</v>
      </c>
      <c r="W100" s="58" t="n">
        <v>0</v>
      </c>
      <c r="X100" s="60"/>
      <c r="Y100" s="61" t="n">
        <v>46275</v>
      </c>
      <c r="Z100" s="61" t="n">
        <v>46288</v>
      </c>
      <c r="AA100" s="62"/>
      <c r="AB100" s="62"/>
      <c r="AC100" s="63" t="n">
        <v>0</v>
      </c>
      <c r="AD100" s="25" t="n">
        <f aca="false">IF($AB100&lt;&gt;"",0,IF($AA100="",$Q100,MAX(1,ROUND($Q100*(1-$AC100),0))))</f>
        <v>18</v>
      </c>
      <c r="AE100" s="61" t="n">
        <f aca="false">IF($AA100&lt;&gt;"",$AA100,MAX($X100,NextWD,IF($R100="",0,IF($S100="SS",INDEX(WorkDays,MATCH(INDEX($AE$6:$AE$156,MATCH($R100,$A$6:$A$156,0))-1,WorkDays,1)+1+$T100),INDEX(WorkDays,MATCH(INDEX($AF$6:$AF$156,MATCH($R100,$A$6:$A$156,0)),WorkDays,1)+IF($Q100=0,0,1)+$T100))),IF($U100="",0,IF($V100="SS",INDEX(WorkDays,MATCH(INDEX($AE$6:$AE$156,MATCH($U100,$A$6:$A$156,0))-1,WorkDays,1)+1+$W100),INDEX(WorkDays,MATCH(INDEX($AF$6:$AF$156,MATCH($U100,$A$6:$A$156,0)),WorkDays,1)+IF($Q100=0,0,1)+$W100)))))</f>
        <v>46304</v>
      </c>
      <c r="AF100" s="61" t="n">
        <f aca="false">IF($AB100&lt;&gt;"",$AB100,IF($Q100=0,$AE100,INDEX(WorkDays,MATCH(MAX($AE100,NextWD)-1,WorkDays,1)+$AD100)))</f>
        <v>46325</v>
      </c>
      <c r="AG100" s="56" t="str">
        <f aca="false">IF($AB100&lt;&gt;"","Completed",IF($AA100&lt;&gt;"","In Progress",IF(AND($Y100&lt;&gt;"",$Y100&lt;=DataDate),"Not Started (Late)","Not Started")))</f>
        <v>Not Started (Late)</v>
      </c>
      <c r="AH100" s="64" t="n">
        <f aca="false">IF($Z100="","",MATCH($AF100,WorkDays,1)-MATCH($Z100,WorkDays,1))</f>
        <v>30</v>
      </c>
      <c r="AI100" s="57" t="n">
        <f aca="false">IF($O100="","",$O100*IF($AB100&lt;&gt;"",1,$AC100))</f>
        <v>0</v>
      </c>
      <c r="AJ100" s="55" t="s">
        <v>470</v>
      </c>
    </row>
    <row r="101" customFormat="false" ht="22.35" hidden="false" customHeight="false" outlineLevel="3" collapsed="false">
      <c r="A101" s="53" t="s">
        <v>475</v>
      </c>
      <c r="B101" s="25" t="n">
        <v>4</v>
      </c>
      <c r="C101" s="55" t="s">
        <v>476</v>
      </c>
      <c r="D101" s="55" t="s">
        <v>442</v>
      </c>
      <c r="E101" s="25" t="s">
        <v>79</v>
      </c>
      <c r="F101" s="55" t="s">
        <v>477</v>
      </c>
      <c r="G101" s="55" t="s">
        <v>463</v>
      </c>
      <c r="H101" s="55" t="s">
        <v>468</v>
      </c>
      <c r="I101" s="55" t="s">
        <v>478</v>
      </c>
      <c r="J101" s="25" t="n">
        <f aca="false">COUNTIF('BIM Element Map'!$J$6:$J$1000,$A101)</f>
        <v>1</v>
      </c>
      <c r="K101" s="56" t="s">
        <v>475</v>
      </c>
      <c r="L101" s="25" t="s">
        <v>173</v>
      </c>
      <c r="M101" s="55" t="s">
        <v>72</v>
      </c>
      <c r="N101" s="55" t="s">
        <v>311</v>
      </c>
      <c r="O101" s="57" t="n">
        <v>28</v>
      </c>
      <c r="P101" s="25" t="s">
        <v>320</v>
      </c>
      <c r="Q101" s="58" t="n">
        <v>12</v>
      </c>
      <c r="R101" s="59" t="s">
        <v>471</v>
      </c>
      <c r="S101" s="58" t="s">
        <v>307</v>
      </c>
      <c r="T101" s="58" t="n">
        <v>5</v>
      </c>
      <c r="U101" s="59" t="s">
        <v>422</v>
      </c>
      <c r="V101" s="58" t="s">
        <v>177</v>
      </c>
      <c r="W101" s="58" t="n">
        <v>0</v>
      </c>
      <c r="X101" s="60"/>
      <c r="Y101" s="61" t="n">
        <v>46279</v>
      </c>
      <c r="Z101" s="61" t="n">
        <v>46287</v>
      </c>
      <c r="AA101" s="62"/>
      <c r="AB101" s="62"/>
      <c r="AC101" s="63" t="n">
        <v>0</v>
      </c>
      <c r="AD101" s="25" t="n">
        <f aca="false">IF($AB101&lt;&gt;"",0,IF($AA101="",$Q101,MAX(1,ROUND($Q101*(1-$AC101),0))))</f>
        <v>12</v>
      </c>
      <c r="AE101" s="61" t="n">
        <f aca="false">IF($AA101&lt;&gt;"",$AA101,MAX($X101,NextWD,IF($R101="",0,IF($S101="SS",INDEX(WorkDays,MATCH(INDEX($AE$6:$AE$156,MATCH($R101,$A$6:$A$156,0))-1,WorkDays,1)+1+$T101),INDEX(WorkDays,MATCH(INDEX($AF$6:$AF$156,MATCH($R101,$A$6:$A$156,0)),WorkDays,1)+IF($Q101=0,0,1)+$T101))),IF($U101="",0,IF($V101="SS",INDEX(WorkDays,MATCH(INDEX($AE$6:$AE$156,MATCH($U101,$A$6:$A$156,0))-1,WorkDays,1)+1+$W101),INDEX(WorkDays,MATCH(INDEX($AF$6:$AF$156,MATCH($U101,$A$6:$A$156,0)),WorkDays,1)+IF($Q101=0,0,1)+$W101)))))</f>
        <v>46310</v>
      </c>
      <c r="AF101" s="61" t="n">
        <f aca="false">IF($AB101&lt;&gt;"",$AB101,IF($Q101=0,$AE101,INDEX(WorkDays,MATCH(MAX($AE101,NextWD)-1,WorkDays,1)+$AD101)))</f>
        <v>46324</v>
      </c>
      <c r="AG101" s="56" t="str">
        <f aca="false">IF($AB101&lt;&gt;"","Completed",IF($AA101&lt;&gt;"","In Progress",IF(AND($Y101&lt;&gt;"",$Y101&lt;=DataDate),"Not Started (Late)","Not Started")))</f>
        <v>Not Started (Late)</v>
      </c>
      <c r="AH101" s="64" t="n">
        <f aca="false">IF($Z101="","",MATCH($AF101,WorkDays,1)-MATCH($Z101,WorkDays,1))</f>
        <v>30</v>
      </c>
      <c r="AI101" s="57" t="n">
        <f aca="false">IF($O101="","",$O101*IF($AB101&lt;&gt;"",1,$AC101))</f>
        <v>0</v>
      </c>
      <c r="AJ101" s="55" t="s">
        <v>470</v>
      </c>
    </row>
    <row r="102" customFormat="false" ht="22.35" hidden="false" customHeight="false" outlineLevel="3" collapsed="false">
      <c r="A102" s="53" t="s">
        <v>479</v>
      </c>
      <c r="B102" s="25" t="n">
        <v>4</v>
      </c>
      <c r="C102" s="55" t="s">
        <v>480</v>
      </c>
      <c r="D102" s="55" t="s">
        <v>442</v>
      </c>
      <c r="E102" s="25" t="s">
        <v>75</v>
      </c>
      <c r="F102" s="55" t="s">
        <v>481</v>
      </c>
      <c r="G102" s="55" t="s">
        <v>463</v>
      </c>
      <c r="H102" s="55" t="s">
        <v>468</v>
      </c>
      <c r="I102" s="55" t="s">
        <v>482</v>
      </c>
      <c r="J102" s="25" t="n">
        <f aca="false">COUNTIF('BIM Element Map'!$J$6:$J$1000,$A102)</f>
        <v>4</v>
      </c>
      <c r="K102" s="56" t="s">
        <v>479</v>
      </c>
      <c r="L102" s="25" t="s">
        <v>173</v>
      </c>
      <c r="M102" s="55" t="s">
        <v>72</v>
      </c>
      <c r="N102" s="55" t="s">
        <v>311</v>
      </c>
      <c r="O102" s="57" t="n">
        <v>16</v>
      </c>
      <c r="P102" s="25" t="s">
        <v>320</v>
      </c>
      <c r="Q102" s="58" t="n">
        <v>10</v>
      </c>
      <c r="R102" s="59" t="s">
        <v>465</v>
      </c>
      <c r="S102" s="58" t="s">
        <v>307</v>
      </c>
      <c r="T102" s="58" t="n">
        <v>5</v>
      </c>
      <c r="U102" s="59" t="s">
        <v>448</v>
      </c>
      <c r="V102" s="58" t="s">
        <v>177</v>
      </c>
      <c r="W102" s="58" t="n">
        <v>0</v>
      </c>
      <c r="X102" s="60"/>
      <c r="Y102" s="61" t="n">
        <v>46275</v>
      </c>
      <c r="Z102" s="61" t="n">
        <v>46282</v>
      </c>
      <c r="AA102" s="62"/>
      <c r="AB102" s="62"/>
      <c r="AC102" s="63" t="n">
        <v>0</v>
      </c>
      <c r="AD102" s="25" t="n">
        <f aca="false">IF($AB102&lt;&gt;"",0,IF($AA102="",$Q102,MAX(1,ROUND($Q102*(1-$AC102),0))))</f>
        <v>10</v>
      </c>
      <c r="AE102" s="61" t="n">
        <f aca="false">IF($AA102&lt;&gt;"",$AA102,MAX($X102,NextWD,IF($R102="",0,IF($S102="SS",INDEX(WorkDays,MATCH(INDEX($AE$6:$AE$156,MATCH($R102,$A$6:$A$156,0))-1,WorkDays,1)+1+$T102),INDEX(WorkDays,MATCH(INDEX($AF$6:$AF$156,MATCH($R102,$A$6:$A$156,0)),WorkDays,1)+IF($Q102=0,0,1)+$T102))),IF($U102="",0,IF($V102="SS",INDEX(WorkDays,MATCH(INDEX($AE$6:$AE$156,MATCH($U102,$A$6:$A$156,0))-1,WorkDays,1)+1+$W102),INDEX(WorkDays,MATCH(INDEX($AF$6:$AF$156,MATCH($U102,$A$6:$A$156,0)),WorkDays,1)+IF($Q102=0,0,1)+$W102)))))</f>
        <v>46304</v>
      </c>
      <c r="AF102" s="61" t="n">
        <f aca="false">IF($AB102&lt;&gt;"",$AB102,IF($Q102=0,$AE102,INDEX(WorkDays,MATCH(MAX($AE102,NextWD)-1,WorkDays,1)+$AD102)))</f>
        <v>46316</v>
      </c>
      <c r="AG102" s="56" t="str">
        <f aca="false">IF($AB102&lt;&gt;"","Completed",IF($AA102&lt;&gt;"","In Progress",IF(AND($Y102&lt;&gt;"",$Y102&lt;=DataDate),"Not Started (Late)","Not Started")))</f>
        <v>Not Started (Late)</v>
      </c>
      <c r="AH102" s="64" t="n">
        <f aca="false">IF($Z102="","",MATCH($AF102,WorkDays,1)-MATCH($Z102,WorkDays,1))</f>
        <v>27</v>
      </c>
      <c r="AI102" s="57" t="n">
        <f aca="false">IF($O102="","",$O102*IF($AB102&lt;&gt;"",1,$AC102))</f>
        <v>0</v>
      </c>
      <c r="AJ102" s="55" t="s">
        <v>470</v>
      </c>
    </row>
    <row r="103" customFormat="false" ht="22.35" hidden="false" customHeight="false" outlineLevel="3" collapsed="false">
      <c r="A103" s="53" t="s">
        <v>483</v>
      </c>
      <c r="B103" s="25" t="n">
        <v>4</v>
      </c>
      <c r="C103" s="55" t="s">
        <v>484</v>
      </c>
      <c r="D103" s="55" t="s">
        <v>442</v>
      </c>
      <c r="E103" s="25" t="s">
        <v>77</v>
      </c>
      <c r="F103" s="55" t="s">
        <v>485</v>
      </c>
      <c r="G103" s="55" t="s">
        <v>463</v>
      </c>
      <c r="H103" s="55" t="s">
        <v>468</v>
      </c>
      <c r="I103" s="55" t="s">
        <v>486</v>
      </c>
      <c r="J103" s="25" t="n">
        <f aca="false">COUNTIF('BIM Element Map'!$J$6:$J$1000,$A103)</f>
        <v>4</v>
      </c>
      <c r="K103" s="56" t="s">
        <v>483</v>
      </c>
      <c r="L103" s="25" t="s">
        <v>173</v>
      </c>
      <c r="M103" s="55" t="s">
        <v>72</v>
      </c>
      <c r="N103" s="55" t="s">
        <v>311</v>
      </c>
      <c r="O103" s="57" t="n">
        <v>16</v>
      </c>
      <c r="P103" s="25" t="s">
        <v>320</v>
      </c>
      <c r="Q103" s="58" t="n">
        <v>10</v>
      </c>
      <c r="R103" s="59" t="s">
        <v>479</v>
      </c>
      <c r="S103" s="58" t="s">
        <v>307</v>
      </c>
      <c r="T103" s="58" t="n">
        <v>5</v>
      </c>
      <c r="U103" s="59" t="s">
        <v>471</v>
      </c>
      <c r="V103" s="58" t="s">
        <v>307</v>
      </c>
      <c r="W103" s="58" t="n">
        <v>3</v>
      </c>
      <c r="X103" s="60"/>
      <c r="Y103" s="61" t="n">
        <v>46279</v>
      </c>
      <c r="Z103" s="61" t="n">
        <v>46286</v>
      </c>
      <c r="AA103" s="62"/>
      <c r="AB103" s="62"/>
      <c r="AC103" s="63" t="n">
        <v>0</v>
      </c>
      <c r="AD103" s="25" t="n">
        <f aca="false">IF($AB103&lt;&gt;"",0,IF($AA103="",$Q103,MAX(1,ROUND($Q103*(1-$AC103),0))))</f>
        <v>10</v>
      </c>
      <c r="AE103" s="61" t="n">
        <f aca="false">IF($AA103&lt;&gt;"",$AA103,MAX($X103,NextWD,IF($R103="",0,IF($S103="SS",INDEX(WorkDays,MATCH(INDEX($AE$6:$AE$156,MATCH($R103,$A$6:$A$156,0))-1,WorkDays,1)+1+$T103),INDEX(WorkDays,MATCH(INDEX($AF$6:$AF$156,MATCH($R103,$A$6:$A$156,0)),WorkDays,1)+IF($Q103=0,0,1)+$T103))),IF($U103="",0,IF($V103="SS",INDEX(WorkDays,MATCH(INDEX($AE$6:$AE$156,MATCH($U103,$A$6:$A$156,0))-1,WorkDays,1)+1+$W103),INDEX(WorkDays,MATCH(INDEX($AF$6:$AF$156,MATCH($U103,$A$6:$A$156,0)),WorkDays,1)+IF($Q103=0,0,1)+$W103)))))</f>
        <v>46310</v>
      </c>
      <c r="AF103" s="61" t="n">
        <f aca="false">IF($AB103&lt;&gt;"",$AB103,IF($Q103=0,$AE103,INDEX(WorkDays,MATCH(MAX($AE103,NextWD)-1,WorkDays,1)+$AD103)))</f>
        <v>46322</v>
      </c>
      <c r="AG103" s="56" t="str">
        <f aca="false">IF($AB103&lt;&gt;"","Completed",IF($AA103&lt;&gt;"","In Progress",IF(AND($Y103&lt;&gt;"",$Y103&lt;=DataDate),"Not Started (Late)","Not Started")))</f>
        <v>Not Started (Late)</v>
      </c>
      <c r="AH103" s="64" t="n">
        <f aca="false">IF($Z103="","",MATCH($AF103,WorkDays,1)-MATCH($Z103,WorkDays,1))</f>
        <v>29</v>
      </c>
      <c r="AI103" s="57" t="n">
        <f aca="false">IF($O103="","",$O103*IF($AB103&lt;&gt;"",1,$AC103))</f>
        <v>0</v>
      </c>
      <c r="AJ103" s="55" t="s">
        <v>470</v>
      </c>
    </row>
    <row r="104" customFormat="false" ht="22.35" hidden="false" customHeight="false" outlineLevel="3" collapsed="false">
      <c r="A104" s="53" t="s">
        <v>487</v>
      </c>
      <c r="B104" s="25" t="n">
        <v>4</v>
      </c>
      <c r="C104" s="55" t="s">
        <v>488</v>
      </c>
      <c r="D104" s="55" t="s">
        <v>442</v>
      </c>
      <c r="E104" s="25" t="s">
        <v>79</v>
      </c>
      <c r="F104" s="55" t="s">
        <v>489</v>
      </c>
      <c r="G104" s="55" t="s">
        <v>463</v>
      </c>
      <c r="H104" s="55" t="s">
        <v>468</v>
      </c>
      <c r="I104" s="55" t="s">
        <v>490</v>
      </c>
      <c r="J104" s="25" t="n">
        <f aca="false">COUNTIF('BIM Element Map'!$J$6:$J$1000,$A104)</f>
        <v>2</v>
      </c>
      <c r="K104" s="56" t="s">
        <v>487</v>
      </c>
      <c r="L104" s="25" t="s">
        <v>173</v>
      </c>
      <c r="M104" s="55" t="s">
        <v>72</v>
      </c>
      <c r="N104" s="55" t="s">
        <v>311</v>
      </c>
      <c r="O104" s="57" t="n">
        <v>8</v>
      </c>
      <c r="P104" s="25" t="s">
        <v>320</v>
      </c>
      <c r="Q104" s="58" t="n">
        <v>6</v>
      </c>
      <c r="R104" s="59" t="s">
        <v>483</v>
      </c>
      <c r="S104" s="58" t="s">
        <v>307</v>
      </c>
      <c r="T104" s="58" t="n">
        <v>4</v>
      </c>
      <c r="U104" s="59" t="s">
        <v>475</v>
      </c>
      <c r="V104" s="58" t="s">
        <v>307</v>
      </c>
      <c r="W104" s="58" t="n">
        <v>3</v>
      </c>
      <c r="X104" s="60"/>
      <c r="Y104" s="61" t="n">
        <v>46282</v>
      </c>
      <c r="Z104" s="61" t="n">
        <v>46286</v>
      </c>
      <c r="AA104" s="62"/>
      <c r="AB104" s="62"/>
      <c r="AC104" s="63" t="n">
        <v>0</v>
      </c>
      <c r="AD104" s="25" t="n">
        <f aca="false">IF($AB104&lt;&gt;"",0,IF($AA104="",$Q104,MAX(1,ROUND($Q104*(1-$AC104),0))))</f>
        <v>6</v>
      </c>
      <c r="AE104" s="61" t="n">
        <f aca="false">IF($AA104&lt;&gt;"",$AA104,MAX($X104,NextWD,IF($R104="",0,IF($S104="SS",INDEX(WorkDays,MATCH(INDEX($AE$6:$AE$156,MATCH($R104,$A$6:$A$156,0))-1,WorkDays,1)+1+$T104),INDEX(WorkDays,MATCH(INDEX($AF$6:$AF$156,MATCH($R104,$A$6:$A$156,0)),WorkDays,1)+IF($Q104=0,0,1)+$T104))),IF($U104="",0,IF($V104="SS",INDEX(WorkDays,MATCH(INDEX($AE$6:$AE$156,MATCH($U104,$A$6:$A$156,0))-1,WorkDays,1)+1+$W104),INDEX(WorkDays,MATCH(INDEX($AF$6:$AF$156,MATCH($U104,$A$6:$A$156,0)),WorkDays,1)+IF($Q104=0,0,1)+$W104)))))</f>
        <v>46316</v>
      </c>
      <c r="AF104" s="61" t="n">
        <f aca="false">IF($AB104&lt;&gt;"",$AB104,IF($Q104=0,$AE104,INDEX(WorkDays,MATCH(MAX($AE104,NextWD)-1,WorkDays,1)+$AD104)))</f>
        <v>46322</v>
      </c>
      <c r="AG104" s="56" t="str">
        <f aca="false">IF($AB104&lt;&gt;"","Completed",IF($AA104&lt;&gt;"","In Progress",IF(AND($Y104&lt;&gt;"",$Y104&lt;=DataDate),"Not Started (Late)","Not Started")))</f>
        <v>Not Started (Late)</v>
      </c>
      <c r="AH104" s="64" t="n">
        <f aca="false">IF($Z104="","",MATCH($AF104,WorkDays,1)-MATCH($Z104,WorkDays,1))</f>
        <v>29</v>
      </c>
      <c r="AI104" s="57" t="n">
        <f aca="false">IF($O104="","",$O104*IF($AB104&lt;&gt;"",1,$AC104))</f>
        <v>0</v>
      </c>
      <c r="AJ104" s="55" t="s">
        <v>470</v>
      </c>
    </row>
    <row r="105" customFormat="false" ht="22.35" hidden="false" customHeight="false" outlineLevel="3" collapsed="false">
      <c r="A105" s="53" t="s">
        <v>491</v>
      </c>
      <c r="B105" s="25" t="n">
        <v>4</v>
      </c>
      <c r="C105" s="55" t="s">
        <v>492</v>
      </c>
      <c r="D105" s="55" t="s">
        <v>442</v>
      </c>
      <c r="E105" s="25" t="s">
        <v>443</v>
      </c>
      <c r="F105" s="55" t="s">
        <v>493</v>
      </c>
      <c r="G105" s="55" t="s">
        <v>494</v>
      </c>
      <c r="H105" s="55" t="s">
        <v>452</v>
      </c>
      <c r="I105" s="55" t="s">
        <v>495</v>
      </c>
      <c r="J105" s="25" t="n">
        <f aca="false">COUNTIF('BIM Element Map'!$J$6:$J$1000,$A105)</f>
        <v>5</v>
      </c>
      <c r="K105" s="56" t="s">
        <v>491</v>
      </c>
      <c r="L105" s="25" t="s">
        <v>173</v>
      </c>
      <c r="M105" s="55" t="s">
        <v>70</v>
      </c>
      <c r="N105" s="55" t="s">
        <v>311</v>
      </c>
      <c r="O105" s="57" t="n">
        <v>15</v>
      </c>
      <c r="P105" s="25" t="s">
        <v>320</v>
      </c>
      <c r="Q105" s="58" t="n">
        <v>8</v>
      </c>
      <c r="R105" s="59" t="s">
        <v>475</v>
      </c>
      <c r="S105" s="58" t="s">
        <v>177</v>
      </c>
      <c r="T105" s="58" t="n">
        <v>0</v>
      </c>
      <c r="U105" s="59" t="s">
        <v>471</v>
      </c>
      <c r="V105" s="58" t="s">
        <v>177</v>
      </c>
      <c r="W105" s="58" t="n">
        <v>0</v>
      </c>
      <c r="X105" s="60"/>
      <c r="Y105" s="61" t="n">
        <v>46289</v>
      </c>
      <c r="Z105" s="61" t="n">
        <v>46294</v>
      </c>
      <c r="AA105" s="62"/>
      <c r="AB105" s="62"/>
      <c r="AC105" s="63" t="n">
        <v>0</v>
      </c>
      <c r="AD105" s="25" t="n">
        <f aca="false">IF($AB105&lt;&gt;"",0,IF($AA105="",$Q105,MAX(1,ROUND($Q105*(1-$AC105),0))))</f>
        <v>8</v>
      </c>
      <c r="AE105" s="61" t="n">
        <f aca="false">IF($AA105&lt;&gt;"",$AA105,MAX($X105,NextWD,IF($R105="",0,IF($S105="SS",INDEX(WorkDays,MATCH(INDEX($AE$6:$AE$156,MATCH($R105,$A$6:$A$156,0))-1,WorkDays,1)+1+$T105),INDEX(WorkDays,MATCH(INDEX($AF$6:$AF$156,MATCH($R105,$A$6:$A$156,0)),WorkDays,1)+IF($Q105=0,0,1)+$T105))),IF($U105="",0,IF($V105="SS",INDEX(WorkDays,MATCH(INDEX($AE$6:$AE$156,MATCH($U105,$A$6:$A$156,0))-1,WorkDays,1)+1+$W105),INDEX(WorkDays,MATCH(INDEX($AF$6:$AF$156,MATCH($U105,$A$6:$A$156,0)),WorkDays,1)+IF($Q105=0,0,1)+$W105)))))</f>
        <v>46326</v>
      </c>
      <c r="AF105" s="61" t="n">
        <f aca="false">IF($AB105&lt;&gt;"",$AB105,IF($Q105=0,$AE105,INDEX(WorkDays,MATCH(MAX($AE105,NextWD)-1,WorkDays,1)+$AD105)))</f>
        <v>46335</v>
      </c>
      <c r="AG105" s="56" t="str">
        <f aca="false">IF($AB105&lt;&gt;"","Completed",IF($AA105&lt;&gt;"","In Progress",IF(AND($Y105&lt;&gt;"",$Y105&lt;=DataDate),"Not Started (Late)","Not Started")))</f>
        <v>Not Started (Late)</v>
      </c>
      <c r="AH105" s="64" t="n">
        <f aca="false">IF($Z105="","",MATCH($AF105,WorkDays,1)-MATCH($Z105,WorkDays,1))</f>
        <v>33</v>
      </c>
      <c r="AI105" s="57" t="n">
        <f aca="false">IF($O105="","",$O105*IF($AB105&lt;&gt;"",1,$AC105))</f>
        <v>0</v>
      </c>
      <c r="AJ105" s="55"/>
    </row>
    <row r="106" customFormat="false" ht="22.35" hidden="false" customHeight="false" outlineLevel="3" collapsed="false">
      <c r="A106" s="53" t="s">
        <v>496</v>
      </c>
      <c r="B106" s="25" t="n">
        <v>4</v>
      </c>
      <c r="C106" s="55" t="s">
        <v>497</v>
      </c>
      <c r="D106" s="55" t="s">
        <v>442</v>
      </c>
      <c r="E106" s="25" t="s">
        <v>443</v>
      </c>
      <c r="F106" s="55" t="s">
        <v>498</v>
      </c>
      <c r="G106" s="55" t="s">
        <v>463</v>
      </c>
      <c r="H106" s="55" t="s">
        <v>458</v>
      </c>
      <c r="I106" s="55" t="s">
        <v>499</v>
      </c>
      <c r="J106" s="25" t="n">
        <f aca="false">COUNTIF('BIM Element Map'!$J$6:$J$1000,$A106)</f>
        <v>1</v>
      </c>
      <c r="K106" s="56" t="s">
        <v>496</v>
      </c>
      <c r="L106" s="25" t="s">
        <v>173</v>
      </c>
      <c r="M106" s="55" t="s">
        <v>70</v>
      </c>
      <c r="N106" s="55" t="s">
        <v>311</v>
      </c>
      <c r="O106" s="57" t="n">
        <v>35</v>
      </c>
      <c r="P106" s="25" t="s">
        <v>320</v>
      </c>
      <c r="Q106" s="58" t="n">
        <v>10</v>
      </c>
      <c r="R106" s="59" t="s">
        <v>491</v>
      </c>
      <c r="S106" s="58" t="s">
        <v>177</v>
      </c>
      <c r="T106" s="58" t="n">
        <v>0</v>
      </c>
      <c r="U106" s="59"/>
      <c r="V106" s="58"/>
      <c r="W106" s="58"/>
      <c r="X106" s="60"/>
      <c r="Y106" s="61" t="n">
        <v>46295</v>
      </c>
      <c r="Z106" s="61" t="n">
        <v>46303</v>
      </c>
      <c r="AA106" s="62"/>
      <c r="AB106" s="62"/>
      <c r="AC106" s="63" t="n">
        <v>0</v>
      </c>
      <c r="AD106" s="25" t="n">
        <f aca="false">IF($AB106&lt;&gt;"",0,IF($AA106="",$Q106,MAX(1,ROUND($Q106*(1-$AC106),0))))</f>
        <v>10</v>
      </c>
      <c r="AE106" s="61" t="n">
        <f aca="false">IF($AA106&lt;&gt;"",$AA106,MAX($X106,NextWD,IF($R106="",0,IF($S106="SS",INDEX(WorkDays,MATCH(INDEX($AE$6:$AE$156,MATCH($R106,$A$6:$A$156,0))-1,WorkDays,1)+1+$T106),INDEX(WorkDays,MATCH(INDEX($AF$6:$AF$156,MATCH($R106,$A$6:$A$156,0)),WorkDays,1)+IF($Q106=0,0,1)+$T106))),IF($U106="",0,IF($V106="SS",INDEX(WorkDays,MATCH(INDEX($AE$6:$AE$156,MATCH($U106,$A$6:$A$156,0))-1,WorkDays,1)+1+$W106),INDEX(WorkDays,MATCH(INDEX($AF$6:$AF$156,MATCH($U106,$A$6:$A$156,0)),WorkDays,1)+IF($Q106=0,0,1)+$W106)))))</f>
        <v>46336</v>
      </c>
      <c r="AF106" s="61" t="n">
        <f aca="false">IF($AB106&lt;&gt;"",$AB106,IF($Q106=0,$AE106,INDEX(WorkDays,MATCH(MAX($AE106,NextWD)-1,WorkDays,1)+$AD106)))</f>
        <v>46346</v>
      </c>
      <c r="AG106" s="56" t="str">
        <f aca="false">IF($AB106&lt;&gt;"","Completed",IF($AA106&lt;&gt;"","In Progress",IF(AND($Y106&lt;&gt;"",$Y106&lt;=DataDate),"Not Started (Late)","Not Started")))</f>
        <v>Not Started (Late)</v>
      </c>
      <c r="AH106" s="64" t="n">
        <f aca="false">IF($Z106="","",MATCH($AF106,WorkDays,1)-MATCH($Z106,WorkDays,1))</f>
        <v>36</v>
      </c>
      <c r="AI106" s="57" t="n">
        <f aca="false">IF($O106="","",$O106*IF($AB106&lt;&gt;"",1,$AC106))</f>
        <v>0</v>
      </c>
      <c r="AJ106" s="55"/>
    </row>
    <row r="107" customFormat="false" ht="22.35" hidden="false" customHeight="false" outlineLevel="3" collapsed="false">
      <c r="A107" s="53" t="s">
        <v>500</v>
      </c>
      <c r="B107" s="25" t="n">
        <v>4</v>
      </c>
      <c r="C107" s="55" t="s">
        <v>501</v>
      </c>
      <c r="D107" s="55" t="s">
        <v>442</v>
      </c>
      <c r="E107" s="25" t="s">
        <v>443</v>
      </c>
      <c r="F107" s="55" t="s">
        <v>502</v>
      </c>
      <c r="G107" s="55" t="s">
        <v>503</v>
      </c>
      <c r="H107" s="55" t="s">
        <v>504</v>
      </c>
      <c r="I107" s="55" t="s">
        <v>505</v>
      </c>
      <c r="J107" s="25" t="n">
        <f aca="false">COUNTIF('BIM Element Map'!$J$6:$J$1000,$A107)</f>
        <v>2</v>
      </c>
      <c r="K107" s="56" t="s">
        <v>500</v>
      </c>
      <c r="L107" s="25" t="s">
        <v>173</v>
      </c>
      <c r="M107" s="55" t="s">
        <v>70</v>
      </c>
      <c r="N107" s="55" t="s">
        <v>311</v>
      </c>
      <c r="O107" s="57" t="n">
        <v>30</v>
      </c>
      <c r="P107" s="25" t="s">
        <v>320</v>
      </c>
      <c r="Q107" s="58" t="n">
        <v>11</v>
      </c>
      <c r="R107" s="59" t="s">
        <v>487</v>
      </c>
      <c r="S107" s="58" t="s">
        <v>177</v>
      </c>
      <c r="T107" s="58" t="n">
        <v>0</v>
      </c>
      <c r="U107" s="59" t="s">
        <v>496</v>
      </c>
      <c r="V107" s="58" t="s">
        <v>307</v>
      </c>
      <c r="W107" s="58" t="n">
        <v>3</v>
      </c>
      <c r="X107" s="60"/>
      <c r="Y107" s="61" t="n">
        <v>46300</v>
      </c>
      <c r="Z107" s="61" t="n">
        <v>46307</v>
      </c>
      <c r="AA107" s="62"/>
      <c r="AB107" s="62"/>
      <c r="AC107" s="63" t="n">
        <v>0</v>
      </c>
      <c r="AD107" s="25" t="n">
        <f aca="false">IF($AB107&lt;&gt;"",0,IF($AA107="",$Q107,MAX(1,ROUND($Q107*(1-$AC107),0))))</f>
        <v>11</v>
      </c>
      <c r="AE107" s="61" t="n">
        <f aca="false">IF($AA107&lt;&gt;"",$AA107,MAX($X107,NextWD,IF($R107="",0,IF($S107="SS",INDEX(WorkDays,MATCH(INDEX($AE$6:$AE$156,MATCH($R107,$A$6:$A$156,0))-1,WorkDays,1)+1+$T107),INDEX(WorkDays,MATCH(INDEX($AF$6:$AF$156,MATCH($R107,$A$6:$A$156,0)),WorkDays,1)+IF($Q107=0,0,1)+$T107))),IF($U107="",0,IF($V107="SS",INDEX(WorkDays,MATCH(INDEX($AE$6:$AE$156,MATCH($U107,$A$6:$A$156,0))-1,WorkDays,1)+1+$W107),INDEX(WorkDays,MATCH(INDEX($AF$6:$AF$156,MATCH($U107,$A$6:$A$156,0)),WorkDays,1)+IF($Q107=0,0,1)+$W107)))))</f>
        <v>46339</v>
      </c>
      <c r="AF107" s="61" t="n">
        <f aca="false">IF($AB107&lt;&gt;"",$AB107,IF($Q107=0,$AE107,INDEX(WorkDays,MATCH(MAX($AE107,NextWD)-1,WorkDays,1)+$AD107)))</f>
        <v>46351</v>
      </c>
      <c r="AG107" s="56" t="str">
        <f aca="false">IF($AB107&lt;&gt;"","Completed",IF($AA107&lt;&gt;"","In Progress",IF(AND($Y107&lt;&gt;"",$Y107&lt;=DataDate),"Not Started (Late)","Not Started")))</f>
        <v>Not Started</v>
      </c>
      <c r="AH107" s="64" t="n">
        <f aca="false">IF($Z107="","",MATCH($AF107,WorkDays,1)-MATCH($Z107,WorkDays,1))</f>
        <v>37</v>
      </c>
      <c r="AI107" s="57" t="n">
        <f aca="false">IF($O107="","",$O107*IF($AB107&lt;&gt;"",1,$AC107))</f>
        <v>0</v>
      </c>
      <c r="AJ107" s="55"/>
    </row>
    <row r="108" customFormat="false" ht="22.35" hidden="false" customHeight="false" outlineLevel="3" collapsed="false">
      <c r="A108" s="53" t="s">
        <v>506</v>
      </c>
      <c r="B108" s="25" t="n">
        <v>4</v>
      </c>
      <c r="C108" s="55" t="s">
        <v>507</v>
      </c>
      <c r="D108" s="55" t="s">
        <v>442</v>
      </c>
      <c r="E108" s="25" t="s">
        <v>443</v>
      </c>
      <c r="F108" s="55" t="s">
        <v>508</v>
      </c>
      <c r="G108" s="55" t="s">
        <v>509</v>
      </c>
      <c r="H108" s="55" t="s">
        <v>510</v>
      </c>
      <c r="I108" s="55" t="s">
        <v>511</v>
      </c>
      <c r="J108" s="25" t="n">
        <f aca="false">COUNTIF('BIM Element Map'!$J$6:$J$1000,$A108)</f>
        <v>1</v>
      </c>
      <c r="K108" s="56" t="s">
        <v>506</v>
      </c>
      <c r="L108" s="25" t="s">
        <v>173</v>
      </c>
      <c r="M108" s="55" t="s">
        <v>70</v>
      </c>
      <c r="N108" s="55" t="s">
        <v>311</v>
      </c>
      <c r="O108" s="57" t="n">
        <v>7</v>
      </c>
      <c r="P108" s="25" t="s">
        <v>320</v>
      </c>
      <c r="Q108" s="58" t="n">
        <v>6</v>
      </c>
      <c r="R108" s="59" t="s">
        <v>496</v>
      </c>
      <c r="S108" s="58" t="s">
        <v>307</v>
      </c>
      <c r="T108" s="58" t="n">
        <v>2</v>
      </c>
      <c r="U108" s="59"/>
      <c r="V108" s="58"/>
      <c r="W108" s="58"/>
      <c r="X108" s="60"/>
      <c r="Y108" s="61" t="n">
        <v>46298</v>
      </c>
      <c r="Z108" s="61" t="n">
        <v>46302</v>
      </c>
      <c r="AA108" s="62"/>
      <c r="AB108" s="62"/>
      <c r="AC108" s="63" t="n">
        <v>0</v>
      </c>
      <c r="AD108" s="25" t="n">
        <f aca="false">IF($AB108&lt;&gt;"",0,IF($AA108="",$Q108,MAX(1,ROUND($Q108*(1-$AC108),0))))</f>
        <v>6</v>
      </c>
      <c r="AE108" s="61" t="n">
        <f aca="false">IF($AA108&lt;&gt;"",$AA108,MAX($X108,NextWD,IF($R108="",0,IF($S108="SS",INDEX(WorkDays,MATCH(INDEX($AE$6:$AE$156,MATCH($R108,$A$6:$A$156,0))-1,WorkDays,1)+1+$T108),INDEX(WorkDays,MATCH(INDEX($AF$6:$AF$156,MATCH($R108,$A$6:$A$156,0)),WorkDays,1)+IF($Q108=0,0,1)+$T108))),IF($U108="",0,IF($V108="SS",INDEX(WorkDays,MATCH(INDEX($AE$6:$AE$156,MATCH($U108,$A$6:$A$156,0))-1,WorkDays,1)+1+$W108),INDEX(WorkDays,MATCH(INDEX($AF$6:$AF$156,MATCH($U108,$A$6:$A$156,0)),WorkDays,1)+IF($Q108=0,0,1)+$W108)))))</f>
        <v>46338</v>
      </c>
      <c r="AF108" s="61" t="n">
        <f aca="false">IF($AB108&lt;&gt;"",$AB108,IF($Q108=0,$AE108,INDEX(WorkDays,MATCH(MAX($AE108,NextWD)-1,WorkDays,1)+$AD108)))</f>
        <v>46344</v>
      </c>
      <c r="AG108" s="56" t="str">
        <f aca="false">IF($AB108&lt;&gt;"","Completed",IF($AA108&lt;&gt;"","In Progress",IF(AND($Y108&lt;&gt;"",$Y108&lt;=DataDate),"Not Started (Late)","Not Started")))</f>
        <v>Not Started</v>
      </c>
      <c r="AH108" s="64" t="n">
        <f aca="false">IF($Z108="","",MATCH($AF108,WorkDays,1)-MATCH($Z108,WorkDays,1))</f>
        <v>35</v>
      </c>
      <c r="AI108" s="57" t="n">
        <f aca="false">IF($O108="","",$O108*IF($AB108&lt;&gt;"",1,$AC108))</f>
        <v>0</v>
      </c>
      <c r="AJ108" s="55"/>
    </row>
    <row r="109" customFormat="false" ht="22.35" hidden="false" customHeight="false" outlineLevel="3" collapsed="false">
      <c r="A109" s="53" t="s">
        <v>512</v>
      </c>
      <c r="B109" s="25" t="n">
        <v>4</v>
      </c>
      <c r="C109" s="55" t="s">
        <v>513</v>
      </c>
      <c r="D109" s="55" t="s">
        <v>442</v>
      </c>
      <c r="E109" s="25" t="s">
        <v>443</v>
      </c>
      <c r="F109" s="55" t="s">
        <v>514</v>
      </c>
      <c r="G109" s="55" t="s">
        <v>515</v>
      </c>
      <c r="H109" s="55" t="s">
        <v>516</v>
      </c>
      <c r="I109" s="55" t="s">
        <v>517</v>
      </c>
      <c r="J109" s="25" t="n">
        <f aca="false">COUNTIF('BIM Element Map'!$J$6:$J$1000,$A109)</f>
        <v>2</v>
      </c>
      <c r="K109" s="56" t="s">
        <v>512</v>
      </c>
      <c r="L109" s="25" t="s">
        <v>173</v>
      </c>
      <c r="M109" s="55" t="s">
        <v>70</v>
      </c>
      <c r="N109" s="55" t="s">
        <v>311</v>
      </c>
      <c r="O109" s="57" t="n">
        <v>40</v>
      </c>
      <c r="P109" s="25" t="s">
        <v>320</v>
      </c>
      <c r="Q109" s="58" t="n">
        <v>15</v>
      </c>
      <c r="R109" s="59" t="s">
        <v>422</v>
      </c>
      <c r="S109" s="58" t="s">
        <v>177</v>
      </c>
      <c r="T109" s="58" t="n">
        <v>5</v>
      </c>
      <c r="U109" s="59" t="s">
        <v>437</v>
      </c>
      <c r="V109" s="58" t="s">
        <v>177</v>
      </c>
      <c r="W109" s="58" t="n">
        <v>0</v>
      </c>
      <c r="X109" s="60"/>
      <c r="Y109" s="61" t="n">
        <v>46272</v>
      </c>
      <c r="Z109" s="61" t="n">
        <v>46282</v>
      </c>
      <c r="AA109" s="62"/>
      <c r="AB109" s="62"/>
      <c r="AC109" s="63" t="n">
        <v>0</v>
      </c>
      <c r="AD109" s="25" t="n">
        <f aca="false">IF($AB109&lt;&gt;"",0,IF($AA109="",$Q109,MAX(1,ROUND($Q109*(1-$AC109),0))))</f>
        <v>15</v>
      </c>
      <c r="AE109" s="61" t="n">
        <f aca="false">IF($AA109&lt;&gt;"",$AA109,MAX($X109,NextWD,IF($R109="",0,IF($S109="SS",INDEX(WorkDays,MATCH(INDEX($AE$6:$AE$156,MATCH($R109,$A$6:$A$156,0))-1,WorkDays,1)+1+$T109),INDEX(WorkDays,MATCH(INDEX($AF$6:$AF$156,MATCH($R109,$A$6:$A$156,0)),WorkDays,1)+IF($Q109=0,0,1)+$T109))),IF($U109="",0,IF($V109="SS",INDEX(WorkDays,MATCH(INDEX($AE$6:$AE$156,MATCH($U109,$A$6:$A$156,0))-1,WorkDays,1)+1+$W109),INDEX(WorkDays,MATCH(INDEX($AF$6:$AF$156,MATCH($U109,$A$6:$A$156,0)),WorkDays,1)+IF($Q109=0,0,1)+$W109)))))</f>
        <v>46300</v>
      </c>
      <c r="AF109" s="61" t="n">
        <f aca="false">IF($AB109&lt;&gt;"",$AB109,IF($Q109=0,$AE109,INDEX(WorkDays,MATCH(MAX($AE109,NextWD)-1,WorkDays,1)+$AD109)))</f>
        <v>46317</v>
      </c>
      <c r="AG109" s="56" t="str">
        <f aca="false">IF($AB109&lt;&gt;"","Completed",IF($AA109&lt;&gt;"","In Progress",IF(AND($Y109&lt;&gt;"",$Y109&lt;=DataDate),"Not Started (Late)","Not Started")))</f>
        <v>Not Started (Late)</v>
      </c>
      <c r="AH109" s="64" t="n">
        <f aca="false">IF($Z109="","",MATCH($AF109,WorkDays,1)-MATCH($Z109,WorkDays,1))</f>
        <v>28</v>
      </c>
      <c r="AI109" s="57" t="n">
        <f aca="false">IF($O109="","",$O109*IF($AB109&lt;&gt;"",1,$AC109))</f>
        <v>0</v>
      </c>
      <c r="AJ109" s="55"/>
    </row>
    <row r="110" customFormat="false" ht="22.35" hidden="false" customHeight="false" outlineLevel="3" collapsed="false">
      <c r="A110" s="53" t="s">
        <v>518</v>
      </c>
      <c r="B110" s="25" t="n">
        <v>4</v>
      </c>
      <c r="C110" s="54" t="s">
        <v>519</v>
      </c>
      <c r="D110" s="55" t="s">
        <v>50</v>
      </c>
      <c r="E110" s="25"/>
      <c r="F110" s="55"/>
      <c r="G110" s="55"/>
      <c r="H110" s="55" t="s">
        <v>165</v>
      </c>
      <c r="I110" s="55"/>
      <c r="J110" s="25" t="n">
        <f aca="false">COUNTIF('BIM Element Map'!$J$6:$J$1000,$A110)</f>
        <v>0</v>
      </c>
      <c r="K110" s="56"/>
      <c r="L110" s="25" t="s">
        <v>50</v>
      </c>
      <c r="M110" s="55"/>
      <c r="N110" s="55" t="s">
        <v>311</v>
      </c>
      <c r="O110" s="57"/>
      <c r="P110" s="25"/>
      <c r="Q110" s="58" t="n">
        <v>0</v>
      </c>
      <c r="R110" s="59"/>
      <c r="S110" s="58"/>
      <c r="T110" s="58"/>
      <c r="U110" s="59"/>
      <c r="V110" s="58"/>
      <c r="W110" s="58"/>
      <c r="X110" s="60"/>
      <c r="Y110" s="61" t="n">
        <v>46307</v>
      </c>
      <c r="Z110" s="61" t="n">
        <v>46307</v>
      </c>
      <c r="AA110" s="62"/>
      <c r="AB110" s="62"/>
      <c r="AC110" s="63" t="n">
        <v>0</v>
      </c>
      <c r="AD110" s="25" t="n">
        <f aca="false">IF($AB110&lt;&gt;"",0,IF($AA110="",$Q110,MAX(1,ROUND($Q110*(1-$AC110),0))))</f>
        <v>0</v>
      </c>
      <c r="AE110" s="61" t="n">
        <f aca="false">IF($AA110&lt;&gt;"",$AA110,MAX($AF$62:$AF$109))</f>
        <v>46351</v>
      </c>
      <c r="AF110" s="61" t="n">
        <f aca="false">IF($AB110&lt;&gt;"",$AB110,IF($Q110=0,$AE110,INDEX(WorkDays,MATCH(MAX($AE110,NextWD)-1,WorkDays,1)+$AD110)))</f>
        <v>46351</v>
      </c>
      <c r="AG110" s="56" t="str">
        <f aca="false">IF($AB110&lt;&gt;"","Completed",IF($AA110&lt;&gt;"","In Progress",IF(AND($Y110&lt;&gt;"",$Y110&lt;=DataDate),"Not Started (Late)","Not Started")))</f>
        <v>Not Started</v>
      </c>
      <c r="AH110" s="64" t="n">
        <f aca="false">IF($Z110="","",MATCH($AF110,WorkDays,1)-MATCH($Z110,WorkDays,1))</f>
        <v>37</v>
      </c>
      <c r="AI110" s="57" t="str">
        <f aca="false">IF($O110="","",$O110*IF($AB110&lt;&gt;"",1,$AC110))</f>
        <v/>
      </c>
      <c r="AJ110" s="55" t="s">
        <v>520</v>
      </c>
    </row>
    <row r="111" customFormat="false" ht="15" hidden="false" customHeight="false" outlineLevel="2" collapsed="false">
      <c r="A111" s="46" t="s">
        <v>521</v>
      </c>
      <c r="B111" s="47" t="n">
        <v>3</v>
      </c>
      <c r="C111" s="48" t="s">
        <v>522</v>
      </c>
      <c r="D111" s="46"/>
      <c r="E111" s="46"/>
      <c r="F111" s="46"/>
      <c r="G111" s="46"/>
      <c r="H111" s="46"/>
      <c r="I111" s="46"/>
      <c r="J111" s="46" t="n">
        <f aca="false">SUMIF($B$112:$B$121,4,$J$112:$J$121)</f>
        <v>18</v>
      </c>
      <c r="K111" s="46"/>
      <c r="L111" s="46"/>
      <c r="M111" s="46"/>
      <c r="N111" s="46"/>
      <c r="O111" s="49" t="str">
        <f aca="false">IF(SUMIF($B$112:$B$121,4,$O$112:$O$121)=0,"",SUMIF($B$112:$B$121,4,$O$112:$O$121))</f>
        <v/>
      </c>
      <c r="P111" s="46"/>
      <c r="Q111" s="46"/>
      <c r="R111" s="46"/>
      <c r="S111" s="46"/>
      <c r="T111" s="46"/>
      <c r="U111" s="46"/>
      <c r="V111" s="46"/>
      <c r="W111" s="46"/>
      <c r="X111" s="46"/>
      <c r="Y111" s="50" t="n">
        <f aca="false">MIN($Y$112:$Y$121)</f>
        <v>46402</v>
      </c>
      <c r="Z111" s="50" t="n">
        <f aca="false">MAX($Z$112:$Z$121)</f>
        <v>46480</v>
      </c>
      <c r="AA111" s="50" t="str">
        <f aca="false">IF(COUNT($AA$112:$AA$121)=0,"",MIN($AA$112:$AA$121))</f>
        <v/>
      </c>
      <c r="AB111" s="50" t="str">
        <f aca="false">IF(COUNTIFS($B$112:$B$121,4,$AG$112:$AG$121,"Completed")=COUNTIF($B$112:$B$121,4),MAX($AB$112:$AB$121),"")</f>
        <v/>
      </c>
      <c r="AC111" s="51" t="n">
        <f aca="false">IFERROR(IF(SUMIF($B$112:$B$121,4,$O$112:$O$121)&gt;0,SUMIF($B$112:$B$121,4,$AI$112:$AI$121)/SUMIF($B$112:$B$121,4,$O$112:$O$121),IFERROR(SUMPRODUCT(--($B$112:$B$121=4),$Q$112:$Q$121,$AC$112:$AC$121)/SUMIF($B$112:$B$121,4,$Q$112:$Q$121),AVERAGEIF($B$112:$B$121,4,$AC$112:$AC$121))),"")</f>
        <v>0</v>
      </c>
      <c r="AD111" s="46"/>
      <c r="AE111" s="50" t="n">
        <f aca="false">MIN($AE$112:$AE$121)</f>
        <v>46389</v>
      </c>
      <c r="AF111" s="50" t="n">
        <f aca="false">MAX($AF$112:$AF$121)</f>
        <v>46466</v>
      </c>
      <c r="AG111" s="46" t="str">
        <f aca="false">IF(COUNTIFS($B$112:$B$121,4,$AG$112:$AG$121,"Completed")=COUNTIF($B$112:$B$121,4),"Completed",IF(COUNTIFS($B$112:$B$121,4,$AG$112:$AG$121,"Not Started*")=COUNTIF($B$112:$B$121,4),"Not Started","In Progress"))</f>
        <v>Not Started</v>
      </c>
      <c r="AH111" s="52" t="n">
        <f aca="false">MATCH($AF111,WorkDays,1)-MATCH($Z111,WorkDays,1)</f>
        <v>-11</v>
      </c>
      <c r="AI111" s="49" t="str">
        <f aca="false">IF(SUMIF($B$112:$B$121,4,$O$112:$O$121)=0,"",SUMIF($B$112:$B$121,4,$AI$112:$AI$121))</f>
        <v/>
      </c>
      <c r="AJ111" s="46" t="str">
        <f aca="false">"P6 check: "&amp;INDEX('P6 Roll-up'!$AB$5:$AB$22,MATCH($A111,'P6 Roll-up'!$A$5:$A$22,0))</f>
        <v>P6 check: ✔ Same as P6</v>
      </c>
    </row>
    <row r="112" customFormat="false" ht="22.35" hidden="false" customHeight="false" outlineLevel="3" collapsed="false">
      <c r="A112" s="53" t="s">
        <v>523</v>
      </c>
      <c r="B112" s="25" t="n">
        <v>4</v>
      </c>
      <c r="C112" s="55" t="s">
        <v>524</v>
      </c>
      <c r="D112" s="55" t="s">
        <v>525</v>
      </c>
      <c r="E112" s="25" t="s">
        <v>75</v>
      </c>
      <c r="F112" s="55" t="s">
        <v>526</v>
      </c>
      <c r="G112" s="55" t="s">
        <v>509</v>
      </c>
      <c r="H112" s="55" t="s">
        <v>527</v>
      </c>
      <c r="I112" s="55" t="s">
        <v>528</v>
      </c>
      <c r="J112" s="25" t="n">
        <f aca="false">COUNTIF('BIM Element Map'!$J$6:$J$1000,$A112)</f>
        <v>1</v>
      </c>
      <c r="K112" s="56" t="s">
        <v>523</v>
      </c>
      <c r="L112" s="25" t="s">
        <v>173</v>
      </c>
      <c r="M112" s="55" t="s">
        <v>529</v>
      </c>
      <c r="N112" s="55" t="s">
        <v>521</v>
      </c>
      <c r="O112" s="57"/>
      <c r="P112" s="25"/>
      <c r="Q112" s="58" t="n">
        <v>14</v>
      </c>
      <c r="R112" s="59" t="s">
        <v>236</v>
      </c>
      <c r="S112" s="58" t="s">
        <v>177</v>
      </c>
      <c r="T112" s="58" t="n">
        <v>0</v>
      </c>
      <c r="U112" s="59" t="s">
        <v>496</v>
      </c>
      <c r="V112" s="58" t="s">
        <v>177</v>
      </c>
      <c r="W112" s="58" t="n">
        <v>0</v>
      </c>
      <c r="X112" s="60"/>
      <c r="Y112" s="61" t="n">
        <v>46402</v>
      </c>
      <c r="Z112" s="61" t="n">
        <v>46419</v>
      </c>
      <c r="AA112" s="62"/>
      <c r="AB112" s="62"/>
      <c r="AC112" s="63" t="n">
        <v>0</v>
      </c>
      <c r="AD112" s="25" t="n">
        <f aca="false">IF($AB112&lt;&gt;"",0,IF($AA112="",$Q112,MAX(1,ROUND($Q112*(1-$AC112),0))))</f>
        <v>14</v>
      </c>
      <c r="AE112" s="61" t="n">
        <f aca="false">IF($AA112&lt;&gt;"",$AA112,MAX($X112,NextWD,IF($R112="",0,IF($S112="SS",INDEX(WorkDays,MATCH(INDEX($AE$6:$AE$156,MATCH($R112,$A$6:$A$156,0))-1,WorkDays,1)+1+$T112),INDEX(WorkDays,MATCH(INDEX($AF$6:$AF$156,MATCH($R112,$A$6:$A$156,0)),WorkDays,1)+IF($Q112=0,0,1)+$T112))),IF($U112="",0,IF($V112="SS",INDEX(WorkDays,MATCH(INDEX($AE$6:$AE$156,MATCH($U112,$A$6:$A$156,0))-1,WorkDays,1)+1+$W112),INDEX(WorkDays,MATCH(INDEX($AF$6:$AF$156,MATCH($U112,$A$6:$A$156,0)),WorkDays,1)+IF($Q112=0,0,1)+$W112)))))</f>
        <v>46389</v>
      </c>
      <c r="AF112" s="61" t="n">
        <f aca="false">IF($AB112&lt;&gt;"",$AB112,IF($Q112=0,$AE112,INDEX(WorkDays,MATCH(MAX($AE112,NextWD)-1,WorkDays,1)+$AD112)))</f>
        <v>46405</v>
      </c>
      <c r="AG112" s="56" t="str">
        <f aca="false">IF($AB112&lt;&gt;"","Completed",IF($AA112&lt;&gt;"","In Progress",IF(AND($Y112&lt;&gt;"",$Y112&lt;=DataDate),"Not Started (Late)","Not Started")))</f>
        <v>Not Started</v>
      </c>
      <c r="AH112" s="64" t="n">
        <f aca="false">IF($Z112="","",MATCH($AF112,WorkDays,1)-MATCH($Z112,WorkDays,1))</f>
        <v>-11</v>
      </c>
      <c r="AI112" s="57" t="str">
        <f aca="false">IF($O112="","",$O112*IF($AB112&lt;&gt;"",1,$AC112))</f>
        <v/>
      </c>
      <c r="AJ112" s="55" t="s">
        <v>530</v>
      </c>
    </row>
    <row r="113" customFormat="false" ht="22.35" hidden="false" customHeight="false" outlineLevel="3" collapsed="false">
      <c r="A113" s="53" t="s">
        <v>531</v>
      </c>
      <c r="B113" s="25" t="n">
        <v>4</v>
      </c>
      <c r="C113" s="55" t="s">
        <v>532</v>
      </c>
      <c r="D113" s="55" t="s">
        <v>525</v>
      </c>
      <c r="E113" s="25" t="s">
        <v>75</v>
      </c>
      <c r="F113" s="55" t="s">
        <v>533</v>
      </c>
      <c r="G113" s="55" t="s">
        <v>509</v>
      </c>
      <c r="H113" s="55" t="s">
        <v>527</v>
      </c>
      <c r="I113" s="55" t="s">
        <v>534</v>
      </c>
      <c r="J113" s="25" t="n">
        <f aca="false">COUNTIF('BIM Element Map'!$J$6:$J$1000,$A113)</f>
        <v>1</v>
      </c>
      <c r="K113" s="56" t="s">
        <v>531</v>
      </c>
      <c r="L113" s="25" t="s">
        <v>173</v>
      </c>
      <c r="M113" s="55" t="s">
        <v>529</v>
      </c>
      <c r="N113" s="55" t="s">
        <v>521</v>
      </c>
      <c r="O113" s="57"/>
      <c r="P113" s="25"/>
      <c r="Q113" s="58" t="n">
        <v>14</v>
      </c>
      <c r="R113" s="59" t="s">
        <v>523</v>
      </c>
      <c r="S113" s="58" t="s">
        <v>307</v>
      </c>
      <c r="T113" s="58" t="n">
        <v>8</v>
      </c>
      <c r="U113" s="59"/>
      <c r="V113" s="58"/>
      <c r="W113" s="58"/>
      <c r="X113" s="60"/>
      <c r="Y113" s="61" t="n">
        <v>46412</v>
      </c>
      <c r="Z113" s="61" t="n">
        <v>46428</v>
      </c>
      <c r="AA113" s="62"/>
      <c r="AB113" s="62"/>
      <c r="AC113" s="63" t="n">
        <v>0</v>
      </c>
      <c r="AD113" s="25" t="n">
        <f aca="false">IF($AB113&lt;&gt;"",0,IF($AA113="",$Q113,MAX(1,ROUND($Q113*(1-$AC113),0))))</f>
        <v>14</v>
      </c>
      <c r="AE113" s="61" t="n">
        <f aca="false">IF($AA113&lt;&gt;"",$AA113,MAX($X113,NextWD,IF($R113="",0,IF($S113="SS",INDEX(WorkDays,MATCH(INDEX($AE$6:$AE$156,MATCH($R113,$A$6:$A$156,0))-1,WorkDays,1)+1+$T113),INDEX(WorkDays,MATCH(INDEX($AF$6:$AF$156,MATCH($R113,$A$6:$A$156,0)),WorkDays,1)+IF($Q113=0,0,1)+$T113))),IF($U113="",0,IF($V113="SS",INDEX(WorkDays,MATCH(INDEX($AE$6:$AE$156,MATCH($U113,$A$6:$A$156,0))-1,WorkDays,1)+1+$W113),INDEX(WorkDays,MATCH(INDEX($AF$6:$AF$156,MATCH($U113,$A$6:$A$156,0)),WorkDays,1)+IF($Q113=0,0,1)+$W113)))))</f>
        <v>46399</v>
      </c>
      <c r="AF113" s="61" t="n">
        <f aca="false">IF($AB113&lt;&gt;"",$AB113,IF($Q113=0,$AE113,INDEX(WorkDays,MATCH(MAX($AE113,NextWD)-1,WorkDays,1)+$AD113)))</f>
        <v>46415</v>
      </c>
      <c r="AG113" s="56" t="str">
        <f aca="false">IF($AB113&lt;&gt;"","Completed",IF($AA113&lt;&gt;"","In Progress",IF(AND($Y113&lt;&gt;"",$Y113&lt;=DataDate),"Not Started (Late)","Not Started")))</f>
        <v>Not Started</v>
      </c>
      <c r="AH113" s="64" t="n">
        <f aca="false">IF($Z113="","",MATCH($AF113,WorkDays,1)-MATCH($Z113,WorkDays,1))</f>
        <v>-11</v>
      </c>
      <c r="AI113" s="57" t="str">
        <f aca="false">IF($O113="","",$O113*IF($AB113&lt;&gt;"",1,$AC113))</f>
        <v/>
      </c>
      <c r="AJ113" s="55" t="s">
        <v>530</v>
      </c>
    </row>
    <row r="114" customFormat="false" ht="22.35" hidden="false" customHeight="false" outlineLevel="3" collapsed="false">
      <c r="A114" s="53" t="s">
        <v>535</v>
      </c>
      <c r="B114" s="25" t="n">
        <v>4</v>
      </c>
      <c r="C114" s="55" t="s">
        <v>536</v>
      </c>
      <c r="D114" s="55" t="s">
        <v>525</v>
      </c>
      <c r="E114" s="25" t="s">
        <v>77</v>
      </c>
      <c r="F114" s="55" t="s">
        <v>537</v>
      </c>
      <c r="G114" s="55" t="s">
        <v>509</v>
      </c>
      <c r="H114" s="55" t="s">
        <v>527</v>
      </c>
      <c r="I114" s="55" t="s">
        <v>538</v>
      </c>
      <c r="J114" s="25" t="n">
        <f aca="false">COUNTIF('BIM Element Map'!$J$6:$J$1000,$A114)</f>
        <v>1</v>
      </c>
      <c r="K114" s="56" t="s">
        <v>535</v>
      </c>
      <c r="L114" s="25" t="s">
        <v>173</v>
      </c>
      <c r="M114" s="55" t="s">
        <v>529</v>
      </c>
      <c r="N114" s="55" t="s">
        <v>521</v>
      </c>
      <c r="O114" s="57"/>
      <c r="P114" s="25"/>
      <c r="Q114" s="58" t="n">
        <v>14</v>
      </c>
      <c r="R114" s="59" t="s">
        <v>531</v>
      </c>
      <c r="S114" s="58" t="s">
        <v>307</v>
      </c>
      <c r="T114" s="58" t="n">
        <v>8</v>
      </c>
      <c r="U114" s="59"/>
      <c r="V114" s="58"/>
      <c r="W114" s="58"/>
      <c r="X114" s="60"/>
      <c r="Y114" s="61" t="n">
        <v>46422</v>
      </c>
      <c r="Z114" s="61" t="n">
        <v>46437</v>
      </c>
      <c r="AA114" s="62"/>
      <c r="AB114" s="62"/>
      <c r="AC114" s="63" t="n">
        <v>0</v>
      </c>
      <c r="AD114" s="25" t="n">
        <f aca="false">IF($AB114&lt;&gt;"",0,IF($AA114="",$Q114,MAX(1,ROUND($Q114*(1-$AC114),0))))</f>
        <v>14</v>
      </c>
      <c r="AE114" s="61" t="n">
        <f aca="false">IF($AA114&lt;&gt;"",$AA114,MAX($X114,NextWD,IF($R114="",0,IF($S114="SS",INDEX(WorkDays,MATCH(INDEX($AE$6:$AE$156,MATCH($R114,$A$6:$A$156,0))-1,WorkDays,1)+1+$T114),INDEX(WorkDays,MATCH(INDEX($AF$6:$AF$156,MATCH($R114,$A$6:$A$156,0)),WorkDays,1)+IF($Q114=0,0,1)+$T114))),IF($U114="",0,IF($V114="SS",INDEX(WorkDays,MATCH(INDEX($AE$6:$AE$156,MATCH($U114,$A$6:$A$156,0))-1,WorkDays,1)+1+$W114),INDEX(WorkDays,MATCH(INDEX($AF$6:$AF$156,MATCH($U114,$A$6:$A$156,0)),WorkDays,1)+IF($Q114=0,0,1)+$W114)))))</f>
        <v>46408</v>
      </c>
      <c r="AF114" s="61" t="n">
        <f aca="false">IF($AB114&lt;&gt;"",$AB114,IF($Q114=0,$AE114,INDEX(WorkDays,MATCH(MAX($AE114,NextWD)-1,WorkDays,1)+$AD114)))</f>
        <v>46424</v>
      </c>
      <c r="AG114" s="56" t="str">
        <f aca="false">IF($AB114&lt;&gt;"","Completed",IF($AA114&lt;&gt;"","In Progress",IF(AND($Y114&lt;&gt;"",$Y114&lt;=DataDate),"Not Started (Late)","Not Started")))</f>
        <v>Not Started</v>
      </c>
      <c r="AH114" s="64" t="n">
        <f aca="false">IF($Z114="","",MATCH($AF114,WorkDays,1)-MATCH($Z114,WorkDays,1))</f>
        <v>-11</v>
      </c>
      <c r="AI114" s="57" t="str">
        <f aca="false">IF($O114="","",$O114*IF($AB114&lt;&gt;"",1,$AC114))</f>
        <v/>
      </c>
      <c r="AJ114" s="55" t="s">
        <v>530</v>
      </c>
    </row>
    <row r="115" customFormat="false" ht="22.35" hidden="false" customHeight="false" outlineLevel="3" collapsed="false">
      <c r="A115" s="53" t="s">
        <v>539</v>
      </c>
      <c r="B115" s="25" t="n">
        <v>4</v>
      </c>
      <c r="C115" s="55" t="s">
        <v>540</v>
      </c>
      <c r="D115" s="55" t="s">
        <v>525</v>
      </c>
      <c r="E115" s="25" t="s">
        <v>77</v>
      </c>
      <c r="F115" s="55" t="s">
        <v>541</v>
      </c>
      <c r="G115" s="55" t="s">
        <v>509</v>
      </c>
      <c r="H115" s="55" t="s">
        <v>527</v>
      </c>
      <c r="I115" s="55" t="s">
        <v>542</v>
      </c>
      <c r="J115" s="25" t="n">
        <f aca="false">COUNTIF('BIM Element Map'!$J$6:$J$1000,$A115)</f>
        <v>1</v>
      </c>
      <c r="K115" s="56" t="s">
        <v>539</v>
      </c>
      <c r="L115" s="25" t="s">
        <v>173</v>
      </c>
      <c r="M115" s="55" t="s">
        <v>529</v>
      </c>
      <c r="N115" s="55" t="s">
        <v>521</v>
      </c>
      <c r="O115" s="57"/>
      <c r="P115" s="25"/>
      <c r="Q115" s="58" t="n">
        <v>14</v>
      </c>
      <c r="R115" s="59" t="s">
        <v>535</v>
      </c>
      <c r="S115" s="58" t="s">
        <v>307</v>
      </c>
      <c r="T115" s="58" t="n">
        <v>8</v>
      </c>
      <c r="U115" s="59"/>
      <c r="V115" s="58"/>
      <c r="W115" s="58"/>
      <c r="X115" s="60"/>
      <c r="Y115" s="61" t="n">
        <v>46431</v>
      </c>
      <c r="Z115" s="61" t="n">
        <v>46447</v>
      </c>
      <c r="AA115" s="62"/>
      <c r="AB115" s="62"/>
      <c r="AC115" s="63" t="n">
        <v>0</v>
      </c>
      <c r="AD115" s="25" t="n">
        <f aca="false">IF($AB115&lt;&gt;"",0,IF($AA115="",$Q115,MAX(1,ROUND($Q115*(1-$AC115),0))))</f>
        <v>14</v>
      </c>
      <c r="AE115" s="61" t="n">
        <f aca="false">IF($AA115&lt;&gt;"",$AA115,MAX($X115,NextWD,IF($R115="",0,IF($S115="SS",INDEX(WorkDays,MATCH(INDEX($AE$6:$AE$156,MATCH($R115,$A$6:$A$156,0))-1,WorkDays,1)+1+$T115),INDEX(WorkDays,MATCH(INDEX($AF$6:$AF$156,MATCH($R115,$A$6:$A$156,0)),WorkDays,1)+IF($Q115=0,0,1)+$T115))),IF($U115="",0,IF($V115="SS",INDEX(WorkDays,MATCH(INDEX($AE$6:$AE$156,MATCH($U115,$A$6:$A$156,0))-1,WorkDays,1)+1+$W115),INDEX(WorkDays,MATCH(INDEX($AF$6:$AF$156,MATCH($U115,$A$6:$A$156,0)),WorkDays,1)+IF($Q115=0,0,1)+$W115)))))</f>
        <v>46419</v>
      </c>
      <c r="AF115" s="61" t="n">
        <f aca="false">IF($AB115&lt;&gt;"",$AB115,IF($Q115=0,$AE115,INDEX(WorkDays,MATCH(MAX($AE115,NextWD)-1,WorkDays,1)+$AD115)))</f>
        <v>46434</v>
      </c>
      <c r="AG115" s="56" t="str">
        <f aca="false">IF($AB115&lt;&gt;"","Completed",IF($AA115&lt;&gt;"","In Progress",IF(AND($Y115&lt;&gt;"",$Y115&lt;=DataDate),"Not Started (Late)","Not Started")))</f>
        <v>Not Started</v>
      </c>
      <c r="AH115" s="64" t="n">
        <f aca="false">IF($Z115="","",MATCH($AF115,WorkDays,1)-MATCH($Z115,WorkDays,1))</f>
        <v>-11</v>
      </c>
      <c r="AI115" s="57" t="str">
        <f aca="false">IF($O115="","",$O115*IF($AB115&lt;&gt;"",1,$AC115))</f>
        <v/>
      </c>
      <c r="AJ115" s="55" t="s">
        <v>530</v>
      </c>
    </row>
    <row r="116" customFormat="false" ht="22.35" hidden="false" customHeight="false" outlineLevel="3" collapsed="false">
      <c r="A116" s="53" t="s">
        <v>543</v>
      </c>
      <c r="B116" s="25" t="n">
        <v>4</v>
      </c>
      <c r="C116" s="55" t="s">
        <v>544</v>
      </c>
      <c r="D116" s="55" t="s">
        <v>525</v>
      </c>
      <c r="E116" s="25" t="s">
        <v>79</v>
      </c>
      <c r="F116" s="55" t="s">
        <v>545</v>
      </c>
      <c r="G116" s="55" t="s">
        <v>509</v>
      </c>
      <c r="H116" s="55" t="s">
        <v>527</v>
      </c>
      <c r="I116" s="55" t="s">
        <v>546</v>
      </c>
      <c r="J116" s="25" t="n">
        <f aca="false">COUNTIF('BIM Element Map'!$J$6:$J$1000,$A116)</f>
        <v>1</v>
      </c>
      <c r="K116" s="56" t="s">
        <v>543</v>
      </c>
      <c r="L116" s="25" t="s">
        <v>173</v>
      </c>
      <c r="M116" s="55" t="s">
        <v>529</v>
      </c>
      <c r="N116" s="55" t="s">
        <v>521</v>
      </c>
      <c r="O116" s="57"/>
      <c r="P116" s="25"/>
      <c r="Q116" s="58" t="n">
        <v>14</v>
      </c>
      <c r="R116" s="59" t="s">
        <v>539</v>
      </c>
      <c r="S116" s="58" t="s">
        <v>307</v>
      </c>
      <c r="T116" s="58" t="n">
        <v>8</v>
      </c>
      <c r="U116" s="59"/>
      <c r="V116" s="58"/>
      <c r="W116" s="58"/>
      <c r="X116" s="60"/>
      <c r="Y116" s="61" t="n">
        <v>46441</v>
      </c>
      <c r="Z116" s="61" t="n">
        <v>46457</v>
      </c>
      <c r="AA116" s="62"/>
      <c r="AB116" s="62"/>
      <c r="AC116" s="63" t="n">
        <v>0</v>
      </c>
      <c r="AD116" s="25" t="n">
        <f aca="false">IF($AB116&lt;&gt;"",0,IF($AA116="",$Q116,MAX(1,ROUND($Q116*(1-$AC116),0))))</f>
        <v>14</v>
      </c>
      <c r="AE116" s="61" t="n">
        <f aca="false">IF($AA116&lt;&gt;"",$AA116,MAX($X116,NextWD,IF($R116="",0,IF($S116="SS",INDEX(WorkDays,MATCH(INDEX($AE$6:$AE$156,MATCH($R116,$A$6:$A$156,0))-1,WorkDays,1)+1+$T116),INDEX(WorkDays,MATCH(INDEX($AF$6:$AF$156,MATCH($R116,$A$6:$A$156,0)),WorkDays,1)+IF($Q116=0,0,1)+$T116))),IF($U116="",0,IF($V116="SS",INDEX(WorkDays,MATCH(INDEX($AE$6:$AE$156,MATCH($U116,$A$6:$A$156,0))-1,WorkDays,1)+1+$W116),INDEX(WorkDays,MATCH(INDEX($AF$6:$AF$156,MATCH($U116,$A$6:$A$156,0)),WorkDays,1)+IF($Q116=0,0,1)+$W116)))))</f>
        <v>46428</v>
      </c>
      <c r="AF116" s="61" t="n">
        <f aca="false">IF($AB116&lt;&gt;"",$AB116,IF($Q116=0,$AE116,INDEX(WorkDays,MATCH(MAX($AE116,NextWD)-1,WorkDays,1)+$AD116)))</f>
        <v>46443</v>
      </c>
      <c r="AG116" s="56" t="str">
        <f aca="false">IF($AB116&lt;&gt;"","Completed",IF($AA116&lt;&gt;"","In Progress",IF(AND($Y116&lt;&gt;"",$Y116&lt;=DataDate),"Not Started (Late)","Not Started")))</f>
        <v>Not Started</v>
      </c>
      <c r="AH116" s="64" t="n">
        <f aca="false">IF($Z116="","",MATCH($AF116,WorkDays,1)-MATCH($Z116,WorkDays,1))</f>
        <v>-11</v>
      </c>
      <c r="AI116" s="57" t="str">
        <f aca="false">IF($O116="","",$O116*IF($AB116&lt;&gt;"",1,$AC116))</f>
        <v/>
      </c>
      <c r="AJ116" s="55" t="s">
        <v>530</v>
      </c>
    </row>
    <row r="117" customFormat="false" ht="22.35" hidden="false" customHeight="false" outlineLevel="3" collapsed="false">
      <c r="A117" s="53" t="s">
        <v>547</v>
      </c>
      <c r="B117" s="25" t="n">
        <v>4</v>
      </c>
      <c r="C117" s="55" t="s">
        <v>548</v>
      </c>
      <c r="D117" s="55" t="s">
        <v>525</v>
      </c>
      <c r="E117" s="25" t="s">
        <v>443</v>
      </c>
      <c r="F117" s="55" t="s">
        <v>549</v>
      </c>
      <c r="G117" s="55" t="s">
        <v>550</v>
      </c>
      <c r="H117" s="55" t="s">
        <v>551</v>
      </c>
      <c r="I117" s="55" t="s">
        <v>552</v>
      </c>
      <c r="J117" s="25" t="n">
        <f aca="false">COUNTIF('BIM Element Map'!$J$6:$J$1000,$A117)</f>
        <v>2</v>
      </c>
      <c r="K117" s="56" t="s">
        <v>547</v>
      </c>
      <c r="L117" s="25" t="s">
        <v>173</v>
      </c>
      <c r="M117" s="55" t="s">
        <v>64</v>
      </c>
      <c r="N117" s="55" t="s">
        <v>521</v>
      </c>
      <c r="O117" s="57"/>
      <c r="P117" s="25"/>
      <c r="Q117" s="58" t="n">
        <v>5</v>
      </c>
      <c r="R117" s="59" t="s">
        <v>553</v>
      </c>
      <c r="S117" s="58" t="s">
        <v>177</v>
      </c>
      <c r="T117" s="58" t="n">
        <v>0</v>
      </c>
      <c r="U117" s="59" t="s">
        <v>523</v>
      </c>
      <c r="V117" s="58" t="s">
        <v>307</v>
      </c>
      <c r="W117" s="58" t="n">
        <v>0</v>
      </c>
      <c r="X117" s="60"/>
      <c r="Y117" s="61" t="n">
        <v>46402</v>
      </c>
      <c r="Z117" s="61" t="n">
        <v>46407</v>
      </c>
      <c r="AA117" s="62"/>
      <c r="AB117" s="62"/>
      <c r="AC117" s="63" t="n">
        <v>0</v>
      </c>
      <c r="AD117" s="25" t="n">
        <f aca="false">IF($AB117&lt;&gt;"",0,IF($AA117="",$Q117,MAX(1,ROUND($Q117*(1-$AC117),0))))</f>
        <v>5</v>
      </c>
      <c r="AE117" s="61" t="n">
        <f aca="false">IF($AA117&lt;&gt;"",$AA117,MAX($X117,NextWD,IF($R117="",0,IF($S117="SS",INDEX(WorkDays,MATCH(INDEX($AE$6:$AE$156,MATCH($R117,$A$6:$A$156,0))-1,WorkDays,1)+1+$T117),INDEX(WorkDays,MATCH(INDEX($AF$6:$AF$156,MATCH($R117,$A$6:$A$156,0)),WorkDays,1)+IF($Q117=0,0,1)+$T117))),IF($U117="",0,IF($V117="SS",INDEX(WorkDays,MATCH(INDEX($AE$6:$AE$156,MATCH($U117,$A$6:$A$156,0))-1,WorkDays,1)+1+$W117),INDEX(WorkDays,MATCH(INDEX($AF$6:$AF$156,MATCH($U117,$A$6:$A$156,0)),WorkDays,1)+IF($Q117=0,0,1)+$W117)))))</f>
        <v>46389</v>
      </c>
      <c r="AF117" s="61" t="n">
        <f aca="false">IF($AB117&lt;&gt;"",$AB117,IF($Q117=0,$AE117,INDEX(WorkDays,MATCH(MAX($AE117,NextWD)-1,WorkDays,1)+$AD117)))</f>
        <v>46394</v>
      </c>
      <c r="AG117" s="56" t="str">
        <f aca="false">IF($AB117&lt;&gt;"","Completed",IF($AA117&lt;&gt;"","In Progress",IF(AND($Y117&lt;&gt;"",$Y117&lt;=DataDate),"Not Started (Late)","Not Started")))</f>
        <v>Not Started</v>
      </c>
      <c r="AH117" s="64" t="n">
        <f aca="false">IF($Z117="","",MATCH($AF117,WorkDays,1)-MATCH($Z117,WorkDays,1))</f>
        <v>-11</v>
      </c>
      <c r="AI117" s="57" t="str">
        <f aca="false">IF($O117="","",$O117*IF($AB117&lt;&gt;"",1,$AC117))</f>
        <v/>
      </c>
      <c r="AJ117" s="55" t="s">
        <v>530</v>
      </c>
    </row>
    <row r="118" customFormat="false" ht="22.35" hidden="false" customHeight="false" outlineLevel="3" collapsed="false">
      <c r="A118" s="53" t="s">
        <v>554</v>
      </c>
      <c r="B118" s="25" t="n">
        <v>4</v>
      </c>
      <c r="C118" s="55" t="s">
        <v>555</v>
      </c>
      <c r="D118" s="55" t="s">
        <v>525</v>
      </c>
      <c r="E118" s="25" t="s">
        <v>75</v>
      </c>
      <c r="F118" s="55" t="s">
        <v>556</v>
      </c>
      <c r="G118" s="55" t="s">
        <v>509</v>
      </c>
      <c r="H118" s="55" t="s">
        <v>527</v>
      </c>
      <c r="I118" s="55" t="s">
        <v>557</v>
      </c>
      <c r="J118" s="25" t="n">
        <f aca="false">COUNTIF('BIM Element Map'!$J$6:$J$1000,$A118)</f>
        <v>4</v>
      </c>
      <c r="K118" s="56" t="s">
        <v>554</v>
      </c>
      <c r="L118" s="25" t="s">
        <v>173</v>
      </c>
      <c r="M118" s="55" t="s">
        <v>529</v>
      </c>
      <c r="N118" s="55" t="s">
        <v>521</v>
      </c>
      <c r="O118" s="57"/>
      <c r="P118" s="25"/>
      <c r="Q118" s="58" t="n">
        <v>12</v>
      </c>
      <c r="R118" s="59" t="s">
        <v>254</v>
      </c>
      <c r="S118" s="58" t="s">
        <v>177</v>
      </c>
      <c r="T118" s="58" t="n">
        <v>0</v>
      </c>
      <c r="U118" s="59" t="s">
        <v>523</v>
      </c>
      <c r="V118" s="58" t="s">
        <v>307</v>
      </c>
      <c r="W118" s="58" t="n">
        <v>10</v>
      </c>
      <c r="X118" s="60"/>
      <c r="Y118" s="61" t="n">
        <v>46415</v>
      </c>
      <c r="Z118" s="61" t="n">
        <v>46428</v>
      </c>
      <c r="AA118" s="62"/>
      <c r="AB118" s="62"/>
      <c r="AC118" s="63" t="n">
        <v>0</v>
      </c>
      <c r="AD118" s="25" t="n">
        <f aca="false">IF($AB118&lt;&gt;"",0,IF($AA118="",$Q118,MAX(1,ROUND($Q118*(1-$AC118),0))))</f>
        <v>12</v>
      </c>
      <c r="AE118" s="61" t="n">
        <f aca="false">IF($AA118&lt;&gt;"",$AA118,MAX($X118,NextWD,IF($R118="",0,IF($S118="SS",INDEX(WorkDays,MATCH(INDEX($AE$6:$AE$156,MATCH($R118,$A$6:$A$156,0))-1,WorkDays,1)+1+$T118),INDEX(WorkDays,MATCH(INDEX($AF$6:$AF$156,MATCH($R118,$A$6:$A$156,0)),WorkDays,1)+IF($Q118=0,0,1)+$T118))),IF($U118="",0,IF($V118="SS",INDEX(WorkDays,MATCH(INDEX($AE$6:$AE$156,MATCH($U118,$A$6:$A$156,0))-1,WorkDays,1)+1+$W118),INDEX(WorkDays,MATCH(INDEX($AF$6:$AF$156,MATCH($U118,$A$6:$A$156,0)),WorkDays,1)+IF($Q118=0,0,1)+$W118)))))</f>
        <v>46401</v>
      </c>
      <c r="AF118" s="61" t="n">
        <f aca="false">IF($AB118&lt;&gt;"",$AB118,IF($Q118=0,$AE118,INDEX(WorkDays,MATCH(MAX($AE118,NextWD)-1,WorkDays,1)+$AD118)))</f>
        <v>46415</v>
      </c>
      <c r="AG118" s="56" t="str">
        <f aca="false">IF($AB118&lt;&gt;"","Completed",IF($AA118&lt;&gt;"","In Progress",IF(AND($Y118&lt;&gt;"",$Y118&lt;=DataDate),"Not Started (Late)","Not Started")))</f>
        <v>Not Started</v>
      </c>
      <c r="AH118" s="64" t="n">
        <f aca="false">IF($Z118="","",MATCH($AF118,WorkDays,1)-MATCH($Z118,WorkDays,1))</f>
        <v>-11</v>
      </c>
      <c r="AI118" s="57" t="str">
        <f aca="false">IF($O118="","",$O118*IF($AB118&lt;&gt;"",1,$AC118))</f>
        <v/>
      </c>
      <c r="AJ118" s="55" t="s">
        <v>530</v>
      </c>
    </row>
    <row r="119" customFormat="false" ht="22.35" hidden="false" customHeight="false" outlineLevel="3" collapsed="false">
      <c r="A119" s="53" t="s">
        <v>558</v>
      </c>
      <c r="B119" s="25" t="n">
        <v>4</v>
      </c>
      <c r="C119" s="55" t="s">
        <v>559</v>
      </c>
      <c r="D119" s="55" t="s">
        <v>525</v>
      </c>
      <c r="E119" s="25" t="s">
        <v>77</v>
      </c>
      <c r="F119" s="55" t="s">
        <v>560</v>
      </c>
      <c r="G119" s="55" t="s">
        <v>509</v>
      </c>
      <c r="H119" s="55" t="s">
        <v>527</v>
      </c>
      <c r="I119" s="55" t="s">
        <v>561</v>
      </c>
      <c r="J119" s="25" t="n">
        <f aca="false">COUNTIF('BIM Element Map'!$J$6:$J$1000,$A119)</f>
        <v>4</v>
      </c>
      <c r="K119" s="56" t="s">
        <v>558</v>
      </c>
      <c r="L119" s="25" t="s">
        <v>173</v>
      </c>
      <c r="M119" s="55" t="s">
        <v>529</v>
      </c>
      <c r="N119" s="55" t="s">
        <v>521</v>
      </c>
      <c r="O119" s="57"/>
      <c r="P119" s="25"/>
      <c r="Q119" s="58" t="n">
        <v>12</v>
      </c>
      <c r="R119" s="59" t="s">
        <v>554</v>
      </c>
      <c r="S119" s="58" t="s">
        <v>307</v>
      </c>
      <c r="T119" s="58" t="n">
        <v>8</v>
      </c>
      <c r="U119" s="59" t="s">
        <v>500</v>
      </c>
      <c r="V119" s="58" t="s">
        <v>177</v>
      </c>
      <c r="W119" s="58" t="n">
        <v>0</v>
      </c>
      <c r="X119" s="60"/>
      <c r="Y119" s="61" t="n">
        <v>46424</v>
      </c>
      <c r="Z119" s="61" t="n">
        <v>46437</v>
      </c>
      <c r="AA119" s="62"/>
      <c r="AB119" s="62"/>
      <c r="AC119" s="63" t="n">
        <v>0</v>
      </c>
      <c r="AD119" s="25" t="n">
        <f aca="false">IF($AB119&lt;&gt;"",0,IF($AA119="",$Q119,MAX(1,ROUND($Q119*(1-$AC119),0))))</f>
        <v>12</v>
      </c>
      <c r="AE119" s="61" t="n">
        <f aca="false">IF($AA119&lt;&gt;"",$AA119,MAX($X119,NextWD,IF($R119="",0,IF($S119="SS",INDEX(WorkDays,MATCH(INDEX($AE$6:$AE$156,MATCH($R119,$A$6:$A$156,0))-1,WorkDays,1)+1+$T119),INDEX(WorkDays,MATCH(INDEX($AF$6:$AF$156,MATCH($R119,$A$6:$A$156,0)),WorkDays,1)+IF($Q119=0,0,1)+$T119))),IF($U119="",0,IF($V119="SS",INDEX(WorkDays,MATCH(INDEX($AE$6:$AE$156,MATCH($U119,$A$6:$A$156,0))-1,WorkDays,1)+1+$W119),INDEX(WorkDays,MATCH(INDEX($AF$6:$AF$156,MATCH($U119,$A$6:$A$156,0)),WorkDays,1)+IF($Q119=0,0,1)+$W119)))))</f>
        <v>46410</v>
      </c>
      <c r="AF119" s="61" t="n">
        <f aca="false">IF($AB119&lt;&gt;"",$AB119,IF($Q119=0,$AE119,INDEX(WorkDays,MATCH(MAX($AE119,NextWD)-1,WorkDays,1)+$AD119)))</f>
        <v>46424</v>
      </c>
      <c r="AG119" s="56" t="str">
        <f aca="false">IF($AB119&lt;&gt;"","Completed",IF($AA119&lt;&gt;"","In Progress",IF(AND($Y119&lt;&gt;"",$Y119&lt;=DataDate),"Not Started (Late)","Not Started")))</f>
        <v>Not Started</v>
      </c>
      <c r="AH119" s="64" t="n">
        <f aca="false">IF($Z119="","",MATCH($AF119,WorkDays,1)-MATCH($Z119,WorkDays,1))</f>
        <v>-11</v>
      </c>
      <c r="AI119" s="57" t="str">
        <f aca="false">IF($O119="","",$O119*IF($AB119&lt;&gt;"",1,$AC119))</f>
        <v/>
      </c>
      <c r="AJ119" s="55" t="s">
        <v>530</v>
      </c>
    </row>
    <row r="120" customFormat="false" ht="22.35" hidden="false" customHeight="false" outlineLevel="3" collapsed="false">
      <c r="A120" s="53" t="s">
        <v>562</v>
      </c>
      <c r="B120" s="25" t="n">
        <v>4</v>
      </c>
      <c r="C120" s="55" t="s">
        <v>563</v>
      </c>
      <c r="D120" s="55" t="s">
        <v>525</v>
      </c>
      <c r="E120" s="25" t="s">
        <v>79</v>
      </c>
      <c r="F120" s="55" t="s">
        <v>564</v>
      </c>
      <c r="G120" s="55" t="s">
        <v>509</v>
      </c>
      <c r="H120" s="55" t="s">
        <v>527</v>
      </c>
      <c r="I120" s="55" t="s">
        <v>565</v>
      </c>
      <c r="J120" s="25" t="n">
        <f aca="false">COUNTIF('BIM Element Map'!$J$6:$J$1000,$A120)</f>
        <v>2</v>
      </c>
      <c r="K120" s="56" t="s">
        <v>562</v>
      </c>
      <c r="L120" s="25" t="s">
        <v>173</v>
      </c>
      <c r="M120" s="55" t="s">
        <v>529</v>
      </c>
      <c r="N120" s="55" t="s">
        <v>521</v>
      </c>
      <c r="O120" s="57"/>
      <c r="P120" s="25"/>
      <c r="Q120" s="58" t="n">
        <v>8</v>
      </c>
      <c r="R120" s="59" t="s">
        <v>558</v>
      </c>
      <c r="S120" s="58" t="s">
        <v>307</v>
      </c>
      <c r="T120" s="58" t="n">
        <v>8</v>
      </c>
      <c r="U120" s="59"/>
      <c r="V120" s="58"/>
      <c r="W120" s="58"/>
      <c r="X120" s="60"/>
      <c r="Y120" s="61" t="n">
        <v>46434</v>
      </c>
      <c r="Z120" s="61" t="n">
        <v>46442</v>
      </c>
      <c r="AA120" s="62"/>
      <c r="AB120" s="62"/>
      <c r="AC120" s="63" t="n">
        <v>0</v>
      </c>
      <c r="AD120" s="25" t="n">
        <f aca="false">IF($AB120&lt;&gt;"",0,IF($AA120="",$Q120,MAX(1,ROUND($Q120*(1-$AC120),0))))</f>
        <v>8</v>
      </c>
      <c r="AE120" s="61" t="n">
        <f aca="false">IF($AA120&lt;&gt;"",$AA120,MAX($X120,NextWD,IF($R120="",0,IF($S120="SS",INDEX(WorkDays,MATCH(INDEX($AE$6:$AE$156,MATCH($R120,$A$6:$A$156,0))-1,WorkDays,1)+1+$T120),INDEX(WorkDays,MATCH(INDEX($AF$6:$AF$156,MATCH($R120,$A$6:$A$156,0)),WorkDays,1)+IF($Q120=0,0,1)+$T120))),IF($U120="",0,IF($V120="SS",INDEX(WorkDays,MATCH(INDEX($AE$6:$AE$156,MATCH($U120,$A$6:$A$156,0))-1,WorkDays,1)+1+$W120),INDEX(WorkDays,MATCH(INDEX($AF$6:$AF$156,MATCH($U120,$A$6:$A$156,0)),WorkDays,1)+IF($Q120=0,0,1)+$W120)))))</f>
        <v>46421</v>
      </c>
      <c r="AF120" s="61" t="n">
        <f aca="false">IF($AB120&lt;&gt;"",$AB120,IF($Q120=0,$AE120,INDEX(WorkDays,MATCH(MAX($AE120,NextWD)-1,WorkDays,1)+$AD120)))</f>
        <v>46429</v>
      </c>
      <c r="AG120" s="56" t="str">
        <f aca="false">IF($AB120&lt;&gt;"","Completed",IF($AA120&lt;&gt;"","In Progress",IF(AND($Y120&lt;&gt;"",$Y120&lt;=DataDate),"Not Started (Late)","Not Started")))</f>
        <v>Not Started</v>
      </c>
      <c r="AH120" s="64" t="n">
        <f aca="false">IF($Z120="","",MATCH($AF120,WorkDays,1)-MATCH($Z120,WorkDays,1))</f>
        <v>-11</v>
      </c>
      <c r="AI120" s="57" t="str">
        <f aca="false">IF($O120="","",$O120*IF($AB120&lt;&gt;"",1,$AC120))</f>
        <v/>
      </c>
      <c r="AJ120" s="55" t="s">
        <v>530</v>
      </c>
    </row>
    <row r="121" customFormat="false" ht="15" hidden="false" customHeight="false" outlineLevel="3" collapsed="false">
      <c r="A121" s="53" t="s">
        <v>566</v>
      </c>
      <c r="B121" s="25" t="n">
        <v>4</v>
      </c>
      <c r="C121" s="55" t="s">
        <v>567</v>
      </c>
      <c r="D121" s="55" t="s">
        <v>525</v>
      </c>
      <c r="E121" s="25" t="s">
        <v>443</v>
      </c>
      <c r="F121" s="55" t="s">
        <v>568</v>
      </c>
      <c r="G121" s="55" t="s">
        <v>569</v>
      </c>
      <c r="H121" s="55" t="s">
        <v>527</v>
      </c>
      <c r="I121" s="55" t="s">
        <v>570</v>
      </c>
      <c r="J121" s="25" t="n">
        <f aca="false">COUNTIF('BIM Element Map'!$J$6:$J$1000,$A121)</f>
        <v>1</v>
      </c>
      <c r="K121" s="56" t="s">
        <v>566</v>
      </c>
      <c r="L121" s="25" t="s">
        <v>173</v>
      </c>
      <c r="M121" s="55"/>
      <c r="N121" s="55" t="s">
        <v>521</v>
      </c>
      <c r="O121" s="57"/>
      <c r="P121" s="25"/>
      <c r="Q121" s="58" t="n">
        <v>19</v>
      </c>
      <c r="R121" s="59" t="s">
        <v>543</v>
      </c>
      <c r="S121" s="58" t="s">
        <v>177</v>
      </c>
      <c r="T121" s="58" t="n">
        <v>0</v>
      </c>
      <c r="U121" s="59" t="s">
        <v>562</v>
      </c>
      <c r="V121" s="58" t="s">
        <v>177</v>
      </c>
      <c r="W121" s="58" t="n">
        <v>0</v>
      </c>
      <c r="X121" s="60"/>
      <c r="Y121" s="61" t="n">
        <v>46458</v>
      </c>
      <c r="Z121" s="61" t="n">
        <v>46480</v>
      </c>
      <c r="AA121" s="62"/>
      <c r="AB121" s="62"/>
      <c r="AC121" s="63" t="n">
        <v>0</v>
      </c>
      <c r="AD121" s="25" t="n">
        <f aca="false">IF($AB121&lt;&gt;"",0,IF($AA121="",$Q121,MAX(1,ROUND($Q121*(1-$AC121),0))))</f>
        <v>19</v>
      </c>
      <c r="AE121" s="61" t="n">
        <f aca="false">IF($AA121&lt;&gt;"",$AA121,MAX($X121,NextWD,IF($R121="",0,IF($S121="SS",INDEX(WorkDays,MATCH(INDEX($AE$6:$AE$156,MATCH($R121,$A$6:$A$156,0))-1,WorkDays,1)+1+$T121),INDEX(WorkDays,MATCH(INDEX($AF$6:$AF$156,MATCH($R121,$A$6:$A$156,0)),WorkDays,1)+IF($Q121=0,0,1)+$T121))),IF($U121="",0,IF($V121="SS",INDEX(WorkDays,MATCH(INDEX($AE$6:$AE$156,MATCH($U121,$A$6:$A$156,0))-1,WorkDays,1)+1+$W121),INDEX(WorkDays,MATCH(INDEX($AF$6:$AF$156,MATCH($U121,$A$6:$A$156,0)),WorkDays,1)+IF($Q121=0,0,1)+$W121)))))</f>
        <v>46444</v>
      </c>
      <c r="AF121" s="61" t="n">
        <f aca="false">IF($AB121&lt;&gt;"",$AB121,IF($Q121=0,$AE121,INDEX(WorkDays,MATCH(MAX($AE121,NextWD)-1,WorkDays,1)+$AD121)))</f>
        <v>46466</v>
      </c>
      <c r="AG121" s="56" t="str">
        <f aca="false">IF($AB121&lt;&gt;"","Completed",IF($AA121&lt;&gt;"","In Progress",IF(AND($Y121&lt;&gt;"",$Y121&lt;=DataDate),"Not Started (Late)","Not Started")))</f>
        <v>Not Started</v>
      </c>
      <c r="AH121" s="64" t="n">
        <f aca="false">IF($Z121="","",MATCH($AF121,WorkDays,1)-MATCH($Z121,WorkDays,1))</f>
        <v>-11</v>
      </c>
      <c r="AI121" s="57" t="str">
        <f aca="false">IF($O121="","",$O121*IF($AB121&lt;&gt;"",1,$AC121))</f>
        <v/>
      </c>
      <c r="AJ121" s="55" t="s">
        <v>530</v>
      </c>
    </row>
    <row r="122" customFormat="false" ht="15" hidden="false" customHeight="false" outlineLevel="2" collapsed="false">
      <c r="A122" s="46" t="s">
        <v>571</v>
      </c>
      <c r="B122" s="47" t="n">
        <v>3</v>
      </c>
      <c r="C122" s="48" t="s">
        <v>572</v>
      </c>
      <c r="D122" s="46"/>
      <c r="E122" s="46"/>
      <c r="F122" s="46"/>
      <c r="G122" s="46"/>
      <c r="H122" s="46"/>
      <c r="I122" s="46"/>
      <c r="J122" s="46" t="n">
        <f aca="false">SUMIF($B$123:$B$127,4,$J$123:$J$127)</f>
        <v>5</v>
      </c>
      <c r="K122" s="46"/>
      <c r="L122" s="46"/>
      <c r="M122" s="46"/>
      <c r="N122" s="46"/>
      <c r="O122" s="49" t="str">
        <f aca="false">IF(SUMIF($B$123:$B$127,4,$O$123:$O$127)=0,"",SUMIF($B$123:$B$127,4,$O$123:$O$127))</f>
        <v/>
      </c>
      <c r="P122" s="46"/>
      <c r="Q122" s="46"/>
      <c r="R122" s="46"/>
      <c r="S122" s="46"/>
      <c r="T122" s="46"/>
      <c r="U122" s="46"/>
      <c r="V122" s="46"/>
      <c r="W122" s="46"/>
      <c r="X122" s="46"/>
      <c r="Y122" s="50" t="n">
        <f aca="false">MIN($Y$123:$Y$127)</f>
        <v>46427</v>
      </c>
      <c r="Z122" s="50" t="n">
        <f aca="false">MAX($Z$123:$Z$127)</f>
        <v>46498</v>
      </c>
      <c r="AA122" s="50" t="str">
        <f aca="false">IF(COUNT($AA$123:$AA$127)=0,"",MIN($AA$123:$AA$127))</f>
        <v/>
      </c>
      <c r="AB122" s="50" t="str">
        <f aca="false">IF(COUNTIFS($B$123:$B$127,4,$AG$123:$AG$127,"Completed")=COUNTIF($B$123:$B$127,4),MAX($AB$123:$AB$127),"")</f>
        <v/>
      </c>
      <c r="AC122" s="51" t="n">
        <f aca="false">IFERROR(IF(SUMIF($B$123:$B$127,4,$O$123:$O$127)&gt;0,SUMIF($B$123:$B$127,4,$AI$123:$AI$127)/SUMIF($B$123:$B$127,4,$O$123:$O$127),IFERROR(SUMPRODUCT(--($B$123:$B$127=4),$Q$123:$Q$127,$AC$123:$AC$127)/SUMIF($B$123:$B$127,4,$Q$123:$Q$127),AVERAGEIF($B$123:$B$127,4,$AC$123:$AC$127))),"")</f>
        <v>0</v>
      </c>
      <c r="AD122" s="46"/>
      <c r="AE122" s="50" t="n">
        <f aca="false">MIN($AE$123:$AE$127)</f>
        <v>46414</v>
      </c>
      <c r="AF122" s="50" t="n">
        <f aca="false">MAX($AF$123:$AF$127)</f>
        <v>46485</v>
      </c>
      <c r="AG122" s="46" t="str">
        <f aca="false">IF(COUNTIFS($B$123:$B$127,4,$AG$123:$AG$127,"Completed")=COUNTIF($B$123:$B$127,4),"Completed",IF(COUNTIFS($B$123:$B$127,4,$AG$123:$AG$127,"Not Started*")=COUNTIF($B$123:$B$127,4),"Not Started","In Progress"))</f>
        <v>Not Started</v>
      </c>
      <c r="AH122" s="52" t="n">
        <f aca="false">MATCH($AF122,WorkDays,1)-MATCH($Z122,WorkDays,1)</f>
        <v>-11</v>
      </c>
      <c r="AI122" s="49" t="str">
        <f aca="false">IF(SUMIF($B$123:$B$127,4,$O$123:$O$127)=0,"",SUMIF($B$123:$B$127,4,$AI$123:$AI$127))</f>
        <v/>
      </c>
      <c r="AJ122" s="46" t="str">
        <f aca="false">"P6 check: "&amp;INDEX('P6 Roll-up'!$AB$5:$AB$22,MATCH($A122,'P6 Roll-up'!$A$5:$A$22,0))</f>
        <v>P6 check: ✔ Same as P6</v>
      </c>
    </row>
    <row r="123" customFormat="false" ht="22.35" hidden="false" customHeight="false" outlineLevel="3" collapsed="false">
      <c r="A123" s="53" t="s">
        <v>573</v>
      </c>
      <c r="B123" s="25" t="n">
        <v>4</v>
      </c>
      <c r="C123" s="55" t="s">
        <v>574</v>
      </c>
      <c r="D123" s="55" t="s">
        <v>575</v>
      </c>
      <c r="E123" s="25" t="s">
        <v>443</v>
      </c>
      <c r="F123" s="55" t="s">
        <v>576</v>
      </c>
      <c r="G123" s="55" t="s">
        <v>577</v>
      </c>
      <c r="H123" s="55" t="s">
        <v>578</v>
      </c>
      <c r="I123" s="55" t="s">
        <v>579</v>
      </c>
      <c r="J123" s="25" t="n">
        <f aca="false">COUNTIF('BIM Element Map'!$J$6:$J$1000,$A123)</f>
        <v>1</v>
      </c>
      <c r="K123" s="56" t="s">
        <v>573</v>
      </c>
      <c r="L123" s="25" t="s">
        <v>173</v>
      </c>
      <c r="M123" s="55"/>
      <c r="N123" s="55" t="s">
        <v>571</v>
      </c>
      <c r="O123" s="57"/>
      <c r="P123" s="25"/>
      <c r="Q123" s="58" t="n">
        <v>15</v>
      </c>
      <c r="R123" s="59" t="s">
        <v>204</v>
      </c>
      <c r="S123" s="58" t="s">
        <v>177</v>
      </c>
      <c r="T123" s="58" t="n">
        <v>0</v>
      </c>
      <c r="U123" s="59" t="s">
        <v>523</v>
      </c>
      <c r="V123" s="58" t="s">
        <v>307</v>
      </c>
      <c r="W123" s="58" t="n">
        <v>20</v>
      </c>
      <c r="X123" s="60"/>
      <c r="Y123" s="61" t="n">
        <v>46427</v>
      </c>
      <c r="Z123" s="61" t="n">
        <v>46443</v>
      </c>
      <c r="AA123" s="62"/>
      <c r="AB123" s="62"/>
      <c r="AC123" s="63" t="n">
        <v>0</v>
      </c>
      <c r="AD123" s="25" t="n">
        <f aca="false">IF($AB123&lt;&gt;"",0,IF($AA123="",$Q123,MAX(1,ROUND($Q123*(1-$AC123),0))))</f>
        <v>15</v>
      </c>
      <c r="AE123" s="61" t="n">
        <f aca="false">IF($AA123&lt;&gt;"",$AA123,MAX($X123,NextWD,IF($R123="",0,IF($S123="SS",INDEX(WorkDays,MATCH(INDEX($AE$6:$AE$156,MATCH($R123,$A$6:$A$156,0))-1,WorkDays,1)+1+$T123),INDEX(WorkDays,MATCH(INDEX($AF$6:$AF$156,MATCH($R123,$A$6:$A$156,0)),WorkDays,1)+IF($Q123=0,0,1)+$T123))),IF($U123="",0,IF($V123="SS",INDEX(WorkDays,MATCH(INDEX($AE$6:$AE$156,MATCH($U123,$A$6:$A$156,0))-1,WorkDays,1)+1+$W123),INDEX(WorkDays,MATCH(INDEX($AF$6:$AF$156,MATCH($U123,$A$6:$A$156,0)),WorkDays,1)+IF($Q123=0,0,1)+$W123)))))</f>
        <v>46414</v>
      </c>
      <c r="AF123" s="61" t="n">
        <f aca="false">IF($AB123&lt;&gt;"",$AB123,IF($Q123=0,$AE123,INDEX(WorkDays,MATCH(MAX($AE123,NextWD)-1,WorkDays,1)+$AD123)))</f>
        <v>46430</v>
      </c>
      <c r="AG123" s="56" t="str">
        <f aca="false">IF($AB123&lt;&gt;"","Completed",IF($AA123&lt;&gt;"","In Progress",IF(AND($Y123&lt;&gt;"",$Y123&lt;=DataDate),"Not Started (Late)","Not Started")))</f>
        <v>Not Started</v>
      </c>
      <c r="AH123" s="64" t="n">
        <f aca="false">IF($Z123="","",MATCH($AF123,WorkDays,1)-MATCH($Z123,WorkDays,1))</f>
        <v>-11</v>
      </c>
      <c r="AI123" s="57" t="str">
        <f aca="false">IF($O123="","",$O123*IF($AB123&lt;&gt;"",1,$AC123))</f>
        <v/>
      </c>
      <c r="AJ123" s="55"/>
    </row>
    <row r="124" customFormat="false" ht="22.35" hidden="false" customHeight="false" outlineLevel="3" collapsed="false">
      <c r="A124" s="53" t="s">
        <v>580</v>
      </c>
      <c r="B124" s="25" t="n">
        <v>4</v>
      </c>
      <c r="C124" s="55" t="s">
        <v>581</v>
      </c>
      <c r="D124" s="55" t="s">
        <v>575</v>
      </c>
      <c r="E124" s="25" t="s">
        <v>443</v>
      </c>
      <c r="F124" s="55" t="s">
        <v>576</v>
      </c>
      <c r="G124" s="55" t="s">
        <v>582</v>
      </c>
      <c r="H124" s="55" t="s">
        <v>583</v>
      </c>
      <c r="I124" s="55" t="s">
        <v>584</v>
      </c>
      <c r="J124" s="25" t="n">
        <f aca="false">COUNTIF('BIM Element Map'!$J$6:$J$1000,$A124)</f>
        <v>1</v>
      </c>
      <c r="K124" s="56" t="s">
        <v>580</v>
      </c>
      <c r="L124" s="25" t="s">
        <v>173</v>
      </c>
      <c r="M124" s="55"/>
      <c r="N124" s="55" t="s">
        <v>571</v>
      </c>
      <c r="O124" s="57"/>
      <c r="P124" s="25"/>
      <c r="Q124" s="58" t="n">
        <v>25</v>
      </c>
      <c r="R124" s="59" t="s">
        <v>573</v>
      </c>
      <c r="S124" s="58" t="s">
        <v>307</v>
      </c>
      <c r="T124" s="58" t="n">
        <v>8</v>
      </c>
      <c r="U124" s="59"/>
      <c r="V124" s="58"/>
      <c r="W124" s="58"/>
      <c r="X124" s="60"/>
      <c r="Y124" s="61" t="n">
        <v>46436</v>
      </c>
      <c r="Z124" s="61" t="n">
        <v>46465</v>
      </c>
      <c r="AA124" s="62"/>
      <c r="AB124" s="62"/>
      <c r="AC124" s="63" t="n">
        <v>0</v>
      </c>
      <c r="AD124" s="25" t="n">
        <f aca="false">IF($AB124&lt;&gt;"",0,IF($AA124="",$Q124,MAX(1,ROUND($Q124*(1-$AC124),0))))</f>
        <v>25</v>
      </c>
      <c r="AE124" s="61" t="n">
        <f aca="false">IF($AA124&lt;&gt;"",$AA124,MAX($X124,NextWD,IF($R124="",0,IF($S124="SS",INDEX(WorkDays,MATCH(INDEX($AE$6:$AE$156,MATCH($R124,$A$6:$A$156,0))-1,WorkDays,1)+1+$T124),INDEX(WorkDays,MATCH(INDEX($AF$6:$AF$156,MATCH($R124,$A$6:$A$156,0)),WorkDays,1)+IF($Q124=0,0,1)+$T124))),IF($U124="",0,IF($V124="SS",INDEX(WorkDays,MATCH(INDEX($AE$6:$AE$156,MATCH($U124,$A$6:$A$156,0))-1,WorkDays,1)+1+$W124),INDEX(WorkDays,MATCH(INDEX($AF$6:$AF$156,MATCH($U124,$A$6:$A$156,0)),WorkDays,1)+IF($Q124=0,0,1)+$W124)))))</f>
        <v>46423</v>
      </c>
      <c r="AF124" s="61" t="n">
        <f aca="false">IF($AB124&lt;&gt;"",$AB124,IF($Q124=0,$AE124,INDEX(WorkDays,MATCH(MAX($AE124,NextWD)-1,WorkDays,1)+$AD124)))</f>
        <v>46451</v>
      </c>
      <c r="AG124" s="56" t="str">
        <f aca="false">IF($AB124&lt;&gt;"","Completed",IF($AA124&lt;&gt;"","In Progress",IF(AND($Y124&lt;&gt;"",$Y124&lt;=DataDate),"Not Started (Late)","Not Started")))</f>
        <v>Not Started</v>
      </c>
      <c r="AH124" s="64" t="n">
        <f aca="false">IF($Z124="","",MATCH($AF124,WorkDays,1)-MATCH($Z124,WorkDays,1))</f>
        <v>-11</v>
      </c>
      <c r="AI124" s="57" t="str">
        <f aca="false">IF($O124="","",$O124*IF($AB124&lt;&gt;"",1,$AC124))</f>
        <v/>
      </c>
      <c r="AJ124" s="55"/>
    </row>
    <row r="125" customFormat="false" ht="22.35" hidden="false" customHeight="false" outlineLevel="3" collapsed="false">
      <c r="A125" s="53" t="s">
        <v>585</v>
      </c>
      <c r="B125" s="25" t="n">
        <v>4</v>
      </c>
      <c r="C125" s="55" t="s">
        <v>586</v>
      </c>
      <c r="D125" s="55" t="s">
        <v>575</v>
      </c>
      <c r="E125" s="25" t="s">
        <v>443</v>
      </c>
      <c r="F125" s="55" t="s">
        <v>587</v>
      </c>
      <c r="G125" s="55" t="s">
        <v>577</v>
      </c>
      <c r="H125" s="55" t="s">
        <v>588</v>
      </c>
      <c r="I125" s="55" t="s">
        <v>589</v>
      </c>
      <c r="J125" s="25" t="n">
        <f aca="false">COUNTIF('BIM Element Map'!$J$6:$J$1000,$A125)</f>
        <v>1</v>
      </c>
      <c r="K125" s="56" t="s">
        <v>585</v>
      </c>
      <c r="L125" s="25" t="s">
        <v>173</v>
      </c>
      <c r="M125" s="55"/>
      <c r="N125" s="55" t="s">
        <v>571</v>
      </c>
      <c r="O125" s="57"/>
      <c r="P125" s="25"/>
      <c r="Q125" s="58" t="n">
        <v>20</v>
      </c>
      <c r="R125" s="59" t="s">
        <v>580</v>
      </c>
      <c r="S125" s="58" t="s">
        <v>307</v>
      </c>
      <c r="T125" s="58" t="n">
        <v>10</v>
      </c>
      <c r="U125" s="59" t="s">
        <v>543</v>
      </c>
      <c r="V125" s="58" t="s">
        <v>177</v>
      </c>
      <c r="W125" s="58" t="n">
        <v>0</v>
      </c>
      <c r="X125" s="60"/>
      <c r="Y125" s="61" t="n">
        <v>46458</v>
      </c>
      <c r="Z125" s="61" t="n">
        <v>46482</v>
      </c>
      <c r="AA125" s="62"/>
      <c r="AB125" s="62"/>
      <c r="AC125" s="63" t="n">
        <v>0</v>
      </c>
      <c r="AD125" s="25" t="n">
        <f aca="false">IF($AB125&lt;&gt;"",0,IF($AA125="",$Q125,MAX(1,ROUND($Q125*(1-$AC125),0))))</f>
        <v>20</v>
      </c>
      <c r="AE125" s="61" t="n">
        <f aca="false">IF($AA125&lt;&gt;"",$AA125,MAX($X125,NextWD,IF($R125="",0,IF($S125="SS",INDEX(WorkDays,MATCH(INDEX($AE$6:$AE$156,MATCH($R125,$A$6:$A$156,0))-1,WorkDays,1)+1+$T125),INDEX(WorkDays,MATCH(INDEX($AF$6:$AF$156,MATCH($R125,$A$6:$A$156,0)),WorkDays,1)+IF($Q125=0,0,1)+$T125))),IF($U125="",0,IF($V125="SS",INDEX(WorkDays,MATCH(INDEX($AE$6:$AE$156,MATCH($U125,$A$6:$A$156,0))-1,WorkDays,1)+1+$W125),INDEX(WorkDays,MATCH(INDEX($AF$6:$AF$156,MATCH($U125,$A$6:$A$156,0)),WorkDays,1)+IF($Q125=0,0,1)+$W125)))))</f>
        <v>46444</v>
      </c>
      <c r="AF125" s="61" t="n">
        <f aca="false">IF($AB125&lt;&gt;"",$AB125,IF($Q125=0,$AE125,INDEX(WorkDays,MATCH(MAX($AE125,NextWD)-1,WorkDays,1)+$AD125)))</f>
        <v>46469</v>
      </c>
      <c r="AG125" s="56" t="str">
        <f aca="false">IF($AB125&lt;&gt;"","Completed",IF($AA125&lt;&gt;"","In Progress",IF(AND($Y125&lt;&gt;"",$Y125&lt;=DataDate),"Not Started (Late)","Not Started")))</f>
        <v>Not Started</v>
      </c>
      <c r="AH125" s="64" t="n">
        <f aca="false">IF($Z125="","",MATCH($AF125,WorkDays,1)-MATCH($Z125,WorkDays,1))</f>
        <v>-11</v>
      </c>
      <c r="AI125" s="57" t="str">
        <f aca="false">IF($O125="","",$O125*IF($AB125&lt;&gt;"",1,$AC125))</f>
        <v/>
      </c>
      <c r="AJ125" s="55"/>
    </row>
    <row r="126" customFormat="false" ht="15" hidden="false" customHeight="false" outlineLevel="3" collapsed="false">
      <c r="A126" s="53" t="s">
        <v>590</v>
      </c>
      <c r="B126" s="25" t="n">
        <v>4</v>
      </c>
      <c r="C126" s="55" t="s">
        <v>591</v>
      </c>
      <c r="D126" s="55" t="s">
        <v>575</v>
      </c>
      <c r="E126" s="25" t="s">
        <v>443</v>
      </c>
      <c r="F126" s="55" t="s">
        <v>592</v>
      </c>
      <c r="G126" s="55" t="s">
        <v>593</v>
      </c>
      <c r="H126" s="55" t="s">
        <v>588</v>
      </c>
      <c r="I126" s="55" t="s">
        <v>594</v>
      </c>
      <c r="J126" s="25" t="n">
        <f aca="false">COUNTIF('BIM Element Map'!$J$6:$J$1000,$A126)</f>
        <v>1</v>
      </c>
      <c r="K126" s="56" t="s">
        <v>590</v>
      </c>
      <c r="L126" s="25" t="s">
        <v>173</v>
      </c>
      <c r="M126" s="55"/>
      <c r="N126" s="55" t="s">
        <v>571</v>
      </c>
      <c r="O126" s="57"/>
      <c r="P126" s="25"/>
      <c r="Q126" s="58" t="n">
        <v>18</v>
      </c>
      <c r="R126" s="59" t="s">
        <v>580</v>
      </c>
      <c r="S126" s="58" t="s">
        <v>307</v>
      </c>
      <c r="T126" s="58" t="n">
        <v>12</v>
      </c>
      <c r="U126" s="59" t="s">
        <v>562</v>
      </c>
      <c r="V126" s="58" t="s">
        <v>177</v>
      </c>
      <c r="W126" s="58" t="n">
        <v>0</v>
      </c>
      <c r="X126" s="60"/>
      <c r="Y126" s="61" t="n">
        <v>46450</v>
      </c>
      <c r="Z126" s="61" t="n">
        <v>46472</v>
      </c>
      <c r="AA126" s="62"/>
      <c r="AB126" s="62"/>
      <c r="AC126" s="63" t="n">
        <v>0</v>
      </c>
      <c r="AD126" s="25" t="n">
        <f aca="false">IF($AB126&lt;&gt;"",0,IF($AA126="",$Q126,MAX(1,ROUND($Q126*(1-$AC126),0))))</f>
        <v>18</v>
      </c>
      <c r="AE126" s="61" t="n">
        <f aca="false">IF($AA126&lt;&gt;"",$AA126,MAX($X126,NextWD,IF($R126="",0,IF($S126="SS",INDEX(WorkDays,MATCH(INDEX($AE$6:$AE$156,MATCH($R126,$A$6:$A$156,0))-1,WorkDays,1)+1+$T126),INDEX(WorkDays,MATCH(INDEX($AF$6:$AF$156,MATCH($R126,$A$6:$A$156,0)),WorkDays,1)+IF($Q126=0,0,1)+$T126))),IF($U126="",0,IF($V126="SS",INDEX(WorkDays,MATCH(INDEX($AE$6:$AE$156,MATCH($U126,$A$6:$A$156,0))-1,WorkDays,1)+1+$W126),INDEX(WorkDays,MATCH(INDEX($AF$6:$AF$156,MATCH($U126,$A$6:$A$156,0)),WorkDays,1)+IF($Q126=0,0,1)+$W126)))))</f>
        <v>46437</v>
      </c>
      <c r="AF126" s="61" t="n">
        <f aca="false">IF($AB126&lt;&gt;"",$AB126,IF($Q126=0,$AE126,INDEX(WorkDays,MATCH(MAX($AE126,NextWD)-1,WorkDays,1)+$AD126)))</f>
        <v>46458</v>
      </c>
      <c r="AG126" s="56" t="str">
        <f aca="false">IF($AB126&lt;&gt;"","Completed",IF($AA126&lt;&gt;"","In Progress",IF(AND($Y126&lt;&gt;"",$Y126&lt;=DataDate),"Not Started (Late)","Not Started")))</f>
        <v>Not Started</v>
      </c>
      <c r="AH126" s="64" t="n">
        <f aca="false">IF($Z126="","",MATCH($AF126,WorkDays,1)-MATCH($Z126,WorkDays,1))</f>
        <v>-11</v>
      </c>
      <c r="AI126" s="57" t="str">
        <f aca="false">IF($O126="","",$O126*IF($AB126&lt;&gt;"",1,$AC126))</f>
        <v/>
      </c>
      <c r="AJ126" s="55"/>
    </row>
    <row r="127" customFormat="false" ht="15" hidden="false" customHeight="false" outlineLevel="3" collapsed="false">
      <c r="A127" s="53" t="s">
        <v>595</v>
      </c>
      <c r="B127" s="25" t="n">
        <v>4</v>
      </c>
      <c r="C127" s="55" t="s">
        <v>596</v>
      </c>
      <c r="D127" s="55" t="s">
        <v>575</v>
      </c>
      <c r="E127" s="25" t="s">
        <v>443</v>
      </c>
      <c r="F127" s="55" t="s">
        <v>568</v>
      </c>
      <c r="G127" s="55" t="s">
        <v>443</v>
      </c>
      <c r="H127" s="55" t="s">
        <v>597</v>
      </c>
      <c r="I127" s="55" t="s">
        <v>598</v>
      </c>
      <c r="J127" s="25" t="n">
        <f aca="false">COUNTIF('BIM Element Map'!$J$6:$J$1000,$A127)</f>
        <v>1</v>
      </c>
      <c r="K127" s="56" t="s">
        <v>595</v>
      </c>
      <c r="L127" s="25" t="s">
        <v>173</v>
      </c>
      <c r="M127" s="55"/>
      <c r="N127" s="55" t="s">
        <v>571</v>
      </c>
      <c r="O127" s="57"/>
      <c r="P127" s="25"/>
      <c r="Q127" s="58" t="n">
        <v>14</v>
      </c>
      <c r="R127" s="59" t="s">
        <v>585</v>
      </c>
      <c r="S127" s="58" t="s">
        <v>177</v>
      </c>
      <c r="T127" s="58" t="n">
        <v>0</v>
      </c>
      <c r="U127" s="59" t="s">
        <v>590</v>
      </c>
      <c r="V127" s="58" t="s">
        <v>177</v>
      </c>
      <c r="W127" s="58" t="n">
        <v>0</v>
      </c>
      <c r="X127" s="60"/>
      <c r="Y127" s="61" t="n">
        <v>46483</v>
      </c>
      <c r="Z127" s="61" t="n">
        <v>46498</v>
      </c>
      <c r="AA127" s="62"/>
      <c r="AB127" s="62"/>
      <c r="AC127" s="63" t="n">
        <v>0</v>
      </c>
      <c r="AD127" s="25" t="n">
        <f aca="false">IF($AB127&lt;&gt;"",0,IF($AA127="",$Q127,MAX(1,ROUND($Q127*(1-$AC127),0))))</f>
        <v>14</v>
      </c>
      <c r="AE127" s="61" t="n">
        <f aca="false">IF($AA127&lt;&gt;"",$AA127,MAX($X127,NextWD,IF($R127="",0,IF($S127="SS",INDEX(WorkDays,MATCH(INDEX($AE$6:$AE$156,MATCH($R127,$A$6:$A$156,0))-1,WorkDays,1)+1+$T127),INDEX(WorkDays,MATCH(INDEX($AF$6:$AF$156,MATCH($R127,$A$6:$A$156,0)),WorkDays,1)+IF($Q127=0,0,1)+$T127))),IF($U127="",0,IF($V127="SS",INDEX(WorkDays,MATCH(INDEX($AE$6:$AE$156,MATCH($U127,$A$6:$A$156,0))-1,WorkDays,1)+1+$W127),INDEX(WorkDays,MATCH(INDEX($AF$6:$AF$156,MATCH($U127,$A$6:$A$156,0)),WorkDays,1)+IF($Q127=0,0,1)+$W127)))))</f>
        <v>46470</v>
      </c>
      <c r="AF127" s="61" t="n">
        <f aca="false">IF($AB127&lt;&gt;"",$AB127,IF($Q127=0,$AE127,INDEX(WorkDays,MATCH(MAX($AE127,NextWD)-1,WorkDays,1)+$AD127)))</f>
        <v>46485</v>
      </c>
      <c r="AG127" s="56" t="str">
        <f aca="false">IF($AB127&lt;&gt;"","Completed",IF($AA127&lt;&gt;"","In Progress",IF(AND($Y127&lt;&gt;"",$Y127&lt;=DataDate),"Not Started (Late)","Not Started")))</f>
        <v>Not Started</v>
      </c>
      <c r="AH127" s="64" t="n">
        <f aca="false">IF($Z127="","",MATCH($AF127,WorkDays,1)-MATCH($Z127,WorkDays,1))</f>
        <v>-11</v>
      </c>
      <c r="AI127" s="57" t="str">
        <f aca="false">IF($O127="","",$O127*IF($AB127&lt;&gt;"",1,$AC127))</f>
        <v/>
      </c>
      <c r="AJ127" s="55"/>
    </row>
    <row r="128" customFormat="false" ht="15" hidden="false" customHeight="false" outlineLevel="2" collapsed="false">
      <c r="A128" s="46" t="s">
        <v>599</v>
      </c>
      <c r="B128" s="47" t="n">
        <v>3</v>
      </c>
      <c r="C128" s="48" t="s">
        <v>600</v>
      </c>
      <c r="D128" s="46"/>
      <c r="E128" s="46"/>
      <c r="F128" s="46"/>
      <c r="G128" s="46"/>
      <c r="H128" s="46"/>
      <c r="I128" s="46"/>
      <c r="J128" s="46" t="n">
        <f aca="false">SUMIF($B$129:$B$131,4,$J$129:$J$131)</f>
        <v>3</v>
      </c>
      <c r="K128" s="46"/>
      <c r="L128" s="46"/>
      <c r="M128" s="46"/>
      <c r="N128" s="46"/>
      <c r="O128" s="49" t="str">
        <f aca="false">IF(SUMIF($B$129:$B$131,4,$O$129:$O$131)=0,"",SUMIF($B$129:$B$131,4,$O$129:$O$131))</f>
        <v/>
      </c>
      <c r="P128" s="46"/>
      <c r="Q128" s="46"/>
      <c r="R128" s="46"/>
      <c r="S128" s="46"/>
      <c r="T128" s="46"/>
      <c r="U128" s="46"/>
      <c r="V128" s="46"/>
      <c r="W128" s="46"/>
      <c r="X128" s="46"/>
      <c r="Y128" s="50" t="n">
        <f aca="false">MIN($Y$129:$Y$131)</f>
        <v>46433</v>
      </c>
      <c r="Z128" s="50" t="n">
        <f aca="false">MAX($Z$129:$Z$131)</f>
        <v>46486</v>
      </c>
      <c r="AA128" s="50" t="str">
        <f aca="false">IF(COUNT($AA$129:$AA$131)=0,"",MIN($AA$129:$AA$131))</f>
        <v/>
      </c>
      <c r="AB128" s="50" t="str">
        <f aca="false">IF(COUNTIFS($B$129:$B$131,4,$AG$129:$AG$131,"Completed")=COUNTIF($B$129:$B$131,4),MAX($AB$129:$AB$131),"")</f>
        <v/>
      </c>
      <c r="AC128" s="51" t="n">
        <f aca="false">IFERROR(IF(SUMIF($B$129:$B$131,4,$O$129:$O$131)&gt;0,SUMIF($B$129:$B$131,4,$AI$129:$AI$131)/SUMIF($B$129:$B$131,4,$O$129:$O$131),IFERROR(SUMPRODUCT(--($B$129:$B$131=4),$Q$129:$Q$131,$AC$129:$AC$131)/SUMIF($B$129:$B$131,4,$Q$129:$Q$131),AVERAGEIF($B$129:$B$131,4,$AC$129:$AC$131))),"")</f>
        <v>0</v>
      </c>
      <c r="AD128" s="46"/>
      <c r="AE128" s="50" t="n">
        <f aca="false">MIN($AE$129:$AE$131)</f>
        <v>46420</v>
      </c>
      <c r="AF128" s="50" t="n">
        <f aca="false">MAX($AF$129:$AF$131)</f>
        <v>46473</v>
      </c>
      <c r="AG128" s="46" t="str">
        <f aca="false">IF(COUNTIFS($B$129:$B$131,4,$AG$129:$AG$131,"Completed")=COUNTIF($B$129:$B$131,4),"Completed",IF(COUNTIFS($B$129:$B$131,4,$AG$129:$AG$131,"Not Started*")=COUNTIF($B$129:$B$131,4),"Not Started","In Progress"))</f>
        <v>Not Started</v>
      </c>
      <c r="AH128" s="52" t="n">
        <f aca="false">MATCH($AF128,WorkDays,1)-MATCH($Z128,WorkDays,1)</f>
        <v>-11</v>
      </c>
      <c r="AI128" s="49" t="str">
        <f aca="false">IF(SUMIF($B$129:$B$131,4,$O$129:$O$131)=0,"",SUMIF($B$129:$B$131,4,$AI$129:$AI$131))</f>
        <v/>
      </c>
      <c r="AJ128" s="46" t="str">
        <f aca="false">"P6 check: "&amp;INDEX('P6 Roll-up'!$AB$5:$AB$22,MATCH($A128,'P6 Roll-up'!$A$5:$A$22,0))</f>
        <v>P6 check: ✔ Same as P6</v>
      </c>
    </row>
    <row r="129" customFormat="false" ht="15" hidden="false" customHeight="false" outlineLevel="3" collapsed="false">
      <c r="A129" s="53" t="s">
        <v>601</v>
      </c>
      <c r="B129" s="25" t="n">
        <v>4</v>
      </c>
      <c r="C129" s="55" t="s">
        <v>602</v>
      </c>
      <c r="D129" s="55" t="s">
        <v>603</v>
      </c>
      <c r="E129" s="25" t="s">
        <v>443</v>
      </c>
      <c r="F129" s="55" t="s">
        <v>604</v>
      </c>
      <c r="G129" s="55" t="s">
        <v>605</v>
      </c>
      <c r="H129" s="55" t="s">
        <v>606</v>
      </c>
      <c r="I129" s="55" t="s">
        <v>607</v>
      </c>
      <c r="J129" s="25" t="n">
        <f aca="false">COUNTIF('BIM Element Map'!$J$6:$J$1000,$A129)</f>
        <v>1</v>
      </c>
      <c r="K129" s="56" t="s">
        <v>601</v>
      </c>
      <c r="L129" s="25" t="s">
        <v>173</v>
      </c>
      <c r="M129" s="55"/>
      <c r="N129" s="55" t="s">
        <v>599</v>
      </c>
      <c r="O129" s="57"/>
      <c r="P129" s="25"/>
      <c r="Q129" s="58" t="n">
        <v>20</v>
      </c>
      <c r="R129" s="59" t="s">
        <v>214</v>
      </c>
      <c r="S129" s="58" t="s">
        <v>177</v>
      </c>
      <c r="T129" s="58" t="n">
        <v>0</v>
      </c>
      <c r="U129" s="59" t="s">
        <v>523</v>
      </c>
      <c r="V129" s="58" t="s">
        <v>307</v>
      </c>
      <c r="W129" s="58" t="n">
        <v>25</v>
      </c>
      <c r="X129" s="60"/>
      <c r="Y129" s="61" t="n">
        <v>46433</v>
      </c>
      <c r="Z129" s="61" t="n">
        <v>46456</v>
      </c>
      <c r="AA129" s="62"/>
      <c r="AB129" s="62"/>
      <c r="AC129" s="63" t="n">
        <v>0</v>
      </c>
      <c r="AD129" s="25" t="n">
        <f aca="false">IF($AB129&lt;&gt;"",0,IF($AA129="",$Q129,MAX(1,ROUND($Q129*(1-$AC129),0))))</f>
        <v>20</v>
      </c>
      <c r="AE129" s="61" t="n">
        <f aca="false">IF($AA129&lt;&gt;"",$AA129,MAX($X129,NextWD,IF($R129="",0,IF($S129="SS",INDEX(WorkDays,MATCH(INDEX($AE$6:$AE$156,MATCH($R129,$A$6:$A$156,0))-1,WorkDays,1)+1+$T129),INDEX(WorkDays,MATCH(INDEX($AF$6:$AF$156,MATCH($R129,$A$6:$A$156,0)),WorkDays,1)+IF($Q129=0,0,1)+$T129))),IF($U129="",0,IF($V129="SS",INDEX(WorkDays,MATCH(INDEX($AE$6:$AE$156,MATCH($U129,$A$6:$A$156,0))-1,WorkDays,1)+1+$W129),INDEX(WorkDays,MATCH(INDEX($AF$6:$AF$156,MATCH($U129,$A$6:$A$156,0)),WorkDays,1)+IF($Q129=0,0,1)+$W129)))))</f>
        <v>46420</v>
      </c>
      <c r="AF129" s="61" t="n">
        <f aca="false">IF($AB129&lt;&gt;"",$AB129,IF($Q129=0,$AE129,INDEX(WorkDays,MATCH(MAX($AE129,NextWD)-1,WorkDays,1)+$AD129)))</f>
        <v>46442</v>
      </c>
      <c r="AG129" s="56" t="str">
        <f aca="false">IF($AB129&lt;&gt;"","Completed",IF($AA129&lt;&gt;"","In Progress",IF(AND($Y129&lt;&gt;"",$Y129&lt;=DataDate),"Not Started (Late)","Not Started")))</f>
        <v>Not Started</v>
      </c>
      <c r="AH129" s="64" t="n">
        <f aca="false">IF($Z129="","",MATCH($AF129,WorkDays,1)-MATCH($Z129,WorkDays,1))</f>
        <v>-11</v>
      </c>
      <c r="AI129" s="57" t="str">
        <f aca="false">IF($O129="","",$O129*IF($AB129&lt;&gt;"",1,$AC129))</f>
        <v/>
      </c>
      <c r="AJ129" s="55"/>
    </row>
    <row r="130" customFormat="false" ht="15" hidden="false" customHeight="false" outlineLevel="3" collapsed="false">
      <c r="A130" s="53" t="s">
        <v>608</v>
      </c>
      <c r="B130" s="25" t="n">
        <v>4</v>
      </c>
      <c r="C130" s="55" t="s">
        <v>609</v>
      </c>
      <c r="D130" s="55" t="s">
        <v>603</v>
      </c>
      <c r="E130" s="25" t="s">
        <v>443</v>
      </c>
      <c r="F130" s="55" t="s">
        <v>610</v>
      </c>
      <c r="G130" s="55" t="s">
        <v>611</v>
      </c>
      <c r="H130" s="55" t="s">
        <v>606</v>
      </c>
      <c r="I130" s="55" t="s">
        <v>607</v>
      </c>
      <c r="J130" s="25" t="n">
        <f aca="false">COUNTIF('BIM Element Map'!$J$6:$J$1000,$A130)</f>
        <v>1</v>
      </c>
      <c r="K130" s="56" t="s">
        <v>608</v>
      </c>
      <c r="L130" s="25" t="s">
        <v>173</v>
      </c>
      <c r="M130" s="55"/>
      <c r="N130" s="55" t="s">
        <v>599</v>
      </c>
      <c r="O130" s="57"/>
      <c r="P130" s="25"/>
      <c r="Q130" s="58" t="n">
        <v>20</v>
      </c>
      <c r="R130" s="59" t="s">
        <v>601</v>
      </c>
      <c r="S130" s="58" t="s">
        <v>307</v>
      </c>
      <c r="T130" s="58" t="n">
        <v>8</v>
      </c>
      <c r="U130" s="59"/>
      <c r="V130" s="58"/>
      <c r="W130" s="58"/>
      <c r="X130" s="60"/>
      <c r="Y130" s="61" t="n">
        <v>46442</v>
      </c>
      <c r="Z130" s="61" t="n">
        <v>46465</v>
      </c>
      <c r="AA130" s="62"/>
      <c r="AB130" s="62"/>
      <c r="AC130" s="63" t="n">
        <v>0</v>
      </c>
      <c r="AD130" s="25" t="n">
        <f aca="false">IF($AB130&lt;&gt;"",0,IF($AA130="",$Q130,MAX(1,ROUND($Q130*(1-$AC130),0))))</f>
        <v>20</v>
      </c>
      <c r="AE130" s="61" t="n">
        <f aca="false">IF($AA130&lt;&gt;"",$AA130,MAX($X130,NextWD,IF($R130="",0,IF($S130="SS",INDEX(WorkDays,MATCH(INDEX($AE$6:$AE$156,MATCH($R130,$A$6:$A$156,0))-1,WorkDays,1)+1+$T130),INDEX(WorkDays,MATCH(INDEX($AF$6:$AF$156,MATCH($R130,$A$6:$A$156,0)),WorkDays,1)+IF($Q130=0,0,1)+$T130))),IF($U130="",0,IF($V130="SS",INDEX(WorkDays,MATCH(INDEX($AE$6:$AE$156,MATCH($U130,$A$6:$A$156,0))-1,WorkDays,1)+1+$W130),INDEX(WorkDays,MATCH(INDEX($AF$6:$AF$156,MATCH($U130,$A$6:$A$156,0)),WorkDays,1)+IF($Q130=0,0,1)+$W130)))))</f>
        <v>46429</v>
      </c>
      <c r="AF130" s="61" t="n">
        <f aca="false">IF($AB130&lt;&gt;"",$AB130,IF($Q130=0,$AE130,INDEX(WorkDays,MATCH(MAX($AE130,NextWD)-1,WorkDays,1)+$AD130)))</f>
        <v>46451</v>
      </c>
      <c r="AG130" s="56" t="str">
        <f aca="false">IF($AB130&lt;&gt;"","Completed",IF($AA130&lt;&gt;"","In Progress",IF(AND($Y130&lt;&gt;"",$Y130&lt;=DataDate),"Not Started (Late)","Not Started")))</f>
        <v>Not Started</v>
      </c>
      <c r="AH130" s="64" t="n">
        <f aca="false">IF($Z130="","",MATCH($AF130,WorkDays,1)-MATCH($Z130,WorkDays,1))</f>
        <v>-11</v>
      </c>
      <c r="AI130" s="57" t="str">
        <f aca="false">IF($O130="","",$O130*IF($AB130&lt;&gt;"",1,$AC130))</f>
        <v/>
      </c>
      <c r="AJ130" s="55"/>
    </row>
    <row r="131" customFormat="false" ht="15" hidden="false" customHeight="false" outlineLevel="3" collapsed="false">
      <c r="A131" s="53" t="s">
        <v>612</v>
      </c>
      <c r="B131" s="25" t="n">
        <v>4</v>
      </c>
      <c r="C131" s="55" t="s">
        <v>613</v>
      </c>
      <c r="D131" s="55" t="s">
        <v>603</v>
      </c>
      <c r="E131" s="25" t="s">
        <v>443</v>
      </c>
      <c r="F131" s="55" t="s">
        <v>614</v>
      </c>
      <c r="G131" s="55" t="s">
        <v>443</v>
      </c>
      <c r="H131" s="55" t="s">
        <v>615</v>
      </c>
      <c r="I131" s="55" t="s">
        <v>616</v>
      </c>
      <c r="J131" s="25" t="n">
        <f aca="false">COUNTIF('BIM Element Map'!$J$6:$J$1000,$A131)</f>
        <v>1</v>
      </c>
      <c r="K131" s="56" t="s">
        <v>612</v>
      </c>
      <c r="L131" s="25" t="s">
        <v>173</v>
      </c>
      <c r="M131" s="55"/>
      <c r="N131" s="55" t="s">
        <v>599</v>
      </c>
      <c r="O131" s="57"/>
      <c r="P131" s="25"/>
      <c r="Q131" s="58" t="n">
        <v>30</v>
      </c>
      <c r="R131" s="59" t="s">
        <v>601</v>
      </c>
      <c r="S131" s="58" t="s">
        <v>307</v>
      </c>
      <c r="T131" s="58" t="n">
        <v>15</v>
      </c>
      <c r="U131" s="59"/>
      <c r="V131" s="58"/>
      <c r="W131" s="58"/>
      <c r="X131" s="60"/>
      <c r="Y131" s="61" t="n">
        <v>46450</v>
      </c>
      <c r="Z131" s="61" t="n">
        <v>46486</v>
      </c>
      <c r="AA131" s="62"/>
      <c r="AB131" s="62"/>
      <c r="AC131" s="63" t="n">
        <v>0</v>
      </c>
      <c r="AD131" s="25" t="n">
        <f aca="false">IF($AB131&lt;&gt;"",0,IF($AA131="",$Q131,MAX(1,ROUND($Q131*(1-$AC131),0))))</f>
        <v>30</v>
      </c>
      <c r="AE131" s="61" t="n">
        <f aca="false">IF($AA131&lt;&gt;"",$AA131,MAX($X131,NextWD,IF($R131="",0,IF($S131="SS",INDEX(WorkDays,MATCH(INDEX($AE$6:$AE$156,MATCH($R131,$A$6:$A$156,0))-1,WorkDays,1)+1+$T131),INDEX(WorkDays,MATCH(INDEX($AF$6:$AF$156,MATCH($R131,$A$6:$A$156,0)),WorkDays,1)+IF($Q131=0,0,1)+$T131))),IF($U131="",0,IF($V131="SS",INDEX(WorkDays,MATCH(INDEX($AE$6:$AE$156,MATCH($U131,$A$6:$A$156,0))-1,WorkDays,1)+1+$W131),INDEX(WorkDays,MATCH(INDEX($AF$6:$AF$156,MATCH($U131,$A$6:$A$156,0)),WorkDays,1)+IF($Q131=0,0,1)+$W131)))))</f>
        <v>46437</v>
      </c>
      <c r="AF131" s="61" t="n">
        <f aca="false">IF($AB131&lt;&gt;"",$AB131,IF($Q131=0,$AE131,INDEX(WorkDays,MATCH(MAX($AE131,NextWD)-1,WorkDays,1)+$AD131)))</f>
        <v>46473</v>
      </c>
      <c r="AG131" s="56" t="str">
        <f aca="false">IF($AB131&lt;&gt;"","Completed",IF($AA131&lt;&gt;"","In Progress",IF(AND($Y131&lt;&gt;"",$Y131&lt;=DataDate),"Not Started (Late)","Not Started")))</f>
        <v>Not Started</v>
      </c>
      <c r="AH131" s="64" t="n">
        <f aca="false">IF($Z131="","",MATCH($AF131,WorkDays,1)-MATCH($Z131,WorkDays,1))</f>
        <v>-11</v>
      </c>
      <c r="AI131" s="57" t="str">
        <f aca="false">IF($O131="","",$O131*IF($AB131&lt;&gt;"",1,$AC131))</f>
        <v/>
      </c>
      <c r="AJ131" s="55"/>
    </row>
    <row r="132" customFormat="false" ht="15" hidden="false" customHeight="false" outlineLevel="2" collapsed="false">
      <c r="A132" s="46" t="s">
        <v>617</v>
      </c>
      <c r="B132" s="47" t="n">
        <v>3</v>
      </c>
      <c r="C132" s="48" t="s">
        <v>618</v>
      </c>
      <c r="D132" s="46"/>
      <c r="E132" s="46"/>
      <c r="F132" s="46"/>
      <c r="G132" s="46"/>
      <c r="H132" s="46"/>
      <c r="I132" s="46"/>
      <c r="J132" s="46" t="n">
        <f aca="false">SUMIF($B$133:$B$135,4,$J$133:$J$135)</f>
        <v>3</v>
      </c>
      <c r="K132" s="46"/>
      <c r="L132" s="46"/>
      <c r="M132" s="46"/>
      <c r="N132" s="46"/>
      <c r="O132" s="49" t="str">
        <f aca="false">IF(SUMIF($B$133:$B$135,4,$O$133:$O$135)=0,"",SUMIF($B$133:$B$135,4,$O$133:$O$135))</f>
        <v/>
      </c>
      <c r="P132" s="46"/>
      <c r="Q132" s="46"/>
      <c r="R132" s="46"/>
      <c r="S132" s="46"/>
      <c r="T132" s="46"/>
      <c r="U132" s="46"/>
      <c r="V132" s="46"/>
      <c r="W132" s="46"/>
      <c r="X132" s="46"/>
      <c r="Y132" s="50" t="n">
        <f aca="false">MIN($Y$133:$Y$135)</f>
        <v>46450</v>
      </c>
      <c r="Z132" s="50" t="n">
        <f aca="false">MAX($Z$133:$Z$135)</f>
        <v>46504</v>
      </c>
      <c r="AA132" s="50" t="str">
        <f aca="false">IF(COUNT($AA$133:$AA$135)=0,"",MIN($AA$133:$AA$135))</f>
        <v/>
      </c>
      <c r="AB132" s="50" t="str">
        <f aca="false">IF(COUNTIFS($B$133:$B$135,4,$AG$133:$AG$135,"Completed")=COUNTIF($B$133:$B$135,4),MAX($AB$133:$AB$135),"")</f>
        <v/>
      </c>
      <c r="AC132" s="51" t="n">
        <f aca="false">IFERROR(IF(SUMIF($B$133:$B$135,4,$O$133:$O$135)&gt;0,SUMIF($B$133:$B$135,4,$AI$133:$AI$135)/SUMIF($B$133:$B$135,4,$O$133:$O$135),IFERROR(SUMPRODUCT(--($B$133:$B$135=4),$Q$133:$Q$135,$AC$133:$AC$135)/SUMIF($B$133:$B$135,4,$Q$133:$Q$135),AVERAGEIF($B$133:$B$135,4,$AC$133:$AC$135))),"")</f>
        <v>0</v>
      </c>
      <c r="AD132" s="46"/>
      <c r="AE132" s="50" t="n">
        <f aca="false">MIN($AE$133:$AE$135)</f>
        <v>46437</v>
      </c>
      <c r="AF132" s="50" t="n">
        <f aca="false">MAX($AF$133:$AF$135)</f>
        <v>46491</v>
      </c>
      <c r="AG132" s="46" t="str">
        <f aca="false">IF(COUNTIFS($B$133:$B$135,4,$AG$133:$AG$135,"Completed")=COUNTIF($B$133:$B$135,4),"Completed",IF(COUNTIFS($B$133:$B$135,4,$AG$133:$AG$135,"Not Started*")=COUNTIF($B$133:$B$135,4),"Not Started","In Progress"))</f>
        <v>Not Started</v>
      </c>
      <c r="AH132" s="52" t="n">
        <f aca="false">MATCH($AF132,WorkDays,1)-MATCH($Z132,WorkDays,1)</f>
        <v>-11</v>
      </c>
      <c r="AI132" s="49" t="str">
        <f aca="false">IF(SUMIF($B$133:$B$135,4,$O$133:$O$135)=0,"",SUMIF($B$133:$B$135,4,$AI$133:$AI$135))</f>
        <v/>
      </c>
      <c r="AJ132" s="46" t="str">
        <f aca="false">"P6 check: "&amp;INDEX('P6 Roll-up'!$AB$5:$AB$22,MATCH($A132,'P6 Roll-up'!$A$5:$A$22,0))</f>
        <v>P6 check: ✔ Same as P6</v>
      </c>
    </row>
    <row r="133" customFormat="false" ht="15" hidden="false" customHeight="false" outlineLevel="3" collapsed="false">
      <c r="A133" s="53" t="s">
        <v>619</v>
      </c>
      <c r="B133" s="25" t="n">
        <v>4</v>
      </c>
      <c r="C133" s="55" t="s">
        <v>620</v>
      </c>
      <c r="D133" s="55" t="s">
        <v>603</v>
      </c>
      <c r="E133" s="25" t="s">
        <v>443</v>
      </c>
      <c r="F133" s="55" t="s">
        <v>621</v>
      </c>
      <c r="G133" s="55" t="s">
        <v>443</v>
      </c>
      <c r="H133" s="55" t="s">
        <v>622</v>
      </c>
      <c r="I133" s="55" t="s">
        <v>623</v>
      </c>
      <c r="J133" s="25" t="n">
        <f aca="false">COUNTIF('BIM Element Map'!$J$6:$J$1000,$A133)</f>
        <v>1</v>
      </c>
      <c r="K133" s="56" t="s">
        <v>619</v>
      </c>
      <c r="L133" s="25" t="s">
        <v>173</v>
      </c>
      <c r="M133" s="55"/>
      <c r="N133" s="55" t="s">
        <v>617</v>
      </c>
      <c r="O133" s="57"/>
      <c r="P133" s="25"/>
      <c r="Q133" s="58" t="n">
        <v>15</v>
      </c>
      <c r="R133" s="59" t="s">
        <v>601</v>
      </c>
      <c r="S133" s="58" t="s">
        <v>307</v>
      </c>
      <c r="T133" s="58" t="n">
        <v>15</v>
      </c>
      <c r="U133" s="59"/>
      <c r="V133" s="58"/>
      <c r="W133" s="58"/>
      <c r="X133" s="60"/>
      <c r="Y133" s="61" t="n">
        <v>46450</v>
      </c>
      <c r="Z133" s="61" t="n">
        <v>46469</v>
      </c>
      <c r="AA133" s="62"/>
      <c r="AB133" s="62"/>
      <c r="AC133" s="63" t="n">
        <v>0</v>
      </c>
      <c r="AD133" s="25" t="n">
        <f aca="false">IF($AB133&lt;&gt;"",0,IF($AA133="",$Q133,MAX(1,ROUND($Q133*(1-$AC133),0))))</f>
        <v>15</v>
      </c>
      <c r="AE133" s="61" t="n">
        <f aca="false">IF($AA133&lt;&gt;"",$AA133,MAX($X133,NextWD,IF($R133="",0,IF($S133="SS",INDEX(WorkDays,MATCH(INDEX($AE$6:$AE$156,MATCH($R133,$A$6:$A$156,0))-1,WorkDays,1)+1+$T133),INDEX(WorkDays,MATCH(INDEX($AF$6:$AF$156,MATCH($R133,$A$6:$A$156,0)),WorkDays,1)+IF($Q133=0,0,1)+$T133))),IF($U133="",0,IF($V133="SS",INDEX(WorkDays,MATCH(INDEX($AE$6:$AE$156,MATCH($U133,$A$6:$A$156,0))-1,WorkDays,1)+1+$W133),INDEX(WorkDays,MATCH(INDEX($AF$6:$AF$156,MATCH($U133,$A$6:$A$156,0)),WorkDays,1)+IF($Q133=0,0,1)+$W133)))))</f>
        <v>46437</v>
      </c>
      <c r="AF133" s="61" t="n">
        <f aca="false">IF($AB133&lt;&gt;"",$AB133,IF($Q133=0,$AE133,INDEX(WorkDays,MATCH(MAX($AE133,NextWD)-1,WorkDays,1)+$AD133)))</f>
        <v>46454</v>
      </c>
      <c r="AG133" s="56" t="str">
        <f aca="false">IF($AB133&lt;&gt;"","Completed",IF($AA133&lt;&gt;"","In Progress",IF(AND($Y133&lt;&gt;"",$Y133&lt;=DataDate),"Not Started (Late)","Not Started")))</f>
        <v>Not Started</v>
      </c>
      <c r="AH133" s="64" t="n">
        <f aca="false">IF($Z133="","",MATCH($AF133,WorkDays,1)-MATCH($Z133,WorkDays,1))</f>
        <v>-11</v>
      </c>
      <c r="AI133" s="57" t="str">
        <f aca="false">IF($O133="","",$O133*IF($AB133&lt;&gt;"",1,$AC133))</f>
        <v/>
      </c>
      <c r="AJ133" s="55"/>
    </row>
    <row r="134" customFormat="false" ht="22.35" hidden="false" customHeight="false" outlineLevel="3" collapsed="false">
      <c r="A134" s="53" t="s">
        <v>624</v>
      </c>
      <c r="B134" s="25" t="n">
        <v>4</v>
      </c>
      <c r="C134" s="55" t="s">
        <v>625</v>
      </c>
      <c r="D134" s="55" t="s">
        <v>603</v>
      </c>
      <c r="E134" s="25" t="s">
        <v>443</v>
      </c>
      <c r="F134" s="55" t="s">
        <v>621</v>
      </c>
      <c r="G134" s="55" t="s">
        <v>443</v>
      </c>
      <c r="H134" s="55" t="s">
        <v>626</v>
      </c>
      <c r="I134" s="55" t="s">
        <v>627</v>
      </c>
      <c r="J134" s="25" t="n">
        <f aca="false">COUNTIF('BIM Element Map'!$J$6:$J$1000,$A134)</f>
        <v>1</v>
      </c>
      <c r="K134" s="56" t="s">
        <v>624</v>
      </c>
      <c r="L134" s="25" t="s">
        <v>173</v>
      </c>
      <c r="M134" s="55"/>
      <c r="N134" s="55" t="s">
        <v>617</v>
      </c>
      <c r="O134" s="57"/>
      <c r="P134" s="25"/>
      <c r="Q134" s="58" t="n">
        <v>40</v>
      </c>
      <c r="R134" s="59" t="s">
        <v>608</v>
      </c>
      <c r="S134" s="58" t="s">
        <v>307</v>
      </c>
      <c r="T134" s="58" t="n">
        <v>12</v>
      </c>
      <c r="U134" s="59"/>
      <c r="V134" s="58"/>
      <c r="W134" s="58"/>
      <c r="X134" s="60"/>
      <c r="Y134" s="61" t="n">
        <v>46457</v>
      </c>
      <c r="Z134" s="61" t="n">
        <v>46504</v>
      </c>
      <c r="AA134" s="62"/>
      <c r="AB134" s="62"/>
      <c r="AC134" s="63" t="n">
        <v>0</v>
      </c>
      <c r="AD134" s="25" t="n">
        <f aca="false">IF($AB134&lt;&gt;"",0,IF($AA134="",$Q134,MAX(1,ROUND($Q134*(1-$AC134),0))))</f>
        <v>40</v>
      </c>
      <c r="AE134" s="61" t="n">
        <f aca="false">IF($AA134&lt;&gt;"",$AA134,MAX($X134,NextWD,IF($R134="",0,IF($S134="SS",INDEX(WorkDays,MATCH(INDEX($AE$6:$AE$156,MATCH($R134,$A$6:$A$156,0))-1,WorkDays,1)+1+$T134),INDEX(WorkDays,MATCH(INDEX($AF$6:$AF$156,MATCH($R134,$A$6:$A$156,0)),WorkDays,1)+IF($Q134=0,0,1)+$T134))),IF($U134="",0,IF($V134="SS",INDEX(WorkDays,MATCH(INDEX($AE$6:$AE$156,MATCH($U134,$A$6:$A$156,0))-1,WorkDays,1)+1+$W134),INDEX(WorkDays,MATCH(INDEX($AF$6:$AF$156,MATCH($U134,$A$6:$A$156,0)),WorkDays,1)+IF($Q134=0,0,1)+$W134)))))</f>
        <v>46443</v>
      </c>
      <c r="AF134" s="61" t="n">
        <f aca="false">IF($AB134&lt;&gt;"",$AB134,IF($Q134=0,$AE134,INDEX(WorkDays,MATCH(MAX($AE134,NextWD)-1,WorkDays,1)+$AD134)))</f>
        <v>46491</v>
      </c>
      <c r="AG134" s="56" t="str">
        <f aca="false">IF($AB134&lt;&gt;"","Completed",IF($AA134&lt;&gt;"","In Progress",IF(AND($Y134&lt;&gt;"",$Y134&lt;=DataDate),"Not Started (Late)","Not Started")))</f>
        <v>Not Started</v>
      </c>
      <c r="AH134" s="64" t="n">
        <f aca="false">IF($Z134="","",MATCH($AF134,WorkDays,1)-MATCH($Z134,WorkDays,1))</f>
        <v>-11</v>
      </c>
      <c r="AI134" s="57" t="str">
        <f aca="false">IF($O134="","",$O134*IF($AB134&lt;&gt;"",1,$AC134))</f>
        <v/>
      </c>
      <c r="AJ134" s="55"/>
    </row>
    <row r="135" customFormat="false" ht="22.35" hidden="false" customHeight="false" outlineLevel="3" collapsed="false">
      <c r="A135" s="53" t="s">
        <v>628</v>
      </c>
      <c r="B135" s="25" t="n">
        <v>4</v>
      </c>
      <c r="C135" s="55" t="s">
        <v>629</v>
      </c>
      <c r="D135" s="55" t="s">
        <v>603</v>
      </c>
      <c r="E135" s="25" t="s">
        <v>443</v>
      </c>
      <c r="F135" s="55" t="s">
        <v>630</v>
      </c>
      <c r="G135" s="55" t="s">
        <v>631</v>
      </c>
      <c r="H135" s="55" t="s">
        <v>632</v>
      </c>
      <c r="I135" s="55" t="s">
        <v>633</v>
      </c>
      <c r="J135" s="25" t="n">
        <f aca="false">COUNTIF('BIM Element Map'!$J$6:$J$1000,$A135)</f>
        <v>1</v>
      </c>
      <c r="K135" s="56" t="s">
        <v>628</v>
      </c>
      <c r="L135" s="25" t="s">
        <v>173</v>
      </c>
      <c r="M135" s="55"/>
      <c r="N135" s="55" t="s">
        <v>617</v>
      </c>
      <c r="O135" s="57"/>
      <c r="P135" s="25"/>
      <c r="Q135" s="58" t="n">
        <v>20</v>
      </c>
      <c r="R135" s="59" t="s">
        <v>608</v>
      </c>
      <c r="S135" s="58" t="s">
        <v>307</v>
      </c>
      <c r="T135" s="58" t="n">
        <v>7</v>
      </c>
      <c r="U135" s="59"/>
      <c r="V135" s="58"/>
      <c r="W135" s="58"/>
      <c r="X135" s="60"/>
      <c r="Y135" s="61" t="n">
        <v>46450</v>
      </c>
      <c r="Z135" s="61" t="n">
        <v>46475</v>
      </c>
      <c r="AA135" s="62"/>
      <c r="AB135" s="62"/>
      <c r="AC135" s="63" t="n">
        <v>0</v>
      </c>
      <c r="AD135" s="25" t="n">
        <f aca="false">IF($AB135&lt;&gt;"",0,IF($AA135="",$Q135,MAX(1,ROUND($Q135*(1-$AC135),0))))</f>
        <v>20</v>
      </c>
      <c r="AE135" s="61" t="n">
        <f aca="false">IF($AA135&lt;&gt;"",$AA135,MAX($X135,NextWD,IF($R135="",0,IF($S135="SS",INDEX(WorkDays,MATCH(INDEX($AE$6:$AE$156,MATCH($R135,$A$6:$A$156,0))-1,WorkDays,1)+1+$T135),INDEX(WorkDays,MATCH(INDEX($AF$6:$AF$156,MATCH($R135,$A$6:$A$156,0)),WorkDays,1)+IF($Q135=0,0,1)+$T135))),IF($U135="",0,IF($V135="SS",INDEX(WorkDays,MATCH(INDEX($AE$6:$AE$156,MATCH($U135,$A$6:$A$156,0))-1,WorkDays,1)+1+$W135),INDEX(WorkDays,MATCH(INDEX($AF$6:$AF$156,MATCH($U135,$A$6:$A$156,0)),WorkDays,1)+IF($Q135=0,0,1)+$W135)))))</f>
        <v>46437</v>
      </c>
      <c r="AF135" s="61" t="n">
        <f aca="false">IF($AB135&lt;&gt;"",$AB135,IF($Q135=0,$AE135,INDEX(WorkDays,MATCH(MAX($AE135,NextWD)-1,WorkDays,1)+$AD135)))</f>
        <v>46461</v>
      </c>
      <c r="AG135" s="56" t="str">
        <f aca="false">IF($AB135&lt;&gt;"","Completed",IF($AA135&lt;&gt;"","In Progress",IF(AND($Y135&lt;&gt;"",$Y135&lt;=DataDate),"Not Started (Late)","Not Started")))</f>
        <v>Not Started</v>
      </c>
      <c r="AH135" s="64" t="n">
        <f aca="false">IF($Z135="","",MATCH($AF135,WorkDays,1)-MATCH($Z135,WorkDays,1))</f>
        <v>-11</v>
      </c>
      <c r="AI135" s="57" t="str">
        <f aca="false">IF($O135="","",$O135*IF($AB135&lt;&gt;"",1,$AC135))</f>
        <v/>
      </c>
      <c r="AJ135" s="55"/>
    </row>
    <row r="136" customFormat="false" ht="15" hidden="false" customHeight="false" outlineLevel="2" collapsed="false">
      <c r="A136" s="46" t="s">
        <v>634</v>
      </c>
      <c r="B136" s="47" t="n">
        <v>3</v>
      </c>
      <c r="C136" s="48" t="s">
        <v>635</v>
      </c>
      <c r="D136" s="46"/>
      <c r="E136" s="46"/>
      <c r="F136" s="46"/>
      <c r="G136" s="46"/>
      <c r="H136" s="46"/>
      <c r="I136" s="46"/>
      <c r="J136" s="46" t="n">
        <f aca="false">SUMIF($B$137:$B$139,4,$J$137:$J$139)</f>
        <v>2</v>
      </c>
      <c r="K136" s="46"/>
      <c r="L136" s="46"/>
      <c r="M136" s="46"/>
      <c r="N136" s="46"/>
      <c r="O136" s="49" t="str">
        <f aca="false">IF(SUMIF($B$137:$B$139,4,$O$137:$O$139)=0,"",SUMIF($B$137:$B$139,4,$O$137:$O$139))</f>
        <v/>
      </c>
      <c r="P136" s="46"/>
      <c r="Q136" s="46"/>
      <c r="R136" s="46"/>
      <c r="S136" s="46"/>
      <c r="T136" s="46"/>
      <c r="U136" s="46"/>
      <c r="V136" s="46"/>
      <c r="W136" s="46"/>
      <c r="X136" s="46"/>
      <c r="Y136" s="50" t="n">
        <f aca="false">MIN($Y$137:$Y$139)</f>
        <v>46470</v>
      </c>
      <c r="Z136" s="50" t="n">
        <f aca="false">MAX($Z$137:$Z$139)</f>
        <v>46522</v>
      </c>
      <c r="AA136" s="50" t="str">
        <f aca="false">IF(COUNT($AA$137:$AA$139)=0,"",MIN($AA$137:$AA$139))</f>
        <v/>
      </c>
      <c r="AB136" s="50" t="str">
        <f aca="false">IF(COUNTIFS($B$137:$B$139,4,$AG$137:$AG$139,"Completed")=COUNTIF($B$137:$B$139,4),MAX($AB$137:$AB$139),"")</f>
        <v/>
      </c>
      <c r="AC136" s="51" t="n">
        <f aca="false">IFERROR(IF(SUMIF($B$137:$B$139,4,$O$137:$O$139)&gt;0,SUMIF($B$137:$B$139,4,$AI$137:$AI$139)/SUMIF($B$137:$B$139,4,$O$137:$O$139),IFERROR(SUMPRODUCT(--($B$137:$B$139=4),$Q$137:$Q$139,$AC$137:$AC$139)/SUMIF($B$137:$B$139,4,$Q$137:$Q$139),AVERAGEIF($B$137:$B$139,4,$AC$137:$AC$139))),"")</f>
        <v>0</v>
      </c>
      <c r="AD136" s="46"/>
      <c r="AE136" s="50" t="n">
        <f aca="false">MIN($AE$137:$AE$139)</f>
        <v>46456</v>
      </c>
      <c r="AF136" s="50" t="n">
        <f aca="false">MAX($AF$137:$AF$139)</f>
        <v>46510</v>
      </c>
      <c r="AG136" s="46" t="str">
        <f aca="false">IF(COUNTIFS($B$137:$B$139,4,$AG$137:$AG$139,"Completed")=COUNTIF($B$137:$B$139,4),"Completed",IF(COUNTIFS($B$137:$B$139,4,$AG$137:$AG$139,"Not Started*")=COUNTIF($B$137:$B$139,4),"Not Started","In Progress"))</f>
        <v>Not Started</v>
      </c>
      <c r="AH136" s="52" t="n">
        <f aca="false">MATCH($AF136,WorkDays,1)-MATCH($Z136,WorkDays,1)</f>
        <v>-11</v>
      </c>
      <c r="AI136" s="49" t="str">
        <f aca="false">IF(SUMIF($B$137:$B$139,4,$O$137:$O$139)=0,"",SUMIF($B$137:$B$139,4,$AI$137:$AI$139))</f>
        <v/>
      </c>
      <c r="AJ136" s="46" t="str">
        <f aca="false">"P6 check: "&amp;INDEX('P6 Roll-up'!$AB$5:$AB$22,MATCH($A136,'P6 Roll-up'!$A$5:$A$22,0))</f>
        <v>P6 check: ✔ Same as P6</v>
      </c>
    </row>
    <row r="137" customFormat="false" ht="22.35" hidden="false" customHeight="false" outlineLevel="3" collapsed="false">
      <c r="A137" s="53" t="s">
        <v>636</v>
      </c>
      <c r="B137" s="25" t="n">
        <v>4</v>
      </c>
      <c r="C137" s="55" t="s">
        <v>637</v>
      </c>
      <c r="D137" s="55" t="s">
        <v>638</v>
      </c>
      <c r="E137" s="25" t="s">
        <v>443</v>
      </c>
      <c r="F137" s="55" t="s">
        <v>568</v>
      </c>
      <c r="G137" s="55" t="s">
        <v>577</v>
      </c>
      <c r="H137" s="55" t="s">
        <v>639</v>
      </c>
      <c r="I137" s="55" t="s">
        <v>640</v>
      </c>
      <c r="J137" s="25" t="n">
        <f aca="false">COUNTIF('BIM Element Map'!$J$6:$J$1000,$A137)</f>
        <v>1</v>
      </c>
      <c r="K137" s="56" t="s">
        <v>636</v>
      </c>
      <c r="L137" s="25" t="s">
        <v>173</v>
      </c>
      <c r="M137" s="55"/>
      <c r="N137" s="55" t="s">
        <v>634</v>
      </c>
      <c r="O137" s="57"/>
      <c r="P137" s="25"/>
      <c r="Q137" s="58" t="n">
        <v>25</v>
      </c>
      <c r="R137" s="59" t="s">
        <v>585</v>
      </c>
      <c r="S137" s="58" t="s">
        <v>307</v>
      </c>
      <c r="T137" s="58" t="n">
        <v>9</v>
      </c>
      <c r="U137" s="59" t="s">
        <v>612</v>
      </c>
      <c r="V137" s="58" t="s">
        <v>307</v>
      </c>
      <c r="W137" s="58" t="n">
        <v>15</v>
      </c>
      <c r="X137" s="60"/>
      <c r="Y137" s="61" t="n">
        <v>46470</v>
      </c>
      <c r="Z137" s="61" t="n">
        <v>46498</v>
      </c>
      <c r="AA137" s="62"/>
      <c r="AB137" s="62"/>
      <c r="AC137" s="63" t="n">
        <v>0</v>
      </c>
      <c r="AD137" s="25" t="n">
        <f aca="false">IF($AB137&lt;&gt;"",0,IF($AA137="",$Q137,MAX(1,ROUND($Q137*(1-$AC137),0))))</f>
        <v>25</v>
      </c>
      <c r="AE137" s="61" t="n">
        <f aca="false">IF($AA137&lt;&gt;"",$AA137,MAX($X137,NextWD,IF($R137="",0,IF($S137="SS",INDEX(WorkDays,MATCH(INDEX($AE$6:$AE$156,MATCH($R137,$A$6:$A$156,0))-1,WorkDays,1)+1+$T137),INDEX(WorkDays,MATCH(INDEX($AF$6:$AF$156,MATCH($R137,$A$6:$A$156,0)),WorkDays,1)+IF($Q137=0,0,1)+$T137))),IF($U137="",0,IF($V137="SS",INDEX(WorkDays,MATCH(INDEX($AE$6:$AE$156,MATCH($U137,$A$6:$A$156,0))-1,WorkDays,1)+1+$W137),INDEX(WorkDays,MATCH(INDEX($AF$6:$AF$156,MATCH($U137,$A$6:$A$156,0)),WorkDays,1)+IF($Q137=0,0,1)+$W137)))))</f>
        <v>46456</v>
      </c>
      <c r="AF137" s="61" t="n">
        <f aca="false">IF($AB137&lt;&gt;"",$AB137,IF($Q137=0,$AE137,INDEX(WorkDays,MATCH(MAX($AE137,NextWD)-1,WorkDays,1)+$AD137)))</f>
        <v>46485</v>
      </c>
      <c r="AG137" s="56" t="str">
        <f aca="false">IF($AB137&lt;&gt;"","Completed",IF($AA137&lt;&gt;"","In Progress",IF(AND($Y137&lt;&gt;"",$Y137&lt;=DataDate),"Not Started (Late)","Not Started")))</f>
        <v>Not Started</v>
      </c>
      <c r="AH137" s="64" t="n">
        <f aca="false">IF($Z137="","",MATCH($AF137,WorkDays,1)-MATCH($Z137,WorkDays,1))</f>
        <v>-11</v>
      </c>
      <c r="AI137" s="57" t="str">
        <f aca="false">IF($O137="","",$O137*IF($AB137&lt;&gt;"",1,$AC137))</f>
        <v/>
      </c>
      <c r="AJ137" s="55"/>
    </row>
    <row r="138" customFormat="false" ht="15" hidden="false" customHeight="false" outlineLevel="3" collapsed="false">
      <c r="A138" s="53" t="s">
        <v>641</v>
      </c>
      <c r="B138" s="25" t="n">
        <v>4</v>
      </c>
      <c r="C138" s="55" t="s">
        <v>642</v>
      </c>
      <c r="D138" s="55" t="s">
        <v>638</v>
      </c>
      <c r="E138" s="25" t="s">
        <v>443</v>
      </c>
      <c r="F138" s="55" t="s">
        <v>568</v>
      </c>
      <c r="G138" s="55" t="s">
        <v>443</v>
      </c>
      <c r="H138" s="55" t="s">
        <v>643</v>
      </c>
      <c r="I138" s="55" t="s">
        <v>644</v>
      </c>
      <c r="J138" s="25" t="n">
        <f aca="false">COUNTIF('BIM Element Map'!$J$6:$J$1000,$A138)</f>
        <v>1</v>
      </c>
      <c r="K138" s="56" t="s">
        <v>641</v>
      </c>
      <c r="L138" s="25" t="s">
        <v>173</v>
      </c>
      <c r="M138" s="55"/>
      <c r="N138" s="55" t="s">
        <v>634</v>
      </c>
      <c r="O138" s="57"/>
      <c r="P138" s="25"/>
      <c r="Q138" s="58" t="n">
        <v>35</v>
      </c>
      <c r="R138" s="59" t="s">
        <v>636</v>
      </c>
      <c r="S138" s="58" t="s">
        <v>307</v>
      </c>
      <c r="T138" s="58" t="n">
        <v>10</v>
      </c>
      <c r="U138" s="59"/>
      <c r="V138" s="58"/>
      <c r="W138" s="58"/>
      <c r="X138" s="60"/>
      <c r="Y138" s="61" t="n">
        <v>46482</v>
      </c>
      <c r="Z138" s="61" t="n">
        <v>46522</v>
      </c>
      <c r="AA138" s="62"/>
      <c r="AB138" s="62"/>
      <c r="AC138" s="63" t="n">
        <v>0</v>
      </c>
      <c r="AD138" s="25" t="n">
        <f aca="false">IF($AB138&lt;&gt;"",0,IF($AA138="",$Q138,MAX(1,ROUND($Q138*(1-$AC138),0))))</f>
        <v>35</v>
      </c>
      <c r="AE138" s="61" t="n">
        <f aca="false">IF($AA138&lt;&gt;"",$AA138,MAX($X138,NextWD,IF($R138="",0,IF($S138="SS",INDEX(WorkDays,MATCH(INDEX($AE$6:$AE$156,MATCH($R138,$A$6:$A$156,0))-1,WorkDays,1)+1+$T138),INDEX(WorkDays,MATCH(INDEX($AF$6:$AF$156,MATCH($R138,$A$6:$A$156,0)),WorkDays,1)+IF($Q138=0,0,1)+$T138))),IF($U138="",0,IF($V138="SS",INDEX(WorkDays,MATCH(INDEX($AE$6:$AE$156,MATCH($U138,$A$6:$A$156,0))-1,WorkDays,1)+1+$W138),INDEX(WorkDays,MATCH(INDEX($AF$6:$AF$156,MATCH($U138,$A$6:$A$156,0)),WorkDays,1)+IF($Q138=0,0,1)+$W138)))))</f>
        <v>46469</v>
      </c>
      <c r="AF138" s="61" t="n">
        <f aca="false">IF($AB138&lt;&gt;"",$AB138,IF($Q138=0,$AE138,INDEX(WorkDays,MATCH(MAX($AE138,NextWD)-1,WorkDays,1)+$AD138)))</f>
        <v>46510</v>
      </c>
      <c r="AG138" s="56" t="str">
        <f aca="false">IF($AB138&lt;&gt;"","Completed",IF($AA138&lt;&gt;"","In Progress",IF(AND($Y138&lt;&gt;"",$Y138&lt;=DataDate),"Not Started (Late)","Not Started")))</f>
        <v>Not Started</v>
      </c>
      <c r="AH138" s="64" t="n">
        <f aca="false">IF($Z138="","",MATCH($AF138,WorkDays,1)-MATCH($Z138,WorkDays,1))</f>
        <v>-11</v>
      </c>
      <c r="AI138" s="57" t="str">
        <f aca="false">IF($O138="","",$O138*IF($AB138&lt;&gt;"",1,$AC138))</f>
        <v/>
      </c>
      <c r="AJ138" s="55"/>
    </row>
    <row r="139" customFormat="false" ht="22.35" hidden="false" customHeight="false" outlineLevel="3" collapsed="false">
      <c r="A139" s="53" t="s">
        <v>645</v>
      </c>
      <c r="B139" s="25" t="n">
        <v>4</v>
      </c>
      <c r="C139" s="54" t="s">
        <v>646</v>
      </c>
      <c r="D139" s="55" t="s">
        <v>50</v>
      </c>
      <c r="E139" s="25"/>
      <c r="F139" s="55"/>
      <c r="G139" s="55"/>
      <c r="H139" s="55" t="s">
        <v>165</v>
      </c>
      <c r="I139" s="55"/>
      <c r="J139" s="25" t="n">
        <f aca="false">COUNTIF('BIM Element Map'!$J$6:$J$1000,$A139)</f>
        <v>0</v>
      </c>
      <c r="K139" s="56"/>
      <c r="L139" s="25" t="s">
        <v>50</v>
      </c>
      <c r="M139" s="55"/>
      <c r="N139" s="55" t="s">
        <v>634</v>
      </c>
      <c r="O139" s="57"/>
      <c r="P139" s="25"/>
      <c r="Q139" s="58" t="n">
        <v>0</v>
      </c>
      <c r="R139" s="59" t="s">
        <v>641</v>
      </c>
      <c r="S139" s="58" t="s">
        <v>177</v>
      </c>
      <c r="T139" s="58" t="n">
        <v>0</v>
      </c>
      <c r="U139" s="59" t="s">
        <v>595</v>
      </c>
      <c r="V139" s="58" t="s">
        <v>177</v>
      </c>
      <c r="W139" s="58" t="n">
        <v>0</v>
      </c>
      <c r="X139" s="60"/>
      <c r="Y139" s="61" t="n">
        <v>46522</v>
      </c>
      <c r="Z139" s="61" t="n">
        <v>46522</v>
      </c>
      <c r="AA139" s="62"/>
      <c r="AB139" s="62"/>
      <c r="AC139" s="63" t="n">
        <v>0</v>
      </c>
      <c r="AD139" s="25" t="n">
        <f aca="false">IF($AB139&lt;&gt;"",0,IF($AA139="",$Q139,MAX(1,ROUND($Q139*(1-$AC139),0))))</f>
        <v>0</v>
      </c>
      <c r="AE139" s="61" t="n">
        <f aca="false">IF($AA139&lt;&gt;"",$AA139,MAX($X139,NextWD,IF($R139="",0,IF($S139="SS",INDEX(WorkDays,MATCH(INDEX($AE$6:$AE$156,MATCH($R139,$A$6:$A$156,0))-1,WorkDays,1)+1+$T139),INDEX(WorkDays,MATCH(INDEX($AF$6:$AF$156,MATCH($R139,$A$6:$A$156,0)),WorkDays,1)+IF($Q139=0,0,1)+$T139))),IF($U139="",0,IF($V139="SS",INDEX(WorkDays,MATCH(INDEX($AE$6:$AE$156,MATCH($U139,$A$6:$A$156,0))-1,WorkDays,1)+1+$W139),INDEX(WorkDays,MATCH(INDEX($AF$6:$AF$156,MATCH($U139,$A$6:$A$156,0)),WorkDays,1)+IF($Q139=0,0,1)+$W139)))))</f>
        <v>46510</v>
      </c>
      <c r="AF139" s="61" t="n">
        <f aca="false">IF($AB139&lt;&gt;"",$AB139,IF($Q139=0,$AE139,INDEX(WorkDays,MATCH(MAX($AE139,NextWD)-1,WorkDays,1)+$AD139)))</f>
        <v>46510</v>
      </c>
      <c r="AG139" s="56" t="str">
        <f aca="false">IF($AB139&lt;&gt;"","Completed",IF($AA139&lt;&gt;"","In Progress",IF(AND($Y139&lt;&gt;"",$Y139&lt;=DataDate),"Not Started (Late)","Not Started")))</f>
        <v>Not Started</v>
      </c>
      <c r="AH139" s="64" t="n">
        <f aca="false">IF($Z139="","",MATCH($AF139,WorkDays,1)-MATCH($Z139,WorkDays,1))</f>
        <v>-11</v>
      </c>
      <c r="AI139" s="57" t="str">
        <f aca="false">IF($O139="","",$O139*IF($AB139&lt;&gt;"",1,$AC139))</f>
        <v/>
      </c>
      <c r="AJ139" s="55" t="s">
        <v>647</v>
      </c>
    </row>
    <row r="140" customFormat="false" ht="15" hidden="false" customHeight="false" outlineLevel="1" collapsed="false">
      <c r="A140" s="39" t="s">
        <v>648</v>
      </c>
      <c r="B140" s="40" t="n">
        <v>2</v>
      </c>
      <c r="C140" s="41" t="s">
        <v>649</v>
      </c>
      <c r="D140" s="39"/>
      <c r="E140" s="39"/>
      <c r="F140" s="39"/>
      <c r="G140" s="39"/>
      <c r="H140" s="39"/>
      <c r="I140" s="39"/>
      <c r="J140" s="39" t="n">
        <f aca="false">SUMIF($B$141:$B$156,4,$J$141:$J$156)</f>
        <v>15</v>
      </c>
      <c r="K140" s="39"/>
      <c r="L140" s="39"/>
      <c r="M140" s="39"/>
      <c r="N140" s="39"/>
      <c r="O140" s="42"/>
      <c r="P140" s="39"/>
      <c r="Q140" s="39"/>
      <c r="R140" s="39"/>
      <c r="S140" s="39"/>
      <c r="T140" s="39"/>
      <c r="U140" s="39"/>
      <c r="V140" s="39"/>
      <c r="W140" s="39"/>
      <c r="X140" s="39"/>
      <c r="Y140" s="43" t="n">
        <f aca="false">MIN($Y$141:$Y$156)</f>
        <v>46300</v>
      </c>
      <c r="Z140" s="43" t="n">
        <f aca="false">MAX($Z$141:$Z$156)</f>
        <v>46391</v>
      </c>
      <c r="AA140" s="43" t="str">
        <f aca="false">IF(COUNT($AA$141:$AA$156)=0,"",MIN($AA$141:$AA$156))</f>
        <v/>
      </c>
      <c r="AB140" s="43" t="str">
        <f aca="false">IF(COUNTIFS($B$141:$B$156,4,$AG$141:$AG$156,"Completed")=COUNTIF($B$141:$B$156,4),MAX($AB$141:$AB$156),"")</f>
        <v/>
      </c>
      <c r="AC140" s="44" t="n">
        <f aca="false">IFERROR(IFERROR(SUMPRODUCT(--($B$141:$B$156=4),$Q$141:$Q$156,$AC$141:$AC$156)/SUMIF($B$141:$B$156,4,$Q$141:$Q$156),AVERAGEIF($B$141:$B$156,4,$AC$141:$AC$156)),"")</f>
        <v>0</v>
      </c>
      <c r="AD140" s="39"/>
      <c r="AE140" s="43" t="n">
        <f aca="false">MIN($AE$141:$AE$156)</f>
        <v>46300</v>
      </c>
      <c r="AF140" s="43" t="n">
        <f aca="false">MAX($AF$141:$AF$156)</f>
        <v>46391</v>
      </c>
      <c r="AG140" s="39" t="str">
        <f aca="false">IF(COUNTIFS($B$141:$B$156,4,$AG$141:$AG$156,"Completed")=COUNTIF($B$141:$B$156,4),"Completed",IF(COUNTIFS($B$141:$B$156,4,$AG$141:$AG$156,"Not Started*")=COUNTIF($B$141:$B$156,4),"Not Started","In Progress"))</f>
        <v>Not Started</v>
      </c>
      <c r="AH140" s="45" t="n">
        <f aca="false">MATCH($AF140,WorkDays,1)-MATCH($Z140,WorkDays,1)</f>
        <v>0</v>
      </c>
      <c r="AI140" s="42"/>
      <c r="AJ140" s="39"/>
    </row>
    <row r="141" customFormat="false" ht="15" hidden="false" customHeight="false" outlineLevel="2" collapsed="false">
      <c r="A141" s="46" t="s">
        <v>650</v>
      </c>
      <c r="B141" s="47" t="n">
        <v>3</v>
      </c>
      <c r="C141" s="48" t="s">
        <v>651</v>
      </c>
      <c r="D141" s="46"/>
      <c r="E141" s="46"/>
      <c r="F141" s="46"/>
      <c r="G141" s="46"/>
      <c r="H141" s="46"/>
      <c r="I141" s="46"/>
      <c r="J141" s="46" t="n">
        <f aca="false">SUMIF($B$142:$B$153,4,$J$142:$J$153)</f>
        <v>12</v>
      </c>
      <c r="K141" s="46"/>
      <c r="L141" s="46"/>
      <c r="M141" s="46"/>
      <c r="N141" s="46"/>
      <c r="O141" s="49" t="n">
        <f aca="false">IF(SUMIF($B$142:$B$153,4,$O$142:$O$153)=0,"",SUMIF($B$142:$B$153,4,$O$142:$O$153))</f>
        <v>15</v>
      </c>
      <c r="P141" s="46"/>
      <c r="Q141" s="46"/>
      <c r="R141" s="46"/>
      <c r="S141" s="46"/>
      <c r="T141" s="46"/>
      <c r="U141" s="46"/>
      <c r="V141" s="46"/>
      <c r="W141" s="46"/>
      <c r="X141" s="46"/>
      <c r="Y141" s="50" t="n">
        <f aca="false">MIN($Y$142:$Y$153)</f>
        <v>46300</v>
      </c>
      <c r="Z141" s="50" t="n">
        <f aca="false">MAX($Z$142:$Z$153)</f>
        <v>46391</v>
      </c>
      <c r="AA141" s="50" t="str">
        <f aca="false">IF(COUNT($AA$142:$AA$153)=0,"",MIN($AA$142:$AA$153))</f>
        <v/>
      </c>
      <c r="AB141" s="50" t="str">
        <f aca="false">IF(COUNTIFS($B$142:$B$153,4,$AG$142:$AG$153,"Completed")=COUNTIF($B$142:$B$153,4),MAX($AB$142:$AB$153),"")</f>
        <v/>
      </c>
      <c r="AC141" s="51" t="n">
        <f aca="false">IFERROR(IF(SUMIF($B$142:$B$153,4,$O$142:$O$153)&gt;0,SUMIF($B$142:$B$153,4,$AI$142:$AI$153)/SUMIF($B$142:$B$153,4,$O$142:$O$153),IFERROR(SUMPRODUCT(--($B$142:$B$153=4),$Q$142:$Q$153,$AC$142:$AC$153)/SUMIF($B$142:$B$153,4,$Q$142:$Q$153),AVERAGEIF($B$142:$B$153,4,$AC$142:$AC$153))),"")</f>
        <v>0</v>
      </c>
      <c r="AD141" s="46"/>
      <c r="AE141" s="50" t="n">
        <f aca="false">MIN($AE$142:$AE$153)</f>
        <v>46300</v>
      </c>
      <c r="AF141" s="50" t="n">
        <f aca="false">MAX($AF$142:$AF$153)</f>
        <v>46391</v>
      </c>
      <c r="AG141" s="46" t="str">
        <f aca="false">IF(COUNTIFS($B$142:$B$153,4,$AG$142:$AG$153,"Completed")=COUNTIF($B$142:$B$153,4),"Completed",IF(COUNTIFS($B$142:$B$153,4,$AG$142:$AG$153,"Not Started*")=COUNTIF($B$142:$B$153,4),"Not Started","In Progress"))</f>
        <v>Not Started</v>
      </c>
      <c r="AH141" s="52" t="n">
        <f aca="false">MATCH($AF141,WorkDays,1)-MATCH($Z141,WorkDays,1)</f>
        <v>0</v>
      </c>
      <c r="AI141" s="49" t="n">
        <f aca="false">IF(SUMIF($B$142:$B$153,4,$O$142:$O$153)=0,"",SUMIF($B$142:$B$153,4,$AI$142:$AI$153))</f>
        <v>0</v>
      </c>
      <c r="AJ141" s="46" t="s">
        <v>652</v>
      </c>
    </row>
    <row r="142" customFormat="false" ht="15" hidden="false" customHeight="false" outlineLevel="3" collapsed="false">
      <c r="A142" s="53" t="s">
        <v>653</v>
      </c>
      <c r="B142" s="25" t="n">
        <v>4</v>
      </c>
      <c r="C142" s="55" t="s">
        <v>654</v>
      </c>
      <c r="D142" s="55" t="s">
        <v>655</v>
      </c>
      <c r="E142" s="25" t="s">
        <v>443</v>
      </c>
      <c r="F142" s="55" t="s">
        <v>656</v>
      </c>
      <c r="G142" s="55" t="s">
        <v>657</v>
      </c>
      <c r="H142" s="55" t="s">
        <v>658</v>
      </c>
      <c r="I142" s="55" t="s">
        <v>659</v>
      </c>
      <c r="J142" s="25" t="n">
        <f aca="false">COUNTIF('BIM Element Map'!$J$6:$J$1000,$A142)</f>
        <v>1</v>
      </c>
      <c r="K142" s="56" t="s">
        <v>653</v>
      </c>
      <c r="L142" s="25" t="s">
        <v>173</v>
      </c>
      <c r="M142" s="55" t="s">
        <v>66</v>
      </c>
      <c r="N142" s="55" t="s">
        <v>650</v>
      </c>
      <c r="O142" s="57"/>
      <c r="P142" s="25"/>
      <c r="Q142" s="58" t="n">
        <v>12</v>
      </c>
      <c r="R142" s="59" t="s">
        <v>454</v>
      </c>
      <c r="S142" s="58" t="s">
        <v>177</v>
      </c>
      <c r="T142" s="58" t="n">
        <v>0</v>
      </c>
      <c r="U142" s="59"/>
      <c r="V142" s="58"/>
      <c r="W142" s="58"/>
      <c r="X142" s="60" t="n">
        <v>46300</v>
      </c>
      <c r="Y142" s="61" t="n">
        <v>46300</v>
      </c>
      <c r="Z142" s="61" t="n">
        <v>46312</v>
      </c>
      <c r="AA142" s="62"/>
      <c r="AB142" s="62"/>
      <c r="AC142" s="63" t="n">
        <v>0</v>
      </c>
      <c r="AD142" s="25" t="n">
        <f aca="false">IF($AB142&lt;&gt;"",0,IF($AA142="",$Q142,MAX(1,ROUND($Q142*(1-$AC142),0))))</f>
        <v>12</v>
      </c>
      <c r="AE142" s="61" t="n">
        <f aca="false">IF($AA142&lt;&gt;"",$AA142,MAX($X142,NextWD,IF($R142="",0,IF($S142="SS",INDEX(WorkDays,MATCH(INDEX($AE$6:$AE$156,MATCH($R142,$A$6:$A$156,0))-1,WorkDays,1)+1+$T142),INDEX(WorkDays,MATCH(INDEX($AF$6:$AF$156,MATCH($R142,$A$6:$A$156,0)),WorkDays,1)+IF($Q142=0,0,1)+$T142))),IF($U142="",0,IF($V142="SS",INDEX(WorkDays,MATCH(INDEX($AE$6:$AE$156,MATCH($U142,$A$6:$A$156,0))-1,WorkDays,1)+1+$W142),INDEX(WorkDays,MATCH(INDEX($AF$6:$AF$156,MATCH($U142,$A$6:$A$156,0)),WorkDays,1)+IF($Q142=0,0,1)+$W142)))))</f>
        <v>46300</v>
      </c>
      <c r="AF142" s="61" t="n">
        <f aca="false">IF($AB142&lt;&gt;"",$AB142,IF($Q142=0,$AE142,INDEX(WorkDays,MATCH(MAX($AE142,NextWD)-1,WorkDays,1)+$AD142)))</f>
        <v>46312</v>
      </c>
      <c r="AG142" s="56" t="str">
        <f aca="false">IF($AB142&lt;&gt;"","Completed",IF($AA142&lt;&gt;"","In Progress",IF(AND($Y142&lt;&gt;"",$Y142&lt;=DataDate),"Not Started (Late)","Not Started")))</f>
        <v>Not Started</v>
      </c>
      <c r="AH142" s="64" t="n">
        <f aca="false">IF($Z142="","",MATCH($AF142,WorkDays,1)-MATCH($Z142,WorkDays,1))</f>
        <v>0</v>
      </c>
      <c r="AI142" s="57" t="str">
        <f aca="false">IF($O142="","",$O142*IF($AB142&lt;&gt;"",1,$AC142))</f>
        <v/>
      </c>
      <c r="AJ142" s="55" t="s">
        <v>660</v>
      </c>
    </row>
    <row r="143" customFormat="false" ht="15" hidden="false" customHeight="false" outlineLevel="3" collapsed="false">
      <c r="A143" s="53" t="s">
        <v>661</v>
      </c>
      <c r="B143" s="25" t="n">
        <v>4</v>
      </c>
      <c r="C143" s="55" t="s">
        <v>662</v>
      </c>
      <c r="D143" s="55" t="s">
        <v>655</v>
      </c>
      <c r="E143" s="25" t="s">
        <v>443</v>
      </c>
      <c r="F143" s="55" t="s">
        <v>663</v>
      </c>
      <c r="G143" s="55" t="s">
        <v>664</v>
      </c>
      <c r="H143" s="55" t="s">
        <v>665</v>
      </c>
      <c r="I143" s="55" t="s">
        <v>666</v>
      </c>
      <c r="J143" s="25" t="n">
        <f aca="false">COUNTIF('BIM Element Map'!$J$6:$J$1000,$A143)</f>
        <v>1</v>
      </c>
      <c r="K143" s="56" t="s">
        <v>661</v>
      </c>
      <c r="L143" s="25" t="s">
        <v>173</v>
      </c>
      <c r="M143" s="55" t="s">
        <v>68</v>
      </c>
      <c r="N143" s="55" t="s">
        <v>650</v>
      </c>
      <c r="O143" s="57" t="n">
        <v>6</v>
      </c>
      <c r="P143" s="25" t="s">
        <v>320</v>
      </c>
      <c r="Q143" s="58" t="n">
        <v>6</v>
      </c>
      <c r="R143" s="59" t="s">
        <v>653</v>
      </c>
      <c r="S143" s="58" t="s">
        <v>307</v>
      </c>
      <c r="T143" s="58" t="n">
        <v>8</v>
      </c>
      <c r="U143" s="59"/>
      <c r="V143" s="58"/>
      <c r="W143" s="58"/>
      <c r="X143" s="60"/>
      <c r="Y143" s="61" t="n">
        <v>46309</v>
      </c>
      <c r="Z143" s="61" t="n">
        <v>46316</v>
      </c>
      <c r="AA143" s="62"/>
      <c r="AB143" s="62"/>
      <c r="AC143" s="63" t="n">
        <v>0</v>
      </c>
      <c r="AD143" s="25" t="n">
        <f aca="false">IF($AB143&lt;&gt;"",0,IF($AA143="",$Q143,MAX(1,ROUND($Q143*(1-$AC143),0))))</f>
        <v>6</v>
      </c>
      <c r="AE143" s="61" t="n">
        <f aca="false">IF($AA143&lt;&gt;"",$AA143,MAX($X143,NextWD,IF($R143="",0,IF($S143="SS",INDEX(WorkDays,MATCH(INDEX($AE$6:$AE$156,MATCH($R143,$A$6:$A$156,0))-1,WorkDays,1)+1+$T143),INDEX(WorkDays,MATCH(INDEX($AF$6:$AF$156,MATCH($R143,$A$6:$A$156,0)),WorkDays,1)+IF($Q143=0,0,1)+$T143))),IF($U143="",0,IF($V143="SS",INDEX(WorkDays,MATCH(INDEX($AE$6:$AE$156,MATCH($U143,$A$6:$A$156,0))-1,WorkDays,1)+1+$W143),INDEX(WorkDays,MATCH(INDEX($AF$6:$AF$156,MATCH($U143,$A$6:$A$156,0)),WorkDays,1)+IF($Q143=0,0,1)+$W143)))))</f>
        <v>46309</v>
      </c>
      <c r="AF143" s="61" t="n">
        <f aca="false">IF($AB143&lt;&gt;"",$AB143,IF($Q143=0,$AE143,INDEX(WorkDays,MATCH(MAX($AE143,NextWD)-1,WorkDays,1)+$AD143)))</f>
        <v>46316</v>
      </c>
      <c r="AG143" s="56" t="str">
        <f aca="false">IF($AB143&lt;&gt;"","Completed",IF($AA143&lt;&gt;"","In Progress",IF(AND($Y143&lt;&gt;"",$Y143&lt;=DataDate),"Not Started (Late)","Not Started")))</f>
        <v>Not Started</v>
      </c>
      <c r="AH143" s="64" t="n">
        <f aca="false">IF($Z143="","",MATCH($AF143,WorkDays,1)-MATCH($Z143,WorkDays,1))</f>
        <v>0</v>
      </c>
      <c r="AI143" s="57" t="n">
        <f aca="false">IF($O143="","",$O143*IF($AB143&lt;&gt;"",1,$AC143))</f>
        <v>0</v>
      </c>
      <c r="AJ143" s="55" t="s">
        <v>660</v>
      </c>
    </row>
    <row r="144" customFormat="false" ht="15" hidden="false" customHeight="false" outlineLevel="3" collapsed="false">
      <c r="A144" s="53" t="s">
        <v>667</v>
      </c>
      <c r="B144" s="25" t="n">
        <v>4</v>
      </c>
      <c r="C144" s="55" t="s">
        <v>668</v>
      </c>
      <c r="D144" s="55" t="s">
        <v>655</v>
      </c>
      <c r="E144" s="25" t="s">
        <v>443</v>
      </c>
      <c r="F144" s="55" t="s">
        <v>656</v>
      </c>
      <c r="G144" s="55" t="s">
        <v>669</v>
      </c>
      <c r="H144" s="55" t="s">
        <v>658</v>
      </c>
      <c r="I144" s="55" t="s">
        <v>659</v>
      </c>
      <c r="J144" s="25" t="n">
        <f aca="false">COUNTIF('BIM Element Map'!$J$6:$J$1000,$A144)</f>
        <v>1</v>
      </c>
      <c r="K144" s="56" t="s">
        <v>667</v>
      </c>
      <c r="L144" s="25" t="s">
        <v>173</v>
      </c>
      <c r="M144" s="55" t="s">
        <v>66</v>
      </c>
      <c r="N144" s="55" t="s">
        <v>650</v>
      </c>
      <c r="O144" s="57"/>
      <c r="P144" s="25"/>
      <c r="Q144" s="58" t="n">
        <v>8</v>
      </c>
      <c r="R144" s="59" t="s">
        <v>661</v>
      </c>
      <c r="S144" s="58" t="s">
        <v>177</v>
      </c>
      <c r="T144" s="58" t="n">
        <v>0</v>
      </c>
      <c r="U144" s="59"/>
      <c r="V144" s="58"/>
      <c r="W144" s="58"/>
      <c r="X144" s="60"/>
      <c r="Y144" s="61" t="n">
        <v>46317</v>
      </c>
      <c r="Z144" s="61" t="n">
        <v>46325</v>
      </c>
      <c r="AA144" s="62"/>
      <c r="AB144" s="62"/>
      <c r="AC144" s="63" t="n">
        <v>0</v>
      </c>
      <c r="AD144" s="25" t="n">
        <f aca="false">IF($AB144&lt;&gt;"",0,IF($AA144="",$Q144,MAX(1,ROUND($Q144*(1-$AC144),0))))</f>
        <v>8</v>
      </c>
      <c r="AE144" s="61" t="n">
        <f aca="false">IF($AA144&lt;&gt;"",$AA144,MAX($X144,NextWD,IF($R144="",0,IF($S144="SS",INDEX(WorkDays,MATCH(INDEX($AE$6:$AE$156,MATCH($R144,$A$6:$A$156,0))-1,WorkDays,1)+1+$T144),INDEX(WorkDays,MATCH(INDEX($AF$6:$AF$156,MATCH($R144,$A$6:$A$156,0)),WorkDays,1)+IF($Q144=0,0,1)+$T144))),IF($U144="",0,IF($V144="SS",INDEX(WorkDays,MATCH(INDEX($AE$6:$AE$156,MATCH($U144,$A$6:$A$156,0))-1,WorkDays,1)+1+$W144),INDEX(WorkDays,MATCH(INDEX($AF$6:$AF$156,MATCH($U144,$A$6:$A$156,0)),WorkDays,1)+IF($Q144=0,0,1)+$W144)))))</f>
        <v>46317</v>
      </c>
      <c r="AF144" s="61" t="n">
        <f aca="false">IF($AB144&lt;&gt;"",$AB144,IF($Q144=0,$AE144,INDEX(WorkDays,MATCH(MAX($AE144,NextWD)-1,WorkDays,1)+$AD144)))</f>
        <v>46325</v>
      </c>
      <c r="AG144" s="56" t="str">
        <f aca="false">IF($AB144&lt;&gt;"","Completed",IF($AA144&lt;&gt;"","In Progress",IF(AND($Y144&lt;&gt;"",$Y144&lt;=DataDate),"Not Started (Late)","Not Started")))</f>
        <v>Not Started</v>
      </c>
      <c r="AH144" s="64" t="n">
        <f aca="false">IF($Z144="","",MATCH($AF144,WorkDays,1)-MATCH($Z144,WorkDays,1))</f>
        <v>0</v>
      </c>
      <c r="AI144" s="57" t="str">
        <f aca="false">IF($O144="","",$O144*IF($AB144&lt;&gt;"",1,$AC144))</f>
        <v/>
      </c>
      <c r="AJ144" s="55" t="s">
        <v>660</v>
      </c>
    </row>
    <row r="145" customFormat="false" ht="22.35" hidden="false" customHeight="false" outlineLevel="3" collapsed="false">
      <c r="A145" s="53" t="s">
        <v>670</v>
      </c>
      <c r="B145" s="25" t="n">
        <v>4</v>
      </c>
      <c r="C145" s="55" t="s">
        <v>671</v>
      </c>
      <c r="D145" s="55" t="s">
        <v>655</v>
      </c>
      <c r="E145" s="25" t="s">
        <v>443</v>
      </c>
      <c r="F145" s="55" t="s">
        <v>672</v>
      </c>
      <c r="G145" s="55" t="s">
        <v>673</v>
      </c>
      <c r="H145" s="55" t="s">
        <v>658</v>
      </c>
      <c r="I145" s="55" t="s">
        <v>674</v>
      </c>
      <c r="J145" s="25" t="n">
        <f aca="false">COUNTIF('BIM Element Map'!$J$6:$J$1000,$A145)</f>
        <v>1</v>
      </c>
      <c r="K145" s="56" t="s">
        <v>670</v>
      </c>
      <c r="L145" s="25" t="s">
        <v>173</v>
      </c>
      <c r="M145" s="55" t="s">
        <v>66</v>
      </c>
      <c r="N145" s="55" t="s">
        <v>650</v>
      </c>
      <c r="O145" s="57"/>
      <c r="P145" s="25"/>
      <c r="Q145" s="58" t="n">
        <v>10</v>
      </c>
      <c r="R145" s="59" t="s">
        <v>667</v>
      </c>
      <c r="S145" s="58" t="s">
        <v>307</v>
      </c>
      <c r="T145" s="58" t="n">
        <v>4</v>
      </c>
      <c r="U145" s="59" t="s">
        <v>422</v>
      </c>
      <c r="V145" s="58" t="s">
        <v>177</v>
      </c>
      <c r="W145" s="58" t="n">
        <v>0</v>
      </c>
      <c r="X145" s="60"/>
      <c r="Y145" s="61" t="n">
        <v>46322</v>
      </c>
      <c r="Z145" s="61" t="n">
        <v>46332</v>
      </c>
      <c r="AA145" s="62"/>
      <c r="AB145" s="62"/>
      <c r="AC145" s="63" t="n">
        <v>0</v>
      </c>
      <c r="AD145" s="25" t="n">
        <f aca="false">IF($AB145&lt;&gt;"",0,IF($AA145="",$Q145,MAX(1,ROUND($Q145*(1-$AC145),0))))</f>
        <v>10</v>
      </c>
      <c r="AE145" s="61" t="n">
        <f aca="false">IF($AA145&lt;&gt;"",$AA145,MAX($X145,NextWD,IF($R145="",0,IF($S145="SS",INDEX(WorkDays,MATCH(INDEX($AE$6:$AE$156,MATCH($R145,$A$6:$A$156,0))-1,WorkDays,1)+1+$T145),INDEX(WorkDays,MATCH(INDEX($AF$6:$AF$156,MATCH($R145,$A$6:$A$156,0)),WorkDays,1)+IF($Q145=0,0,1)+$T145))),IF($U145="",0,IF($V145="SS",INDEX(WorkDays,MATCH(INDEX($AE$6:$AE$156,MATCH($U145,$A$6:$A$156,0))-1,WorkDays,1)+1+$W145),INDEX(WorkDays,MATCH(INDEX($AF$6:$AF$156,MATCH($U145,$A$6:$A$156,0)),WorkDays,1)+IF($Q145=0,0,1)+$W145)))))</f>
        <v>46322</v>
      </c>
      <c r="AF145" s="61" t="n">
        <f aca="false">IF($AB145&lt;&gt;"",$AB145,IF($Q145=0,$AE145,INDEX(WorkDays,MATCH(MAX($AE145,NextWD)-1,WorkDays,1)+$AD145)))</f>
        <v>46332</v>
      </c>
      <c r="AG145" s="56" t="str">
        <f aca="false">IF($AB145&lt;&gt;"","Completed",IF($AA145&lt;&gt;"","In Progress",IF(AND($Y145&lt;&gt;"",$Y145&lt;=DataDate),"Not Started (Late)","Not Started")))</f>
        <v>Not Started</v>
      </c>
      <c r="AH145" s="64" t="n">
        <f aca="false">IF($Z145="","",MATCH($AF145,WorkDays,1)-MATCH($Z145,WorkDays,1))</f>
        <v>0</v>
      </c>
      <c r="AI145" s="57" t="str">
        <f aca="false">IF($O145="","",$O145*IF($AB145&lt;&gt;"",1,$AC145))</f>
        <v/>
      </c>
      <c r="AJ145" s="55" t="s">
        <v>660</v>
      </c>
    </row>
    <row r="146" customFormat="false" ht="22.35" hidden="false" customHeight="false" outlineLevel="3" collapsed="false">
      <c r="A146" s="53" t="s">
        <v>675</v>
      </c>
      <c r="B146" s="25" t="n">
        <v>4</v>
      </c>
      <c r="C146" s="55" t="s">
        <v>676</v>
      </c>
      <c r="D146" s="55" t="s">
        <v>655</v>
      </c>
      <c r="E146" s="25" t="s">
        <v>443</v>
      </c>
      <c r="F146" s="55" t="s">
        <v>677</v>
      </c>
      <c r="G146" s="55" t="s">
        <v>678</v>
      </c>
      <c r="H146" s="55" t="s">
        <v>665</v>
      </c>
      <c r="I146" s="55" t="s">
        <v>679</v>
      </c>
      <c r="J146" s="25" t="n">
        <f aca="false">COUNTIF('BIM Element Map'!$J$6:$J$1000,$A146)</f>
        <v>1</v>
      </c>
      <c r="K146" s="56" t="s">
        <v>675</v>
      </c>
      <c r="L146" s="25" t="s">
        <v>173</v>
      </c>
      <c r="M146" s="55" t="s">
        <v>68</v>
      </c>
      <c r="N146" s="55" t="s">
        <v>650</v>
      </c>
      <c r="O146" s="57" t="n">
        <v>5</v>
      </c>
      <c r="P146" s="25" t="s">
        <v>320</v>
      </c>
      <c r="Q146" s="58" t="n">
        <v>6</v>
      </c>
      <c r="R146" s="59" t="s">
        <v>670</v>
      </c>
      <c r="S146" s="58" t="s">
        <v>307</v>
      </c>
      <c r="T146" s="58" t="n">
        <v>7</v>
      </c>
      <c r="U146" s="59"/>
      <c r="V146" s="58"/>
      <c r="W146" s="58"/>
      <c r="X146" s="60"/>
      <c r="Y146" s="61" t="n">
        <v>46330</v>
      </c>
      <c r="Z146" s="61" t="n">
        <v>46336</v>
      </c>
      <c r="AA146" s="62"/>
      <c r="AB146" s="62"/>
      <c r="AC146" s="63" t="n">
        <v>0</v>
      </c>
      <c r="AD146" s="25" t="n">
        <f aca="false">IF($AB146&lt;&gt;"",0,IF($AA146="",$Q146,MAX(1,ROUND($Q146*(1-$AC146),0))))</f>
        <v>6</v>
      </c>
      <c r="AE146" s="61" t="n">
        <f aca="false">IF($AA146&lt;&gt;"",$AA146,MAX($X146,NextWD,IF($R146="",0,IF($S146="SS",INDEX(WorkDays,MATCH(INDEX($AE$6:$AE$156,MATCH($R146,$A$6:$A$156,0))-1,WorkDays,1)+1+$T146),INDEX(WorkDays,MATCH(INDEX($AF$6:$AF$156,MATCH($R146,$A$6:$A$156,0)),WorkDays,1)+IF($Q146=0,0,1)+$T146))),IF($U146="",0,IF($V146="SS",INDEX(WorkDays,MATCH(INDEX($AE$6:$AE$156,MATCH($U146,$A$6:$A$156,0))-1,WorkDays,1)+1+$W146),INDEX(WorkDays,MATCH(INDEX($AF$6:$AF$156,MATCH($U146,$A$6:$A$156,0)),WorkDays,1)+IF($Q146=0,0,1)+$W146)))))</f>
        <v>46330</v>
      </c>
      <c r="AF146" s="61" t="n">
        <f aca="false">IF($AB146&lt;&gt;"",$AB146,IF($Q146=0,$AE146,INDEX(WorkDays,MATCH(MAX($AE146,NextWD)-1,WorkDays,1)+$AD146)))</f>
        <v>46336</v>
      </c>
      <c r="AG146" s="56" t="str">
        <f aca="false">IF($AB146&lt;&gt;"","Completed",IF($AA146&lt;&gt;"","In Progress",IF(AND($Y146&lt;&gt;"",$Y146&lt;=DataDate),"Not Started (Late)","Not Started")))</f>
        <v>Not Started</v>
      </c>
      <c r="AH146" s="64" t="n">
        <f aca="false">IF($Z146="","",MATCH($AF146,WorkDays,1)-MATCH($Z146,WorkDays,1))</f>
        <v>0</v>
      </c>
      <c r="AI146" s="57" t="n">
        <f aca="false">IF($O146="","",$O146*IF($AB146&lt;&gt;"",1,$AC146))</f>
        <v>0</v>
      </c>
      <c r="AJ146" s="55" t="s">
        <v>660</v>
      </c>
    </row>
    <row r="147" customFormat="false" ht="22.35" hidden="false" customHeight="false" outlineLevel="3" collapsed="false">
      <c r="A147" s="53" t="s">
        <v>680</v>
      </c>
      <c r="B147" s="25" t="n">
        <v>4</v>
      </c>
      <c r="C147" s="55" t="s">
        <v>681</v>
      </c>
      <c r="D147" s="55" t="s">
        <v>655</v>
      </c>
      <c r="E147" s="25" t="s">
        <v>443</v>
      </c>
      <c r="F147" s="55" t="s">
        <v>682</v>
      </c>
      <c r="G147" s="55" t="s">
        <v>683</v>
      </c>
      <c r="H147" s="55" t="s">
        <v>684</v>
      </c>
      <c r="I147" s="55" t="s">
        <v>685</v>
      </c>
      <c r="J147" s="25" t="n">
        <f aca="false">COUNTIF('BIM Element Map'!$J$6:$J$1000,$A147)</f>
        <v>1</v>
      </c>
      <c r="K147" s="56" t="s">
        <v>680</v>
      </c>
      <c r="L147" s="25" t="s">
        <v>173</v>
      </c>
      <c r="M147" s="55" t="s">
        <v>68</v>
      </c>
      <c r="N147" s="55" t="s">
        <v>650</v>
      </c>
      <c r="O147" s="57" t="n">
        <v>2</v>
      </c>
      <c r="P147" s="25" t="s">
        <v>320</v>
      </c>
      <c r="Q147" s="58" t="n">
        <v>20</v>
      </c>
      <c r="R147" s="59" t="s">
        <v>422</v>
      </c>
      <c r="S147" s="58" t="s">
        <v>177</v>
      </c>
      <c r="T147" s="58" t="n">
        <v>0</v>
      </c>
      <c r="U147" s="59"/>
      <c r="V147" s="58"/>
      <c r="W147" s="58"/>
      <c r="X147" s="60" t="n">
        <v>46307</v>
      </c>
      <c r="Y147" s="61" t="n">
        <v>46307</v>
      </c>
      <c r="Z147" s="61" t="n">
        <v>46330</v>
      </c>
      <c r="AA147" s="62"/>
      <c r="AB147" s="62"/>
      <c r="AC147" s="63" t="n">
        <v>0</v>
      </c>
      <c r="AD147" s="25" t="n">
        <f aca="false">IF($AB147&lt;&gt;"",0,IF($AA147="",$Q147,MAX(1,ROUND($Q147*(1-$AC147),0))))</f>
        <v>20</v>
      </c>
      <c r="AE147" s="61" t="n">
        <f aca="false">IF($AA147&lt;&gt;"",$AA147,MAX($X147,NextWD,IF($R147="",0,IF($S147="SS",INDEX(WorkDays,MATCH(INDEX($AE$6:$AE$156,MATCH($R147,$A$6:$A$156,0))-1,WorkDays,1)+1+$T147),INDEX(WorkDays,MATCH(INDEX($AF$6:$AF$156,MATCH($R147,$A$6:$A$156,0)),WorkDays,1)+IF($Q147=0,0,1)+$T147))),IF($U147="",0,IF($V147="SS",INDEX(WorkDays,MATCH(INDEX($AE$6:$AE$156,MATCH($U147,$A$6:$A$156,0))-1,WorkDays,1)+1+$W147),INDEX(WorkDays,MATCH(INDEX($AF$6:$AF$156,MATCH($U147,$A$6:$A$156,0)),WorkDays,1)+IF($Q147=0,0,1)+$W147)))))</f>
        <v>46307</v>
      </c>
      <c r="AF147" s="61" t="n">
        <f aca="false">IF($AB147&lt;&gt;"",$AB147,IF($Q147=0,$AE147,INDEX(WorkDays,MATCH(MAX($AE147,NextWD)-1,WorkDays,1)+$AD147)))</f>
        <v>46330</v>
      </c>
      <c r="AG147" s="56" t="str">
        <f aca="false">IF($AB147&lt;&gt;"","Completed",IF($AA147&lt;&gt;"","In Progress",IF(AND($Y147&lt;&gt;"",$Y147&lt;=DataDate),"Not Started (Late)","Not Started")))</f>
        <v>Not Started</v>
      </c>
      <c r="AH147" s="64" t="n">
        <f aca="false">IF($Z147="","",MATCH($AF147,WorkDays,1)-MATCH($Z147,WorkDays,1))</f>
        <v>0</v>
      </c>
      <c r="AI147" s="57" t="n">
        <f aca="false">IF($O147="","",$O147*IF($AB147&lt;&gt;"",1,$AC147))</f>
        <v>0</v>
      </c>
      <c r="AJ147" s="55" t="s">
        <v>660</v>
      </c>
    </row>
    <row r="148" customFormat="false" ht="22.35" hidden="false" customHeight="false" outlineLevel="3" collapsed="false">
      <c r="A148" s="53" t="s">
        <v>686</v>
      </c>
      <c r="B148" s="25" t="n">
        <v>4</v>
      </c>
      <c r="C148" s="55" t="s">
        <v>687</v>
      </c>
      <c r="D148" s="55" t="s">
        <v>655</v>
      </c>
      <c r="E148" s="25" t="s">
        <v>443</v>
      </c>
      <c r="F148" s="55" t="s">
        <v>688</v>
      </c>
      <c r="G148" s="55" t="s">
        <v>689</v>
      </c>
      <c r="H148" s="55" t="s">
        <v>690</v>
      </c>
      <c r="I148" s="55" t="s">
        <v>691</v>
      </c>
      <c r="J148" s="25" t="n">
        <f aca="false">COUNTIF('BIM Element Map'!$J$6:$J$1000,$A148)</f>
        <v>1</v>
      </c>
      <c r="K148" s="56" t="s">
        <v>686</v>
      </c>
      <c r="L148" s="25" t="s">
        <v>173</v>
      </c>
      <c r="M148" s="55" t="s">
        <v>68</v>
      </c>
      <c r="N148" s="55" t="s">
        <v>650</v>
      </c>
      <c r="O148" s="57" t="n">
        <v>2</v>
      </c>
      <c r="P148" s="25" t="s">
        <v>320</v>
      </c>
      <c r="Q148" s="58" t="n">
        <v>10</v>
      </c>
      <c r="R148" s="59" t="s">
        <v>437</v>
      </c>
      <c r="S148" s="58" t="s">
        <v>177</v>
      </c>
      <c r="T148" s="58" t="n">
        <v>0</v>
      </c>
      <c r="U148" s="59" t="s">
        <v>430</v>
      </c>
      <c r="V148" s="58" t="s">
        <v>177</v>
      </c>
      <c r="W148" s="58" t="n">
        <v>0</v>
      </c>
      <c r="X148" s="60"/>
      <c r="Y148" s="61" t="n">
        <v>46300</v>
      </c>
      <c r="Z148" s="61" t="n">
        <v>46310</v>
      </c>
      <c r="AA148" s="62"/>
      <c r="AB148" s="62"/>
      <c r="AC148" s="63" t="n">
        <v>0</v>
      </c>
      <c r="AD148" s="25" t="n">
        <f aca="false">IF($AB148&lt;&gt;"",0,IF($AA148="",$Q148,MAX(1,ROUND($Q148*(1-$AC148),0))))</f>
        <v>10</v>
      </c>
      <c r="AE148" s="61" t="n">
        <f aca="false">IF($AA148&lt;&gt;"",$AA148,MAX($X148,NextWD,IF($R148="",0,IF($S148="SS",INDEX(WorkDays,MATCH(INDEX($AE$6:$AE$156,MATCH($R148,$A$6:$A$156,0))-1,WorkDays,1)+1+$T148),INDEX(WorkDays,MATCH(INDEX($AF$6:$AF$156,MATCH($R148,$A$6:$A$156,0)),WorkDays,1)+IF($Q148=0,0,1)+$T148))),IF($U148="",0,IF($V148="SS",INDEX(WorkDays,MATCH(INDEX($AE$6:$AE$156,MATCH($U148,$A$6:$A$156,0))-1,WorkDays,1)+1+$W148),INDEX(WorkDays,MATCH(INDEX($AF$6:$AF$156,MATCH($U148,$A$6:$A$156,0)),WorkDays,1)+IF($Q148=0,0,1)+$W148)))))</f>
        <v>46300</v>
      </c>
      <c r="AF148" s="61" t="n">
        <f aca="false">IF($AB148&lt;&gt;"",$AB148,IF($Q148=0,$AE148,INDEX(WorkDays,MATCH(MAX($AE148,NextWD)-1,WorkDays,1)+$AD148)))</f>
        <v>46310</v>
      </c>
      <c r="AG148" s="56" t="str">
        <f aca="false">IF($AB148&lt;&gt;"","Completed",IF($AA148&lt;&gt;"","In Progress",IF(AND($Y148&lt;&gt;"",$Y148&lt;=DataDate),"Not Started (Late)","Not Started")))</f>
        <v>Not Started</v>
      </c>
      <c r="AH148" s="64" t="n">
        <f aca="false">IF($Z148="","",MATCH($AF148,WorkDays,1)-MATCH($Z148,WorkDays,1))</f>
        <v>0</v>
      </c>
      <c r="AI148" s="57" t="n">
        <f aca="false">IF($O148="","",$O148*IF($AB148&lt;&gt;"",1,$AC148))</f>
        <v>0</v>
      </c>
      <c r="AJ148" s="55" t="s">
        <v>660</v>
      </c>
    </row>
    <row r="149" customFormat="false" ht="22.35" hidden="false" customHeight="false" outlineLevel="3" collapsed="false">
      <c r="A149" s="53" t="s">
        <v>692</v>
      </c>
      <c r="B149" s="25" t="n">
        <v>4</v>
      </c>
      <c r="C149" s="55" t="s">
        <v>693</v>
      </c>
      <c r="D149" s="55" t="s">
        <v>655</v>
      </c>
      <c r="E149" s="25" t="s">
        <v>443</v>
      </c>
      <c r="F149" s="55" t="s">
        <v>694</v>
      </c>
      <c r="G149" s="55" t="s">
        <v>695</v>
      </c>
      <c r="H149" s="55" t="s">
        <v>696</v>
      </c>
      <c r="I149" s="55" t="s">
        <v>697</v>
      </c>
      <c r="J149" s="25" t="n">
        <f aca="false">COUNTIF('BIM Element Map'!$J$6:$J$1000,$A149)</f>
        <v>1</v>
      </c>
      <c r="K149" s="56" t="s">
        <v>692</v>
      </c>
      <c r="L149" s="25" t="s">
        <v>173</v>
      </c>
      <c r="M149" s="55" t="s">
        <v>64</v>
      </c>
      <c r="N149" s="55" t="s">
        <v>650</v>
      </c>
      <c r="O149" s="57"/>
      <c r="P149" s="25"/>
      <c r="Q149" s="58" t="n">
        <v>15</v>
      </c>
      <c r="R149" s="59" t="s">
        <v>437</v>
      </c>
      <c r="S149" s="58" t="s">
        <v>177</v>
      </c>
      <c r="T149" s="58" t="n">
        <v>0</v>
      </c>
      <c r="U149" s="59" t="s">
        <v>686</v>
      </c>
      <c r="V149" s="58" t="s">
        <v>307</v>
      </c>
      <c r="W149" s="58" t="n">
        <v>3</v>
      </c>
      <c r="X149" s="60"/>
      <c r="Y149" s="61" t="n">
        <v>46303</v>
      </c>
      <c r="Z149" s="61" t="n">
        <v>46321</v>
      </c>
      <c r="AA149" s="62"/>
      <c r="AB149" s="62"/>
      <c r="AC149" s="63" t="n">
        <v>0</v>
      </c>
      <c r="AD149" s="25" t="n">
        <f aca="false">IF($AB149&lt;&gt;"",0,IF($AA149="",$Q149,MAX(1,ROUND($Q149*(1-$AC149),0))))</f>
        <v>15</v>
      </c>
      <c r="AE149" s="61" t="n">
        <f aca="false">IF($AA149&lt;&gt;"",$AA149,MAX($X149,NextWD,IF($R149="",0,IF($S149="SS",INDEX(WorkDays,MATCH(INDEX($AE$6:$AE$156,MATCH($R149,$A$6:$A$156,0))-1,WorkDays,1)+1+$T149),INDEX(WorkDays,MATCH(INDEX($AF$6:$AF$156,MATCH($R149,$A$6:$A$156,0)),WorkDays,1)+IF($Q149=0,0,1)+$T149))),IF($U149="",0,IF($V149="SS",INDEX(WorkDays,MATCH(INDEX($AE$6:$AE$156,MATCH($U149,$A$6:$A$156,0))-1,WorkDays,1)+1+$W149),INDEX(WorkDays,MATCH(INDEX($AF$6:$AF$156,MATCH($U149,$A$6:$A$156,0)),WorkDays,1)+IF($Q149=0,0,1)+$W149)))))</f>
        <v>46303</v>
      </c>
      <c r="AF149" s="61" t="n">
        <f aca="false">IF($AB149&lt;&gt;"",$AB149,IF($Q149=0,$AE149,INDEX(WorkDays,MATCH(MAX($AE149,NextWD)-1,WorkDays,1)+$AD149)))</f>
        <v>46321</v>
      </c>
      <c r="AG149" s="56" t="str">
        <f aca="false">IF($AB149&lt;&gt;"","Completed",IF($AA149&lt;&gt;"","In Progress",IF(AND($Y149&lt;&gt;"",$Y149&lt;=DataDate),"Not Started (Late)","Not Started")))</f>
        <v>Not Started</v>
      </c>
      <c r="AH149" s="64" t="n">
        <f aca="false">IF($Z149="","",MATCH($AF149,WorkDays,1)-MATCH($Z149,WorkDays,1))</f>
        <v>0</v>
      </c>
      <c r="AI149" s="57" t="str">
        <f aca="false">IF($O149="","",$O149*IF($AB149&lt;&gt;"",1,$AC149))</f>
        <v/>
      </c>
      <c r="AJ149" s="55" t="s">
        <v>660</v>
      </c>
    </row>
    <row r="150" customFormat="false" ht="15" hidden="false" customHeight="false" outlineLevel="3" collapsed="false">
      <c r="A150" s="53" t="s">
        <v>698</v>
      </c>
      <c r="B150" s="25" t="n">
        <v>4</v>
      </c>
      <c r="C150" s="55" t="s">
        <v>699</v>
      </c>
      <c r="D150" s="55" t="s">
        <v>655</v>
      </c>
      <c r="E150" s="25" t="s">
        <v>443</v>
      </c>
      <c r="F150" s="55" t="s">
        <v>621</v>
      </c>
      <c r="G150" s="55" t="s">
        <v>443</v>
      </c>
      <c r="H150" s="55" t="s">
        <v>700</v>
      </c>
      <c r="I150" s="55" t="s">
        <v>701</v>
      </c>
      <c r="J150" s="25" t="n">
        <f aca="false">COUNTIF('BIM Element Map'!$J$6:$J$1000,$A150)</f>
        <v>1</v>
      </c>
      <c r="K150" s="56" t="s">
        <v>698</v>
      </c>
      <c r="L150" s="25" t="s">
        <v>173</v>
      </c>
      <c r="M150" s="55"/>
      <c r="N150" s="55" t="s">
        <v>650</v>
      </c>
      <c r="O150" s="57"/>
      <c r="P150" s="25"/>
      <c r="Q150" s="58" t="n">
        <v>25</v>
      </c>
      <c r="R150" s="59" t="s">
        <v>680</v>
      </c>
      <c r="S150" s="58" t="s">
        <v>307</v>
      </c>
      <c r="T150" s="58" t="n">
        <v>10</v>
      </c>
      <c r="U150" s="59" t="s">
        <v>675</v>
      </c>
      <c r="V150" s="58" t="s">
        <v>177</v>
      </c>
      <c r="W150" s="58" t="n">
        <v>0</v>
      </c>
      <c r="X150" s="60"/>
      <c r="Y150" s="61" t="n">
        <v>46337</v>
      </c>
      <c r="Z150" s="61" t="n">
        <v>46365</v>
      </c>
      <c r="AA150" s="62"/>
      <c r="AB150" s="62"/>
      <c r="AC150" s="63" t="n">
        <v>0</v>
      </c>
      <c r="AD150" s="25" t="n">
        <f aca="false">IF($AB150&lt;&gt;"",0,IF($AA150="",$Q150,MAX(1,ROUND($Q150*(1-$AC150),0))))</f>
        <v>25</v>
      </c>
      <c r="AE150" s="61" t="n">
        <f aca="false">IF($AA150&lt;&gt;"",$AA150,MAX($X150,NextWD,IF($R150="",0,IF($S150="SS",INDEX(WorkDays,MATCH(INDEX($AE$6:$AE$156,MATCH($R150,$A$6:$A$156,0))-1,WorkDays,1)+1+$T150),INDEX(WorkDays,MATCH(INDEX($AF$6:$AF$156,MATCH($R150,$A$6:$A$156,0)),WorkDays,1)+IF($Q150=0,0,1)+$T150))),IF($U150="",0,IF($V150="SS",INDEX(WorkDays,MATCH(INDEX($AE$6:$AE$156,MATCH($U150,$A$6:$A$156,0))-1,WorkDays,1)+1+$W150),INDEX(WorkDays,MATCH(INDEX($AF$6:$AF$156,MATCH($U150,$A$6:$A$156,0)),WorkDays,1)+IF($Q150=0,0,1)+$W150)))))</f>
        <v>46337</v>
      </c>
      <c r="AF150" s="61" t="n">
        <f aca="false">IF($AB150&lt;&gt;"",$AB150,IF($Q150=0,$AE150,INDEX(WorkDays,MATCH(MAX($AE150,NextWD)-1,WorkDays,1)+$AD150)))</f>
        <v>46365</v>
      </c>
      <c r="AG150" s="56" t="str">
        <f aca="false">IF($AB150&lt;&gt;"","Completed",IF($AA150&lt;&gt;"","In Progress",IF(AND($Y150&lt;&gt;"",$Y150&lt;=DataDate),"Not Started (Late)","Not Started")))</f>
        <v>Not Started</v>
      </c>
      <c r="AH150" s="64" t="n">
        <f aca="false">IF($Z150="","",MATCH($AF150,WorkDays,1)-MATCH($Z150,WorkDays,1))</f>
        <v>0</v>
      </c>
      <c r="AI150" s="57" t="str">
        <f aca="false">IF($O150="","",$O150*IF($AB150&lt;&gt;"",1,$AC150))</f>
        <v/>
      </c>
      <c r="AJ150" s="55" t="s">
        <v>660</v>
      </c>
    </row>
    <row r="151" customFormat="false" ht="15" hidden="false" customHeight="false" outlineLevel="3" collapsed="false">
      <c r="A151" s="53" t="s">
        <v>702</v>
      </c>
      <c r="B151" s="25" t="n">
        <v>4</v>
      </c>
      <c r="C151" s="55" t="s">
        <v>703</v>
      </c>
      <c r="D151" s="55" t="s">
        <v>655</v>
      </c>
      <c r="E151" s="25" t="s">
        <v>443</v>
      </c>
      <c r="F151" s="55" t="s">
        <v>621</v>
      </c>
      <c r="G151" s="55" t="s">
        <v>704</v>
      </c>
      <c r="H151" s="55" t="s">
        <v>705</v>
      </c>
      <c r="I151" s="55" t="s">
        <v>706</v>
      </c>
      <c r="J151" s="25" t="n">
        <f aca="false">COUNTIF('BIM Element Map'!$J$6:$J$1000,$A151)</f>
        <v>1</v>
      </c>
      <c r="K151" s="56" t="s">
        <v>702</v>
      </c>
      <c r="L151" s="25" t="s">
        <v>173</v>
      </c>
      <c r="M151" s="55"/>
      <c r="N151" s="55" t="s">
        <v>650</v>
      </c>
      <c r="O151" s="57"/>
      <c r="P151" s="25"/>
      <c r="Q151" s="58" t="n">
        <v>15</v>
      </c>
      <c r="R151" s="59" t="s">
        <v>698</v>
      </c>
      <c r="S151" s="58" t="s">
        <v>307</v>
      </c>
      <c r="T151" s="58" t="n">
        <v>10</v>
      </c>
      <c r="U151" s="59" t="s">
        <v>500</v>
      </c>
      <c r="V151" s="58" t="s">
        <v>177</v>
      </c>
      <c r="W151" s="58" t="n">
        <v>0</v>
      </c>
      <c r="X151" s="60"/>
      <c r="Y151" s="61" t="n">
        <v>46352</v>
      </c>
      <c r="Z151" s="61" t="n">
        <v>46368</v>
      </c>
      <c r="AA151" s="62"/>
      <c r="AB151" s="62"/>
      <c r="AC151" s="63" t="n">
        <v>0</v>
      </c>
      <c r="AD151" s="25" t="n">
        <f aca="false">IF($AB151&lt;&gt;"",0,IF($AA151="",$Q151,MAX(1,ROUND($Q151*(1-$AC151),0))))</f>
        <v>15</v>
      </c>
      <c r="AE151" s="61" t="n">
        <f aca="false">IF($AA151&lt;&gt;"",$AA151,MAX($X151,NextWD,IF($R151="",0,IF($S151="SS",INDEX(WorkDays,MATCH(INDEX($AE$6:$AE$156,MATCH($R151,$A$6:$A$156,0))-1,WorkDays,1)+1+$T151),INDEX(WorkDays,MATCH(INDEX($AF$6:$AF$156,MATCH($R151,$A$6:$A$156,0)),WorkDays,1)+IF($Q151=0,0,1)+$T151))),IF($U151="",0,IF($V151="SS",INDEX(WorkDays,MATCH(INDEX($AE$6:$AE$156,MATCH($U151,$A$6:$A$156,0))-1,WorkDays,1)+1+$W151),INDEX(WorkDays,MATCH(INDEX($AF$6:$AF$156,MATCH($U151,$A$6:$A$156,0)),WorkDays,1)+IF($Q151=0,0,1)+$W151)))))</f>
        <v>46352</v>
      </c>
      <c r="AF151" s="61" t="n">
        <f aca="false">IF($AB151&lt;&gt;"",$AB151,IF($Q151=0,$AE151,INDEX(WorkDays,MATCH(MAX($AE151,NextWD)-1,WorkDays,1)+$AD151)))</f>
        <v>46368</v>
      </c>
      <c r="AG151" s="56" t="str">
        <f aca="false">IF($AB151&lt;&gt;"","Completed",IF($AA151&lt;&gt;"","In Progress",IF(AND($Y151&lt;&gt;"",$Y151&lt;=DataDate),"Not Started (Late)","Not Started")))</f>
        <v>Not Started</v>
      </c>
      <c r="AH151" s="64" t="n">
        <f aca="false">IF($Z151="","",MATCH($AF151,WorkDays,1)-MATCH($Z151,WorkDays,1))</f>
        <v>0</v>
      </c>
      <c r="AI151" s="57" t="str">
        <f aca="false">IF($O151="","",$O151*IF($AB151&lt;&gt;"",1,$AC151))</f>
        <v/>
      </c>
      <c r="AJ151" s="55" t="s">
        <v>660</v>
      </c>
    </row>
    <row r="152" customFormat="false" ht="22.35" hidden="false" customHeight="false" outlineLevel="3" collapsed="false">
      <c r="A152" s="53" t="s">
        <v>707</v>
      </c>
      <c r="B152" s="25" t="n">
        <v>4</v>
      </c>
      <c r="C152" s="55" t="s">
        <v>708</v>
      </c>
      <c r="D152" s="55" t="s">
        <v>655</v>
      </c>
      <c r="E152" s="25" t="s">
        <v>443</v>
      </c>
      <c r="F152" s="55" t="s">
        <v>621</v>
      </c>
      <c r="G152" s="55" t="s">
        <v>443</v>
      </c>
      <c r="H152" s="55" t="s">
        <v>709</v>
      </c>
      <c r="I152" s="55" t="s">
        <v>710</v>
      </c>
      <c r="J152" s="25" t="n">
        <f aca="false">COUNTIF('BIM Element Map'!$J$6:$J$1000,$A152)</f>
        <v>1</v>
      </c>
      <c r="K152" s="56" t="s">
        <v>707</v>
      </c>
      <c r="L152" s="25" t="s">
        <v>173</v>
      </c>
      <c r="M152" s="55"/>
      <c r="N152" s="55" t="s">
        <v>650</v>
      </c>
      <c r="O152" s="57"/>
      <c r="P152" s="25"/>
      <c r="Q152" s="58" t="n">
        <v>15</v>
      </c>
      <c r="R152" s="59" t="s">
        <v>698</v>
      </c>
      <c r="S152" s="58" t="s">
        <v>307</v>
      </c>
      <c r="T152" s="58" t="n">
        <v>15</v>
      </c>
      <c r="U152" s="59"/>
      <c r="V152" s="58"/>
      <c r="W152" s="58"/>
      <c r="X152" s="60"/>
      <c r="Y152" s="61" t="n">
        <v>46354</v>
      </c>
      <c r="Z152" s="61" t="n">
        <v>46371</v>
      </c>
      <c r="AA152" s="62"/>
      <c r="AB152" s="62"/>
      <c r="AC152" s="63" t="n">
        <v>0</v>
      </c>
      <c r="AD152" s="25" t="n">
        <f aca="false">IF($AB152&lt;&gt;"",0,IF($AA152="",$Q152,MAX(1,ROUND($Q152*(1-$AC152),0))))</f>
        <v>15</v>
      </c>
      <c r="AE152" s="61" t="n">
        <f aca="false">IF($AA152&lt;&gt;"",$AA152,MAX($X152,NextWD,IF($R152="",0,IF($S152="SS",INDEX(WorkDays,MATCH(INDEX($AE$6:$AE$156,MATCH($R152,$A$6:$A$156,0))-1,WorkDays,1)+1+$T152),INDEX(WorkDays,MATCH(INDEX($AF$6:$AF$156,MATCH($R152,$A$6:$A$156,0)),WorkDays,1)+IF($Q152=0,0,1)+$T152))),IF($U152="",0,IF($V152="SS",INDEX(WorkDays,MATCH(INDEX($AE$6:$AE$156,MATCH($U152,$A$6:$A$156,0))-1,WorkDays,1)+1+$W152),INDEX(WorkDays,MATCH(INDEX($AF$6:$AF$156,MATCH($U152,$A$6:$A$156,0)),WorkDays,1)+IF($Q152=0,0,1)+$W152)))))</f>
        <v>46354</v>
      </c>
      <c r="AF152" s="61" t="n">
        <f aca="false">IF($AB152&lt;&gt;"",$AB152,IF($Q152=0,$AE152,INDEX(WorkDays,MATCH(MAX($AE152,NextWD)-1,WorkDays,1)+$AD152)))</f>
        <v>46371</v>
      </c>
      <c r="AG152" s="56" t="str">
        <f aca="false">IF($AB152&lt;&gt;"","Completed",IF($AA152&lt;&gt;"","In Progress",IF(AND($Y152&lt;&gt;"",$Y152&lt;=DataDate),"Not Started (Late)","Not Started")))</f>
        <v>Not Started</v>
      </c>
      <c r="AH152" s="64" t="n">
        <f aca="false">IF($Z152="","",MATCH($AF152,WorkDays,1)-MATCH($Z152,WorkDays,1))</f>
        <v>0</v>
      </c>
      <c r="AI152" s="57" t="str">
        <f aca="false">IF($O152="","",$O152*IF($AB152&lt;&gt;"",1,$AC152))</f>
        <v/>
      </c>
      <c r="AJ152" s="55" t="s">
        <v>660</v>
      </c>
    </row>
    <row r="153" customFormat="false" ht="15" hidden="false" customHeight="false" outlineLevel="3" collapsed="false">
      <c r="A153" s="53" t="s">
        <v>711</v>
      </c>
      <c r="B153" s="25" t="n">
        <v>4</v>
      </c>
      <c r="C153" s="55" t="s">
        <v>712</v>
      </c>
      <c r="D153" s="55" t="s">
        <v>655</v>
      </c>
      <c r="E153" s="25" t="s">
        <v>443</v>
      </c>
      <c r="F153" s="55" t="s">
        <v>621</v>
      </c>
      <c r="G153" s="55" t="s">
        <v>443</v>
      </c>
      <c r="H153" s="55" t="s">
        <v>700</v>
      </c>
      <c r="I153" s="55" t="s">
        <v>713</v>
      </c>
      <c r="J153" s="25" t="n">
        <f aca="false">COUNTIF('BIM Element Map'!$J$6:$J$1000,$A153)</f>
        <v>1</v>
      </c>
      <c r="K153" s="56" t="s">
        <v>711</v>
      </c>
      <c r="L153" s="25" t="s">
        <v>173</v>
      </c>
      <c r="M153" s="55"/>
      <c r="N153" s="55" t="s">
        <v>650</v>
      </c>
      <c r="O153" s="57"/>
      <c r="P153" s="25"/>
      <c r="Q153" s="58" t="n">
        <v>20</v>
      </c>
      <c r="R153" s="59" t="s">
        <v>698</v>
      </c>
      <c r="S153" s="58" t="s">
        <v>177</v>
      </c>
      <c r="T153" s="58" t="n">
        <v>0</v>
      </c>
      <c r="U153" s="59"/>
      <c r="V153" s="58"/>
      <c r="W153" s="58"/>
      <c r="X153" s="60"/>
      <c r="Y153" s="61" t="n">
        <v>46366</v>
      </c>
      <c r="Z153" s="61" t="n">
        <v>46391</v>
      </c>
      <c r="AA153" s="62"/>
      <c r="AB153" s="62"/>
      <c r="AC153" s="63" t="n">
        <v>0</v>
      </c>
      <c r="AD153" s="25" t="n">
        <f aca="false">IF($AB153&lt;&gt;"",0,IF($AA153="",$Q153,MAX(1,ROUND($Q153*(1-$AC153),0))))</f>
        <v>20</v>
      </c>
      <c r="AE153" s="61" t="n">
        <f aca="false">IF($AA153&lt;&gt;"",$AA153,MAX($X153,NextWD,IF($R153="",0,IF($S153="SS",INDEX(WorkDays,MATCH(INDEX($AE$6:$AE$156,MATCH($R153,$A$6:$A$156,0))-1,WorkDays,1)+1+$T153),INDEX(WorkDays,MATCH(INDEX($AF$6:$AF$156,MATCH($R153,$A$6:$A$156,0)),WorkDays,1)+IF($Q153=0,0,1)+$T153))),IF($U153="",0,IF($V153="SS",INDEX(WorkDays,MATCH(INDEX($AE$6:$AE$156,MATCH($U153,$A$6:$A$156,0))-1,WorkDays,1)+1+$W153),INDEX(WorkDays,MATCH(INDEX($AF$6:$AF$156,MATCH($U153,$A$6:$A$156,0)),WorkDays,1)+IF($Q153=0,0,1)+$W153)))))</f>
        <v>46366</v>
      </c>
      <c r="AF153" s="61" t="n">
        <f aca="false">IF($AB153&lt;&gt;"",$AB153,IF($Q153=0,$AE153,INDEX(WorkDays,MATCH(MAX($AE153,NextWD)-1,WorkDays,1)+$AD153)))</f>
        <v>46391</v>
      </c>
      <c r="AG153" s="56" t="str">
        <f aca="false">IF($AB153&lt;&gt;"","Completed",IF($AA153&lt;&gt;"","In Progress",IF(AND($Y153&lt;&gt;"",$Y153&lt;=DataDate),"Not Started (Late)","Not Started")))</f>
        <v>Not Started</v>
      </c>
      <c r="AH153" s="64" t="n">
        <f aca="false">IF($Z153="","",MATCH($AF153,WorkDays,1)-MATCH($Z153,WorkDays,1))</f>
        <v>0</v>
      </c>
      <c r="AI153" s="57" t="str">
        <f aca="false">IF($O153="","",$O153*IF($AB153&lt;&gt;"",1,$AC153))</f>
        <v/>
      </c>
      <c r="AJ153" s="55" t="s">
        <v>660</v>
      </c>
    </row>
    <row r="154" customFormat="false" ht="15" hidden="false" customHeight="false" outlineLevel="2" collapsed="false">
      <c r="A154" s="46" t="s">
        <v>714</v>
      </c>
      <c r="B154" s="47" t="n">
        <v>3</v>
      </c>
      <c r="C154" s="48" t="s">
        <v>715</v>
      </c>
      <c r="D154" s="46"/>
      <c r="E154" s="46"/>
      <c r="F154" s="46"/>
      <c r="G154" s="46"/>
      <c r="H154" s="46"/>
      <c r="I154" s="46"/>
      <c r="J154" s="46" t="n">
        <f aca="false">SUMIF($B$155:$B$156,4,$J$155:$J$156)</f>
        <v>3</v>
      </c>
      <c r="K154" s="46"/>
      <c r="L154" s="46"/>
      <c r="M154" s="46"/>
      <c r="N154" s="46"/>
      <c r="O154" s="49" t="str">
        <f aca="false">IF(SUMIF($B$155:$B$156,4,$O$155:$O$156)=0,"",SUMIF($B$155:$B$156,4,$O$155:$O$156))</f>
        <v/>
      </c>
      <c r="P154" s="46"/>
      <c r="Q154" s="46"/>
      <c r="R154" s="46"/>
      <c r="S154" s="46"/>
      <c r="T154" s="46"/>
      <c r="U154" s="46"/>
      <c r="V154" s="46"/>
      <c r="W154" s="46"/>
      <c r="X154" s="46"/>
      <c r="Y154" s="50" t="n">
        <f aca="false">MIN($Y$155:$Y$156)</f>
        <v>46328</v>
      </c>
      <c r="Z154" s="50" t="n">
        <f aca="false">MAX($Z$155:$Z$156)</f>
        <v>46353</v>
      </c>
      <c r="AA154" s="50" t="str">
        <f aca="false">IF(COUNT($AA$155:$AA$156)=0,"",MIN($AA$155:$AA$156))</f>
        <v/>
      </c>
      <c r="AB154" s="50" t="str">
        <f aca="false">IF(COUNTIFS($B$155:$B$156,4,$AG$155:$AG$156,"Completed")=COUNTIF($B$155:$B$156,4),MAX($AB$155:$AB$156),"")</f>
        <v/>
      </c>
      <c r="AC154" s="51" t="n">
        <f aca="false">IFERROR(IF(SUMIF($B$155:$B$156,4,$O$155:$O$156)&gt;0,SUMIF($B$155:$B$156,4,$AI$155:$AI$156)/SUMIF($B$155:$B$156,4,$O$155:$O$156),IFERROR(SUMPRODUCT(--($B$155:$B$156=4),$Q$155:$Q$156,$AC$155:$AC$156)/SUMIF($B$155:$B$156,4,$Q$155:$Q$156),AVERAGEIF($B$155:$B$156,4,$AC$155:$AC$156))),"")</f>
        <v>0</v>
      </c>
      <c r="AD154" s="46"/>
      <c r="AE154" s="50" t="n">
        <f aca="false">MIN($AE$155:$AE$156)</f>
        <v>46328</v>
      </c>
      <c r="AF154" s="50" t="n">
        <f aca="false">MAX($AF$155:$AF$156)</f>
        <v>46353</v>
      </c>
      <c r="AG154" s="46" t="str">
        <f aca="false">IF(COUNTIFS($B$155:$B$156,4,$AG$155:$AG$156,"Completed")=COUNTIF($B$155:$B$156,4),"Completed",IF(COUNTIFS($B$155:$B$156,4,$AG$155:$AG$156,"Not Started*")=COUNTIF($B$155:$B$156,4),"Not Started","In Progress"))</f>
        <v>Not Started</v>
      </c>
      <c r="AH154" s="52" t="n">
        <f aca="false">MATCH($AF154,WorkDays,1)-MATCH($Z154,WorkDays,1)</f>
        <v>0</v>
      </c>
      <c r="AI154" s="49" t="str">
        <f aca="false">IF(SUMIF($B$155:$B$156,4,$O$155:$O$156)=0,"",SUMIF($B$155:$B$156,4,$AI$155:$AI$156))</f>
        <v/>
      </c>
      <c r="AJ154" s="46" t="s">
        <v>652</v>
      </c>
    </row>
    <row r="155" customFormat="false" ht="32.8" hidden="false" customHeight="false" outlineLevel="3" collapsed="false">
      <c r="A155" s="53" t="s">
        <v>553</v>
      </c>
      <c r="B155" s="25" t="n">
        <v>4</v>
      </c>
      <c r="C155" s="55" t="s">
        <v>716</v>
      </c>
      <c r="D155" s="55" t="s">
        <v>717</v>
      </c>
      <c r="E155" s="25" t="s">
        <v>443</v>
      </c>
      <c r="F155" s="55" t="s">
        <v>718</v>
      </c>
      <c r="G155" s="55" t="s">
        <v>719</v>
      </c>
      <c r="H155" s="55" t="s">
        <v>720</v>
      </c>
      <c r="I155" s="55" t="s">
        <v>721</v>
      </c>
      <c r="J155" s="25" t="n">
        <f aca="false">COUNTIF('BIM Element Map'!$J$6:$J$1000,$A155)</f>
        <v>2</v>
      </c>
      <c r="K155" s="56" t="s">
        <v>553</v>
      </c>
      <c r="L155" s="25" t="s">
        <v>173</v>
      </c>
      <c r="M155" s="55" t="s">
        <v>64</v>
      </c>
      <c r="N155" s="55" t="s">
        <v>714</v>
      </c>
      <c r="O155" s="57"/>
      <c r="P155" s="25"/>
      <c r="Q155" s="58" t="n">
        <v>10</v>
      </c>
      <c r="R155" s="59" t="s">
        <v>422</v>
      </c>
      <c r="S155" s="58" t="s">
        <v>177</v>
      </c>
      <c r="T155" s="58" t="n">
        <v>10</v>
      </c>
      <c r="U155" s="59" t="s">
        <v>419</v>
      </c>
      <c r="V155" s="58" t="s">
        <v>177</v>
      </c>
      <c r="W155" s="58" t="n">
        <v>0</v>
      </c>
      <c r="X155" s="60" t="n">
        <v>46328</v>
      </c>
      <c r="Y155" s="61" t="n">
        <v>46328</v>
      </c>
      <c r="Z155" s="61" t="n">
        <v>46338</v>
      </c>
      <c r="AA155" s="62"/>
      <c r="AB155" s="62"/>
      <c r="AC155" s="63" t="n">
        <v>0</v>
      </c>
      <c r="AD155" s="25" t="n">
        <f aca="false">IF($AB155&lt;&gt;"",0,IF($AA155="",$Q155,MAX(1,ROUND($Q155*(1-$AC155),0))))</f>
        <v>10</v>
      </c>
      <c r="AE155" s="61" t="n">
        <f aca="false">IF($AA155&lt;&gt;"",$AA155,MAX($X155,NextWD,IF($R155="",0,IF($S155="SS",INDEX(WorkDays,MATCH(INDEX($AE$6:$AE$156,MATCH($R155,$A$6:$A$156,0))-1,WorkDays,1)+1+$T155),INDEX(WorkDays,MATCH(INDEX($AF$6:$AF$156,MATCH($R155,$A$6:$A$156,0)),WorkDays,1)+IF($Q155=0,0,1)+$T155))),IF($U155="",0,IF($V155="SS",INDEX(WorkDays,MATCH(INDEX($AE$6:$AE$156,MATCH($U155,$A$6:$A$156,0))-1,WorkDays,1)+1+$W155),INDEX(WorkDays,MATCH(INDEX($AF$6:$AF$156,MATCH($U155,$A$6:$A$156,0)),WorkDays,1)+IF($Q155=0,0,1)+$W155)))))</f>
        <v>46328</v>
      </c>
      <c r="AF155" s="61" t="n">
        <f aca="false">IF($AB155&lt;&gt;"",$AB155,IF($Q155=0,$AE155,INDEX(WorkDays,MATCH(MAX($AE155,NextWD)-1,WorkDays,1)+$AD155)))</f>
        <v>46338</v>
      </c>
      <c r="AG155" s="56" t="str">
        <f aca="false">IF($AB155&lt;&gt;"","Completed",IF($AA155&lt;&gt;"","In Progress",IF(AND($Y155&lt;&gt;"",$Y155&lt;=DataDate),"Not Started (Late)","Not Started")))</f>
        <v>Not Started</v>
      </c>
      <c r="AH155" s="64" t="n">
        <f aca="false">IF($Z155="","",MATCH($AF155,WorkDays,1)-MATCH($Z155,WorkDays,1))</f>
        <v>0</v>
      </c>
      <c r="AI155" s="57" t="str">
        <f aca="false">IF($O155="","",$O155*IF($AB155&lt;&gt;"",1,$AC155))</f>
        <v/>
      </c>
      <c r="AJ155" s="55" t="s">
        <v>660</v>
      </c>
    </row>
    <row r="156" customFormat="false" ht="22.35" hidden="false" customHeight="false" outlineLevel="3" collapsed="false">
      <c r="A156" s="53" t="s">
        <v>722</v>
      </c>
      <c r="B156" s="25" t="n">
        <v>4</v>
      </c>
      <c r="C156" s="55" t="s">
        <v>723</v>
      </c>
      <c r="D156" s="55" t="s">
        <v>717</v>
      </c>
      <c r="E156" s="25" t="s">
        <v>443</v>
      </c>
      <c r="F156" s="55" t="s">
        <v>724</v>
      </c>
      <c r="G156" s="55" t="s">
        <v>725</v>
      </c>
      <c r="H156" s="55" t="s">
        <v>726</v>
      </c>
      <c r="I156" s="55" t="s">
        <v>727</v>
      </c>
      <c r="J156" s="25" t="n">
        <f aca="false">COUNTIF('BIM Element Map'!$J$6:$J$1000,$A156)</f>
        <v>1</v>
      </c>
      <c r="K156" s="56" t="s">
        <v>722</v>
      </c>
      <c r="L156" s="25" t="s">
        <v>173</v>
      </c>
      <c r="M156" s="55" t="s">
        <v>62</v>
      </c>
      <c r="N156" s="55" t="s">
        <v>714</v>
      </c>
      <c r="O156" s="57"/>
      <c r="P156" s="25"/>
      <c r="Q156" s="58" t="n">
        <v>10</v>
      </c>
      <c r="R156" s="59" t="s">
        <v>437</v>
      </c>
      <c r="S156" s="58" t="s">
        <v>177</v>
      </c>
      <c r="T156" s="58" t="n">
        <v>0</v>
      </c>
      <c r="U156" s="59" t="s">
        <v>698</v>
      </c>
      <c r="V156" s="58" t="s">
        <v>307</v>
      </c>
      <c r="W156" s="58" t="n">
        <v>5</v>
      </c>
      <c r="X156" s="60"/>
      <c r="Y156" s="61" t="n">
        <v>46343</v>
      </c>
      <c r="Z156" s="61" t="n">
        <v>46353</v>
      </c>
      <c r="AA156" s="62"/>
      <c r="AB156" s="62"/>
      <c r="AC156" s="63" t="n">
        <v>0</v>
      </c>
      <c r="AD156" s="25" t="n">
        <f aca="false">IF($AB156&lt;&gt;"",0,IF($AA156="",$Q156,MAX(1,ROUND($Q156*(1-$AC156),0))))</f>
        <v>10</v>
      </c>
      <c r="AE156" s="61" t="n">
        <f aca="false">IF($AA156&lt;&gt;"",$AA156,MAX($X156,NextWD,IF($R156="",0,IF($S156="SS",INDEX(WorkDays,MATCH(INDEX($AE$6:$AE$156,MATCH($R156,$A$6:$A$156,0))-1,WorkDays,1)+1+$T156),INDEX(WorkDays,MATCH(INDEX($AF$6:$AF$156,MATCH($R156,$A$6:$A$156,0)),WorkDays,1)+IF($Q156=0,0,1)+$T156))),IF($U156="",0,IF($V156="SS",INDEX(WorkDays,MATCH(INDEX($AE$6:$AE$156,MATCH($U156,$A$6:$A$156,0))-1,WorkDays,1)+1+$W156),INDEX(WorkDays,MATCH(INDEX($AF$6:$AF$156,MATCH($U156,$A$6:$A$156,0)),WorkDays,1)+IF($Q156=0,0,1)+$W156)))))</f>
        <v>46343</v>
      </c>
      <c r="AF156" s="61" t="n">
        <f aca="false">IF($AB156&lt;&gt;"",$AB156,IF($Q156=0,$AE156,INDEX(WorkDays,MATCH(MAX($AE156,NextWD)-1,WorkDays,1)+$AD156)))</f>
        <v>46353</v>
      </c>
      <c r="AG156" s="56" t="str">
        <f aca="false">IF($AB156&lt;&gt;"","Completed",IF($AA156&lt;&gt;"","In Progress",IF(AND($Y156&lt;&gt;"",$Y156&lt;=DataDate),"Not Started (Late)","Not Started")))</f>
        <v>Not Started</v>
      </c>
      <c r="AH156" s="64" t="n">
        <f aca="false">IF($Z156="","",MATCH($AF156,WorkDays,1)-MATCH($Z156,WorkDays,1))</f>
        <v>0</v>
      </c>
      <c r="AI156" s="57" t="str">
        <f aca="false">IF($O156="","",$O156*IF($AB156&lt;&gt;"",1,$AC156))</f>
        <v/>
      </c>
      <c r="AJ156" s="55" t="s">
        <v>660</v>
      </c>
    </row>
  </sheetData>
  <autoFilter ref="A5:AJ156"/>
  <mergeCells count="9">
    <mergeCell ref="AE2:AF2"/>
    <mergeCell ref="A4:D4"/>
    <mergeCell ref="E4:M4"/>
    <mergeCell ref="N4:P4"/>
    <mergeCell ref="Q4:X4"/>
    <mergeCell ref="Y4:Z4"/>
    <mergeCell ref="AA4:AC4"/>
    <mergeCell ref="AD4:AF4"/>
    <mergeCell ref="AG4:AJ4"/>
  </mergeCells>
  <conditionalFormatting sqref="AG6:AG156">
    <cfRule type="expression" priority="2" aboveAverage="0" equalAverage="0" bottom="0" percent="0" rank="0" text="" dxfId="16">
      <formula>AG6="Completed"</formula>
    </cfRule>
    <cfRule type="expression" priority="3" aboveAverage="0" equalAverage="0" bottom="0" percent="0" rank="0" text="" dxfId="17">
      <formula>AG6="In Progress"</formula>
    </cfRule>
    <cfRule type="expression" priority="4" aboveAverage="0" equalAverage="0" bottom="0" percent="0" rank="0" text="" dxfId="18">
      <formula>AG6="Not Started (Late)"</formula>
    </cfRule>
  </conditionalFormatting>
  <conditionalFormatting sqref="AH6:AH156">
    <cfRule type="cellIs" priority="5" operator="greaterThan" aboveAverage="0" equalAverage="0" bottom="0" percent="0" rank="0" text="" dxfId="19">
      <formula>0</formula>
    </cfRule>
    <cfRule type="cellIs" priority="6" operator="lessThanOrEqual" aboveAverage="0" equalAverage="0" bottom="0" percent="0" rank="0" text="" dxfId="20">
      <formula>0</formula>
    </cfRule>
  </conditionalFormatting>
  <dataValidations count="4">
    <dataValidation allowBlank="true" errorStyle="stop" operator="between" showDropDown="false" showErrorMessage="false" showInputMessage="false" sqref="S6:S156 V6:V156" type="list">
      <formula1>"FS,SS"</formula1>
      <formula2>0</formula2>
    </dataValidation>
    <dataValidation allowBlank="true" errorStyle="stop" operator="between" showDropDown="false" showErrorMessage="false" showInputMessage="false" sqref="L6:L156" type="list">
      <formula1>"Construct,Demolish,Temporary,Milestone"</formula1>
      <formula2>0</formula2>
    </dataValidation>
    <dataValidation allowBlank="true" error="Enter % complete as 0–100%" errorStyle="stop" errorTitle="% Complete" operator="between" showDropDown="false" showErrorMessage="false" showInputMessage="false" sqref="AC6:AC156" type="decimal">
      <formula1>0</formula1>
      <formula2>1</formula2>
    </dataValidation>
    <dataValidation allowBlank="true" errorStyle="stop" operator="between" showDropDown="false" showErrorMessage="false" showInputMessage="false" sqref="AA6:AB156" type="date">
      <formula1>DATE(2025,1,1)</formula1>
      <formula2>DATE(2028,12,31)</formula2>
    </dataValidation>
  </dataValidations>
  <printOptions headings="false" gridLines="false" gridLinesSet="true" horizontalCentered="false" verticalCentered="false"/>
  <pageMargins left="0.3" right="0.3" top="0.4" bottom="0.4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&amp;A – page &amp;P of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6"/>
    <col collapsed="false" customWidth="true" hidden="false" outlineLevel="0" max="7" min="7" style="0" width="26"/>
    <col collapsed="false" customWidth="true" hidden="false" outlineLevel="0" max="8" min="8" style="0" width="18"/>
    <col collapsed="false" customWidth="true" hidden="false" outlineLevel="0" max="9" min="9" style="0" width="24"/>
    <col collapsed="false" customWidth="true" hidden="false" outlineLevel="0" max="10" min="10" style="0" width="14"/>
    <col collapsed="false" customWidth="true" hidden="false" outlineLevel="0" max="11" min="11" style="0" width="46"/>
    <col collapsed="false" customWidth="true" hidden="false" outlineLevel="0" max="13" min="12" style="0" width="10"/>
    <col collapsed="false" customWidth="true" hidden="false" outlineLevel="0" max="14" min="14" style="0" width="13"/>
    <col collapsed="false" customWidth="true" hidden="false" outlineLevel="0" max="15" min="15" style="0" width="40"/>
  </cols>
  <sheetData>
    <row r="1" customFormat="false" ht="17.35" hidden="false" customHeight="false" outlineLevel="0" collapsed="false">
      <c r="A1" s="27" t="s">
        <v>728</v>
      </c>
    </row>
    <row r="2" customFormat="false" ht="15" hidden="false" customHeight="false" outlineLevel="0" collapsed="false">
      <c r="A2" s="3" t="s">
        <v>729</v>
      </c>
    </row>
    <row r="3" customFormat="false" ht="15" hidden="false" customHeight="false" outlineLevel="0" collapsed="false">
      <c r="A3" s="3" t="s">
        <v>730</v>
      </c>
    </row>
    <row r="5" customFormat="false" ht="31.5" hidden="false" customHeight="true" outlineLevel="0" collapsed="false">
      <c r="A5" s="31" t="s">
        <v>731</v>
      </c>
      <c r="B5" s="31" t="s">
        <v>128</v>
      </c>
      <c r="C5" s="31" t="s">
        <v>732</v>
      </c>
      <c r="D5" s="31" t="s">
        <v>733</v>
      </c>
      <c r="E5" s="31" t="s">
        <v>126</v>
      </c>
      <c r="F5" s="31" t="s">
        <v>125</v>
      </c>
      <c r="G5" s="31" t="s">
        <v>127</v>
      </c>
      <c r="H5" s="31" t="s">
        <v>734</v>
      </c>
      <c r="I5" s="31" t="s">
        <v>735</v>
      </c>
      <c r="J5" s="31" t="s">
        <v>736</v>
      </c>
      <c r="K5" s="31" t="s">
        <v>123</v>
      </c>
      <c r="L5" s="31" t="s">
        <v>151</v>
      </c>
      <c r="M5" s="31" t="s">
        <v>152</v>
      </c>
      <c r="N5" s="31" t="s">
        <v>153</v>
      </c>
      <c r="O5" s="31" t="s">
        <v>737</v>
      </c>
    </row>
    <row r="6" customFormat="false" ht="15" hidden="false" customHeight="false" outlineLevel="0" collapsed="false">
      <c r="A6" s="56" t="s">
        <v>738</v>
      </c>
      <c r="B6" s="56" t="s">
        <v>266</v>
      </c>
      <c r="C6" s="55" t="s">
        <v>739</v>
      </c>
      <c r="D6" s="56" t="s">
        <v>740</v>
      </c>
      <c r="E6" s="55" t="s">
        <v>741</v>
      </c>
      <c r="F6" s="25" t="s">
        <v>75</v>
      </c>
      <c r="G6" s="55" t="s">
        <v>265</v>
      </c>
      <c r="H6" s="56" t="s">
        <v>742</v>
      </c>
      <c r="I6" s="56" t="s">
        <v>55</v>
      </c>
      <c r="J6" s="56" t="s">
        <v>260</v>
      </c>
      <c r="K6" s="55" t="str">
        <f aca="false">INDEX('4D Schedule'!$C$6:$C$156,MATCH($J6,'4D Schedule'!$A$6:$A$156,0))</f>
        <v>Piles Row A (P1–P7)</v>
      </c>
      <c r="L6" s="61" t="n">
        <f aca="false">INDEX('4D Schedule'!$AE$6:$AE$156,MATCH($J6,'4D Schedule'!$A$6:$A$156,0))</f>
        <v>46008</v>
      </c>
      <c r="M6" s="61" t="n">
        <f aca="false">INDEX('4D Schedule'!$AF$6:$AF$156,MATCH($J6,'4D Schedule'!$A$6:$A$156,0))</f>
        <v>46011</v>
      </c>
      <c r="N6" s="56" t="str">
        <f aca="false">INDEX('4D Schedule'!$AG$6:$AG$156,MATCH($J6,'4D Schedule'!$A$6:$A$156,0))</f>
        <v>Completed</v>
      </c>
      <c r="O6" s="55"/>
    </row>
    <row r="7" customFormat="false" ht="15" hidden="false" customHeight="false" outlineLevel="0" collapsed="false">
      <c r="A7" s="56" t="s">
        <v>743</v>
      </c>
      <c r="B7" s="56" t="s">
        <v>266</v>
      </c>
      <c r="C7" s="55" t="s">
        <v>739</v>
      </c>
      <c r="D7" s="56" t="s">
        <v>744</v>
      </c>
      <c r="E7" s="55" t="s">
        <v>745</v>
      </c>
      <c r="F7" s="25" t="s">
        <v>75</v>
      </c>
      <c r="G7" s="55" t="s">
        <v>265</v>
      </c>
      <c r="H7" s="56" t="s">
        <v>742</v>
      </c>
      <c r="I7" s="56" t="s">
        <v>55</v>
      </c>
      <c r="J7" s="56" t="s">
        <v>260</v>
      </c>
      <c r="K7" s="55" t="str">
        <f aca="false">INDEX('4D Schedule'!$C$6:$C$156,MATCH($J7,'4D Schedule'!$A$6:$A$156,0))</f>
        <v>Piles Row A (P1–P7)</v>
      </c>
      <c r="L7" s="61" t="n">
        <f aca="false">INDEX('4D Schedule'!$AE$6:$AE$156,MATCH($J7,'4D Schedule'!$A$6:$A$156,0))</f>
        <v>46008</v>
      </c>
      <c r="M7" s="61" t="n">
        <f aca="false">INDEX('4D Schedule'!$AF$6:$AF$156,MATCH($J7,'4D Schedule'!$A$6:$A$156,0))</f>
        <v>46011</v>
      </c>
      <c r="N7" s="56" t="str">
        <f aca="false">INDEX('4D Schedule'!$AG$6:$AG$156,MATCH($J7,'4D Schedule'!$A$6:$A$156,0))</f>
        <v>Completed</v>
      </c>
      <c r="O7" s="55"/>
    </row>
    <row r="8" customFormat="false" ht="15" hidden="false" customHeight="false" outlineLevel="0" collapsed="false">
      <c r="A8" s="56" t="s">
        <v>746</v>
      </c>
      <c r="B8" s="56" t="s">
        <v>266</v>
      </c>
      <c r="C8" s="55" t="s">
        <v>739</v>
      </c>
      <c r="D8" s="56" t="s">
        <v>747</v>
      </c>
      <c r="E8" s="55" t="s">
        <v>748</v>
      </c>
      <c r="F8" s="25" t="s">
        <v>75</v>
      </c>
      <c r="G8" s="55" t="s">
        <v>265</v>
      </c>
      <c r="H8" s="56" t="s">
        <v>742</v>
      </c>
      <c r="I8" s="56" t="s">
        <v>55</v>
      </c>
      <c r="J8" s="56" t="s">
        <v>260</v>
      </c>
      <c r="K8" s="55" t="str">
        <f aca="false">INDEX('4D Schedule'!$C$6:$C$156,MATCH($J8,'4D Schedule'!$A$6:$A$156,0))</f>
        <v>Piles Row A (P1–P7)</v>
      </c>
      <c r="L8" s="61" t="n">
        <f aca="false">INDEX('4D Schedule'!$AE$6:$AE$156,MATCH($J8,'4D Schedule'!$A$6:$A$156,0))</f>
        <v>46008</v>
      </c>
      <c r="M8" s="61" t="n">
        <f aca="false">INDEX('4D Schedule'!$AF$6:$AF$156,MATCH($J8,'4D Schedule'!$A$6:$A$156,0))</f>
        <v>46011</v>
      </c>
      <c r="N8" s="56" t="str">
        <f aca="false">INDEX('4D Schedule'!$AG$6:$AG$156,MATCH($J8,'4D Schedule'!$A$6:$A$156,0))</f>
        <v>Completed</v>
      </c>
      <c r="O8" s="55"/>
    </row>
    <row r="9" customFormat="false" ht="15" hidden="false" customHeight="false" outlineLevel="0" collapsed="false">
      <c r="A9" s="56" t="s">
        <v>749</v>
      </c>
      <c r="B9" s="56" t="s">
        <v>266</v>
      </c>
      <c r="C9" s="55" t="s">
        <v>739</v>
      </c>
      <c r="D9" s="56" t="s">
        <v>750</v>
      </c>
      <c r="E9" s="55" t="s">
        <v>751</v>
      </c>
      <c r="F9" s="25" t="s">
        <v>77</v>
      </c>
      <c r="G9" s="55" t="s">
        <v>265</v>
      </c>
      <c r="H9" s="56" t="s">
        <v>742</v>
      </c>
      <c r="I9" s="56" t="s">
        <v>55</v>
      </c>
      <c r="J9" s="56" t="s">
        <v>260</v>
      </c>
      <c r="K9" s="55" t="str">
        <f aca="false">INDEX('4D Schedule'!$C$6:$C$156,MATCH($J9,'4D Schedule'!$A$6:$A$156,0))</f>
        <v>Piles Row A (P1–P7)</v>
      </c>
      <c r="L9" s="61" t="n">
        <f aca="false">INDEX('4D Schedule'!$AE$6:$AE$156,MATCH($J9,'4D Schedule'!$A$6:$A$156,0))</f>
        <v>46008</v>
      </c>
      <c r="M9" s="61" t="n">
        <f aca="false">INDEX('4D Schedule'!$AF$6:$AF$156,MATCH($J9,'4D Schedule'!$A$6:$A$156,0))</f>
        <v>46011</v>
      </c>
      <c r="N9" s="56" t="str">
        <f aca="false">INDEX('4D Schedule'!$AG$6:$AG$156,MATCH($J9,'4D Schedule'!$A$6:$A$156,0))</f>
        <v>Completed</v>
      </c>
      <c r="O9" s="55"/>
    </row>
    <row r="10" customFormat="false" ht="15" hidden="false" customHeight="false" outlineLevel="0" collapsed="false">
      <c r="A10" s="56" t="s">
        <v>752</v>
      </c>
      <c r="B10" s="56" t="s">
        <v>266</v>
      </c>
      <c r="C10" s="55" t="s">
        <v>739</v>
      </c>
      <c r="D10" s="56" t="s">
        <v>753</v>
      </c>
      <c r="E10" s="55" t="s">
        <v>754</v>
      </c>
      <c r="F10" s="25" t="s">
        <v>77</v>
      </c>
      <c r="G10" s="55" t="s">
        <v>265</v>
      </c>
      <c r="H10" s="56" t="s">
        <v>742</v>
      </c>
      <c r="I10" s="56" t="s">
        <v>55</v>
      </c>
      <c r="J10" s="56" t="s">
        <v>260</v>
      </c>
      <c r="K10" s="55" t="str">
        <f aca="false">INDEX('4D Schedule'!$C$6:$C$156,MATCH($J10,'4D Schedule'!$A$6:$A$156,0))</f>
        <v>Piles Row A (P1–P7)</v>
      </c>
      <c r="L10" s="61" t="n">
        <f aca="false">INDEX('4D Schedule'!$AE$6:$AE$156,MATCH($J10,'4D Schedule'!$A$6:$A$156,0))</f>
        <v>46008</v>
      </c>
      <c r="M10" s="61" t="n">
        <f aca="false">INDEX('4D Schedule'!$AF$6:$AF$156,MATCH($J10,'4D Schedule'!$A$6:$A$156,0))</f>
        <v>46011</v>
      </c>
      <c r="N10" s="56" t="str">
        <f aca="false">INDEX('4D Schedule'!$AG$6:$AG$156,MATCH($J10,'4D Schedule'!$A$6:$A$156,0))</f>
        <v>Completed</v>
      </c>
      <c r="O10" s="55"/>
    </row>
    <row r="11" customFormat="false" ht="15" hidden="false" customHeight="false" outlineLevel="0" collapsed="false">
      <c r="A11" s="56" t="s">
        <v>755</v>
      </c>
      <c r="B11" s="56" t="s">
        <v>266</v>
      </c>
      <c r="C11" s="55" t="s">
        <v>739</v>
      </c>
      <c r="D11" s="56" t="s">
        <v>756</v>
      </c>
      <c r="E11" s="55" t="s">
        <v>754</v>
      </c>
      <c r="F11" s="25" t="s">
        <v>77</v>
      </c>
      <c r="G11" s="55" t="s">
        <v>265</v>
      </c>
      <c r="H11" s="56" t="s">
        <v>742</v>
      </c>
      <c r="I11" s="56" t="s">
        <v>55</v>
      </c>
      <c r="J11" s="56" t="s">
        <v>260</v>
      </c>
      <c r="K11" s="55" t="str">
        <f aca="false">INDEX('4D Schedule'!$C$6:$C$156,MATCH($J11,'4D Schedule'!$A$6:$A$156,0))</f>
        <v>Piles Row A (P1–P7)</v>
      </c>
      <c r="L11" s="61" t="n">
        <f aca="false">INDEX('4D Schedule'!$AE$6:$AE$156,MATCH($J11,'4D Schedule'!$A$6:$A$156,0))</f>
        <v>46008</v>
      </c>
      <c r="M11" s="61" t="n">
        <f aca="false">INDEX('4D Schedule'!$AF$6:$AF$156,MATCH($J11,'4D Schedule'!$A$6:$A$156,0))</f>
        <v>46011</v>
      </c>
      <c r="N11" s="56" t="str">
        <f aca="false">INDEX('4D Schedule'!$AG$6:$AG$156,MATCH($J11,'4D Schedule'!$A$6:$A$156,0))</f>
        <v>Completed</v>
      </c>
      <c r="O11" s="55"/>
    </row>
    <row r="12" customFormat="false" ht="15" hidden="false" customHeight="false" outlineLevel="0" collapsed="false">
      <c r="A12" s="56" t="s">
        <v>757</v>
      </c>
      <c r="B12" s="56" t="s">
        <v>266</v>
      </c>
      <c r="C12" s="55" t="s">
        <v>739</v>
      </c>
      <c r="D12" s="56" t="s">
        <v>758</v>
      </c>
      <c r="E12" s="55" t="s">
        <v>759</v>
      </c>
      <c r="F12" s="25" t="s">
        <v>79</v>
      </c>
      <c r="G12" s="55" t="s">
        <v>265</v>
      </c>
      <c r="H12" s="56" t="s">
        <v>742</v>
      </c>
      <c r="I12" s="56" t="s">
        <v>55</v>
      </c>
      <c r="J12" s="56" t="s">
        <v>260</v>
      </c>
      <c r="K12" s="55" t="str">
        <f aca="false">INDEX('4D Schedule'!$C$6:$C$156,MATCH($J12,'4D Schedule'!$A$6:$A$156,0))</f>
        <v>Piles Row A (P1–P7)</v>
      </c>
      <c r="L12" s="61" t="n">
        <f aca="false">INDEX('4D Schedule'!$AE$6:$AE$156,MATCH($J12,'4D Schedule'!$A$6:$A$156,0))</f>
        <v>46008</v>
      </c>
      <c r="M12" s="61" t="n">
        <f aca="false">INDEX('4D Schedule'!$AF$6:$AF$156,MATCH($J12,'4D Schedule'!$A$6:$A$156,0))</f>
        <v>46011</v>
      </c>
      <c r="N12" s="56" t="str">
        <f aca="false">INDEX('4D Schedule'!$AG$6:$AG$156,MATCH($J12,'4D Schedule'!$A$6:$A$156,0))</f>
        <v>Completed</v>
      </c>
      <c r="O12" s="55"/>
    </row>
    <row r="13" customFormat="false" ht="15" hidden="false" customHeight="false" outlineLevel="0" collapsed="false">
      <c r="A13" s="56" t="s">
        <v>760</v>
      </c>
      <c r="B13" s="56" t="s">
        <v>266</v>
      </c>
      <c r="C13" s="55" t="s">
        <v>739</v>
      </c>
      <c r="D13" s="56" t="s">
        <v>761</v>
      </c>
      <c r="E13" s="55" t="s">
        <v>762</v>
      </c>
      <c r="F13" s="25" t="s">
        <v>75</v>
      </c>
      <c r="G13" s="55" t="s">
        <v>265</v>
      </c>
      <c r="H13" s="56" t="s">
        <v>742</v>
      </c>
      <c r="I13" s="56" t="s">
        <v>55</v>
      </c>
      <c r="J13" s="56" t="s">
        <v>269</v>
      </c>
      <c r="K13" s="55" t="str">
        <f aca="false">INDEX('4D Schedule'!$C$6:$C$156,MATCH($J13,'4D Schedule'!$A$6:$A$156,0))</f>
        <v>Piles Row B (P8–P16)</v>
      </c>
      <c r="L13" s="61" t="n">
        <f aca="false">INDEX('4D Schedule'!$AE$6:$AE$156,MATCH($J13,'4D Schedule'!$A$6:$A$156,0))</f>
        <v>46013</v>
      </c>
      <c r="M13" s="61" t="n">
        <f aca="false">INDEX('4D Schedule'!$AF$6:$AF$156,MATCH($J13,'4D Schedule'!$A$6:$A$156,0))</f>
        <v>46018</v>
      </c>
      <c r="N13" s="56" t="str">
        <f aca="false">INDEX('4D Schedule'!$AG$6:$AG$156,MATCH($J13,'4D Schedule'!$A$6:$A$156,0))</f>
        <v>Completed</v>
      </c>
      <c r="O13" s="55"/>
    </row>
    <row r="14" customFormat="false" ht="15" hidden="false" customHeight="false" outlineLevel="0" collapsed="false">
      <c r="A14" s="56" t="s">
        <v>763</v>
      </c>
      <c r="B14" s="56" t="s">
        <v>266</v>
      </c>
      <c r="C14" s="55" t="s">
        <v>739</v>
      </c>
      <c r="D14" s="56" t="s">
        <v>764</v>
      </c>
      <c r="E14" s="55" t="s">
        <v>762</v>
      </c>
      <c r="F14" s="25" t="s">
        <v>75</v>
      </c>
      <c r="G14" s="55" t="s">
        <v>265</v>
      </c>
      <c r="H14" s="56" t="s">
        <v>742</v>
      </c>
      <c r="I14" s="56" t="s">
        <v>55</v>
      </c>
      <c r="J14" s="56" t="s">
        <v>269</v>
      </c>
      <c r="K14" s="55" t="str">
        <f aca="false">INDEX('4D Schedule'!$C$6:$C$156,MATCH($J14,'4D Schedule'!$A$6:$A$156,0))</f>
        <v>Piles Row B (P8–P16)</v>
      </c>
      <c r="L14" s="61" t="n">
        <f aca="false">INDEX('4D Schedule'!$AE$6:$AE$156,MATCH($J14,'4D Schedule'!$A$6:$A$156,0))</f>
        <v>46013</v>
      </c>
      <c r="M14" s="61" t="n">
        <f aca="false">INDEX('4D Schedule'!$AF$6:$AF$156,MATCH($J14,'4D Schedule'!$A$6:$A$156,0))</f>
        <v>46018</v>
      </c>
      <c r="N14" s="56" t="str">
        <f aca="false">INDEX('4D Schedule'!$AG$6:$AG$156,MATCH($J14,'4D Schedule'!$A$6:$A$156,0))</f>
        <v>Completed</v>
      </c>
      <c r="O14" s="55"/>
    </row>
    <row r="15" customFormat="false" ht="15" hidden="false" customHeight="false" outlineLevel="0" collapsed="false">
      <c r="A15" s="56" t="s">
        <v>765</v>
      </c>
      <c r="B15" s="56" t="s">
        <v>266</v>
      </c>
      <c r="C15" s="55" t="s">
        <v>739</v>
      </c>
      <c r="D15" s="56" t="s">
        <v>766</v>
      </c>
      <c r="E15" s="55" t="s">
        <v>767</v>
      </c>
      <c r="F15" s="25" t="s">
        <v>75</v>
      </c>
      <c r="G15" s="55" t="s">
        <v>265</v>
      </c>
      <c r="H15" s="56" t="s">
        <v>742</v>
      </c>
      <c r="I15" s="56" t="s">
        <v>55</v>
      </c>
      <c r="J15" s="56" t="s">
        <v>269</v>
      </c>
      <c r="K15" s="55" t="str">
        <f aca="false">INDEX('4D Schedule'!$C$6:$C$156,MATCH($J15,'4D Schedule'!$A$6:$A$156,0))</f>
        <v>Piles Row B (P8–P16)</v>
      </c>
      <c r="L15" s="61" t="n">
        <f aca="false">INDEX('4D Schedule'!$AE$6:$AE$156,MATCH($J15,'4D Schedule'!$A$6:$A$156,0))</f>
        <v>46013</v>
      </c>
      <c r="M15" s="61" t="n">
        <f aca="false">INDEX('4D Schedule'!$AF$6:$AF$156,MATCH($J15,'4D Schedule'!$A$6:$A$156,0))</f>
        <v>46018</v>
      </c>
      <c r="N15" s="56" t="str">
        <f aca="false">INDEX('4D Schedule'!$AG$6:$AG$156,MATCH($J15,'4D Schedule'!$A$6:$A$156,0))</f>
        <v>Completed</v>
      </c>
      <c r="O15" s="55"/>
    </row>
    <row r="16" customFormat="false" ht="15" hidden="false" customHeight="false" outlineLevel="0" collapsed="false">
      <c r="A16" s="56" t="s">
        <v>768</v>
      </c>
      <c r="B16" s="56" t="s">
        <v>266</v>
      </c>
      <c r="C16" s="55" t="s">
        <v>739</v>
      </c>
      <c r="D16" s="56" t="s">
        <v>769</v>
      </c>
      <c r="E16" s="55" t="s">
        <v>770</v>
      </c>
      <c r="F16" s="25" t="s">
        <v>75</v>
      </c>
      <c r="G16" s="55" t="s">
        <v>265</v>
      </c>
      <c r="H16" s="56" t="s">
        <v>742</v>
      </c>
      <c r="I16" s="56" t="s">
        <v>55</v>
      </c>
      <c r="J16" s="56" t="s">
        <v>269</v>
      </c>
      <c r="K16" s="55" t="str">
        <f aca="false">INDEX('4D Schedule'!$C$6:$C$156,MATCH($J16,'4D Schedule'!$A$6:$A$156,0))</f>
        <v>Piles Row B (P8–P16)</v>
      </c>
      <c r="L16" s="61" t="n">
        <f aca="false">INDEX('4D Schedule'!$AE$6:$AE$156,MATCH($J16,'4D Schedule'!$A$6:$A$156,0))</f>
        <v>46013</v>
      </c>
      <c r="M16" s="61" t="n">
        <f aca="false">INDEX('4D Schedule'!$AF$6:$AF$156,MATCH($J16,'4D Schedule'!$A$6:$A$156,0))</f>
        <v>46018</v>
      </c>
      <c r="N16" s="56" t="str">
        <f aca="false">INDEX('4D Schedule'!$AG$6:$AG$156,MATCH($J16,'4D Schedule'!$A$6:$A$156,0))</f>
        <v>Completed</v>
      </c>
      <c r="O16" s="55"/>
    </row>
    <row r="17" customFormat="false" ht="15" hidden="false" customHeight="false" outlineLevel="0" collapsed="false">
      <c r="A17" s="56" t="s">
        <v>771</v>
      </c>
      <c r="B17" s="56" t="s">
        <v>266</v>
      </c>
      <c r="C17" s="55" t="s">
        <v>739</v>
      </c>
      <c r="D17" s="56" t="s">
        <v>772</v>
      </c>
      <c r="E17" s="55" t="s">
        <v>773</v>
      </c>
      <c r="F17" s="25" t="s">
        <v>77</v>
      </c>
      <c r="G17" s="55" t="s">
        <v>265</v>
      </c>
      <c r="H17" s="56" t="s">
        <v>742</v>
      </c>
      <c r="I17" s="56" t="s">
        <v>55</v>
      </c>
      <c r="J17" s="56" t="s">
        <v>269</v>
      </c>
      <c r="K17" s="55" t="str">
        <f aca="false">INDEX('4D Schedule'!$C$6:$C$156,MATCH($J17,'4D Schedule'!$A$6:$A$156,0))</f>
        <v>Piles Row B (P8–P16)</v>
      </c>
      <c r="L17" s="61" t="n">
        <f aca="false">INDEX('4D Schedule'!$AE$6:$AE$156,MATCH($J17,'4D Schedule'!$A$6:$A$156,0))</f>
        <v>46013</v>
      </c>
      <c r="M17" s="61" t="n">
        <f aca="false">INDEX('4D Schedule'!$AF$6:$AF$156,MATCH($J17,'4D Schedule'!$A$6:$A$156,0))</f>
        <v>46018</v>
      </c>
      <c r="N17" s="56" t="str">
        <f aca="false">INDEX('4D Schedule'!$AG$6:$AG$156,MATCH($J17,'4D Schedule'!$A$6:$A$156,0))</f>
        <v>Completed</v>
      </c>
      <c r="O17" s="55"/>
    </row>
    <row r="18" customFormat="false" ht="15" hidden="false" customHeight="false" outlineLevel="0" collapsed="false">
      <c r="A18" s="56" t="s">
        <v>774</v>
      </c>
      <c r="B18" s="56" t="s">
        <v>266</v>
      </c>
      <c r="C18" s="55" t="s">
        <v>739</v>
      </c>
      <c r="D18" s="56" t="s">
        <v>775</v>
      </c>
      <c r="E18" s="55" t="s">
        <v>776</v>
      </c>
      <c r="F18" s="25" t="s">
        <v>77</v>
      </c>
      <c r="G18" s="55" t="s">
        <v>265</v>
      </c>
      <c r="H18" s="56" t="s">
        <v>742</v>
      </c>
      <c r="I18" s="56" t="s">
        <v>55</v>
      </c>
      <c r="J18" s="56" t="s">
        <v>269</v>
      </c>
      <c r="K18" s="55" t="str">
        <f aca="false">INDEX('4D Schedule'!$C$6:$C$156,MATCH($J18,'4D Schedule'!$A$6:$A$156,0))</f>
        <v>Piles Row B (P8–P16)</v>
      </c>
      <c r="L18" s="61" t="n">
        <f aca="false">INDEX('4D Schedule'!$AE$6:$AE$156,MATCH($J18,'4D Schedule'!$A$6:$A$156,0))</f>
        <v>46013</v>
      </c>
      <c r="M18" s="61" t="n">
        <f aca="false">INDEX('4D Schedule'!$AF$6:$AF$156,MATCH($J18,'4D Schedule'!$A$6:$A$156,0))</f>
        <v>46018</v>
      </c>
      <c r="N18" s="56" t="str">
        <f aca="false">INDEX('4D Schedule'!$AG$6:$AG$156,MATCH($J18,'4D Schedule'!$A$6:$A$156,0))</f>
        <v>Completed</v>
      </c>
      <c r="O18" s="55"/>
    </row>
    <row r="19" customFormat="false" ht="15" hidden="false" customHeight="false" outlineLevel="0" collapsed="false">
      <c r="A19" s="56" t="s">
        <v>777</v>
      </c>
      <c r="B19" s="56" t="s">
        <v>266</v>
      </c>
      <c r="C19" s="55" t="s">
        <v>739</v>
      </c>
      <c r="D19" s="56" t="s">
        <v>778</v>
      </c>
      <c r="E19" s="55" t="s">
        <v>776</v>
      </c>
      <c r="F19" s="25" t="s">
        <v>77</v>
      </c>
      <c r="G19" s="55" t="s">
        <v>265</v>
      </c>
      <c r="H19" s="56" t="s">
        <v>742</v>
      </c>
      <c r="I19" s="56" t="s">
        <v>55</v>
      </c>
      <c r="J19" s="56" t="s">
        <v>269</v>
      </c>
      <c r="K19" s="55" t="str">
        <f aca="false">INDEX('4D Schedule'!$C$6:$C$156,MATCH($J19,'4D Schedule'!$A$6:$A$156,0))</f>
        <v>Piles Row B (P8–P16)</v>
      </c>
      <c r="L19" s="61" t="n">
        <f aca="false">INDEX('4D Schedule'!$AE$6:$AE$156,MATCH($J19,'4D Schedule'!$A$6:$A$156,0))</f>
        <v>46013</v>
      </c>
      <c r="M19" s="61" t="n">
        <f aca="false">INDEX('4D Schedule'!$AF$6:$AF$156,MATCH($J19,'4D Schedule'!$A$6:$A$156,0))</f>
        <v>46018</v>
      </c>
      <c r="N19" s="56" t="str">
        <f aca="false">INDEX('4D Schedule'!$AG$6:$AG$156,MATCH($J19,'4D Schedule'!$A$6:$A$156,0))</f>
        <v>Completed</v>
      </c>
      <c r="O19" s="55"/>
    </row>
    <row r="20" customFormat="false" ht="15" hidden="false" customHeight="false" outlineLevel="0" collapsed="false">
      <c r="A20" s="56" t="s">
        <v>779</v>
      </c>
      <c r="B20" s="56" t="s">
        <v>266</v>
      </c>
      <c r="C20" s="55" t="s">
        <v>739</v>
      </c>
      <c r="D20" s="56" t="s">
        <v>780</v>
      </c>
      <c r="E20" s="55" t="s">
        <v>781</v>
      </c>
      <c r="F20" s="25" t="s">
        <v>79</v>
      </c>
      <c r="G20" s="55" t="s">
        <v>265</v>
      </c>
      <c r="H20" s="56" t="s">
        <v>742</v>
      </c>
      <c r="I20" s="56" t="s">
        <v>55</v>
      </c>
      <c r="J20" s="56" t="s">
        <v>269</v>
      </c>
      <c r="K20" s="55" t="str">
        <f aca="false">INDEX('4D Schedule'!$C$6:$C$156,MATCH($J20,'4D Schedule'!$A$6:$A$156,0))</f>
        <v>Piles Row B (P8–P16)</v>
      </c>
      <c r="L20" s="61" t="n">
        <f aca="false">INDEX('4D Schedule'!$AE$6:$AE$156,MATCH($J20,'4D Schedule'!$A$6:$A$156,0))</f>
        <v>46013</v>
      </c>
      <c r="M20" s="61" t="n">
        <f aca="false">INDEX('4D Schedule'!$AF$6:$AF$156,MATCH($J20,'4D Schedule'!$A$6:$A$156,0))</f>
        <v>46018</v>
      </c>
      <c r="N20" s="56" t="str">
        <f aca="false">INDEX('4D Schedule'!$AG$6:$AG$156,MATCH($J20,'4D Schedule'!$A$6:$A$156,0))</f>
        <v>Completed</v>
      </c>
      <c r="O20" s="55"/>
    </row>
    <row r="21" customFormat="false" ht="15" hidden="false" customHeight="false" outlineLevel="0" collapsed="false">
      <c r="A21" s="56" t="s">
        <v>782</v>
      </c>
      <c r="B21" s="56" t="s">
        <v>266</v>
      </c>
      <c r="C21" s="55" t="s">
        <v>739</v>
      </c>
      <c r="D21" s="56" t="s">
        <v>783</v>
      </c>
      <c r="E21" s="55" t="s">
        <v>781</v>
      </c>
      <c r="F21" s="25" t="s">
        <v>79</v>
      </c>
      <c r="G21" s="55" t="s">
        <v>265</v>
      </c>
      <c r="H21" s="56" t="s">
        <v>742</v>
      </c>
      <c r="I21" s="56" t="s">
        <v>55</v>
      </c>
      <c r="J21" s="56" t="s">
        <v>269</v>
      </c>
      <c r="K21" s="55" t="str">
        <f aca="false">INDEX('4D Schedule'!$C$6:$C$156,MATCH($J21,'4D Schedule'!$A$6:$A$156,0))</f>
        <v>Piles Row B (P8–P16)</v>
      </c>
      <c r="L21" s="61" t="n">
        <f aca="false">INDEX('4D Schedule'!$AE$6:$AE$156,MATCH($J21,'4D Schedule'!$A$6:$A$156,0))</f>
        <v>46013</v>
      </c>
      <c r="M21" s="61" t="n">
        <f aca="false">INDEX('4D Schedule'!$AF$6:$AF$156,MATCH($J21,'4D Schedule'!$A$6:$A$156,0))</f>
        <v>46018</v>
      </c>
      <c r="N21" s="56" t="str">
        <f aca="false">INDEX('4D Schedule'!$AG$6:$AG$156,MATCH($J21,'4D Schedule'!$A$6:$A$156,0))</f>
        <v>Completed</v>
      </c>
      <c r="O21" s="55"/>
    </row>
    <row r="22" customFormat="false" ht="15" hidden="false" customHeight="false" outlineLevel="0" collapsed="false">
      <c r="A22" s="56" t="s">
        <v>784</v>
      </c>
      <c r="B22" s="56" t="s">
        <v>266</v>
      </c>
      <c r="C22" s="55" t="s">
        <v>739</v>
      </c>
      <c r="D22" s="56" t="s">
        <v>785</v>
      </c>
      <c r="E22" s="55" t="s">
        <v>786</v>
      </c>
      <c r="F22" s="25" t="s">
        <v>75</v>
      </c>
      <c r="G22" s="55" t="s">
        <v>265</v>
      </c>
      <c r="H22" s="56" t="s">
        <v>742</v>
      </c>
      <c r="I22" s="56" t="s">
        <v>55</v>
      </c>
      <c r="J22" s="56" t="s">
        <v>274</v>
      </c>
      <c r="K22" s="55" t="str">
        <f aca="false">INDEX('4D Schedule'!$C$6:$C$156,MATCH($J22,'4D Schedule'!$A$6:$A$156,0))</f>
        <v>Piles Row C (P17–P22)</v>
      </c>
      <c r="L22" s="61" t="n">
        <f aca="false">INDEX('4D Schedule'!$AE$6:$AE$156,MATCH($J22,'4D Schedule'!$A$6:$A$156,0))</f>
        <v>46020</v>
      </c>
      <c r="M22" s="61" t="n">
        <f aca="false">INDEX('4D Schedule'!$AF$6:$AF$156,MATCH($J22,'4D Schedule'!$A$6:$A$156,0))</f>
        <v>46022</v>
      </c>
      <c r="N22" s="56" t="str">
        <f aca="false">INDEX('4D Schedule'!$AG$6:$AG$156,MATCH($J22,'4D Schedule'!$A$6:$A$156,0))</f>
        <v>Completed</v>
      </c>
      <c r="O22" s="55"/>
    </row>
    <row r="23" customFormat="false" ht="15" hidden="false" customHeight="false" outlineLevel="0" collapsed="false">
      <c r="A23" s="56" t="s">
        <v>787</v>
      </c>
      <c r="B23" s="56" t="s">
        <v>266</v>
      </c>
      <c r="C23" s="55" t="s">
        <v>739</v>
      </c>
      <c r="D23" s="56" t="s">
        <v>788</v>
      </c>
      <c r="E23" s="55" t="s">
        <v>789</v>
      </c>
      <c r="F23" s="25" t="s">
        <v>75</v>
      </c>
      <c r="G23" s="55" t="s">
        <v>265</v>
      </c>
      <c r="H23" s="56" t="s">
        <v>742</v>
      </c>
      <c r="I23" s="56" t="s">
        <v>55</v>
      </c>
      <c r="J23" s="56" t="s">
        <v>274</v>
      </c>
      <c r="K23" s="55" t="str">
        <f aca="false">INDEX('4D Schedule'!$C$6:$C$156,MATCH($J23,'4D Schedule'!$A$6:$A$156,0))</f>
        <v>Piles Row C (P17–P22)</v>
      </c>
      <c r="L23" s="61" t="n">
        <f aca="false">INDEX('4D Schedule'!$AE$6:$AE$156,MATCH($J23,'4D Schedule'!$A$6:$A$156,0))</f>
        <v>46020</v>
      </c>
      <c r="M23" s="61" t="n">
        <f aca="false">INDEX('4D Schedule'!$AF$6:$AF$156,MATCH($J23,'4D Schedule'!$A$6:$A$156,0))</f>
        <v>46022</v>
      </c>
      <c r="N23" s="56" t="str">
        <f aca="false">INDEX('4D Schedule'!$AG$6:$AG$156,MATCH($J23,'4D Schedule'!$A$6:$A$156,0))</f>
        <v>Completed</v>
      </c>
      <c r="O23" s="55"/>
    </row>
    <row r="24" customFormat="false" ht="15" hidden="false" customHeight="false" outlineLevel="0" collapsed="false">
      <c r="A24" s="56" t="s">
        <v>790</v>
      </c>
      <c r="B24" s="56" t="s">
        <v>266</v>
      </c>
      <c r="C24" s="55" t="s">
        <v>739</v>
      </c>
      <c r="D24" s="56" t="s">
        <v>791</v>
      </c>
      <c r="E24" s="55" t="s">
        <v>792</v>
      </c>
      <c r="F24" s="25" t="s">
        <v>75</v>
      </c>
      <c r="G24" s="55" t="s">
        <v>265</v>
      </c>
      <c r="H24" s="56" t="s">
        <v>742</v>
      </c>
      <c r="I24" s="56" t="s">
        <v>55</v>
      </c>
      <c r="J24" s="56" t="s">
        <v>274</v>
      </c>
      <c r="K24" s="55" t="str">
        <f aca="false">INDEX('4D Schedule'!$C$6:$C$156,MATCH($J24,'4D Schedule'!$A$6:$A$156,0))</f>
        <v>Piles Row C (P17–P22)</v>
      </c>
      <c r="L24" s="61" t="n">
        <f aca="false">INDEX('4D Schedule'!$AE$6:$AE$156,MATCH($J24,'4D Schedule'!$A$6:$A$156,0))</f>
        <v>46020</v>
      </c>
      <c r="M24" s="61" t="n">
        <f aca="false">INDEX('4D Schedule'!$AF$6:$AF$156,MATCH($J24,'4D Schedule'!$A$6:$A$156,0))</f>
        <v>46022</v>
      </c>
      <c r="N24" s="56" t="str">
        <f aca="false">INDEX('4D Schedule'!$AG$6:$AG$156,MATCH($J24,'4D Schedule'!$A$6:$A$156,0))</f>
        <v>Completed</v>
      </c>
      <c r="O24" s="55"/>
    </row>
    <row r="25" customFormat="false" ht="15" hidden="false" customHeight="false" outlineLevel="0" collapsed="false">
      <c r="A25" s="56" t="s">
        <v>793</v>
      </c>
      <c r="B25" s="56" t="s">
        <v>266</v>
      </c>
      <c r="C25" s="55" t="s">
        <v>739</v>
      </c>
      <c r="D25" s="56" t="s">
        <v>794</v>
      </c>
      <c r="E25" s="55" t="s">
        <v>795</v>
      </c>
      <c r="F25" s="25" t="s">
        <v>77</v>
      </c>
      <c r="G25" s="55" t="s">
        <v>265</v>
      </c>
      <c r="H25" s="56" t="s">
        <v>742</v>
      </c>
      <c r="I25" s="56" t="s">
        <v>55</v>
      </c>
      <c r="J25" s="56" t="s">
        <v>274</v>
      </c>
      <c r="K25" s="55" t="str">
        <f aca="false">INDEX('4D Schedule'!$C$6:$C$156,MATCH($J25,'4D Schedule'!$A$6:$A$156,0))</f>
        <v>Piles Row C (P17–P22)</v>
      </c>
      <c r="L25" s="61" t="n">
        <f aca="false">INDEX('4D Schedule'!$AE$6:$AE$156,MATCH($J25,'4D Schedule'!$A$6:$A$156,0))</f>
        <v>46020</v>
      </c>
      <c r="M25" s="61" t="n">
        <f aca="false">INDEX('4D Schedule'!$AF$6:$AF$156,MATCH($J25,'4D Schedule'!$A$6:$A$156,0))</f>
        <v>46022</v>
      </c>
      <c r="N25" s="56" t="str">
        <f aca="false">INDEX('4D Schedule'!$AG$6:$AG$156,MATCH($J25,'4D Schedule'!$A$6:$A$156,0))</f>
        <v>Completed</v>
      </c>
      <c r="O25" s="55"/>
    </row>
    <row r="26" customFormat="false" ht="15" hidden="false" customHeight="false" outlineLevel="0" collapsed="false">
      <c r="A26" s="56" t="s">
        <v>796</v>
      </c>
      <c r="B26" s="56" t="s">
        <v>266</v>
      </c>
      <c r="C26" s="55" t="s">
        <v>739</v>
      </c>
      <c r="D26" s="56" t="s">
        <v>797</v>
      </c>
      <c r="E26" s="55" t="s">
        <v>798</v>
      </c>
      <c r="F26" s="25" t="s">
        <v>77</v>
      </c>
      <c r="G26" s="55" t="s">
        <v>265</v>
      </c>
      <c r="H26" s="56" t="s">
        <v>742</v>
      </c>
      <c r="I26" s="56" t="s">
        <v>55</v>
      </c>
      <c r="J26" s="56" t="s">
        <v>274</v>
      </c>
      <c r="K26" s="55" t="str">
        <f aca="false">INDEX('4D Schedule'!$C$6:$C$156,MATCH($J26,'4D Schedule'!$A$6:$A$156,0))</f>
        <v>Piles Row C (P17–P22)</v>
      </c>
      <c r="L26" s="61" t="n">
        <f aca="false">INDEX('4D Schedule'!$AE$6:$AE$156,MATCH($J26,'4D Schedule'!$A$6:$A$156,0))</f>
        <v>46020</v>
      </c>
      <c r="M26" s="61" t="n">
        <f aca="false">INDEX('4D Schedule'!$AF$6:$AF$156,MATCH($J26,'4D Schedule'!$A$6:$A$156,0))</f>
        <v>46022</v>
      </c>
      <c r="N26" s="56" t="str">
        <f aca="false">INDEX('4D Schedule'!$AG$6:$AG$156,MATCH($J26,'4D Schedule'!$A$6:$A$156,0))</f>
        <v>Completed</v>
      </c>
      <c r="O26" s="55"/>
    </row>
    <row r="27" customFormat="false" ht="15" hidden="false" customHeight="false" outlineLevel="0" collapsed="false">
      <c r="A27" s="56" t="s">
        <v>799</v>
      </c>
      <c r="B27" s="56" t="s">
        <v>266</v>
      </c>
      <c r="C27" s="55" t="s">
        <v>739</v>
      </c>
      <c r="D27" s="56" t="s">
        <v>800</v>
      </c>
      <c r="E27" s="55" t="s">
        <v>801</v>
      </c>
      <c r="F27" s="25" t="s">
        <v>79</v>
      </c>
      <c r="G27" s="55" t="s">
        <v>265</v>
      </c>
      <c r="H27" s="56" t="s">
        <v>742</v>
      </c>
      <c r="I27" s="56" t="s">
        <v>55</v>
      </c>
      <c r="J27" s="56" t="s">
        <v>274</v>
      </c>
      <c r="K27" s="55" t="str">
        <f aca="false">INDEX('4D Schedule'!$C$6:$C$156,MATCH($J27,'4D Schedule'!$A$6:$A$156,0))</f>
        <v>Piles Row C (P17–P22)</v>
      </c>
      <c r="L27" s="61" t="n">
        <f aca="false">INDEX('4D Schedule'!$AE$6:$AE$156,MATCH($J27,'4D Schedule'!$A$6:$A$156,0))</f>
        <v>46020</v>
      </c>
      <c r="M27" s="61" t="n">
        <f aca="false">INDEX('4D Schedule'!$AF$6:$AF$156,MATCH($J27,'4D Schedule'!$A$6:$A$156,0))</f>
        <v>46022</v>
      </c>
      <c r="N27" s="56" t="str">
        <f aca="false">INDEX('4D Schedule'!$AG$6:$AG$156,MATCH($J27,'4D Schedule'!$A$6:$A$156,0))</f>
        <v>Completed</v>
      </c>
      <c r="O27" s="55"/>
    </row>
    <row r="28" customFormat="false" ht="15" hidden="false" customHeight="false" outlineLevel="0" collapsed="false">
      <c r="A28" s="56" t="s">
        <v>802</v>
      </c>
      <c r="B28" s="56" t="s">
        <v>266</v>
      </c>
      <c r="C28" s="55" t="s">
        <v>739</v>
      </c>
      <c r="D28" s="56" t="s">
        <v>803</v>
      </c>
      <c r="E28" s="55" t="s">
        <v>804</v>
      </c>
      <c r="F28" s="25" t="s">
        <v>75</v>
      </c>
      <c r="G28" s="55" t="s">
        <v>265</v>
      </c>
      <c r="H28" s="56" t="s">
        <v>742</v>
      </c>
      <c r="I28" s="56" t="s">
        <v>55</v>
      </c>
      <c r="J28" s="56" t="s">
        <v>279</v>
      </c>
      <c r="K28" s="55" t="str">
        <f aca="false">INDEX('4D Schedule'!$C$6:$C$156,MATCH($J28,'4D Schedule'!$A$6:$A$156,0))</f>
        <v>Piles Row D (P23–P34)</v>
      </c>
      <c r="L28" s="61" t="n">
        <f aca="false">INDEX('4D Schedule'!$AE$6:$AE$156,MATCH($J28,'4D Schedule'!$A$6:$A$156,0))</f>
        <v>46024</v>
      </c>
      <c r="M28" s="61" t="n">
        <f aca="false">INDEX('4D Schedule'!$AF$6:$AF$156,MATCH($J28,'4D Schedule'!$A$6:$A$156,0))</f>
        <v>46030</v>
      </c>
      <c r="N28" s="56" t="str">
        <f aca="false">INDEX('4D Schedule'!$AG$6:$AG$156,MATCH($J28,'4D Schedule'!$A$6:$A$156,0))</f>
        <v>Completed</v>
      </c>
      <c r="O28" s="55"/>
    </row>
    <row r="29" customFormat="false" ht="15" hidden="false" customHeight="false" outlineLevel="0" collapsed="false">
      <c r="A29" s="56" t="s">
        <v>805</v>
      </c>
      <c r="B29" s="56" t="s">
        <v>266</v>
      </c>
      <c r="C29" s="55" t="s">
        <v>739</v>
      </c>
      <c r="D29" s="56" t="s">
        <v>806</v>
      </c>
      <c r="E29" s="55" t="s">
        <v>804</v>
      </c>
      <c r="F29" s="25" t="s">
        <v>75</v>
      </c>
      <c r="G29" s="55" t="s">
        <v>265</v>
      </c>
      <c r="H29" s="56" t="s">
        <v>742</v>
      </c>
      <c r="I29" s="56" t="s">
        <v>55</v>
      </c>
      <c r="J29" s="56" t="s">
        <v>279</v>
      </c>
      <c r="K29" s="55" t="str">
        <f aca="false">INDEX('4D Schedule'!$C$6:$C$156,MATCH($J29,'4D Schedule'!$A$6:$A$156,0))</f>
        <v>Piles Row D (P23–P34)</v>
      </c>
      <c r="L29" s="61" t="n">
        <f aca="false">INDEX('4D Schedule'!$AE$6:$AE$156,MATCH($J29,'4D Schedule'!$A$6:$A$156,0))</f>
        <v>46024</v>
      </c>
      <c r="M29" s="61" t="n">
        <f aca="false">INDEX('4D Schedule'!$AF$6:$AF$156,MATCH($J29,'4D Schedule'!$A$6:$A$156,0))</f>
        <v>46030</v>
      </c>
      <c r="N29" s="56" t="str">
        <f aca="false">INDEX('4D Schedule'!$AG$6:$AG$156,MATCH($J29,'4D Schedule'!$A$6:$A$156,0))</f>
        <v>Completed</v>
      </c>
      <c r="O29" s="55"/>
    </row>
    <row r="30" customFormat="false" ht="15" hidden="false" customHeight="false" outlineLevel="0" collapsed="false">
      <c r="A30" s="56" t="s">
        <v>807</v>
      </c>
      <c r="B30" s="56" t="s">
        <v>266</v>
      </c>
      <c r="C30" s="55" t="s">
        <v>739</v>
      </c>
      <c r="D30" s="56" t="s">
        <v>808</v>
      </c>
      <c r="E30" s="55" t="s">
        <v>809</v>
      </c>
      <c r="F30" s="25" t="s">
        <v>75</v>
      </c>
      <c r="G30" s="55" t="s">
        <v>265</v>
      </c>
      <c r="H30" s="56" t="s">
        <v>742</v>
      </c>
      <c r="I30" s="56" t="s">
        <v>55</v>
      </c>
      <c r="J30" s="56" t="s">
        <v>279</v>
      </c>
      <c r="K30" s="55" t="str">
        <f aca="false">INDEX('4D Schedule'!$C$6:$C$156,MATCH($J30,'4D Schedule'!$A$6:$A$156,0))</f>
        <v>Piles Row D (P23–P34)</v>
      </c>
      <c r="L30" s="61" t="n">
        <f aca="false">INDEX('4D Schedule'!$AE$6:$AE$156,MATCH($J30,'4D Schedule'!$A$6:$A$156,0))</f>
        <v>46024</v>
      </c>
      <c r="M30" s="61" t="n">
        <f aca="false">INDEX('4D Schedule'!$AF$6:$AF$156,MATCH($J30,'4D Schedule'!$A$6:$A$156,0))</f>
        <v>46030</v>
      </c>
      <c r="N30" s="56" t="str">
        <f aca="false">INDEX('4D Schedule'!$AG$6:$AG$156,MATCH($J30,'4D Schedule'!$A$6:$A$156,0))</f>
        <v>Completed</v>
      </c>
      <c r="O30" s="55"/>
    </row>
    <row r="31" customFormat="false" ht="15" hidden="false" customHeight="false" outlineLevel="0" collapsed="false">
      <c r="A31" s="56" t="s">
        <v>810</v>
      </c>
      <c r="B31" s="56" t="s">
        <v>266</v>
      </c>
      <c r="C31" s="55" t="s">
        <v>739</v>
      </c>
      <c r="D31" s="56" t="s">
        <v>811</v>
      </c>
      <c r="E31" s="55" t="s">
        <v>809</v>
      </c>
      <c r="F31" s="25" t="s">
        <v>75</v>
      </c>
      <c r="G31" s="55" t="s">
        <v>265</v>
      </c>
      <c r="H31" s="56" t="s">
        <v>742</v>
      </c>
      <c r="I31" s="56" t="s">
        <v>55</v>
      </c>
      <c r="J31" s="56" t="s">
        <v>279</v>
      </c>
      <c r="K31" s="55" t="str">
        <f aca="false">INDEX('4D Schedule'!$C$6:$C$156,MATCH($J31,'4D Schedule'!$A$6:$A$156,0))</f>
        <v>Piles Row D (P23–P34)</v>
      </c>
      <c r="L31" s="61" t="n">
        <f aca="false">INDEX('4D Schedule'!$AE$6:$AE$156,MATCH($J31,'4D Schedule'!$A$6:$A$156,0))</f>
        <v>46024</v>
      </c>
      <c r="M31" s="61" t="n">
        <f aca="false">INDEX('4D Schedule'!$AF$6:$AF$156,MATCH($J31,'4D Schedule'!$A$6:$A$156,0))</f>
        <v>46030</v>
      </c>
      <c r="N31" s="56" t="str">
        <f aca="false">INDEX('4D Schedule'!$AG$6:$AG$156,MATCH($J31,'4D Schedule'!$A$6:$A$156,0))</f>
        <v>Completed</v>
      </c>
      <c r="O31" s="55"/>
    </row>
    <row r="32" customFormat="false" ht="15" hidden="false" customHeight="false" outlineLevel="0" collapsed="false">
      <c r="A32" s="56" t="s">
        <v>812</v>
      </c>
      <c r="B32" s="56" t="s">
        <v>266</v>
      </c>
      <c r="C32" s="55" t="s">
        <v>739</v>
      </c>
      <c r="D32" s="56" t="s">
        <v>813</v>
      </c>
      <c r="E32" s="55" t="s">
        <v>814</v>
      </c>
      <c r="F32" s="25" t="s">
        <v>75</v>
      </c>
      <c r="G32" s="55" t="s">
        <v>265</v>
      </c>
      <c r="H32" s="56" t="s">
        <v>742</v>
      </c>
      <c r="I32" s="56" t="s">
        <v>55</v>
      </c>
      <c r="J32" s="56" t="s">
        <v>279</v>
      </c>
      <c r="K32" s="55" t="str">
        <f aca="false">INDEX('4D Schedule'!$C$6:$C$156,MATCH($J32,'4D Schedule'!$A$6:$A$156,0))</f>
        <v>Piles Row D (P23–P34)</v>
      </c>
      <c r="L32" s="61" t="n">
        <f aca="false">INDEX('4D Schedule'!$AE$6:$AE$156,MATCH($J32,'4D Schedule'!$A$6:$A$156,0))</f>
        <v>46024</v>
      </c>
      <c r="M32" s="61" t="n">
        <f aca="false">INDEX('4D Schedule'!$AF$6:$AF$156,MATCH($J32,'4D Schedule'!$A$6:$A$156,0))</f>
        <v>46030</v>
      </c>
      <c r="N32" s="56" t="str">
        <f aca="false">INDEX('4D Schedule'!$AG$6:$AG$156,MATCH($J32,'4D Schedule'!$A$6:$A$156,0))</f>
        <v>Completed</v>
      </c>
      <c r="O32" s="55"/>
    </row>
    <row r="33" customFormat="false" ht="15" hidden="false" customHeight="false" outlineLevel="0" collapsed="false">
      <c r="A33" s="56" t="s">
        <v>815</v>
      </c>
      <c r="B33" s="56" t="s">
        <v>266</v>
      </c>
      <c r="C33" s="55" t="s">
        <v>739</v>
      </c>
      <c r="D33" s="56" t="s">
        <v>816</v>
      </c>
      <c r="E33" s="55" t="s">
        <v>814</v>
      </c>
      <c r="F33" s="25" t="s">
        <v>75</v>
      </c>
      <c r="G33" s="55" t="s">
        <v>265</v>
      </c>
      <c r="H33" s="56" t="s">
        <v>742</v>
      </c>
      <c r="I33" s="56" t="s">
        <v>55</v>
      </c>
      <c r="J33" s="56" t="s">
        <v>279</v>
      </c>
      <c r="K33" s="55" t="str">
        <f aca="false">INDEX('4D Schedule'!$C$6:$C$156,MATCH($J33,'4D Schedule'!$A$6:$A$156,0))</f>
        <v>Piles Row D (P23–P34)</v>
      </c>
      <c r="L33" s="61" t="n">
        <f aca="false">INDEX('4D Schedule'!$AE$6:$AE$156,MATCH($J33,'4D Schedule'!$A$6:$A$156,0))</f>
        <v>46024</v>
      </c>
      <c r="M33" s="61" t="n">
        <f aca="false">INDEX('4D Schedule'!$AF$6:$AF$156,MATCH($J33,'4D Schedule'!$A$6:$A$156,0))</f>
        <v>46030</v>
      </c>
      <c r="N33" s="56" t="str">
        <f aca="false">INDEX('4D Schedule'!$AG$6:$AG$156,MATCH($J33,'4D Schedule'!$A$6:$A$156,0))</f>
        <v>Completed</v>
      </c>
      <c r="O33" s="55"/>
    </row>
    <row r="34" customFormat="false" ht="15" hidden="false" customHeight="false" outlineLevel="0" collapsed="false">
      <c r="A34" s="56" t="s">
        <v>817</v>
      </c>
      <c r="B34" s="56" t="s">
        <v>266</v>
      </c>
      <c r="C34" s="55" t="s">
        <v>739</v>
      </c>
      <c r="D34" s="56" t="s">
        <v>818</v>
      </c>
      <c r="E34" s="55" t="s">
        <v>819</v>
      </c>
      <c r="F34" s="25" t="s">
        <v>77</v>
      </c>
      <c r="G34" s="55" t="s">
        <v>265</v>
      </c>
      <c r="H34" s="56" t="s">
        <v>742</v>
      </c>
      <c r="I34" s="56" t="s">
        <v>55</v>
      </c>
      <c r="J34" s="56" t="s">
        <v>279</v>
      </c>
      <c r="K34" s="55" t="str">
        <f aca="false">INDEX('4D Schedule'!$C$6:$C$156,MATCH($J34,'4D Schedule'!$A$6:$A$156,0))</f>
        <v>Piles Row D (P23–P34)</v>
      </c>
      <c r="L34" s="61" t="n">
        <f aca="false">INDEX('4D Schedule'!$AE$6:$AE$156,MATCH($J34,'4D Schedule'!$A$6:$A$156,0))</f>
        <v>46024</v>
      </c>
      <c r="M34" s="61" t="n">
        <f aca="false">INDEX('4D Schedule'!$AF$6:$AF$156,MATCH($J34,'4D Schedule'!$A$6:$A$156,0))</f>
        <v>46030</v>
      </c>
      <c r="N34" s="56" t="str">
        <f aca="false">INDEX('4D Schedule'!$AG$6:$AG$156,MATCH($J34,'4D Schedule'!$A$6:$A$156,0))</f>
        <v>Completed</v>
      </c>
      <c r="O34" s="55"/>
    </row>
    <row r="35" customFormat="false" ht="15" hidden="false" customHeight="false" outlineLevel="0" collapsed="false">
      <c r="A35" s="56" t="s">
        <v>820</v>
      </c>
      <c r="B35" s="56" t="s">
        <v>266</v>
      </c>
      <c r="C35" s="55" t="s">
        <v>739</v>
      </c>
      <c r="D35" s="56" t="s">
        <v>821</v>
      </c>
      <c r="E35" s="55" t="s">
        <v>819</v>
      </c>
      <c r="F35" s="25" t="s">
        <v>77</v>
      </c>
      <c r="G35" s="55" t="s">
        <v>265</v>
      </c>
      <c r="H35" s="56" t="s">
        <v>742</v>
      </c>
      <c r="I35" s="56" t="s">
        <v>55</v>
      </c>
      <c r="J35" s="56" t="s">
        <v>279</v>
      </c>
      <c r="K35" s="55" t="str">
        <f aca="false">INDEX('4D Schedule'!$C$6:$C$156,MATCH($J35,'4D Schedule'!$A$6:$A$156,0))</f>
        <v>Piles Row D (P23–P34)</v>
      </c>
      <c r="L35" s="61" t="n">
        <f aca="false">INDEX('4D Schedule'!$AE$6:$AE$156,MATCH($J35,'4D Schedule'!$A$6:$A$156,0))</f>
        <v>46024</v>
      </c>
      <c r="M35" s="61" t="n">
        <f aca="false">INDEX('4D Schedule'!$AF$6:$AF$156,MATCH($J35,'4D Schedule'!$A$6:$A$156,0))</f>
        <v>46030</v>
      </c>
      <c r="N35" s="56" t="str">
        <f aca="false">INDEX('4D Schedule'!$AG$6:$AG$156,MATCH($J35,'4D Schedule'!$A$6:$A$156,0))</f>
        <v>Completed</v>
      </c>
      <c r="O35" s="55"/>
    </row>
    <row r="36" customFormat="false" ht="15" hidden="false" customHeight="false" outlineLevel="0" collapsed="false">
      <c r="A36" s="56" t="s">
        <v>822</v>
      </c>
      <c r="B36" s="56" t="s">
        <v>266</v>
      </c>
      <c r="C36" s="55" t="s">
        <v>739</v>
      </c>
      <c r="D36" s="56" t="s">
        <v>823</v>
      </c>
      <c r="E36" s="55" t="s">
        <v>824</v>
      </c>
      <c r="F36" s="25" t="s">
        <v>77</v>
      </c>
      <c r="G36" s="55" t="s">
        <v>265</v>
      </c>
      <c r="H36" s="56" t="s">
        <v>742</v>
      </c>
      <c r="I36" s="56" t="s">
        <v>55</v>
      </c>
      <c r="J36" s="56" t="s">
        <v>279</v>
      </c>
      <c r="K36" s="55" t="str">
        <f aca="false">INDEX('4D Schedule'!$C$6:$C$156,MATCH($J36,'4D Schedule'!$A$6:$A$156,0))</f>
        <v>Piles Row D (P23–P34)</v>
      </c>
      <c r="L36" s="61" t="n">
        <f aca="false">INDEX('4D Schedule'!$AE$6:$AE$156,MATCH($J36,'4D Schedule'!$A$6:$A$156,0))</f>
        <v>46024</v>
      </c>
      <c r="M36" s="61" t="n">
        <f aca="false">INDEX('4D Schedule'!$AF$6:$AF$156,MATCH($J36,'4D Schedule'!$A$6:$A$156,0))</f>
        <v>46030</v>
      </c>
      <c r="N36" s="56" t="str">
        <f aca="false">INDEX('4D Schedule'!$AG$6:$AG$156,MATCH($J36,'4D Schedule'!$A$6:$A$156,0))</f>
        <v>Completed</v>
      </c>
      <c r="O36" s="55"/>
    </row>
    <row r="37" customFormat="false" ht="15" hidden="false" customHeight="false" outlineLevel="0" collapsed="false">
      <c r="A37" s="56" t="s">
        <v>825</v>
      </c>
      <c r="B37" s="56" t="s">
        <v>266</v>
      </c>
      <c r="C37" s="55" t="s">
        <v>739</v>
      </c>
      <c r="D37" s="56" t="s">
        <v>826</v>
      </c>
      <c r="E37" s="55" t="s">
        <v>824</v>
      </c>
      <c r="F37" s="25" t="s">
        <v>77</v>
      </c>
      <c r="G37" s="55" t="s">
        <v>265</v>
      </c>
      <c r="H37" s="56" t="s">
        <v>742</v>
      </c>
      <c r="I37" s="56" t="s">
        <v>55</v>
      </c>
      <c r="J37" s="56" t="s">
        <v>279</v>
      </c>
      <c r="K37" s="55" t="str">
        <f aca="false">INDEX('4D Schedule'!$C$6:$C$156,MATCH($J37,'4D Schedule'!$A$6:$A$156,0))</f>
        <v>Piles Row D (P23–P34)</v>
      </c>
      <c r="L37" s="61" t="n">
        <f aca="false">INDEX('4D Schedule'!$AE$6:$AE$156,MATCH($J37,'4D Schedule'!$A$6:$A$156,0))</f>
        <v>46024</v>
      </c>
      <c r="M37" s="61" t="n">
        <f aca="false">INDEX('4D Schedule'!$AF$6:$AF$156,MATCH($J37,'4D Schedule'!$A$6:$A$156,0))</f>
        <v>46030</v>
      </c>
      <c r="N37" s="56" t="str">
        <f aca="false">INDEX('4D Schedule'!$AG$6:$AG$156,MATCH($J37,'4D Schedule'!$A$6:$A$156,0))</f>
        <v>Completed</v>
      </c>
      <c r="O37" s="55"/>
    </row>
    <row r="38" customFormat="false" ht="15" hidden="false" customHeight="false" outlineLevel="0" collapsed="false">
      <c r="A38" s="56" t="s">
        <v>827</v>
      </c>
      <c r="B38" s="56" t="s">
        <v>266</v>
      </c>
      <c r="C38" s="55" t="s">
        <v>739</v>
      </c>
      <c r="D38" s="56" t="s">
        <v>828</v>
      </c>
      <c r="E38" s="55" t="s">
        <v>829</v>
      </c>
      <c r="F38" s="25" t="s">
        <v>79</v>
      </c>
      <c r="G38" s="55" t="s">
        <v>265</v>
      </c>
      <c r="H38" s="56" t="s">
        <v>742</v>
      </c>
      <c r="I38" s="56" t="s">
        <v>55</v>
      </c>
      <c r="J38" s="56" t="s">
        <v>279</v>
      </c>
      <c r="K38" s="55" t="str">
        <f aca="false">INDEX('4D Schedule'!$C$6:$C$156,MATCH($J38,'4D Schedule'!$A$6:$A$156,0))</f>
        <v>Piles Row D (P23–P34)</v>
      </c>
      <c r="L38" s="61" t="n">
        <f aca="false">INDEX('4D Schedule'!$AE$6:$AE$156,MATCH($J38,'4D Schedule'!$A$6:$A$156,0))</f>
        <v>46024</v>
      </c>
      <c r="M38" s="61" t="n">
        <f aca="false">INDEX('4D Schedule'!$AF$6:$AF$156,MATCH($J38,'4D Schedule'!$A$6:$A$156,0))</f>
        <v>46030</v>
      </c>
      <c r="N38" s="56" t="str">
        <f aca="false">INDEX('4D Schedule'!$AG$6:$AG$156,MATCH($J38,'4D Schedule'!$A$6:$A$156,0))</f>
        <v>Completed</v>
      </c>
      <c r="O38" s="55"/>
    </row>
    <row r="39" customFormat="false" ht="15" hidden="false" customHeight="false" outlineLevel="0" collapsed="false">
      <c r="A39" s="56" t="s">
        <v>830</v>
      </c>
      <c r="B39" s="56" t="s">
        <v>266</v>
      </c>
      <c r="C39" s="55" t="s">
        <v>739</v>
      </c>
      <c r="D39" s="56" t="s">
        <v>831</v>
      </c>
      <c r="E39" s="55" t="s">
        <v>829</v>
      </c>
      <c r="F39" s="25" t="s">
        <v>79</v>
      </c>
      <c r="G39" s="55" t="s">
        <v>265</v>
      </c>
      <c r="H39" s="56" t="s">
        <v>742</v>
      </c>
      <c r="I39" s="56" t="s">
        <v>55</v>
      </c>
      <c r="J39" s="56" t="s">
        <v>279</v>
      </c>
      <c r="K39" s="55" t="str">
        <f aca="false">INDEX('4D Schedule'!$C$6:$C$156,MATCH($J39,'4D Schedule'!$A$6:$A$156,0))</f>
        <v>Piles Row D (P23–P34)</v>
      </c>
      <c r="L39" s="61" t="n">
        <f aca="false">INDEX('4D Schedule'!$AE$6:$AE$156,MATCH($J39,'4D Schedule'!$A$6:$A$156,0))</f>
        <v>46024</v>
      </c>
      <c r="M39" s="61" t="n">
        <f aca="false">INDEX('4D Schedule'!$AF$6:$AF$156,MATCH($J39,'4D Schedule'!$A$6:$A$156,0))</f>
        <v>46030</v>
      </c>
      <c r="N39" s="56" t="str">
        <f aca="false">INDEX('4D Schedule'!$AG$6:$AG$156,MATCH($J39,'4D Schedule'!$A$6:$A$156,0))</f>
        <v>Completed</v>
      </c>
      <c r="O39" s="55"/>
    </row>
    <row r="40" customFormat="false" ht="15" hidden="false" customHeight="false" outlineLevel="0" collapsed="false">
      <c r="A40" s="56" t="s">
        <v>832</v>
      </c>
      <c r="B40" s="56" t="s">
        <v>266</v>
      </c>
      <c r="C40" s="55" t="s">
        <v>739</v>
      </c>
      <c r="D40" s="56" t="s">
        <v>833</v>
      </c>
      <c r="E40" s="55" t="s">
        <v>834</v>
      </c>
      <c r="F40" s="25" t="s">
        <v>79</v>
      </c>
      <c r="G40" s="55" t="s">
        <v>265</v>
      </c>
      <c r="H40" s="56" t="s">
        <v>742</v>
      </c>
      <c r="I40" s="56" t="s">
        <v>55</v>
      </c>
      <c r="J40" s="56" t="s">
        <v>284</v>
      </c>
      <c r="K40" s="55" t="str">
        <f aca="false">INDEX('4D Schedule'!$C$6:$C$156,MATCH($J40,'4D Schedule'!$A$6:$A$156,0))</f>
        <v>Piles Rows D.1 &amp; D.2 (P35–P41)</v>
      </c>
      <c r="L40" s="61" t="n">
        <f aca="false">INDEX('4D Schedule'!$AE$6:$AE$156,MATCH($J40,'4D Schedule'!$A$6:$A$156,0))</f>
        <v>46031</v>
      </c>
      <c r="M40" s="61" t="n">
        <f aca="false">INDEX('4D Schedule'!$AF$6:$AF$156,MATCH($J40,'4D Schedule'!$A$6:$A$156,0))</f>
        <v>46035</v>
      </c>
      <c r="N40" s="56" t="str">
        <f aca="false">INDEX('4D Schedule'!$AG$6:$AG$156,MATCH($J40,'4D Schedule'!$A$6:$A$156,0))</f>
        <v>Completed</v>
      </c>
      <c r="O40" s="55"/>
    </row>
    <row r="41" customFormat="false" ht="15" hidden="false" customHeight="false" outlineLevel="0" collapsed="false">
      <c r="A41" s="56" t="s">
        <v>835</v>
      </c>
      <c r="B41" s="56" t="s">
        <v>266</v>
      </c>
      <c r="C41" s="55" t="s">
        <v>739</v>
      </c>
      <c r="D41" s="56" t="s">
        <v>836</v>
      </c>
      <c r="E41" s="55" t="s">
        <v>834</v>
      </c>
      <c r="F41" s="25" t="s">
        <v>79</v>
      </c>
      <c r="G41" s="55" t="s">
        <v>265</v>
      </c>
      <c r="H41" s="56" t="s">
        <v>742</v>
      </c>
      <c r="I41" s="56" t="s">
        <v>55</v>
      </c>
      <c r="J41" s="56" t="s">
        <v>284</v>
      </c>
      <c r="K41" s="55" t="str">
        <f aca="false">INDEX('4D Schedule'!$C$6:$C$156,MATCH($J41,'4D Schedule'!$A$6:$A$156,0))</f>
        <v>Piles Rows D.1 &amp; D.2 (P35–P41)</v>
      </c>
      <c r="L41" s="61" t="n">
        <f aca="false">INDEX('4D Schedule'!$AE$6:$AE$156,MATCH($J41,'4D Schedule'!$A$6:$A$156,0))</f>
        <v>46031</v>
      </c>
      <c r="M41" s="61" t="n">
        <f aca="false">INDEX('4D Schedule'!$AF$6:$AF$156,MATCH($J41,'4D Schedule'!$A$6:$A$156,0))</f>
        <v>46035</v>
      </c>
      <c r="N41" s="56" t="str">
        <f aca="false">INDEX('4D Schedule'!$AG$6:$AG$156,MATCH($J41,'4D Schedule'!$A$6:$A$156,0))</f>
        <v>Completed</v>
      </c>
      <c r="O41" s="55"/>
    </row>
    <row r="42" customFormat="false" ht="15" hidden="false" customHeight="false" outlineLevel="0" collapsed="false">
      <c r="A42" s="56" t="s">
        <v>837</v>
      </c>
      <c r="B42" s="56" t="s">
        <v>266</v>
      </c>
      <c r="C42" s="55" t="s">
        <v>739</v>
      </c>
      <c r="D42" s="56" t="s">
        <v>838</v>
      </c>
      <c r="E42" s="55" t="s">
        <v>839</v>
      </c>
      <c r="F42" s="25" t="s">
        <v>79</v>
      </c>
      <c r="G42" s="55" t="s">
        <v>265</v>
      </c>
      <c r="H42" s="56" t="s">
        <v>742</v>
      </c>
      <c r="I42" s="56" t="s">
        <v>55</v>
      </c>
      <c r="J42" s="56" t="s">
        <v>284</v>
      </c>
      <c r="K42" s="55" t="str">
        <f aca="false">INDEX('4D Schedule'!$C$6:$C$156,MATCH($J42,'4D Schedule'!$A$6:$A$156,0))</f>
        <v>Piles Rows D.1 &amp; D.2 (P35–P41)</v>
      </c>
      <c r="L42" s="61" t="n">
        <f aca="false">INDEX('4D Schedule'!$AE$6:$AE$156,MATCH($J42,'4D Schedule'!$A$6:$A$156,0))</f>
        <v>46031</v>
      </c>
      <c r="M42" s="61" t="n">
        <f aca="false">INDEX('4D Schedule'!$AF$6:$AF$156,MATCH($J42,'4D Schedule'!$A$6:$A$156,0))</f>
        <v>46035</v>
      </c>
      <c r="N42" s="56" t="str">
        <f aca="false">INDEX('4D Schedule'!$AG$6:$AG$156,MATCH($J42,'4D Schedule'!$A$6:$A$156,0))</f>
        <v>Completed</v>
      </c>
      <c r="O42" s="55"/>
    </row>
    <row r="43" customFormat="false" ht="15" hidden="false" customHeight="false" outlineLevel="0" collapsed="false">
      <c r="A43" s="56" t="s">
        <v>840</v>
      </c>
      <c r="B43" s="56" t="s">
        <v>266</v>
      </c>
      <c r="C43" s="55" t="s">
        <v>739</v>
      </c>
      <c r="D43" s="56" t="s">
        <v>841</v>
      </c>
      <c r="E43" s="55" t="s">
        <v>842</v>
      </c>
      <c r="F43" s="25" t="s">
        <v>75</v>
      </c>
      <c r="G43" s="55" t="s">
        <v>265</v>
      </c>
      <c r="H43" s="56" t="s">
        <v>742</v>
      </c>
      <c r="I43" s="56" t="s">
        <v>55</v>
      </c>
      <c r="J43" s="56" t="s">
        <v>284</v>
      </c>
      <c r="K43" s="55" t="str">
        <f aca="false">INDEX('4D Schedule'!$C$6:$C$156,MATCH($J43,'4D Schedule'!$A$6:$A$156,0))</f>
        <v>Piles Rows D.1 &amp; D.2 (P35–P41)</v>
      </c>
      <c r="L43" s="61" t="n">
        <f aca="false">INDEX('4D Schedule'!$AE$6:$AE$156,MATCH($J43,'4D Schedule'!$A$6:$A$156,0))</f>
        <v>46031</v>
      </c>
      <c r="M43" s="61" t="n">
        <f aca="false">INDEX('4D Schedule'!$AF$6:$AF$156,MATCH($J43,'4D Schedule'!$A$6:$A$156,0))</f>
        <v>46035</v>
      </c>
      <c r="N43" s="56" t="str">
        <f aca="false">INDEX('4D Schedule'!$AG$6:$AG$156,MATCH($J43,'4D Schedule'!$A$6:$A$156,0))</f>
        <v>Completed</v>
      </c>
      <c r="O43" s="55"/>
    </row>
    <row r="44" customFormat="false" ht="15" hidden="false" customHeight="false" outlineLevel="0" collapsed="false">
      <c r="A44" s="56" t="s">
        <v>843</v>
      </c>
      <c r="B44" s="56" t="s">
        <v>266</v>
      </c>
      <c r="C44" s="55" t="s">
        <v>739</v>
      </c>
      <c r="D44" s="56" t="s">
        <v>844</v>
      </c>
      <c r="E44" s="55" t="s">
        <v>842</v>
      </c>
      <c r="F44" s="25" t="s">
        <v>75</v>
      </c>
      <c r="G44" s="55" t="s">
        <v>265</v>
      </c>
      <c r="H44" s="56" t="s">
        <v>742</v>
      </c>
      <c r="I44" s="56" t="s">
        <v>55</v>
      </c>
      <c r="J44" s="56" t="s">
        <v>284</v>
      </c>
      <c r="K44" s="55" t="str">
        <f aca="false">INDEX('4D Schedule'!$C$6:$C$156,MATCH($J44,'4D Schedule'!$A$6:$A$156,0))</f>
        <v>Piles Rows D.1 &amp; D.2 (P35–P41)</v>
      </c>
      <c r="L44" s="61" t="n">
        <f aca="false">INDEX('4D Schedule'!$AE$6:$AE$156,MATCH($J44,'4D Schedule'!$A$6:$A$156,0))</f>
        <v>46031</v>
      </c>
      <c r="M44" s="61" t="n">
        <f aca="false">INDEX('4D Schedule'!$AF$6:$AF$156,MATCH($J44,'4D Schedule'!$A$6:$A$156,0))</f>
        <v>46035</v>
      </c>
      <c r="N44" s="56" t="str">
        <f aca="false">INDEX('4D Schedule'!$AG$6:$AG$156,MATCH($J44,'4D Schedule'!$A$6:$A$156,0))</f>
        <v>Completed</v>
      </c>
      <c r="O44" s="55"/>
    </row>
    <row r="45" customFormat="false" ht="15" hidden="false" customHeight="false" outlineLevel="0" collapsed="false">
      <c r="A45" s="56" t="s">
        <v>845</v>
      </c>
      <c r="B45" s="56" t="s">
        <v>266</v>
      </c>
      <c r="C45" s="55" t="s">
        <v>739</v>
      </c>
      <c r="D45" s="56" t="s">
        <v>846</v>
      </c>
      <c r="E45" s="55" t="s">
        <v>847</v>
      </c>
      <c r="F45" s="25" t="s">
        <v>75</v>
      </c>
      <c r="G45" s="55" t="s">
        <v>265</v>
      </c>
      <c r="H45" s="56" t="s">
        <v>742</v>
      </c>
      <c r="I45" s="56" t="s">
        <v>55</v>
      </c>
      <c r="J45" s="56" t="s">
        <v>284</v>
      </c>
      <c r="K45" s="55" t="str">
        <f aca="false">INDEX('4D Schedule'!$C$6:$C$156,MATCH($J45,'4D Schedule'!$A$6:$A$156,0))</f>
        <v>Piles Rows D.1 &amp; D.2 (P35–P41)</v>
      </c>
      <c r="L45" s="61" t="n">
        <f aca="false">INDEX('4D Schedule'!$AE$6:$AE$156,MATCH($J45,'4D Schedule'!$A$6:$A$156,0))</f>
        <v>46031</v>
      </c>
      <c r="M45" s="61" t="n">
        <f aca="false">INDEX('4D Schedule'!$AF$6:$AF$156,MATCH($J45,'4D Schedule'!$A$6:$A$156,0))</f>
        <v>46035</v>
      </c>
      <c r="N45" s="56" t="str">
        <f aca="false">INDEX('4D Schedule'!$AG$6:$AG$156,MATCH($J45,'4D Schedule'!$A$6:$A$156,0))</f>
        <v>Completed</v>
      </c>
      <c r="O45" s="55"/>
    </row>
    <row r="46" customFormat="false" ht="15" hidden="false" customHeight="false" outlineLevel="0" collapsed="false">
      <c r="A46" s="56" t="s">
        <v>848</v>
      </c>
      <c r="B46" s="56" t="s">
        <v>266</v>
      </c>
      <c r="C46" s="55" t="s">
        <v>739</v>
      </c>
      <c r="D46" s="56" t="s">
        <v>849</v>
      </c>
      <c r="E46" s="55" t="s">
        <v>847</v>
      </c>
      <c r="F46" s="25" t="s">
        <v>75</v>
      </c>
      <c r="G46" s="55" t="s">
        <v>265</v>
      </c>
      <c r="H46" s="56" t="s">
        <v>742</v>
      </c>
      <c r="I46" s="56" t="s">
        <v>55</v>
      </c>
      <c r="J46" s="56" t="s">
        <v>284</v>
      </c>
      <c r="K46" s="55" t="str">
        <f aca="false">INDEX('4D Schedule'!$C$6:$C$156,MATCH($J46,'4D Schedule'!$A$6:$A$156,0))</f>
        <v>Piles Rows D.1 &amp; D.2 (P35–P41)</v>
      </c>
      <c r="L46" s="61" t="n">
        <f aca="false">INDEX('4D Schedule'!$AE$6:$AE$156,MATCH($J46,'4D Schedule'!$A$6:$A$156,0))</f>
        <v>46031</v>
      </c>
      <c r="M46" s="61" t="n">
        <f aca="false">INDEX('4D Schedule'!$AF$6:$AF$156,MATCH($J46,'4D Schedule'!$A$6:$A$156,0))</f>
        <v>46035</v>
      </c>
      <c r="N46" s="56" t="str">
        <f aca="false">INDEX('4D Schedule'!$AG$6:$AG$156,MATCH($J46,'4D Schedule'!$A$6:$A$156,0))</f>
        <v>Completed</v>
      </c>
      <c r="O46" s="55"/>
    </row>
    <row r="47" customFormat="false" ht="15" hidden="false" customHeight="false" outlineLevel="0" collapsed="false">
      <c r="A47" s="56" t="s">
        <v>850</v>
      </c>
      <c r="B47" s="56" t="s">
        <v>266</v>
      </c>
      <c r="C47" s="55" t="s">
        <v>739</v>
      </c>
      <c r="D47" s="56" t="s">
        <v>851</v>
      </c>
      <c r="E47" s="55" t="s">
        <v>852</v>
      </c>
      <c r="F47" s="25" t="s">
        <v>75</v>
      </c>
      <c r="G47" s="55" t="s">
        <v>265</v>
      </c>
      <c r="H47" s="56" t="s">
        <v>742</v>
      </c>
      <c r="I47" s="56" t="s">
        <v>55</v>
      </c>
      <c r="J47" s="56" t="s">
        <v>289</v>
      </c>
      <c r="K47" s="55" t="str">
        <f aca="false">INDEX('4D Schedule'!$C$6:$C$156,MATCH($J47,'4D Schedule'!$A$6:$A$156,0))</f>
        <v>Piles Row E (P42–P53)</v>
      </c>
      <c r="L47" s="61" t="n">
        <f aca="false">INDEX('4D Schedule'!$AE$6:$AE$156,MATCH($J47,'4D Schedule'!$A$6:$A$156,0))</f>
        <v>46036</v>
      </c>
      <c r="M47" s="61" t="n">
        <f aca="false">INDEX('4D Schedule'!$AF$6:$AF$156,MATCH($J47,'4D Schedule'!$A$6:$A$156,0))</f>
        <v>46041</v>
      </c>
      <c r="N47" s="56" t="str">
        <f aca="false">INDEX('4D Schedule'!$AG$6:$AG$156,MATCH($J47,'4D Schedule'!$A$6:$A$156,0))</f>
        <v>Completed</v>
      </c>
      <c r="O47" s="55"/>
    </row>
    <row r="48" customFormat="false" ht="15" hidden="false" customHeight="false" outlineLevel="0" collapsed="false">
      <c r="A48" s="56" t="s">
        <v>853</v>
      </c>
      <c r="B48" s="56" t="s">
        <v>266</v>
      </c>
      <c r="C48" s="55" t="s">
        <v>739</v>
      </c>
      <c r="D48" s="56" t="s">
        <v>854</v>
      </c>
      <c r="E48" s="55" t="s">
        <v>855</v>
      </c>
      <c r="F48" s="25" t="s">
        <v>75</v>
      </c>
      <c r="G48" s="55" t="s">
        <v>265</v>
      </c>
      <c r="H48" s="56" t="s">
        <v>742</v>
      </c>
      <c r="I48" s="56" t="s">
        <v>55</v>
      </c>
      <c r="J48" s="56" t="s">
        <v>289</v>
      </c>
      <c r="K48" s="55" t="str">
        <f aca="false">INDEX('4D Schedule'!$C$6:$C$156,MATCH($J48,'4D Schedule'!$A$6:$A$156,0))</f>
        <v>Piles Row E (P42–P53)</v>
      </c>
      <c r="L48" s="61" t="n">
        <f aca="false">INDEX('4D Schedule'!$AE$6:$AE$156,MATCH($J48,'4D Schedule'!$A$6:$A$156,0))</f>
        <v>46036</v>
      </c>
      <c r="M48" s="61" t="n">
        <f aca="false">INDEX('4D Schedule'!$AF$6:$AF$156,MATCH($J48,'4D Schedule'!$A$6:$A$156,0))</f>
        <v>46041</v>
      </c>
      <c r="N48" s="56" t="str">
        <f aca="false">INDEX('4D Schedule'!$AG$6:$AG$156,MATCH($J48,'4D Schedule'!$A$6:$A$156,0))</f>
        <v>Completed</v>
      </c>
      <c r="O48" s="55"/>
    </row>
    <row r="49" customFormat="false" ht="15" hidden="false" customHeight="false" outlineLevel="0" collapsed="false">
      <c r="A49" s="56" t="s">
        <v>856</v>
      </c>
      <c r="B49" s="56" t="s">
        <v>266</v>
      </c>
      <c r="C49" s="55" t="s">
        <v>739</v>
      </c>
      <c r="D49" s="56" t="s">
        <v>857</v>
      </c>
      <c r="E49" s="55" t="s">
        <v>855</v>
      </c>
      <c r="F49" s="25" t="s">
        <v>75</v>
      </c>
      <c r="G49" s="55" t="s">
        <v>265</v>
      </c>
      <c r="H49" s="56" t="s">
        <v>742</v>
      </c>
      <c r="I49" s="56" t="s">
        <v>55</v>
      </c>
      <c r="J49" s="56" t="s">
        <v>289</v>
      </c>
      <c r="K49" s="55" t="str">
        <f aca="false">INDEX('4D Schedule'!$C$6:$C$156,MATCH($J49,'4D Schedule'!$A$6:$A$156,0))</f>
        <v>Piles Row E (P42–P53)</v>
      </c>
      <c r="L49" s="61" t="n">
        <f aca="false">INDEX('4D Schedule'!$AE$6:$AE$156,MATCH($J49,'4D Schedule'!$A$6:$A$156,0))</f>
        <v>46036</v>
      </c>
      <c r="M49" s="61" t="n">
        <f aca="false">INDEX('4D Schedule'!$AF$6:$AF$156,MATCH($J49,'4D Schedule'!$A$6:$A$156,0))</f>
        <v>46041</v>
      </c>
      <c r="N49" s="56" t="str">
        <f aca="false">INDEX('4D Schedule'!$AG$6:$AG$156,MATCH($J49,'4D Schedule'!$A$6:$A$156,0))</f>
        <v>Completed</v>
      </c>
      <c r="O49" s="55"/>
    </row>
    <row r="50" customFormat="false" ht="15" hidden="false" customHeight="false" outlineLevel="0" collapsed="false">
      <c r="A50" s="56" t="s">
        <v>858</v>
      </c>
      <c r="B50" s="56" t="s">
        <v>266</v>
      </c>
      <c r="C50" s="55" t="s">
        <v>739</v>
      </c>
      <c r="D50" s="56" t="s">
        <v>859</v>
      </c>
      <c r="E50" s="55" t="s">
        <v>860</v>
      </c>
      <c r="F50" s="25" t="s">
        <v>75</v>
      </c>
      <c r="G50" s="55" t="s">
        <v>265</v>
      </c>
      <c r="H50" s="56" t="s">
        <v>742</v>
      </c>
      <c r="I50" s="56" t="s">
        <v>55</v>
      </c>
      <c r="J50" s="56" t="s">
        <v>289</v>
      </c>
      <c r="K50" s="55" t="str">
        <f aca="false">INDEX('4D Schedule'!$C$6:$C$156,MATCH($J50,'4D Schedule'!$A$6:$A$156,0))</f>
        <v>Piles Row E (P42–P53)</v>
      </c>
      <c r="L50" s="61" t="n">
        <f aca="false">INDEX('4D Schedule'!$AE$6:$AE$156,MATCH($J50,'4D Schedule'!$A$6:$A$156,0))</f>
        <v>46036</v>
      </c>
      <c r="M50" s="61" t="n">
        <f aca="false">INDEX('4D Schedule'!$AF$6:$AF$156,MATCH($J50,'4D Schedule'!$A$6:$A$156,0))</f>
        <v>46041</v>
      </c>
      <c r="N50" s="56" t="str">
        <f aca="false">INDEX('4D Schedule'!$AG$6:$AG$156,MATCH($J50,'4D Schedule'!$A$6:$A$156,0))</f>
        <v>Completed</v>
      </c>
      <c r="O50" s="55"/>
    </row>
    <row r="51" customFormat="false" ht="15" hidden="false" customHeight="false" outlineLevel="0" collapsed="false">
      <c r="A51" s="56" t="s">
        <v>861</v>
      </c>
      <c r="B51" s="56" t="s">
        <v>266</v>
      </c>
      <c r="C51" s="55" t="s">
        <v>739</v>
      </c>
      <c r="D51" s="56" t="s">
        <v>862</v>
      </c>
      <c r="E51" s="55" t="s">
        <v>860</v>
      </c>
      <c r="F51" s="25" t="s">
        <v>75</v>
      </c>
      <c r="G51" s="55" t="s">
        <v>265</v>
      </c>
      <c r="H51" s="56" t="s">
        <v>742</v>
      </c>
      <c r="I51" s="56" t="s">
        <v>55</v>
      </c>
      <c r="J51" s="56" t="s">
        <v>289</v>
      </c>
      <c r="K51" s="55" t="str">
        <f aca="false">INDEX('4D Schedule'!$C$6:$C$156,MATCH($J51,'4D Schedule'!$A$6:$A$156,0))</f>
        <v>Piles Row E (P42–P53)</v>
      </c>
      <c r="L51" s="61" t="n">
        <f aca="false">INDEX('4D Schedule'!$AE$6:$AE$156,MATCH($J51,'4D Schedule'!$A$6:$A$156,0))</f>
        <v>46036</v>
      </c>
      <c r="M51" s="61" t="n">
        <f aca="false">INDEX('4D Schedule'!$AF$6:$AF$156,MATCH($J51,'4D Schedule'!$A$6:$A$156,0))</f>
        <v>46041</v>
      </c>
      <c r="N51" s="56" t="str">
        <f aca="false">INDEX('4D Schedule'!$AG$6:$AG$156,MATCH($J51,'4D Schedule'!$A$6:$A$156,0))</f>
        <v>Completed</v>
      </c>
      <c r="O51" s="55"/>
    </row>
    <row r="52" customFormat="false" ht="15" hidden="false" customHeight="false" outlineLevel="0" collapsed="false">
      <c r="A52" s="56" t="s">
        <v>863</v>
      </c>
      <c r="B52" s="56" t="s">
        <v>266</v>
      </c>
      <c r="C52" s="55" t="s">
        <v>739</v>
      </c>
      <c r="D52" s="56" t="s">
        <v>864</v>
      </c>
      <c r="E52" s="55" t="s">
        <v>865</v>
      </c>
      <c r="F52" s="25" t="s">
        <v>77</v>
      </c>
      <c r="G52" s="55" t="s">
        <v>265</v>
      </c>
      <c r="H52" s="56" t="s">
        <v>742</v>
      </c>
      <c r="I52" s="56" t="s">
        <v>55</v>
      </c>
      <c r="J52" s="56" t="s">
        <v>289</v>
      </c>
      <c r="K52" s="55" t="str">
        <f aca="false">INDEX('4D Schedule'!$C$6:$C$156,MATCH($J52,'4D Schedule'!$A$6:$A$156,0))</f>
        <v>Piles Row E (P42–P53)</v>
      </c>
      <c r="L52" s="61" t="n">
        <f aca="false">INDEX('4D Schedule'!$AE$6:$AE$156,MATCH($J52,'4D Schedule'!$A$6:$A$156,0))</f>
        <v>46036</v>
      </c>
      <c r="M52" s="61" t="n">
        <f aca="false">INDEX('4D Schedule'!$AF$6:$AF$156,MATCH($J52,'4D Schedule'!$A$6:$A$156,0))</f>
        <v>46041</v>
      </c>
      <c r="N52" s="56" t="str">
        <f aca="false">INDEX('4D Schedule'!$AG$6:$AG$156,MATCH($J52,'4D Schedule'!$A$6:$A$156,0))</f>
        <v>Completed</v>
      </c>
      <c r="O52" s="55"/>
    </row>
    <row r="53" customFormat="false" ht="15" hidden="false" customHeight="false" outlineLevel="0" collapsed="false">
      <c r="A53" s="56" t="s">
        <v>866</v>
      </c>
      <c r="B53" s="56" t="s">
        <v>266</v>
      </c>
      <c r="C53" s="55" t="s">
        <v>739</v>
      </c>
      <c r="D53" s="56" t="s">
        <v>867</v>
      </c>
      <c r="E53" s="55" t="s">
        <v>865</v>
      </c>
      <c r="F53" s="25" t="s">
        <v>77</v>
      </c>
      <c r="G53" s="55" t="s">
        <v>265</v>
      </c>
      <c r="H53" s="56" t="s">
        <v>742</v>
      </c>
      <c r="I53" s="56" t="s">
        <v>55</v>
      </c>
      <c r="J53" s="56" t="s">
        <v>289</v>
      </c>
      <c r="K53" s="55" t="str">
        <f aca="false">INDEX('4D Schedule'!$C$6:$C$156,MATCH($J53,'4D Schedule'!$A$6:$A$156,0))</f>
        <v>Piles Row E (P42–P53)</v>
      </c>
      <c r="L53" s="61" t="n">
        <f aca="false">INDEX('4D Schedule'!$AE$6:$AE$156,MATCH($J53,'4D Schedule'!$A$6:$A$156,0))</f>
        <v>46036</v>
      </c>
      <c r="M53" s="61" t="n">
        <f aca="false">INDEX('4D Schedule'!$AF$6:$AF$156,MATCH($J53,'4D Schedule'!$A$6:$A$156,0))</f>
        <v>46041</v>
      </c>
      <c r="N53" s="56" t="str">
        <f aca="false">INDEX('4D Schedule'!$AG$6:$AG$156,MATCH($J53,'4D Schedule'!$A$6:$A$156,0))</f>
        <v>Completed</v>
      </c>
      <c r="O53" s="55"/>
    </row>
    <row r="54" customFormat="false" ht="15" hidden="false" customHeight="false" outlineLevel="0" collapsed="false">
      <c r="A54" s="56" t="s">
        <v>868</v>
      </c>
      <c r="B54" s="56" t="s">
        <v>266</v>
      </c>
      <c r="C54" s="55" t="s">
        <v>739</v>
      </c>
      <c r="D54" s="56" t="s">
        <v>869</v>
      </c>
      <c r="E54" s="55" t="s">
        <v>870</v>
      </c>
      <c r="F54" s="25" t="s">
        <v>77</v>
      </c>
      <c r="G54" s="55" t="s">
        <v>265</v>
      </c>
      <c r="H54" s="56" t="s">
        <v>742</v>
      </c>
      <c r="I54" s="56" t="s">
        <v>55</v>
      </c>
      <c r="J54" s="56" t="s">
        <v>289</v>
      </c>
      <c r="K54" s="55" t="str">
        <f aca="false">INDEX('4D Schedule'!$C$6:$C$156,MATCH($J54,'4D Schedule'!$A$6:$A$156,0))</f>
        <v>Piles Row E (P42–P53)</v>
      </c>
      <c r="L54" s="61" t="n">
        <f aca="false">INDEX('4D Schedule'!$AE$6:$AE$156,MATCH($J54,'4D Schedule'!$A$6:$A$156,0))</f>
        <v>46036</v>
      </c>
      <c r="M54" s="61" t="n">
        <f aca="false">INDEX('4D Schedule'!$AF$6:$AF$156,MATCH($J54,'4D Schedule'!$A$6:$A$156,0))</f>
        <v>46041</v>
      </c>
      <c r="N54" s="56" t="str">
        <f aca="false">INDEX('4D Schedule'!$AG$6:$AG$156,MATCH($J54,'4D Schedule'!$A$6:$A$156,0))</f>
        <v>Completed</v>
      </c>
      <c r="O54" s="55"/>
    </row>
    <row r="55" customFormat="false" ht="15" hidden="false" customHeight="false" outlineLevel="0" collapsed="false">
      <c r="A55" s="56" t="s">
        <v>871</v>
      </c>
      <c r="B55" s="56" t="s">
        <v>266</v>
      </c>
      <c r="C55" s="55" t="s">
        <v>739</v>
      </c>
      <c r="D55" s="56" t="s">
        <v>872</v>
      </c>
      <c r="E55" s="55" t="s">
        <v>870</v>
      </c>
      <c r="F55" s="25" t="s">
        <v>77</v>
      </c>
      <c r="G55" s="55" t="s">
        <v>265</v>
      </c>
      <c r="H55" s="56" t="s">
        <v>742</v>
      </c>
      <c r="I55" s="56" t="s">
        <v>55</v>
      </c>
      <c r="J55" s="56" t="s">
        <v>289</v>
      </c>
      <c r="K55" s="55" t="str">
        <f aca="false">INDEX('4D Schedule'!$C$6:$C$156,MATCH($J55,'4D Schedule'!$A$6:$A$156,0))</f>
        <v>Piles Row E (P42–P53)</v>
      </c>
      <c r="L55" s="61" t="n">
        <f aca="false">INDEX('4D Schedule'!$AE$6:$AE$156,MATCH($J55,'4D Schedule'!$A$6:$A$156,0))</f>
        <v>46036</v>
      </c>
      <c r="M55" s="61" t="n">
        <f aca="false">INDEX('4D Schedule'!$AF$6:$AF$156,MATCH($J55,'4D Schedule'!$A$6:$A$156,0))</f>
        <v>46041</v>
      </c>
      <c r="N55" s="56" t="str">
        <f aca="false">INDEX('4D Schedule'!$AG$6:$AG$156,MATCH($J55,'4D Schedule'!$A$6:$A$156,0))</f>
        <v>Completed</v>
      </c>
      <c r="O55" s="55"/>
    </row>
    <row r="56" customFormat="false" ht="15" hidden="false" customHeight="false" outlineLevel="0" collapsed="false">
      <c r="A56" s="56" t="s">
        <v>873</v>
      </c>
      <c r="B56" s="56" t="s">
        <v>266</v>
      </c>
      <c r="C56" s="55" t="s">
        <v>739</v>
      </c>
      <c r="D56" s="56" t="s">
        <v>874</v>
      </c>
      <c r="E56" s="55" t="s">
        <v>875</v>
      </c>
      <c r="F56" s="25" t="s">
        <v>79</v>
      </c>
      <c r="G56" s="55" t="s">
        <v>265</v>
      </c>
      <c r="H56" s="56" t="s">
        <v>742</v>
      </c>
      <c r="I56" s="56" t="s">
        <v>55</v>
      </c>
      <c r="J56" s="56" t="s">
        <v>289</v>
      </c>
      <c r="K56" s="55" t="str">
        <f aca="false">INDEX('4D Schedule'!$C$6:$C$156,MATCH($J56,'4D Schedule'!$A$6:$A$156,0))</f>
        <v>Piles Row E (P42–P53)</v>
      </c>
      <c r="L56" s="61" t="n">
        <f aca="false">INDEX('4D Schedule'!$AE$6:$AE$156,MATCH($J56,'4D Schedule'!$A$6:$A$156,0))</f>
        <v>46036</v>
      </c>
      <c r="M56" s="61" t="n">
        <f aca="false">INDEX('4D Schedule'!$AF$6:$AF$156,MATCH($J56,'4D Schedule'!$A$6:$A$156,0))</f>
        <v>46041</v>
      </c>
      <c r="N56" s="56" t="str">
        <f aca="false">INDEX('4D Schedule'!$AG$6:$AG$156,MATCH($J56,'4D Schedule'!$A$6:$A$156,0))</f>
        <v>Completed</v>
      </c>
      <c r="O56" s="55"/>
    </row>
    <row r="57" customFormat="false" ht="15" hidden="false" customHeight="false" outlineLevel="0" collapsed="false">
      <c r="A57" s="56" t="s">
        <v>876</v>
      </c>
      <c r="B57" s="56" t="s">
        <v>266</v>
      </c>
      <c r="C57" s="55" t="s">
        <v>739</v>
      </c>
      <c r="D57" s="56" t="s">
        <v>877</v>
      </c>
      <c r="E57" s="55" t="s">
        <v>875</v>
      </c>
      <c r="F57" s="25" t="s">
        <v>79</v>
      </c>
      <c r="G57" s="55" t="s">
        <v>265</v>
      </c>
      <c r="H57" s="56" t="s">
        <v>742</v>
      </c>
      <c r="I57" s="56" t="s">
        <v>55</v>
      </c>
      <c r="J57" s="56" t="s">
        <v>289</v>
      </c>
      <c r="K57" s="55" t="str">
        <f aca="false">INDEX('4D Schedule'!$C$6:$C$156,MATCH($J57,'4D Schedule'!$A$6:$A$156,0))</f>
        <v>Piles Row E (P42–P53)</v>
      </c>
      <c r="L57" s="61" t="n">
        <f aca="false">INDEX('4D Schedule'!$AE$6:$AE$156,MATCH($J57,'4D Schedule'!$A$6:$A$156,0))</f>
        <v>46036</v>
      </c>
      <c r="M57" s="61" t="n">
        <f aca="false">INDEX('4D Schedule'!$AF$6:$AF$156,MATCH($J57,'4D Schedule'!$A$6:$A$156,0))</f>
        <v>46041</v>
      </c>
      <c r="N57" s="56" t="str">
        <f aca="false">INDEX('4D Schedule'!$AG$6:$AG$156,MATCH($J57,'4D Schedule'!$A$6:$A$156,0))</f>
        <v>Completed</v>
      </c>
      <c r="O57" s="55"/>
    </row>
    <row r="58" customFormat="false" ht="15" hidden="false" customHeight="false" outlineLevel="0" collapsed="false">
      <c r="A58" s="56" t="s">
        <v>878</v>
      </c>
      <c r="B58" s="56" t="s">
        <v>266</v>
      </c>
      <c r="C58" s="55" t="s">
        <v>739</v>
      </c>
      <c r="D58" s="56" t="s">
        <v>879</v>
      </c>
      <c r="E58" s="55" t="s">
        <v>880</v>
      </c>
      <c r="F58" s="25" t="s">
        <v>79</v>
      </c>
      <c r="G58" s="55" t="s">
        <v>265</v>
      </c>
      <c r="H58" s="56" t="s">
        <v>742</v>
      </c>
      <c r="I58" s="56" t="s">
        <v>55</v>
      </c>
      <c r="J58" s="56" t="s">
        <v>289</v>
      </c>
      <c r="K58" s="55" t="str">
        <f aca="false">INDEX('4D Schedule'!$C$6:$C$156,MATCH($J58,'4D Schedule'!$A$6:$A$156,0))</f>
        <v>Piles Row E (P42–P53)</v>
      </c>
      <c r="L58" s="61" t="n">
        <f aca="false">INDEX('4D Schedule'!$AE$6:$AE$156,MATCH($J58,'4D Schedule'!$A$6:$A$156,0))</f>
        <v>46036</v>
      </c>
      <c r="M58" s="61" t="n">
        <f aca="false">INDEX('4D Schedule'!$AF$6:$AF$156,MATCH($J58,'4D Schedule'!$A$6:$A$156,0))</f>
        <v>46041</v>
      </c>
      <c r="N58" s="56" t="str">
        <f aca="false">INDEX('4D Schedule'!$AG$6:$AG$156,MATCH($J58,'4D Schedule'!$A$6:$A$156,0))</f>
        <v>Completed</v>
      </c>
      <c r="O58" s="55"/>
    </row>
    <row r="59" customFormat="false" ht="22.35" hidden="false" customHeight="false" outlineLevel="0" collapsed="false">
      <c r="A59" s="56" t="s">
        <v>881</v>
      </c>
      <c r="B59" s="56" t="s">
        <v>301</v>
      </c>
      <c r="C59" s="55" t="s">
        <v>297</v>
      </c>
      <c r="D59" s="56" t="s">
        <v>882</v>
      </c>
      <c r="E59" s="55" t="s">
        <v>299</v>
      </c>
      <c r="F59" s="25" t="s">
        <v>75</v>
      </c>
      <c r="G59" s="55" t="s">
        <v>300</v>
      </c>
      <c r="H59" s="56"/>
      <c r="I59" s="56"/>
      <c r="J59" s="56" t="s">
        <v>296</v>
      </c>
      <c r="K59" s="55" t="str">
        <f aca="false">INDEX('4D Schedule'!$C$6:$C$156,MATCH($J59,'4D Schedule'!$A$6:$A$156,0))</f>
        <v>Excavation, pile chipping &amp; PCC prep – Zone-1 (Grid 1–3)</v>
      </c>
      <c r="L59" s="61" t="n">
        <f aca="false">INDEX('4D Schedule'!$AE$6:$AE$156,MATCH($J59,'4D Schedule'!$A$6:$A$156,0))</f>
        <v>46071</v>
      </c>
      <c r="M59" s="61" t="n">
        <f aca="false">INDEX('4D Schedule'!$AF$6:$AF$156,MATCH($J59,'4D Schedule'!$A$6:$A$156,0))</f>
        <v>46088</v>
      </c>
      <c r="N59" s="56" t="str">
        <f aca="false">INDEX('4D Schedule'!$AG$6:$AG$156,MATCH($J59,'4D Schedule'!$A$6:$A$156,0))</f>
        <v>Completed</v>
      </c>
      <c r="O59" s="55" t="s">
        <v>883</v>
      </c>
    </row>
    <row r="60" customFormat="false" ht="22.35" hidden="false" customHeight="false" outlineLevel="0" collapsed="false">
      <c r="A60" s="56" t="s">
        <v>884</v>
      </c>
      <c r="B60" s="56" t="s">
        <v>301</v>
      </c>
      <c r="C60" s="55" t="s">
        <v>305</v>
      </c>
      <c r="D60" s="56" t="s">
        <v>882</v>
      </c>
      <c r="E60" s="55" t="s">
        <v>306</v>
      </c>
      <c r="F60" s="25" t="s">
        <v>77</v>
      </c>
      <c r="G60" s="55" t="s">
        <v>300</v>
      </c>
      <c r="H60" s="56"/>
      <c r="I60" s="56"/>
      <c r="J60" s="56" t="s">
        <v>304</v>
      </c>
      <c r="K60" s="55" t="str">
        <f aca="false">INDEX('4D Schedule'!$C$6:$C$156,MATCH($J60,'4D Schedule'!$A$6:$A$156,0))</f>
        <v>Excavation, pile chipping &amp; PCC prep – Zone-2 (Grid 3–5)</v>
      </c>
      <c r="L60" s="61" t="n">
        <f aca="false">INDEX('4D Schedule'!$AE$6:$AE$156,MATCH($J60,'4D Schedule'!$A$6:$A$156,0))</f>
        <v>46086</v>
      </c>
      <c r="M60" s="61" t="n">
        <f aca="false">INDEX('4D Schedule'!$AF$6:$AF$156,MATCH($J60,'4D Schedule'!$A$6:$A$156,0))</f>
        <v>46099</v>
      </c>
      <c r="N60" s="56" t="str">
        <f aca="false">INDEX('4D Schedule'!$AG$6:$AG$156,MATCH($J60,'4D Schedule'!$A$6:$A$156,0))</f>
        <v>Completed</v>
      </c>
      <c r="O60" s="55" t="s">
        <v>883</v>
      </c>
    </row>
    <row r="61" customFormat="false" ht="22.35" hidden="false" customHeight="false" outlineLevel="0" collapsed="false">
      <c r="A61" s="56" t="s">
        <v>885</v>
      </c>
      <c r="B61" s="56" t="s">
        <v>301</v>
      </c>
      <c r="C61" s="55" t="s">
        <v>309</v>
      </c>
      <c r="D61" s="56" t="s">
        <v>882</v>
      </c>
      <c r="E61" s="55" t="s">
        <v>310</v>
      </c>
      <c r="F61" s="25" t="s">
        <v>79</v>
      </c>
      <c r="G61" s="55" t="s">
        <v>300</v>
      </c>
      <c r="H61" s="56"/>
      <c r="I61" s="56"/>
      <c r="J61" s="56" t="s">
        <v>308</v>
      </c>
      <c r="K61" s="55" t="str">
        <f aca="false">INDEX('4D Schedule'!$C$6:$C$156,MATCH($J61,'4D Schedule'!$A$6:$A$156,0))</f>
        <v>Excavation, pile chipping &amp; PCC prep – Zone-3 (Grid 5–6)</v>
      </c>
      <c r="L61" s="61" t="n">
        <f aca="false">INDEX('4D Schedule'!$AE$6:$AE$156,MATCH($J61,'4D Schedule'!$A$6:$A$156,0))</f>
        <v>46097</v>
      </c>
      <c r="M61" s="61" t="n">
        <f aca="false">INDEX('4D Schedule'!$AF$6:$AF$156,MATCH($J61,'4D Schedule'!$A$6:$A$156,0))</f>
        <v>46111</v>
      </c>
      <c r="N61" s="56" t="str">
        <f aca="false">INDEX('4D Schedule'!$AG$6:$AG$156,MATCH($J61,'4D Schedule'!$A$6:$A$156,0))</f>
        <v>Completed</v>
      </c>
      <c r="O61" s="55" t="s">
        <v>883</v>
      </c>
    </row>
    <row r="62" customFormat="false" ht="22.35" hidden="false" customHeight="false" outlineLevel="0" collapsed="false">
      <c r="A62" s="56" t="s">
        <v>886</v>
      </c>
      <c r="B62" s="56" t="s">
        <v>318</v>
      </c>
      <c r="C62" s="55" t="s">
        <v>887</v>
      </c>
      <c r="D62" s="56" t="s">
        <v>888</v>
      </c>
      <c r="E62" s="55" t="s">
        <v>741</v>
      </c>
      <c r="F62" s="25" t="s">
        <v>75</v>
      </c>
      <c r="G62" s="55" t="s">
        <v>317</v>
      </c>
      <c r="H62" s="56" t="s">
        <v>889</v>
      </c>
      <c r="I62" s="56" t="s">
        <v>58</v>
      </c>
      <c r="J62" s="56" t="s">
        <v>313</v>
      </c>
      <c r="K62" s="55" t="str">
        <f aca="false">INDEX('4D Schedule'!$C$6:$C$156,MATCH($J62,'4D Schedule'!$A$6:$A$156,0))</f>
        <v>PCC (M7.5) &amp; pile caps – Zone-1 (17 nos: PC1 ×9, PC2 ×8)</v>
      </c>
      <c r="L62" s="61" t="n">
        <f aca="false">INDEX('4D Schedule'!$AE$6:$AE$156,MATCH($J62,'4D Schedule'!$A$6:$A$156,0))</f>
        <v>46089</v>
      </c>
      <c r="M62" s="61" t="n">
        <f aca="false">INDEX('4D Schedule'!$AF$6:$AF$156,MATCH($J62,'4D Schedule'!$A$6:$A$156,0))</f>
        <v>46106</v>
      </c>
      <c r="N62" s="56" t="str">
        <f aca="false">INDEX('4D Schedule'!$AG$6:$AG$156,MATCH($J62,'4D Schedule'!$A$6:$A$156,0))</f>
        <v>Completed</v>
      </c>
      <c r="O62" s="55"/>
    </row>
    <row r="63" customFormat="false" ht="22.35" hidden="false" customHeight="false" outlineLevel="0" collapsed="false">
      <c r="A63" s="56" t="s">
        <v>890</v>
      </c>
      <c r="B63" s="56" t="s">
        <v>318</v>
      </c>
      <c r="C63" s="55" t="s">
        <v>891</v>
      </c>
      <c r="D63" s="56" t="s">
        <v>892</v>
      </c>
      <c r="E63" s="55" t="s">
        <v>762</v>
      </c>
      <c r="F63" s="25" t="s">
        <v>75</v>
      </c>
      <c r="G63" s="55" t="s">
        <v>317</v>
      </c>
      <c r="H63" s="56" t="s">
        <v>893</v>
      </c>
      <c r="I63" s="56" t="s">
        <v>58</v>
      </c>
      <c r="J63" s="56" t="s">
        <v>313</v>
      </c>
      <c r="K63" s="55" t="str">
        <f aca="false">INDEX('4D Schedule'!$C$6:$C$156,MATCH($J63,'4D Schedule'!$A$6:$A$156,0))</f>
        <v>PCC (M7.5) &amp; pile caps – Zone-1 (17 nos: PC1 ×9, PC2 ×8)</v>
      </c>
      <c r="L63" s="61" t="n">
        <f aca="false">INDEX('4D Schedule'!$AE$6:$AE$156,MATCH($J63,'4D Schedule'!$A$6:$A$156,0))</f>
        <v>46089</v>
      </c>
      <c r="M63" s="61" t="n">
        <f aca="false">INDEX('4D Schedule'!$AF$6:$AF$156,MATCH($J63,'4D Schedule'!$A$6:$A$156,0))</f>
        <v>46106</v>
      </c>
      <c r="N63" s="56" t="str">
        <f aca="false">INDEX('4D Schedule'!$AG$6:$AG$156,MATCH($J63,'4D Schedule'!$A$6:$A$156,0))</f>
        <v>Completed</v>
      </c>
      <c r="O63" s="55"/>
    </row>
    <row r="64" customFormat="false" ht="22.35" hidden="false" customHeight="false" outlineLevel="0" collapsed="false">
      <c r="A64" s="56" t="s">
        <v>894</v>
      </c>
      <c r="B64" s="56" t="s">
        <v>318</v>
      </c>
      <c r="C64" s="55" t="s">
        <v>887</v>
      </c>
      <c r="D64" s="56" t="s">
        <v>888</v>
      </c>
      <c r="E64" s="55" t="s">
        <v>786</v>
      </c>
      <c r="F64" s="25" t="s">
        <v>75</v>
      </c>
      <c r="G64" s="55" t="s">
        <v>317</v>
      </c>
      <c r="H64" s="56" t="s">
        <v>889</v>
      </c>
      <c r="I64" s="56" t="s">
        <v>58</v>
      </c>
      <c r="J64" s="56" t="s">
        <v>313</v>
      </c>
      <c r="K64" s="55" t="str">
        <f aca="false">INDEX('4D Schedule'!$C$6:$C$156,MATCH($J64,'4D Schedule'!$A$6:$A$156,0))</f>
        <v>PCC (M7.5) &amp; pile caps – Zone-1 (17 nos: PC1 ×9, PC2 ×8)</v>
      </c>
      <c r="L64" s="61" t="n">
        <f aca="false">INDEX('4D Schedule'!$AE$6:$AE$156,MATCH($J64,'4D Schedule'!$A$6:$A$156,0))</f>
        <v>46089</v>
      </c>
      <c r="M64" s="61" t="n">
        <f aca="false">INDEX('4D Schedule'!$AF$6:$AF$156,MATCH($J64,'4D Schedule'!$A$6:$A$156,0))</f>
        <v>46106</v>
      </c>
      <c r="N64" s="56" t="str">
        <f aca="false">INDEX('4D Schedule'!$AG$6:$AG$156,MATCH($J64,'4D Schedule'!$A$6:$A$156,0))</f>
        <v>Completed</v>
      </c>
      <c r="O64" s="55"/>
    </row>
    <row r="65" customFormat="false" ht="22.35" hidden="false" customHeight="false" outlineLevel="0" collapsed="false">
      <c r="A65" s="56" t="s">
        <v>895</v>
      </c>
      <c r="B65" s="56" t="s">
        <v>318</v>
      </c>
      <c r="C65" s="55" t="s">
        <v>891</v>
      </c>
      <c r="D65" s="56" t="s">
        <v>892</v>
      </c>
      <c r="E65" s="55" t="s">
        <v>804</v>
      </c>
      <c r="F65" s="25" t="s">
        <v>75</v>
      </c>
      <c r="G65" s="55" t="s">
        <v>317</v>
      </c>
      <c r="H65" s="56" t="s">
        <v>893</v>
      </c>
      <c r="I65" s="56" t="s">
        <v>58</v>
      </c>
      <c r="J65" s="56" t="s">
        <v>313</v>
      </c>
      <c r="K65" s="55" t="str">
        <f aca="false">INDEX('4D Schedule'!$C$6:$C$156,MATCH($J65,'4D Schedule'!$A$6:$A$156,0))</f>
        <v>PCC (M7.5) &amp; pile caps – Zone-1 (17 nos: PC1 ×9, PC2 ×8)</v>
      </c>
      <c r="L65" s="61" t="n">
        <f aca="false">INDEX('4D Schedule'!$AE$6:$AE$156,MATCH($J65,'4D Schedule'!$A$6:$A$156,0))</f>
        <v>46089</v>
      </c>
      <c r="M65" s="61" t="n">
        <f aca="false">INDEX('4D Schedule'!$AF$6:$AF$156,MATCH($J65,'4D Schedule'!$A$6:$A$156,0))</f>
        <v>46106</v>
      </c>
      <c r="N65" s="56" t="str">
        <f aca="false">INDEX('4D Schedule'!$AG$6:$AG$156,MATCH($J65,'4D Schedule'!$A$6:$A$156,0))</f>
        <v>Completed</v>
      </c>
      <c r="O65" s="55"/>
    </row>
    <row r="66" customFormat="false" ht="22.35" hidden="false" customHeight="false" outlineLevel="0" collapsed="false">
      <c r="A66" s="56" t="s">
        <v>896</v>
      </c>
      <c r="B66" s="56" t="s">
        <v>318</v>
      </c>
      <c r="C66" s="55" t="s">
        <v>891</v>
      </c>
      <c r="D66" s="56" t="s">
        <v>892</v>
      </c>
      <c r="E66" s="55" t="s">
        <v>842</v>
      </c>
      <c r="F66" s="25" t="s">
        <v>75</v>
      </c>
      <c r="G66" s="55" t="s">
        <v>317</v>
      </c>
      <c r="H66" s="56" t="s">
        <v>893</v>
      </c>
      <c r="I66" s="56" t="s">
        <v>58</v>
      </c>
      <c r="J66" s="56" t="s">
        <v>313</v>
      </c>
      <c r="K66" s="55" t="str">
        <f aca="false">INDEX('4D Schedule'!$C$6:$C$156,MATCH($J66,'4D Schedule'!$A$6:$A$156,0))</f>
        <v>PCC (M7.5) &amp; pile caps – Zone-1 (17 nos: PC1 ×9, PC2 ×8)</v>
      </c>
      <c r="L66" s="61" t="n">
        <f aca="false">INDEX('4D Schedule'!$AE$6:$AE$156,MATCH($J66,'4D Schedule'!$A$6:$A$156,0))</f>
        <v>46089</v>
      </c>
      <c r="M66" s="61" t="n">
        <f aca="false">INDEX('4D Schedule'!$AF$6:$AF$156,MATCH($J66,'4D Schedule'!$A$6:$A$156,0))</f>
        <v>46106</v>
      </c>
      <c r="N66" s="56" t="str">
        <f aca="false">INDEX('4D Schedule'!$AG$6:$AG$156,MATCH($J66,'4D Schedule'!$A$6:$A$156,0))</f>
        <v>Completed</v>
      </c>
      <c r="O66" s="55"/>
    </row>
    <row r="67" customFormat="false" ht="22.35" hidden="false" customHeight="false" outlineLevel="0" collapsed="false">
      <c r="A67" s="56" t="s">
        <v>897</v>
      </c>
      <c r="B67" s="56" t="s">
        <v>318</v>
      </c>
      <c r="C67" s="55" t="s">
        <v>887</v>
      </c>
      <c r="D67" s="56" t="s">
        <v>888</v>
      </c>
      <c r="E67" s="55" t="s">
        <v>852</v>
      </c>
      <c r="F67" s="25" t="s">
        <v>75</v>
      </c>
      <c r="G67" s="55" t="s">
        <v>317</v>
      </c>
      <c r="H67" s="56" t="s">
        <v>889</v>
      </c>
      <c r="I67" s="56" t="s">
        <v>58</v>
      </c>
      <c r="J67" s="56" t="s">
        <v>313</v>
      </c>
      <c r="K67" s="55" t="str">
        <f aca="false">INDEX('4D Schedule'!$C$6:$C$156,MATCH($J67,'4D Schedule'!$A$6:$A$156,0))</f>
        <v>PCC (M7.5) &amp; pile caps – Zone-1 (17 nos: PC1 ×9, PC2 ×8)</v>
      </c>
      <c r="L67" s="61" t="n">
        <f aca="false">INDEX('4D Schedule'!$AE$6:$AE$156,MATCH($J67,'4D Schedule'!$A$6:$A$156,0))</f>
        <v>46089</v>
      </c>
      <c r="M67" s="61" t="n">
        <f aca="false">INDEX('4D Schedule'!$AF$6:$AF$156,MATCH($J67,'4D Schedule'!$A$6:$A$156,0))</f>
        <v>46106</v>
      </c>
      <c r="N67" s="56" t="str">
        <f aca="false">INDEX('4D Schedule'!$AG$6:$AG$156,MATCH($J67,'4D Schedule'!$A$6:$A$156,0))</f>
        <v>Completed</v>
      </c>
      <c r="O67" s="55"/>
    </row>
    <row r="68" customFormat="false" ht="22.35" hidden="false" customHeight="false" outlineLevel="0" collapsed="false">
      <c r="A68" s="56" t="s">
        <v>898</v>
      </c>
      <c r="B68" s="56" t="s">
        <v>318</v>
      </c>
      <c r="C68" s="55" t="s">
        <v>887</v>
      </c>
      <c r="D68" s="56" t="s">
        <v>888</v>
      </c>
      <c r="E68" s="55" t="s">
        <v>745</v>
      </c>
      <c r="F68" s="25" t="s">
        <v>75</v>
      </c>
      <c r="G68" s="55" t="s">
        <v>317</v>
      </c>
      <c r="H68" s="56" t="s">
        <v>889</v>
      </c>
      <c r="I68" s="56" t="s">
        <v>58</v>
      </c>
      <c r="J68" s="56" t="s">
        <v>313</v>
      </c>
      <c r="K68" s="55" t="str">
        <f aca="false">INDEX('4D Schedule'!$C$6:$C$156,MATCH($J68,'4D Schedule'!$A$6:$A$156,0))</f>
        <v>PCC (M7.5) &amp; pile caps – Zone-1 (17 nos: PC1 ×9, PC2 ×8)</v>
      </c>
      <c r="L68" s="61" t="n">
        <f aca="false">INDEX('4D Schedule'!$AE$6:$AE$156,MATCH($J68,'4D Schedule'!$A$6:$A$156,0))</f>
        <v>46089</v>
      </c>
      <c r="M68" s="61" t="n">
        <f aca="false">INDEX('4D Schedule'!$AF$6:$AF$156,MATCH($J68,'4D Schedule'!$A$6:$A$156,0))</f>
        <v>46106</v>
      </c>
      <c r="N68" s="56" t="str">
        <f aca="false">INDEX('4D Schedule'!$AG$6:$AG$156,MATCH($J68,'4D Schedule'!$A$6:$A$156,0))</f>
        <v>Completed</v>
      </c>
      <c r="O68" s="55"/>
    </row>
    <row r="69" customFormat="false" ht="22.35" hidden="false" customHeight="false" outlineLevel="0" collapsed="false">
      <c r="A69" s="56" t="s">
        <v>899</v>
      </c>
      <c r="B69" s="56" t="s">
        <v>318</v>
      </c>
      <c r="C69" s="55" t="s">
        <v>887</v>
      </c>
      <c r="D69" s="56" t="s">
        <v>888</v>
      </c>
      <c r="E69" s="55" t="s">
        <v>767</v>
      </c>
      <c r="F69" s="25" t="s">
        <v>75</v>
      </c>
      <c r="G69" s="55" t="s">
        <v>317</v>
      </c>
      <c r="H69" s="56" t="s">
        <v>889</v>
      </c>
      <c r="I69" s="56" t="s">
        <v>58</v>
      </c>
      <c r="J69" s="56" t="s">
        <v>313</v>
      </c>
      <c r="K69" s="55" t="str">
        <f aca="false">INDEX('4D Schedule'!$C$6:$C$156,MATCH($J69,'4D Schedule'!$A$6:$A$156,0))</f>
        <v>PCC (M7.5) &amp; pile caps – Zone-1 (17 nos: PC1 ×9, PC2 ×8)</v>
      </c>
      <c r="L69" s="61" t="n">
        <f aca="false">INDEX('4D Schedule'!$AE$6:$AE$156,MATCH($J69,'4D Schedule'!$A$6:$A$156,0))</f>
        <v>46089</v>
      </c>
      <c r="M69" s="61" t="n">
        <f aca="false">INDEX('4D Schedule'!$AF$6:$AF$156,MATCH($J69,'4D Schedule'!$A$6:$A$156,0))</f>
        <v>46106</v>
      </c>
      <c r="N69" s="56" t="str">
        <f aca="false">INDEX('4D Schedule'!$AG$6:$AG$156,MATCH($J69,'4D Schedule'!$A$6:$A$156,0))</f>
        <v>Completed</v>
      </c>
      <c r="O69" s="55"/>
    </row>
    <row r="70" customFormat="false" ht="22.35" hidden="false" customHeight="false" outlineLevel="0" collapsed="false">
      <c r="A70" s="56" t="s">
        <v>900</v>
      </c>
      <c r="B70" s="56" t="s">
        <v>318</v>
      </c>
      <c r="C70" s="55" t="s">
        <v>887</v>
      </c>
      <c r="D70" s="56" t="s">
        <v>888</v>
      </c>
      <c r="E70" s="55" t="s">
        <v>789</v>
      </c>
      <c r="F70" s="25" t="s">
        <v>75</v>
      </c>
      <c r="G70" s="55" t="s">
        <v>317</v>
      </c>
      <c r="H70" s="56" t="s">
        <v>889</v>
      </c>
      <c r="I70" s="56" t="s">
        <v>58</v>
      </c>
      <c r="J70" s="56" t="s">
        <v>313</v>
      </c>
      <c r="K70" s="55" t="str">
        <f aca="false">INDEX('4D Schedule'!$C$6:$C$156,MATCH($J70,'4D Schedule'!$A$6:$A$156,0))</f>
        <v>PCC (M7.5) &amp; pile caps – Zone-1 (17 nos: PC1 ×9, PC2 ×8)</v>
      </c>
      <c r="L70" s="61" t="n">
        <f aca="false">INDEX('4D Schedule'!$AE$6:$AE$156,MATCH($J70,'4D Schedule'!$A$6:$A$156,0))</f>
        <v>46089</v>
      </c>
      <c r="M70" s="61" t="n">
        <f aca="false">INDEX('4D Schedule'!$AF$6:$AF$156,MATCH($J70,'4D Schedule'!$A$6:$A$156,0))</f>
        <v>46106</v>
      </c>
      <c r="N70" s="56" t="str">
        <f aca="false">INDEX('4D Schedule'!$AG$6:$AG$156,MATCH($J70,'4D Schedule'!$A$6:$A$156,0))</f>
        <v>Completed</v>
      </c>
      <c r="O70" s="55"/>
    </row>
    <row r="71" customFormat="false" ht="22.35" hidden="false" customHeight="false" outlineLevel="0" collapsed="false">
      <c r="A71" s="56" t="s">
        <v>901</v>
      </c>
      <c r="B71" s="56" t="s">
        <v>318</v>
      </c>
      <c r="C71" s="55" t="s">
        <v>891</v>
      </c>
      <c r="D71" s="56" t="s">
        <v>892</v>
      </c>
      <c r="E71" s="55" t="s">
        <v>809</v>
      </c>
      <c r="F71" s="25" t="s">
        <v>75</v>
      </c>
      <c r="G71" s="55" t="s">
        <v>317</v>
      </c>
      <c r="H71" s="56" t="s">
        <v>893</v>
      </c>
      <c r="I71" s="56" t="s">
        <v>58</v>
      </c>
      <c r="J71" s="56" t="s">
        <v>313</v>
      </c>
      <c r="K71" s="55" t="str">
        <f aca="false">INDEX('4D Schedule'!$C$6:$C$156,MATCH($J71,'4D Schedule'!$A$6:$A$156,0))</f>
        <v>PCC (M7.5) &amp; pile caps – Zone-1 (17 nos: PC1 ×9, PC2 ×8)</v>
      </c>
      <c r="L71" s="61" t="n">
        <f aca="false">INDEX('4D Schedule'!$AE$6:$AE$156,MATCH($J71,'4D Schedule'!$A$6:$A$156,0))</f>
        <v>46089</v>
      </c>
      <c r="M71" s="61" t="n">
        <f aca="false">INDEX('4D Schedule'!$AF$6:$AF$156,MATCH($J71,'4D Schedule'!$A$6:$A$156,0))</f>
        <v>46106</v>
      </c>
      <c r="N71" s="56" t="str">
        <f aca="false">INDEX('4D Schedule'!$AG$6:$AG$156,MATCH($J71,'4D Schedule'!$A$6:$A$156,0))</f>
        <v>Completed</v>
      </c>
      <c r="O71" s="55"/>
    </row>
    <row r="72" customFormat="false" ht="22.35" hidden="false" customHeight="false" outlineLevel="0" collapsed="false">
      <c r="A72" s="56" t="s">
        <v>902</v>
      </c>
      <c r="B72" s="56" t="s">
        <v>318</v>
      </c>
      <c r="C72" s="55" t="s">
        <v>891</v>
      </c>
      <c r="D72" s="56" t="s">
        <v>892</v>
      </c>
      <c r="E72" s="55" t="s">
        <v>847</v>
      </c>
      <c r="F72" s="25" t="s">
        <v>75</v>
      </c>
      <c r="G72" s="55" t="s">
        <v>317</v>
      </c>
      <c r="H72" s="56" t="s">
        <v>893</v>
      </c>
      <c r="I72" s="56" t="s">
        <v>58</v>
      </c>
      <c r="J72" s="56" t="s">
        <v>313</v>
      </c>
      <c r="K72" s="55" t="str">
        <f aca="false">INDEX('4D Schedule'!$C$6:$C$156,MATCH($J72,'4D Schedule'!$A$6:$A$156,0))</f>
        <v>PCC (M7.5) &amp; pile caps – Zone-1 (17 nos: PC1 ×9, PC2 ×8)</v>
      </c>
      <c r="L72" s="61" t="n">
        <f aca="false">INDEX('4D Schedule'!$AE$6:$AE$156,MATCH($J72,'4D Schedule'!$A$6:$A$156,0))</f>
        <v>46089</v>
      </c>
      <c r="M72" s="61" t="n">
        <f aca="false">INDEX('4D Schedule'!$AF$6:$AF$156,MATCH($J72,'4D Schedule'!$A$6:$A$156,0))</f>
        <v>46106</v>
      </c>
      <c r="N72" s="56" t="str">
        <f aca="false">INDEX('4D Schedule'!$AG$6:$AG$156,MATCH($J72,'4D Schedule'!$A$6:$A$156,0))</f>
        <v>Completed</v>
      </c>
      <c r="O72" s="55"/>
    </row>
    <row r="73" customFormat="false" ht="22.35" hidden="false" customHeight="false" outlineLevel="0" collapsed="false">
      <c r="A73" s="56" t="s">
        <v>903</v>
      </c>
      <c r="B73" s="56" t="s">
        <v>318</v>
      </c>
      <c r="C73" s="55" t="s">
        <v>891</v>
      </c>
      <c r="D73" s="56" t="s">
        <v>892</v>
      </c>
      <c r="E73" s="55" t="s">
        <v>855</v>
      </c>
      <c r="F73" s="25" t="s">
        <v>75</v>
      </c>
      <c r="G73" s="55" t="s">
        <v>317</v>
      </c>
      <c r="H73" s="56" t="s">
        <v>893</v>
      </c>
      <c r="I73" s="56" t="s">
        <v>58</v>
      </c>
      <c r="J73" s="56" t="s">
        <v>313</v>
      </c>
      <c r="K73" s="55" t="str">
        <f aca="false">INDEX('4D Schedule'!$C$6:$C$156,MATCH($J73,'4D Schedule'!$A$6:$A$156,0))</f>
        <v>PCC (M7.5) &amp; pile caps – Zone-1 (17 nos: PC1 ×9, PC2 ×8)</v>
      </c>
      <c r="L73" s="61" t="n">
        <f aca="false">INDEX('4D Schedule'!$AE$6:$AE$156,MATCH($J73,'4D Schedule'!$A$6:$A$156,0))</f>
        <v>46089</v>
      </c>
      <c r="M73" s="61" t="n">
        <f aca="false">INDEX('4D Schedule'!$AF$6:$AF$156,MATCH($J73,'4D Schedule'!$A$6:$A$156,0))</f>
        <v>46106</v>
      </c>
      <c r="N73" s="56" t="str">
        <f aca="false">INDEX('4D Schedule'!$AG$6:$AG$156,MATCH($J73,'4D Schedule'!$A$6:$A$156,0))</f>
        <v>Completed</v>
      </c>
      <c r="O73" s="55"/>
    </row>
    <row r="74" customFormat="false" ht="22.35" hidden="false" customHeight="false" outlineLevel="0" collapsed="false">
      <c r="A74" s="56" t="s">
        <v>904</v>
      </c>
      <c r="B74" s="56" t="s">
        <v>318</v>
      </c>
      <c r="C74" s="55" t="s">
        <v>887</v>
      </c>
      <c r="D74" s="56" t="s">
        <v>888</v>
      </c>
      <c r="E74" s="55" t="s">
        <v>748</v>
      </c>
      <c r="F74" s="25" t="s">
        <v>75</v>
      </c>
      <c r="G74" s="55" t="s">
        <v>317</v>
      </c>
      <c r="H74" s="56" t="s">
        <v>889</v>
      </c>
      <c r="I74" s="56" t="s">
        <v>58</v>
      </c>
      <c r="J74" s="56" t="s">
        <v>313</v>
      </c>
      <c r="K74" s="55" t="str">
        <f aca="false">INDEX('4D Schedule'!$C$6:$C$156,MATCH($J74,'4D Schedule'!$A$6:$A$156,0))</f>
        <v>PCC (M7.5) &amp; pile caps – Zone-1 (17 nos: PC1 ×9, PC2 ×8)</v>
      </c>
      <c r="L74" s="61" t="n">
        <f aca="false">INDEX('4D Schedule'!$AE$6:$AE$156,MATCH($J74,'4D Schedule'!$A$6:$A$156,0))</f>
        <v>46089</v>
      </c>
      <c r="M74" s="61" t="n">
        <f aca="false">INDEX('4D Schedule'!$AF$6:$AF$156,MATCH($J74,'4D Schedule'!$A$6:$A$156,0))</f>
        <v>46106</v>
      </c>
      <c r="N74" s="56" t="str">
        <f aca="false">INDEX('4D Schedule'!$AG$6:$AG$156,MATCH($J74,'4D Schedule'!$A$6:$A$156,0))</f>
        <v>Completed</v>
      </c>
      <c r="O74" s="55"/>
    </row>
    <row r="75" customFormat="false" ht="22.35" hidden="false" customHeight="false" outlineLevel="0" collapsed="false">
      <c r="A75" s="56" t="s">
        <v>905</v>
      </c>
      <c r="B75" s="56" t="s">
        <v>318</v>
      </c>
      <c r="C75" s="55" t="s">
        <v>887</v>
      </c>
      <c r="D75" s="56" t="s">
        <v>888</v>
      </c>
      <c r="E75" s="55" t="s">
        <v>770</v>
      </c>
      <c r="F75" s="25" t="s">
        <v>75</v>
      </c>
      <c r="G75" s="55" t="s">
        <v>317</v>
      </c>
      <c r="H75" s="56" t="s">
        <v>889</v>
      </c>
      <c r="I75" s="56" t="s">
        <v>58</v>
      </c>
      <c r="J75" s="56" t="s">
        <v>313</v>
      </c>
      <c r="K75" s="55" t="str">
        <f aca="false">INDEX('4D Schedule'!$C$6:$C$156,MATCH($J75,'4D Schedule'!$A$6:$A$156,0))</f>
        <v>PCC (M7.5) &amp; pile caps – Zone-1 (17 nos: PC1 ×9, PC2 ×8)</v>
      </c>
      <c r="L75" s="61" t="n">
        <f aca="false">INDEX('4D Schedule'!$AE$6:$AE$156,MATCH($J75,'4D Schedule'!$A$6:$A$156,0))</f>
        <v>46089</v>
      </c>
      <c r="M75" s="61" t="n">
        <f aca="false">INDEX('4D Schedule'!$AF$6:$AF$156,MATCH($J75,'4D Schedule'!$A$6:$A$156,0))</f>
        <v>46106</v>
      </c>
      <c r="N75" s="56" t="str">
        <f aca="false">INDEX('4D Schedule'!$AG$6:$AG$156,MATCH($J75,'4D Schedule'!$A$6:$A$156,0))</f>
        <v>Completed</v>
      </c>
      <c r="O75" s="55"/>
    </row>
    <row r="76" customFormat="false" ht="22.35" hidden="false" customHeight="false" outlineLevel="0" collapsed="false">
      <c r="A76" s="56" t="s">
        <v>906</v>
      </c>
      <c r="B76" s="56" t="s">
        <v>318</v>
      </c>
      <c r="C76" s="55" t="s">
        <v>887</v>
      </c>
      <c r="D76" s="56" t="s">
        <v>888</v>
      </c>
      <c r="E76" s="55" t="s">
        <v>792</v>
      </c>
      <c r="F76" s="25" t="s">
        <v>75</v>
      </c>
      <c r="G76" s="55" t="s">
        <v>317</v>
      </c>
      <c r="H76" s="56" t="s">
        <v>889</v>
      </c>
      <c r="I76" s="56" t="s">
        <v>58</v>
      </c>
      <c r="J76" s="56" t="s">
        <v>313</v>
      </c>
      <c r="K76" s="55" t="str">
        <f aca="false">INDEX('4D Schedule'!$C$6:$C$156,MATCH($J76,'4D Schedule'!$A$6:$A$156,0))</f>
        <v>PCC (M7.5) &amp; pile caps – Zone-1 (17 nos: PC1 ×9, PC2 ×8)</v>
      </c>
      <c r="L76" s="61" t="n">
        <f aca="false">INDEX('4D Schedule'!$AE$6:$AE$156,MATCH($J76,'4D Schedule'!$A$6:$A$156,0))</f>
        <v>46089</v>
      </c>
      <c r="M76" s="61" t="n">
        <f aca="false">INDEX('4D Schedule'!$AF$6:$AF$156,MATCH($J76,'4D Schedule'!$A$6:$A$156,0))</f>
        <v>46106</v>
      </c>
      <c r="N76" s="56" t="str">
        <f aca="false">INDEX('4D Schedule'!$AG$6:$AG$156,MATCH($J76,'4D Schedule'!$A$6:$A$156,0))</f>
        <v>Completed</v>
      </c>
      <c r="O76" s="55"/>
    </row>
    <row r="77" customFormat="false" ht="22.35" hidden="false" customHeight="false" outlineLevel="0" collapsed="false">
      <c r="A77" s="56" t="s">
        <v>907</v>
      </c>
      <c r="B77" s="56" t="s">
        <v>318</v>
      </c>
      <c r="C77" s="55" t="s">
        <v>891</v>
      </c>
      <c r="D77" s="56" t="s">
        <v>892</v>
      </c>
      <c r="E77" s="55" t="s">
        <v>814</v>
      </c>
      <c r="F77" s="25" t="s">
        <v>75</v>
      </c>
      <c r="G77" s="55" t="s">
        <v>317</v>
      </c>
      <c r="H77" s="56" t="s">
        <v>893</v>
      </c>
      <c r="I77" s="56" t="s">
        <v>58</v>
      </c>
      <c r="J77" s="56" t="s">
        <v>313</v>
      </c>
      <c r="K77" s="55" t="str">
        <f aca="false">INDEX('4D Schedule'!$C$6:$C$156,MATCH($J77,'4D Schedule'!$A$6:$A$156,0))</f>
        <v>PCC (M7.5) &amp; pile caps – Zone-1 (17 nos: PC1 ×9, PC2 ×8)</v>
      </c>
      <c r="L77" s="61" t="n">
        <f aca="false">INDEX('4D Schedule'!$AE$6:$AE$156,MATCH($J77,'4D Schedule'!$A$6:$A$156,0))</f>
        <v>46089</v>
      </c>
      <c r="M77" s="61" t="n">
        <f aca="false">INDEX('4D Schedule'!$AF$6:$AF$156,MATCH($J77,'4D Schedule'!$A$6:$A$156,0))</f>
        <v>46106</v>
      </c>
      <c r="N77" s="56" t="str">
        <f aca="false">INDEX('4D Schedule'!$AG$6:$AG$156,MATCH($J77,'4D Schedule'!$A$6:$A$156,0))</f>
        <v>Completed</v>
      </c>
      <c r="O77" s="55"/>
    </row>
    <row r="78" customFormat="false" ht="22.35" hidden="false" customHeight="false" outlineLevel="0" collapsed="false">
      <c r="A78" s="56" t="s">
        <v>908</v>
      </c>
      <c r="B78" s="56" t="s">
        <v>318</v>
      </c>
      <c r="C78" s="55" t="s">
        <v>891</v>
      </c>
      <c r="D78" s="56" t="s">
        <v>892</v>
      </c>
      <c r="E78" s="55" t="s">
        <v>860</v>
      </c>
      <c r="F78" s="25" t="s">
        <v>75</v>
      </c>
      <c r="G78" s="55" t="s">
        <v>317</v>
      </c>
      <c r="H78" s="56" t="s">
        <v>893</v>
      </c>
      <c r="I78" s="56" t="s">
        <v>58</v>
      </c>
      <c r="J78" s="56" t="s">
        <v>313</v>
      </c>
      <c r="K78" s="55" t="str">
        <f aca="false">INDEX('4D Schedule'!$C$6:$C$156,MATCH($J78,'4D Schedule'!$A$6:$A$156,0))</f>
        <v>PCC (M7.5) &amp; pile caps – Zone-1 (17 nos: PC1 ×9, PC2 ×8)</v>
      </c>
      <c r="L78" s="61" t="n">
        <f aca="false">INDEX('4D Schedule'!$AE$6:$AE$156,MATCH($J78,'4D Schedule'!$A$6:$A$156,0))</f>
        <v>46089</v>
      </c>
      <c r="M78" s="61" t="n">
        <f aca="false">INDEX('4D Schedule'!$AF$6:$AF$156,MATCH($J78,'4D Schedule'!$A$6:$A$156,0))</f>
        <v>46106</v>
      </c>
      <c r="N78" s="56" t="str">
        <f aca="false">INDEX('4D Schedule'!$AG$6:$AG$156,MATCH($J78,'4D Schedule'!$A$6:$A$156,0))</f>
        <v>Completed</v>
      </c>
      <c r="O78" s="55"/>
    </row>
    <row r="79" customFormat="false" ht="22.35" hidden="false" customHeight="false" outlineLevel="0" collapsed="false">
      <c r="A79" s="56" t="s">
        <v>909</v>
      </c>
      <c r="B79" s="56" t="s">
        <v>318</v>
      </c>
      <c r="C79" s="55" t="s">
        <v>887</v>
      </c>
      <c r="D79" s="56" t="s">
        <v>888</v>
      </c>
      <c r="E79" s="55" t="s">
        <v>751</v>
      </c>
      <c r="F79" s="25" t="s">
        <v>77</v>
      </c>
      <c r="G79" s="55" t="s">
        <v>317</v>
      </c>
      <c r="H79" s="56" t="s">
        <v>889</v>
      </c>
      <c r="I79" s="56" t="s">
        <v>58</v>
      </c>
      <c r="J79" s="56" t="s">
        <v>322</v>
      </c>
      <c r="K79" s="55" t="str">
        <f aca="false">INDEX('4D Schedule'!$C$6:$C$156,MATCH($J79,'4D Schedule'!$A$6:$A$156,0))</f>
        <v>PCC (M7.5) &amp; pile caps – Zone-2 (10 nos: PC1 ×4, PC2 ×6)</v>
      </c>
      <c r="L79" s="61" t="n">
        <f aca="false">INDEX('4D Schedule'!$AE$6:$AE$156,MATCH($J79,'4D Schedule'!$A$6:$A$156,0))</f>
        <v>46100</v>
      </c>
      <c r="M79" s="61" t="n">
        <f aca="false">INDEX('4D Schedule'!$AF$6:$AF$156,MATCH($J79,'4D Schedule'!$A$6:$A$156,0))</f>
        <v>46112</v>
      </c>
      <c r="N79" s="56" t="str">
        <f aca="false">INDEX('4D Schedule'!$AG$6:$AG$156,MATCH($J79,'4D Schedule'!$A$6:$A$156,0))</f>
        <v>Completed</v>
      </c>
      <c r="O79" s="55"/>
    </row>
    <row r="80" customFormat="false" ht="22.35" hidden="false" customHeight="false" outlineLevel="0" collapsed="false">
      <c r="A80" s="56" t="s">
        <v>910</v>
      </c>
      <c r="B80" s="56" t="s">
        <v>318</v>
      </c>
      <c r="C80" s="55" t="s">
        <v>887</v>
      </c>
      <c r="D80" s="56" t="s">
        <v>888</v>
      </c>
      <c r="E80" s="55" t="s">
        <v>773</v>
      </c>
      <c r="F80" s="25" t="s">
        <v>77</v>
      </c>
      <c r="G80" s="55" t="s">
        <v>317</v>
      </c>
      <c r="H80" s="56" t="s">
        <v>889</v>
      </c>
      <c r="I80" s="56" t="s">
        <v>58</v>
      </c>
      <c r="J80" s="56" t="s">
        <v>322</v>
      </c>
      <c r="K80" s="55" t="str">
        <f aca="false">INDEX('4D Schedule'!$C$6:$C$156,MATCH($J80,'4D Schedule'!$A$6:$A$156,0))</f>
        <v>PCC (M7.5) &amp; pile caps – Zone-2 (10 nos: PC1 ×4, PC2 ×6)</v>
      </c>
      <c r="L80" s="61" t="n">
        <f aca="false">INDEX('4D Schedule'!$AE$6:$AE$156,MATCH($J80,'4D Schedule'!$A$6:$A$156,0))</f>
        <v>46100</v>
      </c>
      <c r="M80" s="61" t="n">
        <f aca="false">INDEX('4D Schedule'!$AF$6:$AF$156,MATCH($J80,'4D Schedule'!$A$6:$A$156,0))</f>
        <v>46112</v>
      </c>
      <c r="N80" s="56" t="str">
        <f aca="false">INDEX('4D Schedule'!$AG$6:$AG$156,MATCH($J80,'4D Schedule'!$A$6:$A$156,0))</f>
        <v>Completed</v>
      </c>
      <c r="O80" s="55"/>
    </row>
    <row r="81" customFormat="false" ht="22.35" hidden="false" customHeight="false" outlineLevel="0" collapsed="false">
      <c r="A81" s="56" t="s">
        <v>911</v>
      </c>
      <c r="B81" s="56" t="s">
        <v>318</v>
      </c>
      <c r="C81" s="55" t="s">
        <v>887</v>
      </c>
      <c r="D81" s="56" t="s">
        <v>888</v>
      </c>
      <c r="E81" s="55" t="s">
        <v>795</v>
      </c>
      <c r="F81" s="25" t="s">
        <v>77</v>
      </c>
      <c r="G81" s="55" t="s">
        <v>317</v>
      </c>
      <c r="H81" s="56" t="s">
        <v>889</v>
      </c>
      <c r="I81" s="56" t="s">
        <v>58</v>
      </c>
      <c r="J81" s="56" t="s">
        <v>322</v>
      </c>
      <c r="K81" s="55" t="str">
        <f aca="false">INDEX('4D Schedule'!$C$6:$C$156,MATCH($J81,'4D Schedule'!$A$6:$A$156,0))</f>
        <v>PCC (M7.5) &amp; pile caps – Zone-2 (10 nos: PC1 ×4, PC2 ×6)</v>
      </c>
      <c r="L81" s="61" t="n">
        <f aca="false">INDEX('4D Schedule'!$AE$6:$AE$156,MATCH($J81,'4D Schedule'!$A$6:$A$156,0))</f>
        <v>46100</v>
      </c>
      <c r="M81" s="61" t="n">
        <f aca="false">INDEX('4D Schedule'!$AF$6:$AF$156,MATCH($J81,'4D Schedule'!$A$6:$A$156,0))</f>
        <v>46112</v>
      </c>
      <c r="N81" s="56" t="str">
        <f aca="false">INDEX('4D Schedule'!$AG$6:$AG$156,MATCH($J81,'4D Schedule'!$A$6:$A$156,0))</f>
        <v>Completed</v>
      </c>
      <c r="O81" s="55"/>
    </row>
    <row r="82" customFormat="false" ht="22.35" hidden="false" customHeight="false" outlineLevel="0" collapsed="false">
      <c r="A82" s="56" t="s">
        <v>912</v>
      </c>
      <c r="B82" s="56" t="s">
        <v>318</v>
      </c>
      <c r="C82" s="55" t="s">
        <v>891</v>
      </c>
      <c r="D82" s="56" t="s">
        <v>892</v>
      </c>
      <c r="E82" s="55" t="s">
        <v>819</v>
      </c>
      <c r="F82" s="25" t="s">
        <v>77</v>
      </c>
      <c r="G82" s="55" t="s">
        <v>317</v>
      </c>
      <c r="H82" s="56" t="s">
        <v>893</v>
      </c>
      <c r="I82" s="56" t="s">
        <v>58</v>
      </c>
      <c r="J82" s="56" t="s">
        <v>322</v>
      </c>
      <c r="K82" s="55" t="str">
        <f aca="false">INDEX('4D Schedule'!$C$6:$C$156,MATCH($J82,'4D Schedule'!$A$6:$A$156,0))</f>
        <v>PCC (M7.5) &amp; pile caps – Zone-2 (10 nos: PC1 ×4, PC2 ×6)</v>
      </c>
      <c r="L82" s="61" t="n">
        <f aca="false">INDEX('4D Schedule'!$AE$6:$AE$156,MATCH($J82,'4D Schedule'!$A$6:$A$156,0))</f>
        <v>46100</v>
      </c>
      <c r="M82" s="61" t="n">
        <f aca="false">INDEX('4D Schedule'!$AF$6:$AF$156,MATCH($J82,'4D Schedule'!$A$6:$A$156,0))</f>
        <v>46112</v>
      </c>
      <c r="N82" s="56" t="str">
        <f aca="false">INDEX('4D Schedule'!$AG$6:$AG$156,MATCH($J82,'4D Schedule'!$A$6:$A$156,0))</f>
        <v>Completed</v>
      </c>
      <c r="O82" s="55"/>
    </row>
    <row r="83" customFormat="false" ht="22.35" hidden="false" customHeight="false" outlineLevel="0" collapsed="false">
      <c r="A83" s="56" t="s">
        <v>913</v>
      </c>
      <c r="B83" s="56" t="s">
        <v>318</v>
      </c>
      <c r="C83" s="55" t="s">
        <v>891</v>
      </c>
      <c r="D83" s="56" t="s">
        <v>892</v>
      </c>
      <c r="E83" s="55" t="s">
        <v>865</v>
      </c>
      <c r="F83" s="25" t="s">
        <v>77</v>
      </c>
      <c r="G83" s="55" t="s">
        <v>317</v>
      </c>
      <c r="H83" s="56" t="s">
        <v>893</v>
      </c>
      <c r="I83" s="56" t="s">
        <v>58</v>
      </c>
      <c r="J83" s="56" t="s">
        <v>322</v>
      </c>
      <c r="K83" s="55" t="str">
        <f aca="false">INDEX('4D Schedule'!$C$6:$C$156,MATCH($J83,'4D Schedule'!$A$6:$A$156,0))</f>
        <v>PCC (M7.5) &amp; pile caps – Zone-2 (10 nos: PC1 ×4, PC2 ×6)</v>
      </c>
      <c r="L83" s="61" t="n">
        <f aca="false">INDEX('4D Schedule'!$AE$6:$AE$156,MATCH($J83,'4D Schedule'!$A$6:$A$156,0))</f>
        <v>46100</v>
      </c>
      <c r="M83" s="61" t="n">
        <f aca="false">INDEX('4D Schedule'!$AF$6:$AF$156,MATCH($J83,'4D Schedule'!$A$6:$A$156,0))</f>
        <v>46112</v>
      </c>
      <c r="N83" s="56" t="str">
        <f aca="false">INDEX('4D Schedule'!$AG$6:$AG$156,MATCH($J83,'4D Schedule'!$A$6:$A$156,0))</f>
        <v>Completed</v>
      </c>
      <c r="O83" s="55"/>
    </row>
    <row r="84" customFormat="false" ht="22.35" hidden="false" customHeight="false" outlineLevel="0" collapsed="false">
      <c r="A84" s="56" t="s">
        <v>914</v>
      </c>
      <c r="B84" s="56" t="s">
        <v>318</v>
      </c>
      <c r="C84" s="55" t="s">
        <v>891</v>
      </c>
      <c r="D84" s="56" t="s">
        <v>892</v>
      </c>
      <c r="E84" s="55" t="s">
        <v>754</v>
      </c>
      <c r="F84" s="25" t="s">
        <v>77</v>
      </c>
      <c r="G84" s="55" t="s">
        <v>317</v>
      </c>
      <c r="H84" s="56" t="s">
        <v>893</v>
      </c>
      <c r="I84" s="56" t="s">
        <v>58</v>
      </c>
      <c r="J84" s="56" t="s">
        <v>322</v>
      </c>
      <c r="K84" s="55" t="str">
        <f aca="false">INDEX('4D Schedule'!$C$6:$C$156,MATCH($J84,'4D Schedule'!$A$6:$A$156,0))</f>
        <v>PCC (M7.5) &amp; pile caps – Zone-2 (10 nos: PC1 ×4, PC2 ×6)</v>
      </c>
      <c r="L84" s="61" t="n">
        <f aca="false">INDEX('4D Schedule'!$AE$6:$AE$156,MATCH($J84,'4D Schedule'!$A$6:$A$156,0))</f>
        <v>46100</v>
      </c>
      <c r="M84" s="61" t="n">
        <f aca="false">INDEX('4D Schedule'!$AF$6:$AF$156,MATCH($J84,'4D Schedule'!$A$6:$A$156,0))</f>
        <v>46112</v>
      </c>
      <c r="N84" s="56" t="str">
        <f aca="false">INDEX('4D Schedule'!$AG$6:$AG$156,MATCH($J84,'4D Schedule'!$A$6:$A$156,0))</f>
        <v>Completed</v>
      </c>
      <c r="O84" s="55"/>
    </row>
    <row r="85" customFormat="false" ht="22.35" hidden="false" customHeight="false" outlineLevel="0" collapsed="false">
      <c r="A85" s="56" t="s">
        <v>915</v>
      </c>
      <c r="B85" s="56" t="s">
        <v>318</v>
      </c>
      <c r="C85" s="55" t="s">
        <v>891</v>
      </c>
      <c r="D85" s="56" t="s">
        <v>892</v>
      </c>
      <c r="E85" s="55" t="s">
        <v>776</v>
      </c>
      <c r="F85" s="25" t="s">
        <v>77</v>
      </c>
      <c r="G85" s="55" t="s">
        <v>317</v>
      </c>
      <c r="H85" s="56" t="s">
        <v>893</v>
      </c>
      <c r="I85" s="56" t="s">
        <v>58</v>
      </c>
      <c r="J85" s="56" t="s">
        <v>322</v>
      </c>
      <c r="K85" s="55" t="str">
        <f aca="false">INDEX('4D Schedule'!$C$6:$C$156,MATCH($J85,'4D Schedule'!$A$6:$A$156,0))</f>
        <v>PCC (M7.5) &amp; pile caps – Zone-2 (10 nos: PC1 ×4, PC2 ×6)</v>
      </c>
      <c r="L85" s="61" t="n">
        <f aca="false">INDEX('4D Schedule'!$AE$6:$AE$156,MATCH($J85,'4D Schedule'!$A$6:$A$156,0))</f>
        <v>46100</v>
      </c>
      <c r="M85" s="61" t="n">
        <f aca="false">INDEX('4D Schedule'!$AF$6:$AF$156,MATCH($J85,'4D Schedule'!$A$6:$A$156,0))</f>
        <v>46112</v>
      </c>
      <c r="N85" s="56" t="str">
        <f aca="false">INDEX('4D Schedule'!$AG$6:$AG$156,MATCH($J85,'4D Schedule'!$A$6:$A$156,0))</f>
        <v>Completed</v>
      </c>
      <c r="O85" s="55"/>
    </row>
    <row r="86" customFormat="false" ht="22.35" hidden="false" customHeight="false" outlineLevel="0" collapsed="false">
      <c r="A86" s="56" t="s">
        <v>916</v>
      </c>
      <c r="B86" s="56" t="s">
        <v>318</v>
      </c>
      <c r="C86" s="55" t="s">
        <v>887</v>
      </c>
      <c r="D86" s="56" t="s">
        <v>888</v>
      </c>
      <c r="E86" s="55" t="s">
        <v>798</v>
      </c>
      <c r="F86" s="25" t="s">
        <v>77</v>
      </c>
      <c r="G86" s="55" t="s">
        <v>317</v>
      </c>
      <c r="H86" s="56" t="s">
        <v>889</v>
      </c>
      <c r="I86" s="56" t="s">
        <v>58</v>
      </c>
      <c r="J86" s="56" t="s">
        <v>322</v>
      </c>
      <c r="K86" s="55" t="str">
        <f aca="false">INDEX('4D Schedule'!$C$6:$C$156,MATCH($J86,'4D Schedule'!$A$6:$A$156,0))</f>
        <v>PCC (M7.5) &amp; pile caps – Zone-2 (10 nos: PC1 ×4, PC2 ×6)</v>
      </c>
      <c r="L86" s="61" t="n">
        <f aca="false">INDEX('4D Schedule'!$AE$6:$AE$156,MATCH($J86,'4D Schedule'!$A$6:$A$156,0))</f>
        <v>46100</v>
      </c>
      <c r="M86" s="61" t="n">
        <f aca="false">INDEX('4D Schedule'!$AF$6:$AF$156,MATCH($J86,'4D Schedule'!$A$6:$A$156,0))</f>
        <v>46112</v>
      </c>
      <c r="N86" s="56" t="str">
        <f aca="false">INDEX('4D Schedule'!$AG$6:$AG$156,MATCH($J86,'4D Schedule'!$A$6:$A$156,0))</f>
        <v>Completed</v>
      </c>
      <c r="O86" s="55"/>
    </row>
    <row r="87" customFormat="false" ht="22.35" hidden="false" customHeight="false" outlineLevel="0" collapsed="false">
      <c r="A87" s="56" t="s">
        <v>917</v>
      </c>
      <c r="B87" s="56" t="s">
        <v>318</v>
      </c>
      <c r="C87" s="55" t="s">
        <v>891</v>
      </c>
      <c r="D87" s="56" t="s">
        <v>892</v>
      </c>
      <c r="E87" s="55" t="s">
        <v>824</v>
      </c>
      <c r="F87" s="25" t="s">
        <v>77</v>
      </c>
      <c r="G87" s="55" t="s">
        <v>317</v>
      </c>
      <c r="H87" s="56" t="s">
        <v>893</v>
      </c>
      <c r="I87" s="56" t="s">
        <v>58</v>
      </c>
      <c r="J87" s="56" t="s">
        <v>322</v>
      </c>
      <c r="K87" s="55" t="str">
        <f aca="false">INDEX('4D Schedule'!$C$6:$C$156,MATCH($J87,'4D Schedule'!$A$6:$A$156,0))</f>
        <v>PCC (M7.5) &amp; pile caps – Zone-2 (10 nos: PC1 ×4, PC2 ×6)</v>
      </c>
      <c r="L87" s="61" t="n">
        <f aca="false">INDEX('4D Schedule'!$AE$6:$AE$156,MATCH($J87,'4D Schedule'!$A$6:$A$156,0))</f>
        <v>46100</v>
      </c>
      <c r="M87" s="61" t="n">
        <f aca="false">INDEX('4D Schedule'!$AF$6:$AF$156,MATCH($J87,'4D Schedule'!$A$6:$A$156,0))</f>
        <v>46112</v>
      </c>
      <c r="N87" s="56" t="str">
        <f aca="false">INDEX('4D Schedule'!$AG$6:$AG$156,MATCH($J87,'4D Schedule'!$A$6:$A$156,0))</f>
        <v>Completed</v>
      </c>
      <c r="O87" s="55"/>
    </row>
    <row r="88" customFormat="false" ht="22.35" hidden="false" customHeight="false" outlineLevel="0" collapsed="false">
      <c r="A88" s="56" t="s">
        <v>918</v>
      </c>
      <c r="B88" s="56" t="s">
        <v>318</v>
      </c>
      <c r="C88" s="55" t="s">
        <v>891</v>
      </c>
      <c r="D88" s="56" t="s">
        <v>892</v>
      </c>
      <c r="E88" s="55" t="s">
        <v>870</v>
      </c>
      <c r="F88" s="25" t="s">
        <v>77</v>
      </c>
      <c r="G88" s="55" t="s">
        <v>317</v>
      </c>
      <c r="H88" s="56" t="s">
        <v>893</v>
      </c>
      <c r="I88" s="56" t="s">
        <v>58</v>
      </c>
      <c r="J88" s="56" t="s">
        <v>322</v>
      </c>
      <c r="K88" s="55" t="str">
        <f aca="false">INDEX('4D Schedule'!$C$6:$C$156,MATCH($J88,'4D Schedule'!$A$6:$A$156,0))</f>
        <v>PCC (M7.5) &amp; pile caps – Zone-2 (10 nos: PC1 ×4, PC2 ×6)</v>
      </c>
      <c r="L88" s="61" t="n">
        <f aca="false">INDEX('4D Schedule'!$AE$6:$AE$156,MATCH($J88,'4D Schedule'!$A$6:$A$156,0))</f>
        <v>46100</v>
      </c>
      <c r="M88" s="61" t="n">
        <f aca="false">INDEX('4D Schedule'!$AF$6:$AF$156,MATCH($J88,'4D Schedule'!$A$6:$A$156,0))</f>
        <v>46112</v>
      </c>
      <c r="N88" s="56" t="str">
        <f aca="false">INDEX('4D Schedule'!$AG$6:$AG$156,MATCH($J88,'4D Schedule'!$A$6:$A$156,0))</f>
        <v>Completed</v>
      </c>
      <c r="O88" s="55"/>
    </row>
    <row r="89" customFormat="false" ht="22.35" hidden="false" customHeight="false" outlineLevel="0" collapsed="false">
      <c r="A89" s="56" t="s">
        <v>919</v>
      </c>
      <c r="B89" s="56" t="s">
        <v>318</v>
      </c>
      <c r="C89" s="55" t="s">
        <v>891</v>
      </c>
      <c r="D89" s="56" t="s">
        <v>892</v>
      </c>
      <c r="E89" s="55" t="s">
        <v>834</v>
      </c>
      <c r="F89" s="25" t="s">
        <v>79</v>
      </c>
      <c r="G89" s="55" t="s">
        <v>317</v>
      </c>
      <c r="H89" s="56" t="s">
        <v>893</v>
      </c>
      <c r="I89" s="56" t="s">
        <v>58</v>
      </c>
      <c r="J89" s="56" t="s">
        <v>326</v>
      </c>
      <c r="K89" s="55" t="str">
        <f aca="false">INDEX('4D Schedule'!$C$6:$C$156,MATCH($J89,'4D Schedule'!$A$6:$A$156,0))</f>
        <v>PCC (M7.5) &amp; pile caps – Zone-3 (8 nos: PC1 ×4, PC2 ×4)</v>
      </c>
      <c r="L89" s="61" t="n">
        <f aca="false">INDEX('4D Schedule'!$AE$6:$AE$156,MATCH($J89,'4D Schedule'!$A$6:$A$156,0))</f>
        <v>46112</v>
      </c>
      <c r="M89" s="61" t="n">
        <f aca="false">INDEX('4D Schedule'!$AF$6:$AF$156,MATCH($J89,'4D Schedule'!$A$6:$A$156,0))</f>
        <v>46120</v>
      </c>
      <c r="N89" s="56" t="str">
        <f aca="false">INDEX('4D Schedule'!$AG$6:$AG$156,MATCH($J89,'4D Schedule'!$A$6:$A$156,0))</f>
        <v>Completed</v>
      </c>
      <c r="O89" s="55"/>
    </row>
    <row r="90" customFormat="false" ht="22.35" hidden="false" customHeight="false" outlineLevel="0" collapsed="false">
      <c r="A90" s="56" t="s">
        <v>920</v>
      </c>
      <c r="B90" s="56" t="s">
        <v>318</v>
      </c>
      <c r="C90" s="55" t="s">
        <v>891</v>
      </c>
      <c r="D90" s="56" t="s">
        <v>892</v>
      </c>
      <c r="E90" s="55" t="s">
        <v>875</v>
      </c>
      <c r="F90" s="25" t="s">
        <v>79</v>
      </c>
      <c r="G90" s="55" t="s">
        <v>317</v>
      </c>
      <c r="H90" s="56" t="s">
        <v>893</v>
      </c>
      <c r="I90" s="56" t="s">
        <v>58</v>
      </c>
      <c r="J90" s="56" t="s">
        <v>326</v>
      </c>
      <c r="K90" s="55" t="str">
        <f aca="false">INDEX('4D Schedule'!$C$6:$C$156,MATCH($J90,'4D Schedule'!$A$6:$A$156,0))</f>
        <v>PCC (M7.5) &amp; pile caps – Zone-3 (8 nos: PC1 ×4, PC2 ×4)</v>
      </c>
      <c r="L90" s="61" t="n">
        <f aca="false">INDEX('4D Schedule'!$AE$6:$AE$156,MATCH($J90,'4D Schedule'!$A$6:$A$156,0))</f>
        <v>46112</v>
      </c>
      <c r="M90" s="61" t="n">
        <f aca="false">INDEX('4D Schedule'!$AF$6:$AF$156,MATCH($J90,'4D Schedule'!$A$6:$A$156,0))</f>
        <v>46120</v>
      </c>
      <c r="N90" s="56" t="str">
        <f aca="false">INDEX('4D Schedule'!$AG$6:$AG$156,MATCH($J90,'4D Schedule'!$A$6:$A$156,0))</f>
        <v>Completed</v>
      </c>
      <c r="O90" s="55"/>
    </row>
    <row r="91" customFormat="false" ht="22.35" hidden="false" customHeight="false" outlineLevel="0" collapsed="false">
      <c r="A91" s="56" t="s">
        <v>921</v>
      </c>
      <c r="B91" s="56" t="s">
        <v>318</v>
      </c>
      <c r="C91" s="55" t="s">
        <v>887</v>
      </c>
      <c r="D91" s="56" t="s">
        <v>888</v>
      </c>
      <c r="E91" s="55" t="s">
        <v>759</v>
      </c>
      <c r="F91" s="25" t="s">
        <v>79</v>
      </c>
      <c r="G91" s="55" t="s">
        <v>317</v>
      </c>
      <c r="H91" s="56" t="s">
        <v>889</v>
      </c>
      <c r="I91" s="56" t="s">
        <v>58</v>
      </c>
      <c r="J91" s="56" t="s">
        <v>326</v>
      </c>
      <c r="K91" s="55" t="str">
        <f aca="false">INDEX('4D Schedule'!$C$6:$C$156,MATCH($J91,'4D Schedule'!$A$6:$A$156,0))</f>
        <v>PCC (M7.5) &amp; pile caps – Zone-3 (8 nos: PC1 ×4, PC2 ×4)</v>
      </c>
      <c r="L91" s="61" t="n">
        <f aca="false">INDEX('4D Schedule'!$AE$6:$AE$156,MATCH($J91,'4D Schedule'!$A$6:$A$156,0))</f>
        <v>46112</v>
      </c>
      <c r="M91" s="61" t="n">
        <f aca="false">INDEX('4D Schedule'!$AF$6:$AF$156,MATCH($J91,'4D Schedule'!$A$6:$A$156,0))</f>
        <v>46120</v>
      </c>
      <c r="N91" s="56" t="str">
        <f aca="false">INDEX('4D Schedule'!$AG$6:$AG$156,MATCH($J91,'4D Schedule'!$A$6:$A$156,0))</f>
        <v>Completed</v>
      </c>
      <c r="O91" s="55"/>
    </row>
    <row r="92" customFormat="false" ht="22.35" hidden="false" customHeight="false" outlineLevel="0" collapsed="false">
      <c r="A92" s="56" t="s">
        <v>922</v>
      </c>
      <c r="B92" s="56" t="s">
        <v>318</v>
      </c>
      <c r="C92" s="55" t="s">
        <v>891</v>
      </c>
      <c r="D92" s="56" t="s">
        <v>892</v>
      </c>
      <c r="E92" s="55" t="s">
        <v>781</v>
      </c>
      <c r="F92" s="25" t="s">
        <v>79</v>
      </c>
      <c r="G92" s="55" t="s">
        <v>317</v>
      </c>
      <c r="H92" s="56" t="s">
        <v>893</v>
      </c>
      <c r="I92" s="56" t="s">
        <v>58</v>
      </c>
      <c r="J92" s="56" t="s">
        <v>326</v>
      </c>
      <c r="K92" s="55" t="str">
        <f aca="false">INDEX('4D Schedule'!$C$6:$C$156,MATCH($J92,'4D Schedule'!$A$6:$A$156,0))</f>
        <v>PCC (M7.5) &amp; pile caps – Zone-3 (8 nos: PC1 ×4, PC2 ×4)</v>
      </c>
      <c r="L92" s="61" t="n">
        <f aca="false">INDEX('4D Schedule'!$AE$6:$AE$156,MATCH($J92,'4D Schedule'!$A$6:$A$156,0))</f>
        <v>46112</v>
      </c>
      <c r="M92" s="61" t="n">
        <f aca="false">INDEX('4D Schedule'!$AF$6:$AF$156,MATCH($J92,'4D Schedule'!$A$6:$A$156,0))</f>
        <v>46120</v>
      </c>
      <c r="N92" s="56" t="str">
        <f aca="false">INDEX('4D Schedule'!$AG$6:$AG$156,MATCH($J92,'4D Schedule'!$A$6:$A$156,0))</f>
        <v>Completed</v>
      </c>
      <c r="O92" s="55"/>
    </row>
    <row r="93" customFormat="false" ht="22.35" hidden="false" customHeight="false" outlineLevel="0" collapsed="false">
      <c r="A93" s="56" t="s">
        <v>923</v>
      </c>
      <c r="B93" s="56" t="s">
        <v>318</v>
      </c>
      <c r="C93" s="55" t="s">
        <v>887</v>
      </c>
      <c r="D93" s="56" t="s">
        <v>888</v>
      </c>
      <c r="E93" s="55" t="s">
        <v>801</v>
      </c>
      <c r="F93" s="25" t="s">
        <v>79</v>
      </c>
      <c r="G93" s="55" t="s">
        <v>317</v>
      </c>
      <c r="H93" s="56" t="s">
        <v>889</v>
      </c>
      <c r="I93" s="56" t="s">
        <v>58</v>
      </c>
      <c r="J93" s="56" t="s">
        <v>326</v>
      </c>
      <c r="K93" s="55" t="str">
        <f aca="false">INDEX('4D Schedule'!$C$6:$C$156,MATCH($J93,'4D Schedule'!$A$6:$A$156,0))</f>
        <v>PCC (M7.5) &amp; pile caps – Zone-3 (8 nos: PC1 ×4, PC2 ×4)</v>
      </c>
      <c r="L93" s="61" t="n">
        <f aca="false">INDEX('4D Schedule'!$AE$6:$AE$156,MATCH($J93,'4D Schedule'!$A$6:$A$156,0))</f>
        <v>46112</v>
      </c>
      <c r="M93" s="61" t="n">
        <f aca="false">INDEX('4D Schedule'!$AF$6:$AF$156,MATCH($J93,'4D Schedule'!$A$6:$A$156,0))</f>
        <v>46120</v>
      </c>
      <c r="N93" s="56" t="str">
        <f aca="false">INDEX('4D Schedule'!$AG$6:$AG$156,MATCH($J93,'4D Schedule'!$A$6:$A$156,0))</f>
        <v>Completed</v>
      </c>
      <c r="O93" s="55"/>
    </row>
    <row r="94" customFormat="false" ht="22.35" hidden="false" customHeight="false" outlineLevel="0" collapsed="false">
      <c r="A94" s="56" t="s">
        <v>924</v>
      </c>
      <c r="B94" s="56" t="s">
        <v>318</v>
      </c>
      <c r="C94" s="55" t="s">
        <v>891</v>
      </c>
      <c r="D94" s="56" t="s">
        <v>892</v>
      </c>
      <c r="E94" s="55" t="s">
        <v>829</v>
      </c>
      <c r="F94" s="25" t="s">
        <v>79</v>
      </c>
      <c r="G94" s="55" t="s">
        <v>317</v>
      </c>
      <c r="H94" s="56" t="s">
        <v>893</v>
      </c>
      <c r="I94" s="56" t="s">
        <v>58</v>
      </c>
      <c r="J94" s="56" t="s">
        <v>326</v>
      </c>
      <c r="K94" s="55" t="str">
        <f aca="false">INDEX('4D Schedule'!$C$6:$C$156,MATCH($J94,'4D Schedule'!$A$6:$A$156,0))</f>
        <v>PCC (M7.5) &amp; pile caps – Zone-3 (8 nos: PC1 ×4, PC2 ×4)</v>
      </c>
      <c r="L94" s="61" t="n">
        <f aca="false">INDEX('4D Schedule'!$AE$6:$AE$156,MATCH($J94,'4D Schedule'!$A$6:$A$156,0))</f>
        <v>46112</v>
      </c>
      <c r="M94" s="61" t="n">
        <f aca="false">INDEX('4D Schedule'!$AF$6:$AF$156,MATCH($J94,'4D Schedule'!$A$6:$A$156,0))</f>
        <v>46120</v>
      </c>
      <c r="N94" s="56" t="str">
        <f aca="false">INDEX('4D Schedule'!$AG$6:$AG$156,MATCH($J94,'4D Schedule'!$A$6:$A$156,0))</f>
        <v>Completed</v>
      </c>
      <c r="O94" s="55"/>
    </row>
    <row r="95" customFormat="false" ht="22.35" hidden="false" customHeight="false" outlineLevel="0" collapsed="false">
      <c r="A95" s="56" t="s">
        <v>925</v>
      </c>
      <c r="B95" s="56" t="s">
        <v>318</v>
      </c>
      <c r="C95" s="55" t="s">
        <v>887</v>
      </c>
      <c r="D95" s="56" t="s">
        <v>888</v>
      </c>
      <c r="E95" s="55" t="s">
        <v>839</v>
      </c>
      <c r="F95" s="25" t="s">
        <v>79</v>
      </c>
      <c r="G95" s="55" t="s">
        <v>317</v>
      </c>
      <c r="H95" s="56" t="s">
        <v>889</v>
      </c>
      <c r="I95" s="56" t="s">
        <v>58</v>
      </c>
      <c r="J95" s="56" t="s">
        <v>326</v>
      </c>
      <c r="K95" s="55" t="str">
        <f aca="false">INDEX('4D Schedule'!$C$6:$C$156,MATCH($J95,'4D Schedule'!$A$6:$A$156,0))</f>
        <v>PCC (M7.5) &amp; pile caps – Zone-3 (8 nos: PC1 ×4, PC2 ×4)</v>
      </c>
      <c r="L95" s="61" t="n">
        <f aca="false">INDEX('4D Schedule'!$AE$6:$AE$156,MATCH($J95,'4D Schedule'!$A$6:$A$156,0))</f>
        <v>46112</v>
      </c>
      <c r="M95" s="61" t="n">
        <f aca="false">INDEX('4D Schedule'!$AF$6:$AF$156,MATCH($J95,'4D Schedule'!$A$6:$A$156,0))</f>
        <v>46120</v>
      </c>
      <c r="N95" s="56" t="str">
        <f aca="false">INDEX('4D Schedule'!$AG$6:$AG$156,MATCH($J95,'4D Schedule'!$A$6:$A$156,0))</f>
        <v>Completed</v>
      </c>
      <c r="O95" s="55"/>
    </row>
    <row r="96" customFormat="false" ht="22.35" hidden="false" customHeight="false" outlineLevel="0" collapsed="false">
      <c r="A96" s="56" t="s">
        <v>926</v>
      </c>
      <c r="B96" s="56" t="s">
        <v>318</v>
      </c>
      <c r="C96" s="55" t="s">
        <v>887</v>
      </c>
      <c r="D96" s="56" t="s">
        <v>888</v>
      </c>
      <c r="E96" s="55" t="s">
        <v>880</v>
      </c>
      <c r="F96" s="25" t="s">
        <v>79</v>
      </c>
      <c r="G96" s="55" t="s">
        <v>317</v>
      </c>
      <c r="H96" s="56" t="s">
        <v>889</v>
      </c>
      <c r="I96" s="56" t="s">
        <v>58</v>
      </c>
      <c r="J96" s="56" t="s">
        <v>326</v>
      </c>
      <c r="K96" s="55" t="str">
        <f aca="false">INDEX('4D Schedule'!$C$6:$C$156,MATCH($J96,'4D Schedule'!$A$6:$A$156,0))</f>
        <v>PCC (M7.5) &amp; pile caps – Zone-3 (8 nos: PC1 ×4, PC2 ×4)</v>
      </c>
      <c r="L96" s="61" t="n">
        <f aca="false">INDEX('4D Schedule'!$AE$6:$AE$156,MATCH($J96,'4D Schedule'!$A$6:$A$156,0))</f>
        <v>46112</v>
      </c>
      <c r="M96" s="61" t="n">
        <f aca="false">INDEX('4D Schedule'!$AF$6:$AF$156,MATCH($J96,'4D Schedule'!$A$6:$A$156,0))</f>
        <v>46120</v>
      </c>
      <c r="N96" s="56" t="str">
        <f aca="false">INDEX('4D Schedule'!$AG$6:$AG$156,MATCH($J96,'4D Schedule'!$A$6:$A$156,0))</f>
        <v>Completed</v>
      </c>
      <c r="O96" s="55"/>
    </row>
    <row r="97" customFormat="false" ht="22.35" hidden="false" customHeight="false" outlineLevel="0" collapsed="false">
      <c r="A97" s="56" t="s">
        <v>927</v>
      </c>
      <c r="B97" s="56" t="s">
        <v>368</v>
      </c>
      <c r="C97" s="55" t="s">
        <v>928</v>
      </c>
      <c r="D97" s="56" t="s">
        <v>929</v>
      </c>
      <c r="E97" s="55" t="s">
        <v>741</v>
      </c>
      <c r="F97" s="25" t="s">
        <v>75</v>
      </c>
      <c r="G97" s="55" t="s">
        <v>930</v>
      </c>
      <c r="H97" s="56" t="s">
        <v>931</v>
      </c>
      <c r="I97" s="56" t="s">
        <v>58</v>
      </c>
      <c r="J97" s="56" t="s">
        <v>330</v>
      </c>
      <c r="K97" s="55" t="str">
        <f aca="false">INDEX('4D Schedule'!$C$6:$C$156,MATCH($J97,'4D Schedule'!$A$6:$A$156,0))</f>
        <v>Pile cap beams PCB1/PCB2/PCB3 &amp; column pedestals (B.O.C -2.500 to -0.300) – Zone-1</v>
      </c>
      <c r="L97" s="61" t="n">
        <f aca="false">INDEX('4D Schedule'!$AE$6:$AE$156,MATCH($J97,'4D Schedule'!$A$6:$A$156,0))</f>
        <v>46107</v>
      </c>
      <c r="M97" s="61" t="n">
        <f aca="false">INDEX('4D Schedule'!$AF$6:$AF$156,MATCH($J97,'4D Schedule'!$A$6:$A$156,0))</f>
        <v>46123</v>
      </c>
      <c r="N97" s="56" t="str">
        <f aca="false">INDEX('4D Schedule'!$AG$6:$AG$156,MATCH($J97,'4D Schedule'!$A$6:$A$156,0))</f>
        <v>Completed</v>
      </c>
      <c r="O97" s="55" t="s">
        <v>932</v>
      </c>
    </row>
    <row r="98" customFormat="false" ht="22.35" hidden="false" customHeight="false" outlineLevel="0" collapsed="false">
      <c r="A98" s="56" t="s">
        <v>933</v>
      </c>
      <c r="B98" s="56" t="s">
        <v>368</v>
      </c>
      <c r="C98" s="55" t="s">
        <v>934</v>
      </c>
      <c r="D98" s="56" t="s">
        <v>935</v>
      </c>
      <c r="E98" s="55" t="s">
        <v>762</v>
      </c>
      <c r="F98" s="25" t="s">
        <v>75</v>
      </c>
      <c r="G98" s="55" t="s">
        <v>930</v>
      </c>
      <c r="H98" s="56" t="s">
        <v>931</v>
      </c>
      <c r="I98" s="56" t="s">
        <v>58</v>
      </c>
      <c r="J98" s="56" t="s">
        <v>330</v>
      </c>
      <c r="K98" s="55" t="str">
        <f aca="false">INDEX('4D Schedule'!$C$6:$C$156,MATCH($J98,'4D Schedule'!$A$6:$A$156,0))</f>
        <v>Pile cap beams PCB1/PCB2/PCB3 &amp; column pedestals (B.O.C -2.500 to -0.300) – Zone-1</v>
      </c>
      <c r="L98" s="61" t="n">
        <f aca="false">INDEX('4D Schedule'!$AE$6:$AE$156,MATCH($J98,'4D Schedule'!$A$6:$A$156,0))</f>
        <v>46107</v>
      </c>
      <c r="M98" s="61" t="n">
        <f aca="false">INDEX('4D Schedule'!$AF$6:$AF$156,MATCH($J98,'4D Schedule'!$A$6:$A$156,0))</f>
        <v>46123</v>
      </c>
      <c r="N98" s="56" t="str">
        <f aca="false">INDEX('4D Schedule'!$AG$6:$AG$156,MATCH($J98,'4D Schedule'!$A$6:$A$156,0))</f>
        <v>Completed</v>
      </c>
      <c r="O98" s="55" t="s">
        <v>932</v>
      </c>
    </row>
    <row r="99" customFormat="false" ht="22.35" hidden="false" customHeight="false" outlineLevel="0" collapsed="false">
      <c r="A99" s="56" t="s">
        <v>936</v>
      </c>
      <c r="B99" s="56" t="s">
        <v>368</v>
      </c>
      <c r="C99" s="55" t="s">
        <v>928</v>
      </c>
      <c r="D99" s="56" t="s">
        <v>929</v>
      </c>
      <c r="E99" s="55" t="s">
        <v>786</v>
      </c>
      <c r="F99" s="25" t="s">
        <v>75</v>
      </c>
      <c r="G99" s="55" t="s">
        <v>930</v>
      </c>
      <c r="H99" s="56" t="s">
        <v>931</v>
      </c>
      <c r="I99" s="56" t="s">
        <v>58</v>
      </c>
      <c r="J99" s="56" t="s">
        <v>330</v>
      </c>
      <c r="K99" s="55" t="str">
        <f aca="false">INDEX('4D Schedule'!$C$6:$C$156,MATCH($J99,'4D Schedule'!$A$6:$A$156,0))</f>
        <v>Pile cap beams PCB1/PCB2/PCB3 &amp; column pedestals (B.O.C -2.500 to -0.300) – Zone-1</v>
      </c>
      <c r="L99" s="61" t="n">
        <f aca="false">INDEX('4D Schedule'!$AE$6:$AE$156,MATCH($J99,'4D Schedule'!$A$6:$A$156,0))</f>
        <v>46107</v>
      </c>
      <c r="M99" s="61" t="n">
        <f aca="false">INDEX('4D Schedule'!$AF$6:$AF$156,MATCH($J99,'4D Schedule'!$A$6:$A$156,0))</f>
        <v>46123</v>
      </c>
      <c r="N99" s="56" t="str">
        <f aca="false">INDEX('4D Schedule'!$AG$6:$AG$156,MATCH($J99,'4D Schedule'!$A$6:$A$156,0))</f>
        <v>Completed</v>
      </c>
      <c r="O99" s="55" t="s">
        <v>932</v>
      </c>
    </row>
    <row r="100" customFormat="false" ht="22.35" hidden="false" customHeight="false" outlineLevel="0" collapsed="false">
      <c r="A100" s="56" t="s">
        <v>937</v>
      </c>
      <c r="B100" s="56" t="s">
        <v>368</v>
      </c>
      <c r="C100" s="55" t="s">
        <v>938</v>
      </c>
      <c r="D100" s="56" t="s">
        <v>939</v>
      </c>
      <c r="E100" s="55" t="s">
        <v>804</v>
      </c>
      <c r="F100" s="25" t="s">
        <v>75</v>
      </c>
      <c r="G100" s="55" t="s">
        <v>930</v>
      </c>
      <c r="H100" s="56" t="s">
        <v>940</v>
      </c>
      <c r="I100" s="56" t="s">
        <v>58</v>
      </c>
      <c r="J100" s="56" t="s">
        <v>330</v>
      </c>
      <c r="K100" s="55" t="str">
        <f aca="false">INDEX('4D Schedule'!$C$6:$C$156,MATCH($J100,'4D Schedule'!$A$6:$A$156,0))</f>
        <v>Pile cap beams PCB1/PCB2/PCB3 &amp; column pedestals (B.O.C -2.500 to -0.300) – Zone-1</v>
      </c>
      <c r="L100" s="61" t="n">
        <f aca="false">INDEX('4D Schedule'!$AE$6:$AE$156,MATCH($J100,'4D Schedule'!$A$6:$A$156,0))</f>
        <v>46107</v>
      </c>
      <c r="M100" s="61" t="n">
        <f aca="false">INDEX('4D Schedule'!$AF$6:$AF$156,MATCH($J100,'4D Schedule'!$A$6:$A$156,0))</f>
        <v>46123</v>
      </c>
      <c r="N100" s="56" t="str">
        <f aca="false">INDEX('4D Schedule'!$AG$6:$AG$156,MATCH($J100,'4D Schedule'!$A$6:$A$156,0))</f>
        <v>Completed</v>
      </c>
      <c r="O100" s="55" t="s">
        <v>932</v>
      </c>
    </row>
    <row r="101" customFormat="false" ht="22.35" hidden="false" customHeight="false" outlineLevel="0" collapsed="false">
      <c r="A101" s="56" t="s">
        <v>941</v>
      </c>
      <c r="B101" s="56" t="s">
        <v>368</v>
      </c>
      <c r="C101" s="55" t="s">
        <v>942</v>
      </c>
      <c r="D101" s="56" t="s">
        <v>943</v>
      </c>
      <c r="E101" s="55" t="s">
        <v>842</v>
      </c>
      <c r="F101" s="25" t="s">
        <v>75</v>
      </c>
      <c r="G101" s="55" t="s">
        <v>930</v>
      </c>
      <c r="H101" s="56" t="s">
        <v>940</v>
      </c>
      <c r="I101" s="56" t="s">
        <v>58</v>
      </c>
      <c r="J101" s="56" t="s">
        <v>330</v>
      </c>
      <c r="K101" s="55" t="str">
        <f aca="false">INDEX('4D Schedule'!$C$6:$C$156,MATCH($J101,'4D Schedule'!$A$6:$A$156,0))</f>
        <v>Pile cap beams PCB1/PCB2/PCB3 &amp; column pedestals (B.O.C -2.500 to -0.300) – Zone-1</v>
      </c>
      <c r="L101" s="61" t="n">
        <f aca="false">INDEX('4D Schedule'!$AE$6:$AE$156,MATCH($J101,'4D Schedule'!$A$6:$A$156,0))</f>
        <v>46107</v>
      </c>
      <c r="M101" s="61" t="n">
        <f aca="false">INDEX('4D Schedule'!$AF$6:$AF$156,MATCH($J101,'4D Schedule'!$A$6:$A$156,0))</f>
        <v>46123</v>
      </c>
      <c r="N101" s="56" t="str">
        <f aca="false">INDEX('4D Schedule'!$AG$6:$AG$156,MATCH($J101,'4D Schedule'!$A$6:$A$156,0))</f>
        <v>Completed</v>
      </c>
      <c r="O101" s="55" t="s">
        <v>932</v>
      </c>
    </row>
    <row r="102" customFormat="false" ht="22.35" hidden="false" customHeight="false" outlineLevel="0" collapsed="false">
      <c r="A102" s="56" t="s">
        <v>944</v>
      </c>
      <c r="B102" s="56" t="s">
        <v>368</v>
      </c>
      <c r="C102" s="55" t="s">
        <v>942</v>
      </c>
      <c r="D102" s="56" t="s">
        <v>943</v>
      </c>
      <c r="E102" s="55" t="s">
        <v>852</v>
      </c>
      <c r="F102" s="25" t="s">
        <v>75</v>
      </c>
      <c r="G102" s="55" t="s">
        <v>930</v>
      </c>
      <c r="H102" s="56" t="s">
        <v>940</v>
      </c>
      <c r="I102" s="56" t="s">
        <v>58</v>
      </c>
      <c r="J102" s="56" t="s">
        <v>330</v>
      </c>
      <c r="K102" s="55" t="str">
        <f aca="false">INDEX('4D Schedule'!$C$6:$C$156,MATCH($J102,'4D Schedule'!$A$6:$A$156,0))</f>
        <v>Pile cap beams PCB1/PCB2/PCB3 &amp; column pedestals (B.O.C -2.500 to -0.300) – Zone-1</v>
      </c>
      <c r="L102" s="61" t="n">
        <f aca="false">INDEX('4D Schedule'!$AE$6:$AE$156,MATCH($J102,'4D Schedule'!$A$6:$A$156,0))</f>
        <v>46107</v>
      </c>
      <c r="M102" s="61" t="n">
        <f aca="false">INDEX('4D Schedule'!$AF$6:$AF$156,MATCH($J102,'4D Schedule'!$A$6:$A$156,0))</f>
        <v>46123</v>
      </c>
      <c r="N102" s="56" t="str">
        <f aca="false">INDEX('4D Schedule'!$AG$6:$AG$156,MATCH($J102,'4D Schedule'!$A$6:$A$156,0))</f>
        <v>Completed</v>
      </c>
      <c r="O102" s="55" t="s">
        <v>932</v>
      </c>
    </row>
    <row r="103" customFormat="false" ht="22.35" hidden="false" customHeight="false" outlineLevel="0" collapsed="false">
      <c r="A103" s="56" t="s">
        <v>945</v>
      </c>
      <c r="B103" s="56" t="s">
        <v>368</v>
      </c>
      <c r="C103" s="55" t="s">
        <v>946</v>
      </c>
      <c r="D103" s="56" t="s">
        <v>947</v>
      </c>
      <c r="E103" s="55" t="s">
        <v>948</v>
      </c>
      <c r="F103" s="25" t="s">
        <v>75</v>
      </c>
      <c r="G103" s="55" t="s">
        <v>949</v>
      </c>
      <c r="H103" s="56" t="s">
        <v>931</v>
      </c>
      <c r="I103" s="56" t="s">
        <v>58</v>
      </c>
      <c r="J103" s="56" t="s">
        <v>330</v>
      </c>
      <c r="K103" s="55" t="str">
        <f aca="false">INDEX('4D Schedule'!$C$6:$C$156,MATCH($J103,'4D Schedule'!$A$6:$A$156,0))</f>
        <v>Pile cap beams PCB1/PCB2/PCB3 &amp; column pedestals (B.O.C -2.500 to -0.300) – Zone-1</v>
      </c>
      <c r="L103" s="61" t="n">
        <f aca="false">INDEX('4D Schedule'!$AE$6:$AE$156,MATCH($J103,'4D Schedule'!$A$6:$A$156,0))</f>
        <v>46107</v>
      </c>
      <c r="M103" s="61" t="n">
        <f aca="false">INDEX('4D Schedule'!$AF$6:$AF$156,MATCH($J103,'4D Schedule'!$A$6:$A$156,0))</f>
        <v>46123</v>
      </c>
      <c r="N103" s="56" t="str">
        <f aca="false">INDEX('4D Schedule'!$AG$6:$AG$156,MATCH($J103,'4D Schedule'!$A$6:$A$156,0))</f>
        <v>Completed</v>
      </c>
      <c r="O103" s="55" t="s">
        <v>932</v>
      </c>
    </row>
    <row r="104" customFormat="false" ht="22.35" hidden="false" customHeight="false" outlineLevel="0" collapsed="false">
      <c r="A104" s="56" t="s">
        <v>950</v>
      </c>
      <c r="B104" s="56" t="s">
        <v>368</v>
      </c>
      <c r="C104" s="55" t="s">
        <v>951</v>
      </c>
      <c r="D104" s="56" t="s">
        <v>952</v>
      </c>
      <c r="E104" s="55" t="s">
        <v>745</v>
      </c>
      <c r="F104" s="25" t="s">
        <v>75</v>
      </c>
      <c r="G104" s="55" t="s">
        <v>930</v>
      </c>
      <c r="H104" s="56" t="s">
        <v>940</v>
      </c>
      <c r="I104" s="56" t="s">
        <v>58</v>
      </c>
      <c r="J104" s="56" t="s">
        <v>330</v>
      </c>
      <c r="K104" s="55" t="str">
        <f aca="false">INDEX('4D Schedule'!$C$6:$C$156,MATCH($J104,'4D Schedule'!$A$6:$A$156,0))</f>
        <v>Pile cap beams PCB1/PCB2/PCB3 &amp; column pedestals (B.O.C -2.500 to -0.300) – Zone-1</v>
      </c>
      <c r="L104" s="61" t="n">
        <f aca="false">INDEX('4D Schedule'!$AE$6:$AE$156,MATCH($J104,'4D Schedule'!$A$6:$A$156,0))</f>
        <v>46107</v>
      </c>
      <c r="M104" s="61" t="n">
        <f aca="false">INDEX('4D Schedule'!$AF$6:$AF$156,MATCH($J104,'4D Schedule'!$A$6:$A$156,0))</f>
        <v>46123</v>
      </c>
      <c r="N104" s="56" t="str">
        <f aca="false">INDEX('4D Schedule'!$AG$6:$AG$156,MATCH($J104,'4D Schedule'!$A$6:$A$156,0))</f>
        <v>Completed</v>
      </c>
      <c r="O104" s="55" t="s">
        <v>932</v>
      </c>
    </row>
    <row r="105" customFormat="false" ht="22.35" hidden="false" customHeight="false" outlineLevel="0" collapsed="false">
      <c r="A105" s="56" t="s">
        <v>953</v>
      </c>
      <c r="B105" s="56" t="s">
        <v>368</v>
      </c>
      <c r="C105" s="55" t="s">
        <v>951</v>
      </c>
      <c r="D105" s="56" t="s">
        <v>952</v>
      </c>
      <c r="E105" s="55" t="s">
        <v>767</v>
      </c>
      <c r="F105" s="25" t="s">
        <v>75</v>
      </c>
      <c r="G105" s="55" t="s">
        <v>930</v>
      </c>
      <c r="H105" s="56" t="s">
        <v>940</v>
      </c>
      <c r="I105" s="56" t="s">
        <v>58</v>
      </c>
      <c r="J105" s="56" t="s">
        <v>330</v>
      </c>
      <c r="K105" s="55" t="str">
        <f aca="false">INDEX('4D Schedule'!$C$6:$C$156,MATCH($J105,'4D Schedule'!$A$6:$A$156,0))</f>
        <v>Pile cap beams PCB1/PCB2/PCB3 &amp; column pedestals (B.O.C -2.500 to -0.300) – Zone-1</v>
      </c>
      <c r="L105" s="61" t="n">
        <f aca="false">INDEX('4D Schedule'!$AE$6:$AE$156,MATCH($J105,'4D Schedule'!$A$6:$A$156,0))</f>
        <v>46107</v>
      </c>
      <c r="M105" s="61" t="n">
        <f aca="false">INDEX('4D Schedule'!$AF$6:$AF$156,MATCH($J105,'4D Schedule'!$A$6:$A$156,0))</f>
        <v>46123</v>
      </c>
      <c r="N105" s="56" t="str">
        <f aca="false">INDEX('4D Schedule'!$AG$6:$AG$156,MATCH($J105,'4D Schedule'!$A$6:$A$156,0))</f>
        <v>Completed</v>
      </c>
      <c r="O105" s="55" t="s">
        <v>932</v>
      </c>
    </row>
    <row r="106" customFormat="false" ht="22.35" hidden="false" customHeight="false" outlineLevel="0" collapsed="false">
      <c r="A106" s="56" t="s">
        <v>954</v>
      </c>
      <c r="B106" s="56" t="s">
        <v>368</v>
      </c>
      <c r="C106" s="55" t="s">
        <v>951</v>
      </c>
      <c r="D106" s="56" t="s">
        <v>952</v>
      </c>
      <c r="E106" s="55" t="s">
        <v>789</v>
      </c>
      <c r="F106" s="25" t="s">
        <v>75</v>
      </c>
      <c r="G106" s="55" t="s">
        <v>930</v>
      </c>
      <c r="H106" s="56" t="s">
        <v>940</v>
      </c>
      <c r="I106" s="56" t="s">
        <v>58</v>
      </c>
      <c r="J106" s="56" t="s">
        <v>330</v>
      </c>
      <c r="K106" s="55" t="str">
        <f aca="false">INDEX('4D Schedule'!$C$6:$C$156,MATCH($J106,'4D Schedule'!$A$6:$A$156,0))</f>
        <v>Pile cap beams PCB1/PCB2/PCB3 &amp; column pedestals (B.O.C -2.500 to -0.300) – Zone-1</v>
      </c>
      <c r="L106" s="61" t="n">
        <f aca="false">INDEX('4D Schedule'!$AE$6:$AE$156,MATCH($J106,'4D Schedule'!$A$6:$A$156,0))</f>
        <v>46107</v>
      </c>
      <c r="M106" s="61" t="n">
        <f aca="false">INDEX('4D Schedule'!$AF$6:$AF$156,MATCH($J106,'4D Schedule'!$A$6:$A$156,0))</f>
        <v>46123</v>
      </c>
      <c r="N106" s="56" t="str">
        <f aca="false">INDEX('4D Schedule'!$AG$6:$AG$156,MATCH($J106,'4D Schedule'!$A$6:$A$156,0))</f>
        <v>Completed</v>
      </c>
      <c r="O106" s="55" t="s">
        <v>932</v>
      </c>
    </row>
    <row r="107" customFormat="false" ht="22.35" hidden="false" customHeight="false" outlineLevel="0" collapsed="false">
      <c r="A107" s="56" t="s">
        <v>955</v>
      </c>
      <c r="B107" s="56" t="s">
        <v>368</v>
      </c>
      <c r="C107" s="55" t="s">
        <v>938</v>
      </c>
      <c r="D107" s="56" t="s">
        <v>939</v>
      </c>
      <c r="E107" s="55" t="s">
        <v>809</v>
      </c>
      <c r="F107" s="25" t="s">
        <v>75</v>
      </c>
      <c r="G107" s="55" t="s">
        <v>930</v>
      </c>
      <c r="H107" s="56" t="s">
        <v>940</v>
      </c>
      <c r="I107" s="56" t="s">
        <v>58</v>
      </c>
      <c r="J107" s="56" t="s">
        <v>330</v>
      </c>
      <c r="K107" s="55" t="str">
        <f aca="false">INDEX('4D Schedule'!$C$6:$C$156,MATCH($J107,'4D Schedule'!$A$6:$A$156,0))</f>
        <v>Pile cap beams PCB1/PCB2/PCB3 &amp; column pedestals (B.O.C -2.500 to -0.300) – Zone-1</v>
      </c>
      <c r="L107" s="61" t="n">
        <f aca="false">INDEX('4D Schedule'!$AE$6:$AE$156,MATCH($J107,'4D Schedule'!$A$6:$A$156,0))</f>
        <v>46107</v>
      </c>
      <c r="M107" s="61" t="n">
        <f aca="false">INDEX('4D Schedule'!$AF$6:$AF$156,MATCH($J107,'4D Schedule'!$A$6:$A$156,0))</f>
        <v>46123</v>
      </c>
      <c r="N107" s="56" t="str">
        <f aca="false">INDEX('4D Schedule'!$AG$6:$AG$156,MATCH($J107,'4D Schedule'!$A$6:$A$156,0))</f>
        <v>Completed</v>
      </c>
      <c r="O107" s="55" t="s">
        <v>932</v>
      </c>
    </row>
    <row r="108" customFormat="false" ht="22.35" hidden="false" customHeight="false" outlineLevel="0" collapsed="false">
      <c r="A108" s="56" t="s">
        <v>956</v>
      </c>
      <c r="B108" s="56" t="s">
        <v>368</v>
      </c>
      <c r="C108" s="55" t="s">
        <v>942</v>
      </c>
      <c r="D108" s="56" t="s">
        <v>943</v>
      </c>
      <c r="E108" s="55" t="s">
        <v>847</v>
      </c>
      <c r="F108" s="25" t="s">
        <v>75</v>
      </c>
      <c r="G108" s="55" t="s">
        <v>930</v>
      </c>
      <c r="H108" s="56" t="s">
        <v>940</v>
      </c>
      <c r="I108" s="56" t="s">
        <v>58</v>
      </c>
      <c r="J108" s="56" t="s">
        <v>330</v>
      </c>
      <c r="K108" s="55" t="str">
        <f aca="false">INDEX('4D Schedule'!$C$6:$C$156,MATCH($J108,'4D Schedule'!$A$6:$A$156,0))</f>
        <v>Pile cap beams PCB1/PCB2/PCB3 &amp; column pedestals (B.O.C -2.500 to -0.300) – Zone-1</v>
      </c>
      <c r="L108" s="61" t="n">
        <f aca="false">INDEX('4D Schedule'!$AE$6:$AE$156,MATCH($J108,'4D Schedule'!$A$6:$A$156,0))</f>
        <v>46107</v>
      </c>
      <c r="M108" s="61" t="n">
        <f aca="false">INDEX('4D Schedule'!$AF$6:$AF$156,MATCH($J108,'4D Schedule'!$A$6:$A$156,0))</f>
        <v>46123</v>
      </c>
      <c r="N108" s="56" t="str">
        <f aca="false">INDEX('4D Schedule'!$AG$6:$AG$156,MATCH($J108,'4D Schedule'!$A$6:$A$156,0))</f>
        <v>Completed</v>
      </c>
      <c r="O108" s="55" t="s">
        <v>932</v>
      </c>
    </row>
    <row r="109" customFormat="false" ht="22.35" hidden="false" customHeight="false" outlineLevel="0" collapsed="false">
      <c r="A109" s="56" t="s">
        <v>957</v>
      </c>
      <c r="B109" s="56" t="s">
        <v>368</v>
      </c>
      <c r="C109" s="55" t="s">
        <v>942</v>
      </c>
      <c r="D109" s="56" t="s">
        <v>943</v>
      </c>
      <c r="E109" s="55" t="s">
        <v>855</v>
      </c>
      <c r="F109" s="25" t="s">
        <v>75</v>
      </c>
      <c r="G109" s="55" t="s">
        <v>930</v>
      </c>
      <c r="H109" s="56" t="s">
        <v>940</v>
      </c>
      <c r="I109" s="56" t="s">
        <v>58</v>
      </c>
      <c r="J109" s="56" t="s">
        <v>330</v>
      </c>
      <c r="K109" s="55" t="str">
        <f aca="false">INDEX('4D Schedule'!$C$6:$C$156,MATCH($J109,'4D Schedule'!$A$6:$A$156,0))</f>
        <v>Pile cap beams PCB1/PCB2/PCB3 &amp; column pedestals (B.O.C -2.500 to -0.300) – Zone-1</v>
      </c>
      <c r="L109" s="61" t="n">
        <f aca="false">INDEX('4D Schedule'!$AE$6:$AE$156,MATCH($J109,'4D Schedule'!$A$6:$A$156,0))</f>
        <v>46107</v>
      </c>
      <c r="M109" s="61" t="n">
        <f aca="false">INDEX('4D Schedule'!$AF$6:$AF$156,MATCH($J109,'4D Schedule'!$A$6:$A$156,0))</f>
        <v>46123</v>
      </c>
      <c r="N109" s="56" t="str">
        <f aca="false">INDEX('4D Schedule'!$AG$6:$AG$156,MATCH($J109,'4D Schedule'!$A$6:$A$156,0))</f>
        <v>Completed</v>
      </c>
      <c r="O109" s="55" t="s">
        <v>932</v>
      </c>
    </row>
    <row r="110" customFormat="false" ht="22.35" hidden="false" customHeight="false" outlineLevel="0" collapsed="false">
      <c r="A110" s="56" t="s">
        <v>958</v>
      </c>
      <c r="B110" s="56" t="s">
        <v>368</v>
      </c>
      <c r="C110" s="55" t="s">
        <v>951</v>
      </c>
      <c r="D110" s="56" t="s">
        <v>952</v>
      </c>
      <c r="E110" s="55" t="s">
        <v>748</v>
      </c>
      <c r="F110" s="25" t="s">
        <v>75</v>
      </c>
      <c r="G110" s="55" t="s">
        <v>930</v>
      </c>
      <c r="H110" s="56" t="s">
        <v>940</v>
      </c>
      <c r="I110" s="56" t="s">
        <v>58</v>
      </c>
      <c r="J110" s="56" t="s">
        <v>330</v>
      </c>
      <c r="K110" s="55" t="str">
        <f aca="false">INDEX('4D Schedule'!$C$6:$C$156,MATCH($J110,'4D Schedule'!$A$6:$A$156,0))</f>
        <v>Pile cap beams PCB1/PCB2/PCB3 &amp; column pedestals (B.O.C -2.500 to -0.300) – Zone-1</v>
      </c>
      <c r="L110" s="61" t="n">
        <f aca="false">INDEX('4D Schedule'!$AE$6:$AE$156,MATCH($J110,'4D Schedule'!$A$6:$A$156,0))</f>
        <v>46107</v>
      </c>
      <c r="M110" s="61" t="n">
        <f aca="false">INDEX('4D Schedule'!$AF$6:$AF$156,MATCH($J110,'4D Schedule'!$A$6:$A$156,0))</f>
        <v>46123</v>
      </c>
      <c r="N110" s="56" t="str">
        <f aca="false">INDEX('4D Schedule'!$AG$6:$AG$156,MATCH($J110,'4D Schedule'!$A$6:$A$156,0))</f>
        <v>Completed</v>
      </c>
      <c r="O110" s="55" t="s">
        <v>932</v>
      </c>
    </row>
    <row r="111" customFormat="false" ht="22.35" hidden="false" customHeight="false" outlineLevel="0" collapsed="false">
      <c r="A111" s="56" t="s">
        <v>959</v>
      </c>
      <c r="B111" s="56" t="s">
        <v>368</v>
      </c>
      <c r="C111" s="55" t="s">
        <v>951</v>
      </c>
      <c r="D111" s="56" t="s">
        <v>952</v>
      </c>
      <c r="E111" s="55" t="s">
        <v>770</v>
      </c>
      <c r="F111" s="25" t="s">
        <v>75</v>
      </c>
      <c r="G111" s="55" t="s">
        <v>930</v>
      </c>
      <c r="H111" s="56" t="s">
        <v>940</v>
      </c>
      <c r="I111" s="56" t="s">
        <v>58</v>
      </c>
      <c r="J111" s="56" t="s">
        <v>330</v>
      </c>
      <c r="K111" s="55" t="str">
        <f aca="false">INDEX('4D Schedule'!$C$6:$C$156,MATCH($J111,'4D Schedule'!$A$6:$A$156,0))</f>
        <v>Pile cap beams PCB1/PCB2/PCB3 &amp; column pedestals (B.O.C -2.500 to -0.300) – Zone-1</v>
      </c>
      <c r="L111" s="61" t="n">
        <f aca="false">INDEX('4D Schedule'!$AE$6:$AE$156,MATCH($J111,'4D Schedule'!$A$6:$A$156,0))</f>
        <v>46107</v>
      </c>
      <c r="M111" s="61" t="n">
        <f aca="false">INDEX('4D Schedule'!$AF$6:$AF$156,MATCH($J111,'4D Schedule'!$A$6:$A$156,0))</f>
        <v>46123</v>
      </c>
      <c r="N111" s="56" t="str">
        <f aca="false">INDEX('4D Schedule'!$AG$6:$AG$156,MATCH($J111,'4D Schedule'!$A$6:$A$156,0))</f>
        <v>Completed</v>
      </c>
      <c r="O111" s="55" t="s">
        <v>932</v>
      </c>
    </row>
    <row r="112" customFormat="false" ht="22.35" hidden="false" customHeight="false" outlineLevel="0" collapsed="false">
      <c r="A112" s="56" t="s">
        <v>960</v>
      </c>
      <c r="B112" s="56" t="s">
        <v>368</v>
      </c>
      <c r="C112" s="55" t="s">
        <v>951</v>
      </c>
      <c r="D112" s="56" t="s">
        <v>952</v>
      </c>
      <c r="E112" s="55" t="s">
        <v>792</v>
      </c>
      <c r="F112" s="25" t="s">
        <v>75</v>
      </c>
      <c r="G112" s="55" t="s">
        <v>930</v>
      </c>
      <c r="H112" s="56" t="s">
        <v>940</v>
      </c>
      <c r="I112" s="56" t="s">
        <v>58</v>
      </c>
      <c r="J112" s="56" t="s">
        <v>330</v>
      </c>
      <c r="K112" s="55" t="str">
        <f aca="false">INDEX('4D Schedule'!$C$6:$C$156,MATCH($J112,'4D Schedule'!$A$6:$A$156,0))</f>
        <v>Pile cap beams PCB1/PCB2/PCB3 &amp; column pedestals (B.O.C -2.500 to -0.300) – Zone-1</v>
      </c>
      <c r="L112" s="61" t="n">
        <f aca="false">INDEX('4D Schedule'!$AE$6:$AE$156,MATCH($J112,'4D Schedule'!$A$6:$A$156,0))</f>
        <v>46107</v>
      </c>
      <c r="M112" s="61" t="n">
        <f aca="false">INDEX('4D Schedule'!$AF$6:$AF$156,MATCH($J112,'4D Schedule'!$A$6:$A$156,0))</f>
        <v>46123</v>
      </c>
      <c r="N112" s="56" t="str">
        <f aca="false">INDEX('4D Schedule'!$AG$6:$AG$156,MATCH($J112,'4D Schedule'!$A$6:$A$156,0))</f>
        <v>Completed</v>
      </c>
      <c r="O112" s="55" t="s">
        <v>932</v>
      </c>
    </row>
    <row r="113" customFormat="false" ht="22.35" hidden="false" customHeight="false" outlineLevel="0" collapsed="false">
      <c r="A113" s="56" t="s">
        <v>961</v>
      </c>
      <c r="B113" s="56" t="s">
        <v>368</v>
      </c>
      <c r="C113" s="55" t="s">
        <v>962</v>
      </c>
      <c r="D113" s="56" t="s">
        <v>963</v>
      </c>
      <c r="E113" s="55" t="s">
        <v>814</v>
      </c>
      <c r="F113" s="25" t="s">
        <v>75</v>
      </c>
      <c r="G113" s="55" t="s">
        <v>930</v>
      </c>
      <c r="H113" s="56" t="s">
        <v>931</v>
      </c>
      <c r="I113" s="56" t="s">
        <v>58</v>
      </c>
      <c r="J113" s="56" t="s">
        <v>330</v>
      </c>
      <c r="K113" s="55" t="str">
        <f aca="false">INDEX('4D Schedule'!$C$6:$C$156,MATCH($J113,'4D Schedule'!$A$6:$A$156,0))</f>
        <v>Pile cap beams PCB1/PCB2/PCB3 &amp; column pedestals (B.O.C -2.500 to -0.300) – Zone-1</v>
      </c>
      <c r="L113" s="61" t="n">
        <f aca="false">INDEX('4D Schedule'!$AE$6:$AE$156,MATCH($J113,'4D Schedule'!$A$6:$A$156,0))</f>
        <v>46107</v>
      </c>
      <c r="M113" s="61" t="n">
        <f aca="false">INDEX('4D Schedule'!$AF$6:$AF$156,MATCH($J113,'4D Schedule'!$A$6:$A$156,0))</f>
        <v>46123</v>
      </c>
      <c r="N113" s="56" t="str">
        <f aca="false">INDEX('4D Schedule'!$AG$6:$AG$156,MATCH($J113,'4D Schedule'!$A$6:$A$156,0))</f>
        <v>Completed</v>
      </c>
      <c r="O113" s="55" t="s">
        <v>932</v>
      </c>
    </row>
    <row r="114" customFormat="false" ht="22.35" hidden="false" customHeight="false" outlineLevel="0" collapsed="false">
      <c r="A114" s="56" t="s">
        <v>964</v>
      </c>
      <c r="B114" s="56" t="s">
        <v>368</v>
      </c>
      <c r="C114" s="55" t="s">
        <v>965</v>
      </c>
      <c r="D114" s="56" t="s">
        <v>966</v>
      </c>
      <c r="E114" s="55" t="s">
        <v>860</v>
      </c>
      <c r="F114" s="25" t="s">
        <v>75</v>
      </c>
      <c r="G114" s="55" t="s">
        <v>930</v>
      </c>
      <c r="H114" s="56" t="s">
        <v>931</v>
      </c>
      <c r="I114" s="56" t="s">
        <v>58</v>
      </c>
      <c r="J114" s="56" t="s">
        <v>330</v>
      </c>
      <c r="K114" s="55" t="str">
        <f aca="false">INDEX('4D Schedule'!$C$6:$C$156,MATCH($J114,'4D Schedule'!$A$6:$A$156,0))</f>
        <v>Pile cap beams PCB1/PCB2/PCB3 &amp; column pedestals (B.O.C -2.500 to -0.300) – Zone-1</v>
      </c>
      <c r="L114" s="61" t="n">
        <f aca="false">INDEX('4D Schedule'!$AE$6:$AE$156,MATCH($J114,'4D Schedule'!$A$6:$A$156,0))</f>
        <v>46107</v>
      </c>
      <c r="M114" s="61" t="n">
        <f aca="false">INDEX('4D Schedule'!$AF$6:$AF$156,MATCH($J114,'4D Schedule'!$A$6:$A$156,0))</f>
        <v>46123</v>
      </c>
      <c r="N114" s="56" t="str">
        <f aca="false">INDEX('4D Schedule'!$AG$6:$AG$156,MATCH($J114,'4D Schedule'!$A$6:$A$156,0))</f>
        <v>Completed</v>
      </c>
      <c r="O114" s="55" t="s">
        <v>932</v>
      </c>
    </row>
    <row r="115" customFormat="false" ht="22.35" hidden="false" customHeight="false" outlineLevel="0" collapsed="false">
      <c r="A115" s="56" t="s">
        <v>967</v>
      </c>
      <c r="B115" s="56" t="s">
        <v>968</v>
      </c>
      <c r="C115" s="55" t="s">
        <v>969</v>
      </c>
      <c r="D115" s="56" t="s">
        <v>970</v>
      </c>
      <c r="E115" s="55" t="s">
        <v>971</v>
      </c>
      <c r="F115" s="25" t="s">
        <v>75</v>
      </c>
      <c r="G115" s="55" t="s">
        <v>972</v>
      </c>
      <c r="H115" s="56" t="s">
        <v>973</v>
      </c>
      <c r="I115" s="56" t="s">
        <v>58</v>
      </c>
      <c r="J115" s="56" t="s">
        <v>330</v>
      </c>
      <c r="K115" s="55" t="str">
        <f aca="false">INDEX('4D Schedule'!$C$6:$C$156,MATCH($J115,'4D Schedule'!$A$6:$A$156,0))</f>
        <v>Pile cap beams PCB1/PCB2/PCB3 &amp; column pedestals (B.O.C -2.500 to -0.300) – Zone-1</v>
      </c>
      <c r="L115" s="61" t="n">
        <f aca="false">INDEX('4D Schedule'!$AE$6:$AE$156,MATCH($J115,'4D Schedule'!$A$6:$A$156,0))</f>
        <v>46107</v>
      </c>
      <c r="M115" s="61" t="n">
        <f aca="false">INDEX('4D Schedule'!$AF$6:$AF$156,MATCH($J115,'4D Schedule'!$A$6:$A$156,0))</f>
        <v>46123</v>
      </c>
      <c r="N115" s="56" t="str">
        <f aca="false">INDEX('4D Schedule'!$AG$6:$AG$156,MATCH($J115,'4D Schedule'!$A$6:$A$156,0))</f>
        <v>Completed</v>
      </c>
      <c r="O115" s="55"/>
    </row>
    <row r="116" customFormat="false" ht="22.35" hidden="false" customHeight="false" outlineLevel="0" collapsed="false">
      <c r="A116" s="56" t="s">
        <v>974</v>
      </c>
      <c r="B116" s="56" t="s">
        <v>968</v>
      </c>
      <c r="C116" s="55" t="s">
        <v>969</v>
      </c>
      <c r="D116" s="56" t="s">
        <v>970</v>
      </c>
      <c r="E116" s="55" t="s">
        <v>975</v>
      </c>
      <c r="F116" s="25" t="s">
        <v>75</v>
      </c>
      <c r="G116" s="55" t="s">
        <v>972</v>
      </c>
      <c r="H116" s="56" t="s">
        <v>973</v>
      </c>
      <c r="I116" s="56" t="s">
        <v>58</v>
      </c>
      <c r="J116" s="56" t="s">
        <v>330</v>
      </c>
      <c r="K116" s="55" t="str">
        <f aca="false">INDEX('4D Schedule'!$C$6:$C$156,MATCH($J116,'4D Schedule'!$A$6:$A$156,0))</f>
        <v>Pile cap beams PCB1/PCB2/PCB3 &amp; column pedestals (B.O.C -2.500 to -0.300) – Zone-1</v>
      </c>
      <c r="L116" s="61" t="n">
        <f aca="false">INDEX('4D Schedule'!$AE$6:$AE$156,MATCH($J116,'4D Schedule'!$A$6:$A$156,0))</f>
        <v>46107</v>
      </c>
      <c r="M116" s="61" t="n">
        <f aca="false">INDEX('4D Schedule'!$AF$6:$AF$156,MATCH($J116,'4D Schedule'!$A$6:$A$156,0))</f>
        <v>46123</v>
      </c>
      <c r="N116" s="56" t="str">
        <f aca="false">INDEX('4D Schedule'!$AG$6:$AG$156,MATCH($J116,'4D Schedule'!$A$6:$A$156,0))</f>
        <v>Completed</v>
      </c>
      <c r="O116" s="55"/>
    </row>
    <row r="117" customFormat="false" ht="22.35" hidden="false" customHeight="false" outlineLevel="0" collapsed="false">
      <c r="A117" s="56" t="s">
        <v>976</v>
      </c>
      <c r="B117" s="56" t="s">
        <v>968</v>
      </c>
      <c r="C117" s="55" t="s">
        <v>969</v>
      </c>
      <c r="D117" s="56" t="s">
        <v>970</v>
      </c>
      <c r="E117" s="55" t="s">
        <v>378</v>
      </c>
      <c r="F117" s="25" t="s">
        <v>75</v>
      </c>
      <c r="G117" s="55" t="s">
        <v>972</v>
      </c>
      <c r="H117" s="56" t="s">
        <v>973</v>
      </c>
      <c r="I117" s="56" t="s">
        <v>58</v>
      </c>
      <c r="J117" s="56" t="s">
        <v>330</v>
      </c>
      <c r="K117" s="55" t="str">
        <f aca="false">INDEX('4D Schedule'!$C$6:$C$156,MATCH($J117,'4D Schedule'!$A$6:$A$156,0))</f>
        <v>Pile cap beams PCB1/PCB2/PCB3 &amp; column pedestals (B.O.C -2.500 to -0.300) – Zone-1</v>
      </c>
      <c r="L117" s="61" t="n">
        <f aca="false">INDEX('4D Schedule'!$AE$6:$AE$156,MATCH($J117,'4D Schedule'!$A$6:$A$156,0))</f>
        <v>46107</v>
      </c>
      <c r="M117" s="61" t="n">
        <f aca="false">INDEX('4D Schedule'!$AF$6:$AF$156,MATCH($J117,'4D Schedule'!$A$6:$A$156,0))</f>
        <v>46123</v>
      </c>
      <c r="N117" s="56" t="str">
        <f aca="false">INDEX('4D Schedule'!$AG$6:$AG$156,MATCH($J117,'4D Schedule'!$A$6:$A$156,0))</f>
        <v>Completed</v>
      </c>
      <c r="O117" s="55"/>
    </row>
    <row r="118" customFormat="false" ht="22.35" hidden="false" customHeight="false" outlineLevel="0" collapsed="false">
      <c r="A118" s="56" t="s">
        <v>977</v>
      </c>
      <c r="B118" s="56" t="s">
        <v>968</v>
      </c>
      <c r="C118" s="55" t="s">
        <v>969</v>
      </c>
      <c r="D118" s="56" t="s">
        <v>970</v>
      </c>
      <c r="E118" s="55" t="s">
        <v>978</v>
      </c>
      <c r="F118" s="25" t="s">
        <v>75</v>
      </c>
      <c r="G118" s="55" t="s">
        <v>972</v>
      </c>
      <c r="H118" s="56" t="s">
        <v>973</v>
      </c>
      <c r="I118" s="56" t="s">
        <v>58</v>
      </c>
      <c r="J118" s="56" t="s">
        <v>330</v>
      </c>
      <c r="K118" s="55" t="str">
        <f aca="false">INDEX('4D Schedule'!$C$6:$C$156,MATCH($J118,'4D Schedule'!$A$6:$A$156,0))</f>
        <v>Pile cap beams PCB1/PCB2/PCB3 &amp; column pedestals (B.O.C -2.500 to -0.300) – Zone-1</v>
      </c>
      <c r="L118" s="61" t="n">
        <f aca="false">INDEX('4D Schedule'!$AE$6:$AE$156,MATCH($J118,'4D Schedule'!$A$6:$A$156,0))</f>
        <v>46107</v>
      </c>
      <c r="M118" s="61" t="n">
        <f aca="false">INDEX('4D Schedule'!$AF$6:$AF$156,MATCH($J118,'4D Schedule'!$A$6:$A$156,0))</f>
        <v>46123</v>
      </c>
      <c r="N118" s="56" t="str">
        <f aca="false">INDEX('4D Schedule'!$AG$6:$AG$156,MATCH($J118,'4D Schedule'!$A$6:$A$156,0))</f>
        <v>Completed</v>
      </c>
      <c r="O118" s="55"/>
    </row>
    <row r="119" customFormat="false" ht="22.35" hidden="false" customHeight="false" outlineLevel="0" collapsed="false">
      <c r="A119" s="56" t="s">
        <v>979</v>
      </c>
      <c r="B119" s="56" t="s">
        <v>968</v>
      </c>
      <c r="C119" s="55" t="s">
        <v>969</v>
      </c>
      <c r="D119" s="56" t="s">
        <v>970</v>
      </c>
      <c r="E119" s="55" t="s">
        <v>980</v>
      </c>
      <c r="F119" s="25" t="s">
        <v>75</v>
      </c>
      <c r="G119" s="55" t="s">
        <v>972</v>
      </c>
      <c r="H119" s="56" t="s">
        <v>973</v>
      </c>
      <c r="I119" s="56" t="s">
        <v>58</v>
      </c>
      <c r="J119" s="56" t="s">
        <v>330</v>
      </c>
      <c r="K119" s="55" t="str">
        <f aca="false">INDEX('4D Schedule'!$C$6:$C$156,MATCH($J119,'4D Schedule'!$A$6:$A$156,0))</f>
        <v>Pile cap beams PCB1/PCB2/PCB3 &amp; column pedestals (B.O.C -2.500 to -0.300) – Zone-1</v>
      </c>
      <c r="L119" s="61" t="n">
        <f aca="false">INDEX('4D Schedule'!$AE$6:$AE$156,MATCH($J119,'4D Schedule'!$A$6:$A$156,0))</f>
        <v>46107</v>
      </c>
      <c r="M119" s="61" t="n">
        <f aca="false">INDEX('4D Schedule'!$AF$6:$AF$156,MATCH($J119,'4D Schedule'!$A$6:$A$156,0))</f>
        <v>46123</v>
      </c>
      <c r="N119" s="56" t="str">
        <f aca="false">INDEX('4D Schedule'!$AG$6:$AG$156,MATCH($J119,'4D Schedule'!$A$6:$A$156,0))</f>
        <v>Completed</v>
      </c>
      <c r="O119" s="55"/>
    </row>
    <row r="120" customFormat="false" ht="22.35" hidden="false" customHeight="false" outlineLevel="0" collapsed="false">
      <c r="A120" s="56" t="s">
        <v>981</v>
      </c>
      <c r="B120" s="56" t="s">
        <v>968</v>
      </c>
      <c r="C120" s="55" t="s">
        <v>969</v>
      </c>
      <c r="D120" s="56" t="s">
        <v>970</v>
      </c>
      <c r="E120" s="55" t="s">
        <v>982</v>
      </c>
      <c r="F120" s="25" t="s">
        <v>75</v>
      </c>
      <c r="G120" s="55" t="s">
        <v>972</v>
      </c>
      <c r="H120" s="56" t="s">
        <v>973</v>
      </c>
      <c r="I120" s="56" t="s">
        <v>58</v>
      </c>
      <c r="J120" s="56" t="s">
        <v>330</v>
      </c>
      <c r="K120" s="55" t="str">
        <f aca="false">INDEX('4D Schedule'!$C$6:$C$156,MATCH($J120,'4D Schedule'!$A$6:$A$156,0))</f>
        <v>Pile cap beams PCB1/PCB2/PCB3 &amp; column pedestals (B.O.C -2.500 to -0.300) – Zone-1</v>
      </c>
      <c r="L120" s="61" t="n">
        <f aca="false">INDEX('4D Schedule'!$AE$6:$AE$156,MATCH($J120,'4D Schedule'!$A$6:$A$156,0))</f>
        <v>46107</v>
      </c>
      <c r="M120" s="61" t="n">
        <f aca="false">INDEX('4D Schedule'!$AF$6:$AF$156,MATCH($J120,'4D Schedule'!$A$6:$A$156,0))</f>
        <v>46123</v>
      </c>
      <c r="N120" s="56" t="str">
        <f aca="false">INDEX('4D Schedule'!$AG$6:$AG$156,MATCH($J120,'4D Schedule'!$A$6:$A$156,0))</f>
        <v>Completed</v>
      </c>
      <c r="O120" s="55"/>
    </row>
    <row r="121" customFormat="false" ht="22.35" hidden="false" customHeight="false" outlineLevel="0" collapsed="false">
      <c r="A121" s="56" t="s">
        <v>983</v>
      </c>
      <c r="B121" s="56" t="s">
        <v>968</v>
      </c>
      <c r="C121" s="55" t="s">
        <v>969</v>
      </c>
      <c r="D121" s="56" t="s">
        <v>970</v>
      </c>
      <c r="E121" s="55" t="s">
        <v>984</v>
      </c>
      <c r="F121" s="25" t="s">
        <v>75</v>
      </c>
      <c r="G121" s="55" t="s">
        <v>972</v>
      </c>
      <c r="H121" s="56" t="s">
        <v>973</v>
      </c>
      <c r="I121" s="56" t="s">
        <v>58</v>
      </c>
      <c r="J121" s="56" t="s">
        <v>330</v>
      </c>
      <c r="K121" s="55" t="str">
        <f aca="false">INDEX('4D Schedule'!$C$6:$C$156,MATCH($J121,'4D Schedule'!$A$6:$A$156,0))</f>
        <v>Pile cap beams PCB1/PCB2/PCB3 &amp; column pedestals (B.O.C -2.500 to -0.300) – Zone-1</v>
      </c>
      <c r="L121" s="61" t="n">
        <f aca="false">INDEX('4D Schedule'!$AE$6:$AE$156,MATCH($J121,'4D Schedule'!$A$6:$A$156,0))</f>
        <v>46107</v>
      </c>
      <c r="M121" s="61" t="n">
        <f aca="false">INDEX('4D Schedule'!$AF$6:$AF$156,MATCH($J121,'4D Schedule'!$A$6:$A$156,0))</f>
        <v>46123</v>
      </c>
      <c r="N121" s="56" t="str">
        <f aca="false">INDEX('4D Schedule'!$AG$6:$AG$156,MATCH($J121,'4D Schedule'!$A$6:$A$156,0))</f>
        <v>Completed</v>
      </c>
      <c r="O121" s="55"/>
    </row>
    <row r="122" customFormat="false" ht="22.35" hidden="false" customHeight="false" outlineLevel="0" collapsed="false">
      <c r="A122" s="56" t="s">
        <v>985</v>
      </c>
      <c r="B122" s="56" t="s">
        <v>968</v>
      </c>
      <c r="C122" s="55" t="s">
        <v>969</v>
      </c>
      <c r="D122" s="56" t="s">
        <v>970</v>
      </c>
      <c r="E122" s="55" t="s">
        <v>986</v>
      </c>
      <c r="F122" s="25" t="s">
        <v>75</v>
      </c>
      <c r="G122" s="55" t="s">
        <v>972</v>
      </c>
      <c r="H122" s="56" t="s">
        <v>973</v>
      </c>
      <c r="I122" s="56" t="s">
        <v>58</v>
      </c>
      <c r="J122" s="56" t="s">
        <v>330</v>
      </c>
      <c r="K122" s="55" t="str">
        <f aca="false">INDEX('4D Schedule'!$C$6:$C$156,MATCH($J122,'4D Schedule'!$A$6:$A$156,0))</f>
        <v>Pile cap beams PCB1/PCB2/PCB3 &amp; column pedestals (B.O.C -2.500 to -0.300) – Zone-1</v>
      </c>
      <c r="L122" s="61" t="n">
        <f aca="false">INDEX('4D Schedule'!$AE$6:$AE$156,MATCH($J122,'4D Schedule'!$A$6:$A$156,0))</f>
        <v>46107</v>
      </c>
      <c r="M122" s="61" t="n">
        <f aca="false">INDEX('4D Schedule'!$AF$6:$AF$156,MATCH($J122,'4D Schedule'!$A$6:$A$156,0))</f>
        <v>46123</v>
      </c>
      <c r="N122" s="56" t="str">
        <f aca="false">INDEX('4D Schedule'!$AG$6:$AG$156,MATCH($J122,'4D Schedule'!$A$6:$A$156,0))</f>
        <v>Completed</v>
      </c>
      <c r="O122" s="55"/>
    </row>
    <row r="123" customFormat="false" ht="22.35" hidden="false" customHeight="false" outlineLevel="0" collapsed="false">
      <c r="A123" s="56" t="s">
        <v>987</v>
      </c>
      <c r="B123" s="56" t="s">
        <v>968</v>
      </c>
      <c r="C123" s="55" t="s">
        <v>969</v>
      </c>
      <c r="D123" s="56" t="s">
        <v>970</v>
      </c>
      <c r="E123" s="55" t="s">
        <v>988</v>
      </c>
      <c r="F123" s="25" t="s">
        <v>75</v>
      </c>
      <c r="G123" s="55" t="s">
        <v>972</v>
      </c>
      <c r="H123" s="56" t="s">
        <v>973</v>
      </c>
      <c r="I123" s="56" t="s">
        <v>58</v>
      </c>
      <c r="J123" s="56" t="s">
        <v>330</v>
      </c>
      <c r="K123" s="55" t="str">
        <f aca="false">INDEX('4D Schedule'!$C$6:$C$156,MATCH($J123,'4D Schedule'!$A$6:$A$156,0))</f>
        <v>Pile cap beams PCB1/PCB2/PCB3 &amp; column pedestals (B.O.C -2.500 to -0.300) – Zone-1</v>
      </c>
      <c r="L123" s="61" t="n">
        <f aca="false">INDEX('4D Schedule'!$AE$6:$AE$156,MATCH($J123,'4D Schedule'!$A$6:$A$156,0))</f>
        <v>46107</v>
      </c>
      <c r="M123" s="61" t="n">
        <f aca="false">INDEX('4D Schedule'!$AF$6:$AF$156,MATCH($J123,'4D Schedule'!$A$6:$A$156,0))</f>
        <v>46123</v>
      </c>
      <c r="N123" s="56" t="str">
        <f aca="false">INDEX('4D Schedule'!$AG$6:$AG$156,MATCH($J123,'4D Schedule'!$A$6:$A$156,0))</f>
        <v>Completed</v>
      </c>
      <c r="O123" s="55"/>
    </row>
    <row r="124" customFormat="false" ht="22.35" hidden="false" customHeight="false" outlineLevel="0" collapsed="false">
      <c r="A124" s="56" t="s">
        <v>989</v>
      </c>
      <c r="B124" s="56" t="s">
        <v>968</v>
      </c>
      <c r="C124" s="55" t="s">
        <v>969</v>
      </c>
      <c r="D124" s="56" t="s">
        <v>970</v>
      </c>
      <c r="E124" s="55" t="s">
        <v>990</v>
      </c>
      <c r="F124" s="25" t="s">
        <v>75</v>
      </c>
      <c r="G124" s="55" t="s">
        <v>972</v>
      </c>
      <c r="H124" s="56" t="s">
        <v>973</v>
      </c>
      <c r="I124" s="56" t="s">
        <v>58</v>
      </c>
      <c r="J124" s="56" t="s">
        <v>330</v>
      </c>
      <c r="K124" s="55" t="str">
        <f aca="false">INDEX('4D Schedule'!$C$6:$C$156,MATCH($J124,'4D Schedule'!$A$6:$A$156,0))</f>
        <v>Pile cap beams PCB1/PCB2/PCB3 &amp; column pedestals (B.O.C -2.500 to -0.300) – Zone-1</v>
      </c>
      <c r="L124" s="61" t="n">
        <f aca="false">INDEX('4D Schedule'!$AE$6:$AE$156,MATCH($J124,'4D Schedule'!$A$6:$A$156,0))</f>
        <v>46107</v>
      </c>
      <c r="M124" s="61" t="n">
        <f aca="false">INDEX('4D Schedule'!$AF$6:$AF$156,MATCH($J124,'4D Schedule'!$A$6:$A$156,0))</f>
        <v>46123</v>
      </c>
      <c r="N124" s="56" t="str">
        <f aca="false">INDEX('4D Schedule'!$AG$6:$AG$156,MATCH($J124,'4D Schedule'!$A$6:$A$156,0))</f>
        <v>Completed</v>
      </c>
      <c r="O124" s="55"/>
    </row>
    <row r="125" customFormat="false" ht="22.35" hidden="false" customHeight="false" outlineLevel="0" collapsed="false">
      <c r="A125" s="56" t="s">
        <v>991</v>
      </c>
      <c r="B125" s="56" t="s">
        <v>968</v>
      </c>
      <c r="C125" s="55" t="s">
        <v>992</v>
      </c>
      <c r="D125" s="56" t="s">
        <v>993</v>
      </c>
      <c r="E125" s="55" t="s">
        <v>994</v>
      </c>
      <c r="F125" s="25" t="s">
        <v>75</v>
      </c>
      <c r="G125" s="55" t="s">
        <v>972</v>
      </c>
      <c r="H125" s="56" t="s">
        <v>973</v>
      </c>
      <c r="I125" s="56" t="s">
        <v>58</v>
      </c>
      <c r="J125" s="56" t="s">
        <v>330</v>
      </c>
      <c r="K125" s="55" t="str">
        <f aca="false">INDEX('4D Schedule'!$C$6:$C$156,MATCH($J125,'4D Schedule'!$A$6:$A$156,0))</f>
        <v>Pile cap beams PCB1/PCB2/PCB3 &amp; column pedestals (B.O.C -2.500 to -0.300) – Zone-1</v>
      </c>
      <c r="L125" s="61" t="n">
        <f aca="false">INDEX('4D Schedule'!$AE$6:$AE$156,MATCH($J125,'4D Schedule'!$A$6:$A$156,0))</f>
        <v>46107</v>
      </c>
      <c r="M125" s="61" t="n">
        <f aca="false">INDEX('4D Schedule'!$AF$6:$AF$156,MATCH($J125,'4D Schedule'!$A$6:$A$156,0))</f>
        <v>46123</v>
      </c>
      <c r="N125" s="56" t="str">
        <f aca="false">INDEX('4D Schedule'!$AG$6:$AG$156,MATCH($J125,'4D Schedule'!$A$6:$A$156,0))</f>
        <v>Completed</v>
      </c>
      <c r="O125" s="55"/>
    </row>
    <row r="126" customFormat="false" ht="22.35" hidden="false" customHeight="false" outlineLevel="0" collapsed="false">
      <c r="A126" s="56" t="s">
        <v>995</v>
      </c>
      <c r="B126" s="56" t="s">
        <v>968</v>
      </c>
      <c r="C126" s="55" t="s">
        <v>992</v>
      </c>
      <c r="D126" s="56" t="s">
        <v>993</v>
      </c>
      <c r="E126" s="55" t="s">
        <v>996</v>
      </c>
      <c r="F126" s="25" t="s">
        <v>75</v>
      </c>
      <c r="G126" s="55" t="s">
        <v>972</v>
      </c>
      <c r="H126" s="56" t="s">
        <v>973</v>
      </c>
      <c r="I126" s="56" t="s">
        <v>58</v>
      </c>
      <c r="J126" s="56" t="s">
        <v>330</v>
      </c>
      <c r="K126" s="55" t="str">
        <f aca="false">INDEX('4D Schedule'!$C$6:$C$156,MATCH($J126,'4D Schedule'!$A$6:$A$156,0))</f>
        <v>Pile cap beams PCB1/PCB2/PCB3 &amp; column pedestals (B.O.C -2.500 to -0.300) – Zone-1</v>
      </c>
      <c r="L126" s="61" t="n">
        <f aca="false">INDEX('4D Schedule'!$AE$6:$AE$156,MATCH($J126,'4D Schedule'!$A$6:$A$156,0))</f>
        <v>46107</v>
      </c>
      <c r="M126" s="61" t="n">
        <f aca="false">INDEX('4D Schedule'!$AF$6:$AF$156,MATCH($J126,'4D Schedule'!$A$6:$A$156,0))</f>
        <v>46123</v>
      </c>
      <c r="N126" s="56" t="str">
        <f aca="false">INDEX('4D Schedule'!$AG$6:$AG$156,MATCH($J126,'4D Schedule'!$A$6:$A$156,0))</f>
        <v>Completed</v>
      </c>
      <c r="O126" s="55"/>
    </row>
    <row r="127" customFormat="false" ht="22.35" hidden="false" customHeight="false" outlineLevel="0" collapsed="false">
      <c r="A127" s="56" t="s">
        <v>997</v>
      </c>
      <c r="B127" s="56" t="s">
        <v>968</v>
      </c>
      <c r="C127" s="55" t="s">
        <v>998</v>
      </c>
      <c r="D127" s="56" t="s">
        <v>999</v>
      </c>
      <c r="E127" s="55" t="s">
        <v>1000</v>
      </c>
      <c r="F127" s="25" t="s">
        <v>75</v>
      </c>
      <c r="G127" s="55" t="s">
        <v>972</v>
      </c>
      <c r="H127" s="56" t="s">
        <v>1001</v>
      </c>
      <c r="I127" s="56" t="s">
        <v>58</v>
      </c>
      <c r="J127" s="56" t="s">
        <v>330</v>
      </c>
      <c r="K127" s="55" t="str">
        <f aca="false">INDEX('4D Schedule'!$C$6:$C$156,MATCH($J127,'4D Schedule'!$A$6:$A$156,0))</f>
        <v>Pile cap beams PCB1/PCB2/PCB3 &amp; column pedestals (B.O.C -2.500 to -0.300) – Zone-1</v>
      </c>
      <c r="L127" s="61" t="n">
        <f aca="false">INDEX('4D Schedule'!$AE$6:$AE$156,MATCH($J127,'4D Schedule'!$A$6:$A$156,0))</f>
        <v>46107</v>
      </c>
      <c r="M127" s="61" t="n">
        <f aca="false">INDEX('4D Schedule'!$AF$6:$AF$156,MATCH($J127,'4D Schedule'!$A$6:$A$156,0))</f>
        <v>46123</v>
      </c>
      <c r="N127" s="56" t="str">
        <f aca="false">INDEX('4D Schedule'!$AG$6:$AG$156,MATCH($J127,'4D Schedule'!$A$6:$A$156,0))</f>
        <v>Completed</v>
      </c>
      <c r="O127" s="55"/>
    </row>
    <row r="128" customFormat="false" ht="22.35" hidden="false" customHeight="false" outlineLevel="0" collapsed="false">
      <c r="A128" s="56" t="s">
        <v>1002</v>
      </c>
      <c r="B128" s="56" t="s">
        <v>968</v>
      </c>
      <c r="C128" s="55" t="s">
        <v>998</v>
      </c>
      <c r="D128" s="56" t="s">
        <v>999</v>
      </c>
      <c r="E128" s="55" t="s">
        <v>1003</v>
      </c>
      <c r="F128" s="25" t="s">
        <v>75</v>
      </c>
      <c r="G128" s="55" t="s">
        <v>972</v>
      </c>
      <c r="H128" s="56" t="s">
        <v>1001</v>
      </c>
      <c r="I128" s="56" t="s">
        <v>58</v>
      </c>
      <c r="J128" s="56" t="s">
        <v>330</v>
      </c>
      <c r="K128" s="55" t="str">
        <f aca="false">INDEX('4D Schedule'!$C$6:$C$156,MATCH($J128,'4D Schedule'!$A$6:$A$156,0))</f>
        <v>Pile cap beams PCB1/PCB2/PCB3 &amp; column pedestals (B.O.C -2.500 to -0.300) – Zone-1</v>
      </c>
      <c r="L128" s="61" t="n">
        <f aca="false">INDEX('4D Schedule'!$AE$6:$AE$156,MATCH($J128,'4D Schedule'!$A$6:$A$156,0))</f>
        <v>46107</v>
      </c>
      <c r="M128" s="61" t="n">
        <f aca="false">INDEX('4D Schedule'!$AF$6:$AF$156,MATCH($J128,'4D Schedule'!$A$6:$A$156,0))</f>
        <v>46123</v>
      </c>
      <c r="N128" s="56" t="str">
        <f aca="false">INDEX('4D Schedule'!$AG$6:$AG$156,MATCH($J128,'4D Schedule'!$A$6:$A$156,0))</f>
        <v>Completed</v>
      </c>
      <c r="O128" s="55"/>
    </row>
    <row r="129" customFormat="false" ht="15" hidden="false" customHeight="false" outlineLevel="0" collapsed="false">
      <c r="A129" s="56" t="s">
        <v>1004</v>
      </c>
      <c r="B129" s="56" t="s">
        <v>368</v>
      </c>
      <c r="C129" s="55" t="s">
        <v>951</v>
      </c>
      <c r="D129" s="56" t="s">
        <v>952</v>
      </c>
      <c r="E129" s="55" t="s">
        <v>751</v>
      </c>
      <c r="F129" s="25" t="s">
        <v>77</v>
      </c>
      <c r="G129" s="55" t="s">
        <v>930</v>
      </c>
      <c r="H129" s="56" t="s">
        <v>940</v>
      </c>
      <c r="I129" s="56" t="s">
        <v>58</v>
      </c>
      <c r="J129" s="56" t="s">
        <v>335</v>
      </c>
      <c r="K129" s="55" t="str">
        <f aca="false">INDEX('4D Schedule'!$C$6:$C$156,MATCH($J129,'4D Schedule'!$A$6:$A$156,0))</f>
        <v>Pile cap beams PCB1/PCB2 &amp; column pedestals – Zone-2</v>
      </c>
      <c r="L129" s="61" t="n">
        <f aca="false">INDEX('4D Schedule'!$AE$6:$AE$156,MATCH($J129,'4D Schedule'!$A$6:$A$156,0))</f>
        <v>46116</v>
      </c>
      <c r="M129" s="61" t="n">
        <f aca="false">INDEX('4D Schedule'!$AF$6:$AF$156,MATCH($J129,'4D Schedule'!$A$6:$A$156,0))</f>
        <v>46129</v>
      </c>
      <c r="N129" s="56" t="str">
        <f aca="false">INDEX('4D Schedule'!$AG$6:$AG$156,MATCH($J129,'4D Schedule'!$A$6:$A$156,0))</f>
        <v>Completed</v>
      </c>
      <c r="O129" s="55" t="s">
        <v>932</v>
      </c>
    </row>
    <row r="130" customFormat="false" ht="15" hidden="false" customHeight="false" outlineLevel="0" collapsed="false">
      <c r="A130" s="56" t="s">
        <v>1005</v>
      </c>
      <c r="B130" s="56" t="s">
        <v>368</v>
      </c>
      <c r="C130" s="55" t="s">
        <v>951</v>
      </c>
      <c r="D130" s="56" t="s">
        <v>952</v>
      </c>
      <c r="E130" s="55" t="s">
        <v>773</v>
      </c>
      <c r="F130" s="25" t="s">
        <v>77</v>
      </c>
      <c r="G130" s="55" t="s">
        <v>930</v>
      </c>
      <c r="H130" s="56" t="s">
        <v>940</v>
      </c>
      <c r="I130" s="56" t="s">
        <v>58</v>
      </c>
      <c r="J130" s="56" t="s">
        <v>335</v>
      </c>
      <c r="K130" s="55" t="str">
        <f aca="false">INDEX('4D Schedule'!$C$6:$C$156,MATCH($J130,'4D Schedule'!$A$6:$A$156,0))</f>
        <v>Pile cap beams PCB1/PCB2 &amp; column pedestals – Zone-2</v>
      </c>
      <c r="L130" s="61" t="n">
        <f aca="false">INDEX('4D Schedule'!$AE$6:$AE$156,MATCH($J130,'4D Schedule'!$A$6:$A$156,0))</f>
        <v>46116</v>
      </c>
      <c r="M130" s="61" t="n">
        <f aca="false">INDEX('4D Schedule'!$AF$6:$AF$156,MATCH($J130,'4D Schedule'!$A$6:$A$156,0))</f>
        <v>46129</v>
      </c>
      <c r="N130" s="56" t="str">
        <f aca="false">INDEX('4D Schedule'!$AG$6:$AG$156,MATCH($J130,'4D Schedule'!$A$6:$A$156,0))</f>
        <v>Completed</v>
      </c>
      <c r="O130" s="55" t="s">
        <v>932</v>
      </c>
    </row>
    <row r="131" customFormat="false" ht="15" hidden="false" customHeight="false" outlineLevel="0" collapsed="false">
      <c r="A131" s="56" t="s">
        <v>1006</v>
      </c>
      <c r="B131" s="56" t="s">
        <v>368</v>
      </c>
      <c r="C131" s="55" t="s">
        <v>1007</v>
      </c>
      <c r="D131" s="56" t="s">
        <v>1008</v>
      </c>
      <c r="E131" s="55" t="s">
        <v>795</v>
      </c>
      <c r="F131" s="25" t="s">
        <v>77</v>
      </c>
      <c r="G131" s="55" t="s">
        <v>930</v>
      </c>
      <c r="H131" s="56" t="s">
        <v>940</v>
      </c>
      <c r="I131" s="56" t="s">
        <v>58</v>
      </c>
      <c r="J131" s="56" t="s">
        <v>335</v>
      </c>
      <c r="K131" s="55" t="str">
        <f aca="false">INDEX('4D Schedule'!$C$6:$C$156,MATCH($J131,'4D Schedule'!$A$6:$A$156,0))</f>
        <v>Pile cap beams PCB1/PCB2 &amp; column pedestals – Zone-2</v>
      </c>
      <c r="L131" s="61" t="n">
        <f aca="false">INDEX('4D Schedule'!$AE$6:$AE$156,MATCH($J131,'4D Schedule'!$A$6:$A$156,0))</f>
        <v>46116</v>
      </c>
      <c r="M131" s="61" t="n">
        <f aca="false">INDEX('4D Schedule'!$AF$6:$AF$156,MATCH($J131,'4D Schedule'!$A$6:$A$156,0))</f>
        <v>46129</v>
      </c>
      <c r="N131" s="56" t="str">
        <f aca="false">INDEX('4D Schedule'!$AG$6:$AG$156,MATCH($J131,'4D Schedule'!$A$6:$A$156,0))</f>
        <v>Completed</v>
      </c>
      <c r="O131" s="55" t="s">
        <v>932</v>
      </c>
    </row>
    <row r="132" customFormat="false" ht="15" hidden="false" customHeight="false" outlineLevel="0" collapsed="false">
      <c r="A132" s="56" t="s">
        <v>1009</v>
      </c>
      <c r="B132" s="56" t="s">
        <v>368</v>
      </c>
      <c r="C132" s="55" t="s">
        <v>962</v>
      </c>
      <c r="D132" s="56" t="s">
        <v>963</v>
      </c>
      <c r="E132" s="55" t="s">
        <v>819</v>
      </c>
      <c r="F132" s="25" t="s">
        <v>77</v>
      </c>
      <c r="G132" s="55" t="s">
        <v>930</v>
      </c>
      <c r="H132" s="56" t="s">
        <v>931</v>
      </c>
      <c r="I132" s="56" t="s">
        <v>58</v>
      </c>
      <c r="J132" s="56" t="s">
        <v>335</v>
      </c>
      <c r="K132" s="55" t="str">
        <f aca="false">INDEX('4D Schedule'!$C$6:$C$156,MATCH($J132,'4D Schedule'!$A$6:$A$156,0))</f>
        <v>Pile cap beams PCB1/PCB2 &amp; column pedestals – Zone-2</v>
      </c>
      <c r="L132" s="61" t="n">
        <f aca="false">INDEX('4D Schedule'!$AE$6:$AE$156,MATCH($J132,'4D Schedule'!$A$6:$A$156,0))</f>
        <v>46116</v>
      </c>
      <c r="M132" s="61" t="n">
        <f aca="false">INDEX('4D Schedule'!$AF$6:$AF$156,MATCH($J132,'4D Schedule'!$A$6:$A$156,0))</f>
        <v>46129</v>
      </c>
      <c r="N132" s="56" t="str">
        <f aca="false">INDEX('4D Schedule'!$AG$6:$AG$156,MATCH($J132,'4D Schedule'!$A$6:$A$156,0))</f>
        <v>Completed</v>
      </c>
      <c r="O132" s="55" t="s">
        <v>932</v>
      </c>
    </row>
    <row r="133" customFormat="false" ht="15" hidden="false" customHeight="false" outlineLevel="0" collapsed="false">
      <c r="A133" s="56" t="s">
        <v>1010</v>
      </c>
      <c r="B133" s="56" t="s">
        <v>368</v>
      </c>
      <c r="C133" s="55" t="s">
        <v>965</v>
      </c>
      <c r="D133" s="56" t="s">
        <v>966</v>
      </c>
      <c r="E133" s="55" t="s">
        <v>865</v>
      </c>
      <c r="F133" s="25" t="s">
        <v>77</v>
      </c>
      <c r="G133" s="55" t="s">
        <v>930</v>
      </c>
      <c r="H133" s="56" t="s">
        <v>931</v>
      </c>
      <c r="I133" s="56" t="s">
        <v>58</v>
      </c>
      <c r="J133" s="56" t="s">
        <v>335</v>
      </c>
      <c r="K133" s="55" t="str">
        <f aca="false">INDEX('4D Schedule'!$C$6:$C$156,MATCH($J133,'4D Schedule'!$A$6:$A$156,0))</f>
        <v>Pile cap beams PCB1/PCB2 &amp; column pedestals – Zone-2</v>
      </c>
      <c r="L133" s="61" t="n">
        <f aca="false">INDEX('4D Schedule'!$AE$6:$AE$156,MATCH($J133,'4D Schedule'!$A$6:$A$156,0))</f>
        <v>46116</v>
      </c>
      <c r="M133" s="61" t="n">
        <f aca="false">INDEX('4D Schedule'!$AF$6:$AF$156,MATCH($J133,'4D Schedule'!$A$6:$A$156,0))</f>
        <v>46129</v>
      </c>
      <c r="N133" s="56" t="str">
        <f aca="false">INDEX('4D Schedule'!$AG$6:$AG$156,MATCH($J133,'4D Schedule'!$A$6:$A$156,0))</f>
        <v>Completed</v>
      </c>
      <c r="O133" s="55" t="s">
        <v>932</v>
      </c>
    </row>
    <row r="134" customFormat="false" ht="15" hidden="false" customHeight="false" outlineLevel="0" collapsed="false">
      <c r="A134" s="56" t="s">
        <v>1011</v>
      </c>
      <c r="B134" s="56" t="s">
        <v>368</v>
      </c>
      <c r="C134" s="55" t="s">
        <v>934</v>
      </c>
      <c r="D134" s="56" t="s">
        <v>935</v>
      </c>
      <c r="E134" s="55" t="s">
        <v>754</v>
      </c>
      <c r="F134" s="25" t="s">
        <v>77</v>
      </c>
      <c r="G134" s="55" t="s">
        <v>930</v>
      </c>
      <c r="H134" s="56" t="s">
        <v>931</v>
      </c>
      <c r="I134" s="56" t="s">
        <v>58</v>
      </c>
      <c r="J134" s="56" t="s">
        <v>335</v>
      </c>
      <c r="K134" s="55" t="str">
        <f aca="false">INDEX('4D Schedule'!$C$6:$C$156,MATCH($J134,'4D Schedule'!$A$6:$A$156,0))</f>
        <v>Pile cap beams PCB1/PCB2 &amp; column pedestals – Zone-2</v>
      </c>
      <c r="L134" s="61" t="n">
        <f aca="false">INDEX('4D Schedule'!$AE$6:$AE$156,MATCH($J134,'4D Schedule'!$A$6:$A$156,0))</f>
        <v>46116</v>
      </c>
      <c r="M134" s="61" t="n">
        <f aca="false">INDEX('4D Schedule'!$AF$6:$AF$156,MATCH($J134,'4D Schedule'!$A$6:$A$156,0))</f>
        <v>46129</v>
      </c>
      <c r="N134" s="56" t="str">
        <f aca="false">INDEX('4D Schedule'!$AG$6:$AG$156,MATCH($J134,'4D Schedule'!$A$6:$A$156,0))</f>
        <v>Completed</v>
      </c>
      <c r="O134" s="55" t="s">
        <v>932</v>
      </c>
    </row>
    <row r="135" customFormat="false" ht="15" hidden="false" customHeight="false" outlineLevel="0" collapsed="false">
      <c r="A135" s="56" t="s">
        <v>1012</v>
      </c>
      <c r="B135" s="56" t="s">
        <v>368</v>
      </c>
      <c r="C135" s="55" t="s">
        <v>928</v>
      </c>
      <c r="D135" s="56" t="s">
        <v>929</v>
      </c>
      <c r="E135" s="55" t="s">
        <v>776</v>
      </c>
      <c r="F135" s="25" t="s">
        <v>77</v>
      </c>
      <c r="G135" s="55" t="s">
        <v>930</v>
      </c>
      <c r="H135" s="56" t="s">
        <v>931</v>
      </c>
      <c r="I135" s="56" t="s">
        <v>58</v>
      </c>
      <c r="J135" s="56" t="s">
        <v>335</v>
      </c>
      <c r="K135" s="55" t="str">
        <f aca="false">INDEX('4D Schedule'!$C$6:$C$156,MATCH($J135,'4D Schedule'!$A$6:$A$156,0))</f>
        <v>Pile cap beams PCB1/PCB2 &amp; column pedestals – Zone-2</v>
      </c>
      <c r="L135" s="61" t="n">
        <f aca="false">INDEX('4D Schedule'!$AE$6:$AE$156,MATCH($J135,'4D Schedule'!$A$6:$A$156,0))</f>
        <v>46116</v>
      </c>
      <c r="M135" s="61" t="n">
        <f aca="false">INDEX('4D Schedule'!$AF$6:$AF$156,MATCH($J135,'4D Schedule'!$A$6:$A$156,0))</f>
        <v>46129</v>
      </c>
      <c r="N135" s="56" t="str">
        <f aca="false">INDEX('4D Schedule'!$AG$6:$AG$156,MATCH($J135,'4D Schedule'!$A$6:$A$156,0))</f>
        <v>Completed</v>
      </c>
      <c r="O135" s="55" t="s">
        <v>932</v>
      </c>
    </row>
    <row r="136" customFormat="false" ht="15" hidden="false" customHeight="false" outlineLevel="0" collapsed="false">
      <c r="A136" s="56" t="s">
        <v>1013</v>
      </c>
      <c r="B136" s="56" t="s">
        <v>368</v>
      </c>
      <c r="C136" s="55" t="s">
        <v>928</v>
      </c>
      <c r="D136" s="56" t="s">
        <v>929</v>
      </c>
      <c r="E136" s="55" t="s">
        <v>798</v>
      </c>
      <c r="F136" s="25" t="s">
        <v>77</v>
      </c>
      <c r="G136" s="55" t="s">
        <v>930</v>
      </c>
      <c r="H136" s="56" t="s">
        <v>931</v>
      </c>
      <c r="I136" s="56" t="s">
        <v>58</v>
      </c>
      <c r="J136" s="56" t="s">
        <v>335</v>
      </c>
      <c r="K136" s="55" t="str">
        <f aca="false">INDEX('4D Schedule'!$C$6:$C$156,MATCH($J136,'4D Schedule'!$A$6:$A$156,0))</f>
        <v>Pile cap beams PCB1/PCB2 &amp; column pedestals – Zone-2</v>
      </c>
      <c r="L136" s="61" t="n">
        <f aca="false">INDEX('4D Schedule'!$AE$6:$AE$156,MATCH($J136,'4D Schedule'!$A$6:$A$156,0))</f>
        <v>46116</v>
      </c>
      <c r="M136" s="61" t="n">
        <f aca="false">INDEX('4D Schedule'!$AF$6:$AF$156,MATCH($J136,'4D Schedule'!$A$6:$A$156,0))</f>
        <v>46129</v>
      </c>
      <c r="N136" s="56" t="str">
        <f aca="false">INDEX('4D Schedule'!$AG$6:$AG$156,MATCH($J136,'4D Schedule'!$A$6:$A$156,0))</f>
        <v>Completed</v>
      </c>
      <c r="O136" s="55" t="s">
        <v>932</v>
      </c>
    </row>
    <row r="137" customFormat="false" ht="15" hidden="false" customHeight="false" outlineLevel="0" collapsed="false">
      <c r="A137" s="56" t="s">
        <v>1014</v>
      </c>
      <c r="B137" s="56" t="s">
        <v>368</v>
      </c>
      <c r="C137" s="55" t="s">
        <v>962</v>
      </c>
      <c r="D137" s="56" t="s">
        <v>963</v>
      </c>
      <c r="E137" s="55" t="s">
        <v>824</v>
      </c>
      <c r="F137" s="25" t="s">
        <v>77</v>
      </c>
      <c r="G137" s="55" t="s">
        <v>930</v>
      </c>
      <c r="H137" s="56" t="s">
        <v>931</v>
      </c>
      <c r="I137" s="56" t="s">
        <v>58</v>
      </c>
      <c r="J137" s="56" t="s">
        <v>335</v>
      </c>
      <c r="K137" s="55" t="str">
        <f aca="false">INDEX('4D Schedule'!$C$6:$C$156,MATCH($J137,'4D Schedule'!$A$6:$A$156,0))</f>
        <v>Pile cap beams PCB1/PCB2 &amp; column pedestals – Zone-2</v>
      </c>
      <c r="L137" s="61" t="n">
        <f aca="false">INDEX('4D Schedule'!$AE$6:$AE$156,MATCH($J137,'4D Schedule'!$A$6:$A$156,0))</f>
        <v>46116</v>
      </c>
      <c r="M137" s="61" t="n">
        <f aca="false">INDEX('4D Schedule'!$AF$6:$AF$156,MATCH($J137,'4D Schedule'!$A$6:$A$156,0))</f>
        <v>46129</v>
      </c>
      <c r="N137" s="56" t="str">
        <f aca="false">INDEX('4D Schedule'!$AG$6:$AG$156,MATCH($J137,'4D Schedule'!$A$6:$A$156,0))</f>
        <v>Completed</v>
      </c>
      <c r="O137" s="55" t="s">
        <v>932</v>
      </c>
    </row>
    <row r="138" customFormat="false" ht="15" hidden="false" customHeight="false" outlineLevel="0" collapsed="false">
      <c r="A138" s="56" t="s">
        <v>1015</v>
      </c>
      <c r="B138" s="56" t="s">
        <v>368</v>
      </c>
      <c r="C138" s="55" t="s">
        <v>965</v>
      </c>
      <c r="D138" s="56" t="s">
        <v>966</v>
      </c>
      <c r="E138" s="55" t="s">
        <v>870</v>
      </c>
      <c r="F138" s="25" t="s">
        <v>77</v>
      </c>
      <c r="G138" s="55" t="s">
        <v>930</v>
      </c>
      <c r="H138" s="56" t="s">
        <v>931</v>
      </c>
      <c r="I138" s="56" t="s">
        <v>58</v>
      </c>
      <c r="J138" s="56" t="s">
        <v>335</v>
      </c>
      <c r="K138" s="55" t="str">
        <f aca="false">INDEX('4D Schedule'!$C$6:$C$156,MATCH($J138,'4D Schedule'!$A$6:$A$156,0))</f>
        <v>Pile cap beams PCB1/PCB2 &amp; column pedestals – Zone-2</v>
      </c>
      <c r="L138" s="61" t="n">
        <f aca="false">INDEX('4D Schedule'!$AE$6:$AE$156,MATCH($J138,'4D Schedule'!$A$6:$A$156,0))</f>
        <v>46116</v>
      </c>
      <c r="M138" s="61" t="n">
        <f aca="false">INDEX('4D Schedule'!$AF$6:$AF$156,MATCH($J138,'4D Schedule'!$A$6:$A$156,0))</f>
        <v>46129</v>
      </c>
      <c r="N138" s="56" t="str">
        <f aca="false">INDEX('4D Schedule'!$AG$6:$AG$156,MATCH($J138,'4D Schedule'!$A$6:$A$156,0))</f>
        <v>Completed</v>
      </c>
      <c r="O138" s="55" t="s">
        <v>932</v>
      </c>
    </row>
    <row r="139" customFormat="false" ht="15" hidden="false" customHeight="false" outlineLevel="0" collapsed="false">
      <c r="A139" s="56" t="s">
        <v>1016</v>
      </c>
      <c r="B139" s="56" t="s">
        <v>968</v>
      </c>
      <c r="C139" s="55" t="s">
        <v>969</v>
      </c>
      <c r="D139" s="56" t="s">
        <v>970</v>
      </c>
      <c r="E139" s="55" t="s">
        <v>1017</v>
      </c>
      <c r="F139" s="25" t="s">
        <v>77</v>
      </c>
      <c r="G139" s="55" t="s">
        <v>972</v>
      </c>
      <c r="H139" s="56" t="s">
        <v>973</v>
      </c>
      <c r="I139" s="56" t="s">
        <v>58</v>
      </c>
      <c r="J139" s="56" t="s">
        <v>335</v>
      </c>
      <c r="K139" s="55" t="str">
        <f aca="false">INDEX('4D Schedule'!$C$6:$C$156,MATCH($J139,'4D Schedule'!$A$6:$A$156,0))</f>
        <v>Pile cap beams PCB1/PCB2 &amp; column pedestals – Zone-2</v>
      </c>
      <c r="L139" s="61" t="n">
        <f aca="false">INDEX('4D Schedule'!$AE$6:$AE$156,MATCH($J139,'4D Schedule'!$A$6:$A$156,0))</f>
        <v>46116</v>
      </c>
      <c r="M139" s="61" t="n">
        <f aca="false">INDEX('4D Schedule'!$AF$6:$AF$156,MATCH($J139,'4D Schedule'!$A$6:$A$156,0))</f>
        <v>46129</v>
      </c>
      <c r="N139" s="56" t="str">
        <f aca="false">INDEX('4D Schedule'!$AG$6:$AG$156,MATCH($J139,'4D Schedule'!$A$6:$A$156,0))</f>
        <v>Completed</v>
      </c>
      <c r="O139" s="55"/>
    </row>
    <row r="140" customFormat="false" ht="15" hidden="false" customHeight="false" outlineLevel="0" collapsed="false">
      <c r="A140" s="56" t="s">
        <v>1018</v>
      </c>
      <c r="B140" s="56" t="s">
        <v>968</v>
      </c>
      <c r="C140" s="55" t="s">
        <v>969</v>
      </c>
      <c r="D140" s="56" t="s">
        <v>970</v>
      </c>
      <c r="E140" s="55" t="s">
        <v>1019</v>
      </c>
      <c r="F140" s="25" t="s">
        <v>77</v>
      </c>
      <c r="G140" s="55" t="s">
        <v>972</v>
      </c>
      <c r="H140" s="56" t="s">
        <v>973</v>
      </c>
      <c r="I140" s="56" t="s">
        <v>58</v>
      </c>
      <c r="J140" s="56" t="s">
        <v>335</v>
      </c>
      <c r="K140" s="55" t="str">
        <f aca="false">INDEX('4D Schedule'!$C$6:$C$156,MATCH($J140,'4D Schedule'!$A$6:$A$156,0))</f>
        <v>Pile cap beams PCB1/PCB2 &amp; column pedestals – Zone-2</v>
      </c>
      <c r="L140" s="61" t="n">
        <f aca="false">INDEX('4D Schedule'!$AE$6:$AE$156,MATCH($J140,'4D Schedule'!$A$6:$A$156,0))</f>
        <v>46116</v>
      </c>
      <c r="M140" s="61" t="n">
        <f aca="false">INDEX('4D Schedule'!$AF$6:$AF$156,MATCH($J140,'4D Schedule'!$A$6:$A$156,0))</f>
        <v>46129</v>
      </c>
      <c r="N140" s="56" t="str">
        <f aca="false">INDEX('4D Schedule'!$AG$6:$AG$156,MATCH($J140,'4D Schedule'!$A$6:$A$156,0))</f>
        <v>Completed</v>
      </c>
      <c r="O140" s="55"/>
    </row>
    <row r="141" customFormat="false" ht="15" hidden="false" customHeight="false" outlineLevel="0" collapsed="false">
      <c r="A141" s="56" t="s">
        <v>1020</v>
      </c>
      <c r="B141" s="56" t="s">
        <v>968</v>
      </c>
      <c r="C141" s="55" t="s">
        <v>969</v>
      </c>
      <c r="D141" s="56" t="s">
        <v>970</v>
      </c>
      <c r="E141" s="55" t="s">
        <v>1021</v>
      </c>
      <c r="F141" s="25" t="s">
        <v>77</v>
      </c>
      <c r="G141" s="55" t="s">
        <v>972</v>
      </c>
      <c r="H141" s="56" t="s">
        <v>973</v>
      </c>
      <c r="I141" s="56" t="s">
        <v>58</v>
      </c>
      <c r="J141" s="56" t="s">
        <v>335</v>
      </c>
      <c r="K141" s="55" t="str">
        <f aca="false">INDEX('4D Schedule'!$C$6:$C$156,MATCH($J141,'4D Schedule'!$A$6:$A$156,0))</f>
        <v>Pile cap beams PCB1/PCB2 &amp; column pedestals – Zone-2</v>
      </c>
      <c r="L141" s="61" t="n">
        <f aca="false">INDEX('4D Schedule'!$AE$6:$AE$156,MATCH($J141,'4D Schedule'!$A$6:$A$156,0))</f>
        <v>46116</v>
      </c>
      <c r="M141" s="61" t="n">
        <f aca="false">INDEX('4D Schedule'!$AF$6:$AF$156,MATCH($J141,'4D Schedule'!$A$6:$A$156,0))</f>
        <v>46129</v>
      </c>
      <c r="N141" s="56" t="str">
        <f aca="false">INDEX('4D Schedule'!$AG$6:$AG$156,MATCH($J141,'4D Schedule'!$A$6:$A$156,0))</f>
        <v>Completed</v>
      </c>
      <c r="O141" s="55"/>
    </row>
    <row r="142" customFormat="false" ht="15" hidden="false" customHeight="false" outlineLevel="0" collapsed="false">
      <c r="A142" s="56" t="s">
        <v>1022</v>
      </c>
      <c r="B142" s="56" t="s">
        <v>968</v>
      </c>
      <c r="C142" s="55" t="s">
        <v>969</v>
      </c>
      <c r="D142" s="56" t="s">
        <v>970</v>
      </c>
      <c r="E142" s="55" t="s">
        <v>1023</v>
      </c>
      <c r="F142" s="25" t="s">
        <v>77</v>
      </c>
      <c r="G142" s="55" t="s">
        <v>972</v>
      </c>
      <c r="H142" s="56" t="s">
        <v>973</v>
      </c>
      <c r="I142" s="56" t="s">
        <v>58</v>
      </c>
      <c r="J142" s="56" t="s">
        <v>335</v>
      </c>
      <c r="K142" s="55" t="str">
        <f aca="false">INDEX('4D Schedule'!$C$6:$C$156,MATCH($J142,'4D Schedule'!$A$6:$A$156,0))</f>
        <v>Pile cap beams PCB1/PCB2 &amp; column pedestals – Zone-2</v>
      </c>
      <c r="L142" s="61" t="n">
        <f aca="false">INDEX('4D Schedule'!$AE$6:$AE$156,MATCH($J142,'4D Schedule'!$A$6:$A$156,0))</f>
        <v>46116</v>
      </c>
      <c r="M142" s="61" t="n">
        <f aca="false">INDEX('4D Schedule'!$AF$6:$AF$156,MATCH($J142,'4D Schedule'!$A$6:$A$156,0))</f>
        <v>46129</v>
      </c>
      <c r="N142" s="56" t="str">
        <f aca="false">INDEX('4D Schedule'!$AG$6:$AG$156,MATCH($J142,'4D Schedule'!$A$6:$A$156,0))</f>
        <v>Completed</v>
      </c>
      <c r="O142" s="55"/>
    </row>
    <row r="143" customFormat="false" ht="15" hidden="false" customHeight="false" outlineLevel="0" collapsed="false">
      <c r="A143" s="56" t="s">
        <v>1024</v>
      </c>
      <c r="B143" s="56" t="s">
        <v>968</v>
      </c>
      <c r="C143" s="55" t="s">
        <v>969</v>
      </c>
      <c r="D143" s="56" t="s">
        <v>970</v>
      </c>
      <c r="E143" s="55" t="s">
        <v>1025</v>
      </c>
      <c r="F143" s="25" t="s">
        <v>77</v>
      </c>
      <c r="G143" s="55" t="s">
        <v>972</v>
      </c>
      <c r="H143" s="56" t="s">
        <v>973</v>
      </c>
      <c r="I143" s="56" t="s">
        <v>58</v>
      </c>
      <c r="J143" s="56" t="s">
        <v>335</v>
      </c>
      <c r="K143" s="55" t="str">
        <f aca="false">INDEX('4D Schedule'!$C$6:$C$156,MATCH($J143,'4D Schedule'!$A$6:$A$156,0))</f>
        <v>Pile cap beams PCB1/PCB2 &amp; column pedestals – Zone-2</v>
      </c>
      <c r="L143" s="61" t="n">
        <f aca="false">INDEX('4D Schedule'!$AE$6:$AE$156,MATCH($J143,'4D Schedule'!$A$6:$A$156,0))</f>
        <v>46116</v>
      </c>
      <c r="M143" s="61" t="n">
        <f aca="false">INDEX('4D Schedule'!$AF$6:$AF$156,MATCH($J143,'4D Schedule'!$A$6:$A$156,0))</f>
        <v>46129</v>
      </c>
      <c r="N143" s="56" t="str">
        <f aca="false">INDEX('4D Schedule'!$AG$6:$AG$156,MATCH($J143,'4D Schedule'!$A$6:$A$156,0))</f>
        <v>Completed</v>
      </c>
      <c r="O143" s="55"/>
    </row>
    <row r="144" customFormat="false" ht="15" hidden="false" customHeight="false" outlineLevel="0" collapsed="false">
      <c r="A144" s="56" t="s">
        <v>1026</v>
      </c>
      <c r="B144" s="56" t="s">
        <v>968</v>
      </c>
      <c r="C144" s="55" t="s">
        <v>969</v>
      </c>
      <c r="D144" s="56" t="s">
        <v>970</v>
      </c>
      <c r="E144" s="55" t="s">
        <v>1027</v>
      </c>
      <c r="F144" s="25" t="s">
        <v>77</v>
      </c>
      <c r="G144" s="55" t="s">
        <v>972</v>
      </c>
      <c r="H144" s="56" t="s">
        <v>973</v>
      </c>
      <c r="I144" s="56" t="s">
        <v>58</v>
      </c>
      <c r="J144" s="56" t="s">
        <v>335</v>
      </c>
      <c r="K144" s="55" t="str">
        <f aca="false">INDEX('4D Schedule'!$C$6:$C$156,MATCH($J144,'4D Schedule'!$A$6:$A$156,0))</f>
        <v>Pile cap beams PCB1/PCB2 &amp; column pedestals – Zone-2</v>
      </c>
      <c r="L144" s="61" t="n">
        <f aca="false">INDEX('4D Schedule'!$AE$6:$AE$156,MATCH($J144,'4D Schedule'!$A$6:$A$156,0))</f>
        <v>46116</v>
      </c>
      <c r="M144" s="61" t="n">
        <f aca="false">INDEX('4D Schedule'!$AF$6:$AF$156,MATCH($J144,'4D Schedule'!$A$6:$A$156,0))</f>
        <v>46129</v>
      </c>
      <c r="N144" s="56" t="str">
        <f aca="false">INDEX('4D Schedule'!$AG$6:$AG$156,MATCH($J144,'4D Schedule'!$A$6:$A$156,0))</f>
        <v>Completed</v>
      </c>
      <c r="O144" s="55"/>
    </row>
    <row r="145" customFormat="false" ht="15" hidden="false" customHeight="false" outlineLevel="0" collapsed="false">
      <c r="A145" s="56" t="s">
        <v>1028</v>
      </c>
      <c r="B145" s="56" t="s">
        <v>968</v>
      </c>
      <c r="C145" s="55" t="s">
        <v>969</v>
      </c>
      <c r="D145" s="56" t="s">
        <v>970</v>
      </c>
      <c r="E145" s="55" t="s">
        <v>1029</v>
      </c>
      <c r="F145" s="25" t="s">
        <v>77</v>
      </c>
      <c r="G145" s="55" t="s">
        <v>972</v>
      </c>
      <c r="H145" s="56" t="s">
        <v>973</v>
      </c>
      <c r="I145" s="56" t="s">
        <v>58</v>
      </c>
      <c r="J145" s="56" t="s">
        <v>335</v>
      </c>
      <c r="K145" s="55" t="str">
        <f aca="false">INDEX('4D Schedule'!$C$6:$C$156,MATCH($J145,'4D Schedule'!$A$6:$A$156,0))</f>
        <v>Pile cap beams PCB1/PCB2 &amp; column pedestals – Zone-2</v>
      </c>
      <c r="L145" s="61" t="n">
        <f aca="false">INDEX('4D Schedule'!$AE$6:$AE$156,MATCH($J145,'4D Schedule'!$A$6:$A$156,0))</f>
        <v>46116</v>
      </c>
      <c r="M145" s="61" t="n">
        <f aca="false">INDEX('4D Schedule'!$AF$6:$AF$156,MATCH($J145,'4D Schedule'!$A$6:$A$156,0))</f>
        <v>46129</v>
      </c>
      <c r="N145" s="56" t="str">
        <f aca="false">INDEX('4D Schedule'!$AG$6:$AG$156,MATCH($J145,'4D Schedule'!$A$6:$A$156,0))</f>
        <v>Completed</v>
      </c>
      <c r="O145" s="55"/>
    </row>
    <row r="146" customFormat="false" ht="15" hidden="false" customHeight="false" outlineLevel="0" collapsed="false">
      <c r="A146" s="56" t="s">
        <v>1030</v>
      </c>
      <c r="B146" s="56" t="s">
        <v>968</v>
      </c>
      <c r="C146" s="55" t="s">
        <v>992</v>
      </c>
      <c r="D146" s="56" t="s">
        <v>993</v>
      </c>
      <c r="E146" s="55" t="s">
        <v>1031</v>
      </c>
      <c r="F146" s="25" t="s">
        <v>77</v>
      </c>
      <c r="G146" s="55" t="s">
        <v>972</v>
      </c>
      <c r="H146" s="56" t="s">
        <v>973</v>
      </c>
      <c r="I146" s="56" t="s">
        <v>58</v>
      </c>
      <c r="J146" s="56" t="s">
        <v>335</v>
      </c>
      <c r="K146" s="55" t="str">
        <f aca="false">INDEX('4D Schedule'!$C$6:$C$156,MATCH($J146,'4D Schedule'!$A$6:$A$156,0))</f>
        <v>Pile cap beams PCB1/PCB2 &amp; column pedestals – Zone-2</v>
      </c>
      <c r="L146" s="61" t="n">
        <f aca="false">INDEX('4D Schedule'!$AE$6:$AE$156,MATCH($J146,'4D Schedule'!$A$6:$A$156,0))</f>
        <v>46116</v>
      </c>
      <c r="M146" s="61" t="n">
        <f aca="false">INDEX('4D Schedule'!$AF$6:$AF$156,MATCH($J146,'4D Schedule'!$A$6:$A$156,0))</f>
        <v>46129</v>
      </c>
      <c r="N146" s="56" t="str">
        <f aca="false">INDEX('4D Schedule'!$AG$6:$AG$156,MATCH($J146,'4D Schedule'!$A$6:$A$156,0))</f>
        <v>Completed</v>
      </c>
      <c r="O146" s="55"/>
    </row>
    <row r="147" customFormat="false" ht="15" hidden="false" customHeight="false" outlineLevel="0" collapsed="false">
      <c r="A147" s="56" t="s">
        <v>1032</v>
      </c>
      <c r="B147" s="56" t="s">
        <v>368</v>
      </c>
      <c r="C147" s="55" t="s">
        <v>942</v>
      </c>
      <c r="D147" s="56" t="s">
        <v>943</v>
      </c>
      <c r="E147" s="55" t="s">
        <v>834</v>
      </c>
      <c r="F147" s="25" t="s">
        <v>79</v>
      </c>
      <c r="G147" s="55" t="s">
        <v>930</v>
      </c>
      <c r="H147" s="56" t="s">
        <v>940</v>
      </c>
      <c r="I147" s="56" t="s">
        <v>58</v>
      </c>
      <c r="J147" s="56" t="s">
        <v>339</v>
      </c>
      <c r="K147" s="55" t="str">
        <f aca="false">INDEX('4D Schedule'!$C$6:$C$156,MATCH($J147,'4D Schedule'!$A$6:$A$156,0))</f>
        <v>Pile cap beams PCB1/PCB2 &amp; column pedestals – Zone-3</v>
      </c>
      <c r="L147" s="61" t="n">
        <f aca="false">INDEX('4D Schedule'!$AE$6:$AE$156,MATCH($J147,'4D Schedule'!$A$6:$A$156,0))</f>
        <v>46123</v>
      </c>
      <c r="M147" s="61" t="n">
        <f aca="false">INDEX('4D Schedule'!$AF$6:$AF$156,MATCH($J147,'4D Schedule'!$A$6:$A$156,0))</f>
        <v>46134</v>
      </c>
      <c r="N147" s="56" t="str">
        <f aca="false">INDEX('4D Schedule'!$AG$6:$AG$156,MATCH($J147,'4D Schedule'!$A$6:$A$156,0))</f>
        <v>Completed</v>
      </c>
      <c r="O147" s="55" t="s">
        <v>932</v>
      </c>
    </row>
    <row r="148" customFormat="false" ht="15" hidden="false" customHeight="false" outlineLevel="0" collapsed="false">
      <c r="A148" s="56" t="s">
        <v>1033</v>
      </c>
      <c r="B148" s="56" t="s">
        <v>368</v>
      </c>
      <c r="C148" s="55" t="s">
        <v>942</v>
      </c>
      <c r="D148" s="56" t="s">
        <v>943</v>
      </c>
      <c r="E148" s="55" t="s">
        <v>875</v>
      </c>
      <c r="F148" s="25" t="s">
        <v>79</v>
      </c>
      <c r="G148" s="55" t="s">
        <v>930</v>
      </c>
      <c r="H148" s="56" t="s">
        <v>940</v>
      </c>
      <c r="I148" s="56" t="s">
        <v>58</v>
      </c>
      <c r="J148" s="56" t="s">
        <v>339</v>
      </c>
      <c r="K148" s="55" t="str">
        <f aca="false">INDEX('4D Schedule'!$C$6:$C$156,MATCH($J148,'4D Schedule'!$A$6:$A$156,0))</f>
        <v>Pile cap beams PCB1/PCB2 &amp; column pedestals – Zone-3</v>
      </c>
      <c r="L148" s="61" t="n">
        <f aca="false">INDEX('4D Schedule'!$AE$6:$AE$156,MATCH($J148,'4D Schedule'!$A$6:$A$156,0))</f>
        <v>46123</v>
      </c>
      <c r="M148" s="61" t="n">
        <f aca="false">INDEX('4D Schedule'!$AF$6:$AF$156,MATCH($J148,'4D Schedule'!$A$6:$A$156,0))</f>
        <v>46134</v>
      </c>
      <c r="N148" s="56" t="str">
        <f aca="false">INDEX('4D Schedule'!$AG$6:$AG$156,MATCH($J148,'4D Schedule'!$A$6:$A$156,0))</f>
        <v>Completed</v>
      </c>
      <c r="O148" s="55" t="s">
        <v>932</v>
      </c>
    </row>
    <row r="149" customFormat="false" ht="15" hidden="false" customHeight="false" outlineLevel="0" collapsed="false">
      <c r="A149" s="56" t="s">
        <v>1034</v>
      </c>
      <c r="B149" s="56" t="s">
        <v>368</v>
      </c>
      <c r="C149" s="55" t="s">
        <v>934</v>
      </c>
      <c r="D149" s="56" t="s">
        <v>935</v>
      </c>
      <c r="E149" s="55" t="s">
        <v>759</v>
      </c>
      <c r="F149" s="25" t="s">
        <v>79</v>
      </c>
      <c r="G149" s="55" t="s">
        <v>930</v>
      </c>
      <c r="H149" s="56" t="s">
        <v>931</v>
      </c>
      <c r="I149" s="56" t="s">
        <v>58</v>
      </c>
      <c r="J149" s="56" t="s">
        <v>339</v>
      </c>
      <c r="K149" s="55" t="str">
        <f aca="false">INDEX('4D Schedule'!$C$6:$C$156,MATCH($J149,'4D Schedule'!$A$6:$A$156,0))</f>
        <v>Pile cap beams PCB1/PCB2 &amp; column pedestals – Zone-3</v>
      </c>
      <c r="L149" s="61" t="n">
        <f aca="false">INDEX('4D Schedule'!$AE$6:$AE$156,MATCH($J149,'4D Schedule'!$A$6:$A$156,0))</f>
        <v>46123</v>
      </c>
      <c r="M149" s="61" t="n">
        <f aca="false">INDEX('4D Schedule'!$AF$6:$AF$156,MATCH($J149,'4D Schedule'!$A$6:$A$156,0))</f>
        <v>46134</v>
      </c>
      <c r="N149" s="56" t="str">
        <f aca="false">INDEX('4D Schedule'!$AG$6:$AG$156,MATCH($J149,'4D Schedule'!$A$6:$A$156,0))</f>
        <v>Completed</v>
      </c>
      <c r="O149" s="55" t="s">
        <v>932</v>
      </c>
    </row>
    <row r="150" customFormat="false" ht="15" hidden="false" customHeight="false" outlineLevel="0" collapsed="false">
      <c r="A150" s="56" t="s">
        <v>1035</v>
      </c>
      <c r="B150" s="56" t="s">
        <v>368</v>
      </c>
      <c r="C150" s="55" t="s">
        <v>934</v>
      </c>
      <c r="D150" s="56" t="s">
        <v>935</v>
      </c>
      <c r="E150" s="55" t="s">
        <v>781</v>
      </c>
      <c r="F150" s="25" t="s">
        <v>79</v>
      </c>
      <c r="G150" s="55" t="s">
        <v>930</v>
      </c>
      <c r="H150" s="56" t="s">
        <v>931</v>
      </c>
      <c r="I150" s="56" t="s">
        <v>58</v>
      </c>
      <c r="J150" s="56" t="s">
        <v>339</v>
      </c>
      <c r="K150" s="55" t="str">
        <f aca="false">INDEX('4D Schedule'!$C$6:$C$156,MATCH($J150,'4D Schedule'!$A$6:$A$156,0))</f>
        <v>Pile cap beams PCB1/PCB2 &amp; column pedestals – Zone-3</v>
      </c>
      <c r="L150" s="61" t="n">
        <f aca="false">INDEX('4D Schedule'!$AE$6:$AE$156,MATCH($J150,'4D Schedule'!$A$6:$A$156,0))</f>
        <v>46123</v>
      </c>
      <c r="M150" s="61" t="n">
        <f aca="false">INDEX('4D Schedule'!$AF$6:$AF$156,MATCH($J150,'4D Schedule'!$A$6:$A$156,0))</f>
        <v>46134</v>
      </c>
      <c r="N150" s="56" t="str">
        <f aca="false">INDEX('4D Schedule'!$AG$6:$AG$156,MATCH($J150,'4D Schedule'!$A$6:$A$156,0))</f>
        <v>Completed</v>
      </c>
      <c r="O150" s="55" t="s">
        <v>932</v>
      </c>
    </row>
    <row r="151" customFormat="false" ht="15" hidden="false" customHeight="false" outlineLevel="0" collapsed="false">
      <c r="A151" s="56" t="s">
        <v>1036</v>
      </c>
      <c r="B151" s="56" t="s">
        <v>368</v>
      </c>
      <c r="C151" s="55" t="s">
        <v>934</v>
      </c>
      <c r="D151" s="56" t="s">
        <v>935</v>
      </c>
      <c r="E151" s="55" t="s">
        <v>801</v>
      </c>
      <c r="F151" s="25" t="s">
        <v>79</v>
      </c>
      <c r="G151" s="55" t="s">
        <v>930</v>
      </c>
      <c r="H151" s="56" t="s">
        <v>931</v>
      </c>
      <c r="I151" s="56" t="s">
        <v>58</v>
      </c>
      <c r="J151" s="56" t="s">
        <v>339</v>
      </c>
      <c r="K151" s="55" t="str">
        <f aca="false">INDEX('4D Schedule'!$C$6:$C$156,MATCH($J151,'4D Schedule'!$A$6:$A$156,0))</f>
        <v>Pile cap beams PCB1/PCB2 &amp; column pedestals – Zone-3</v>
      </c>
      <c r="L151" s="61" t="n">
        <f aca="false">INDEX('4D Schedule'!$AE$6:$AE$156,MATCH($J151,'4D Schedule'!$A$6:$A$156,0))</f>
        <v>46123</v>
      </c>
      <c r="M151" s="61" t="n">
        <f aca="false">INDEX('4D Schedule'!$AF$6:$AF$156,MATCH($J151,'4D Schedule'!$A$6:$A$156,0))</f>
        <v>46134</v>
      </c>
      <c r="N151" s="56" t="str">
        <f aca="false">INDEX('4D Schedule'!$AG$6:$AG$156,MATCH($J151,'4D Schedule'!$A$6:$A$156,0))</f>
        <v>Completed</v>
      </c>
      <c r="O151" s="55" t="s">
        <v>932</v>
      </c>
    </row>
    <row r="152" customFormat="false" ht="15" hidden="false" customHeight="false" outlineLevel="0" collapsed="false">
      <c r="A152" s="56" t="s">
        <v>1037</v>
      </c>
      <c r="B152" s="56" t="s">
        <v>368</v>
      </c>
      <c r="C152" s="55" t="s">
        <v>1038</v>
      </c>
      <c r="D152" s="56" t="s">
        <v>1039</v>
      </c>
      <c r="E152" s="55" t="s">
        <v>829</v>
      </c>
      <c r="F152" s="25" t="s">
        <v>79</v>
      </c>
      <c r="G152" s="55" t="s">
        <v>930</v>
      </c>
      <c r="H152" s="56" t="s">
        <v>940</v>
      </c>
      <c r="I152" s="56" t="s">
        <v>58</v>
      </c>
      <c r="J152" s="56" t="s">
        <v>339</v>
      </c>
      <c r="K152" s="55" t="str">
        <f aca="false">INDEX('4D Schedule'!$C$6:$C$156,MATCH($J152,'4D Schedule'!$A$6:$A$156,0))</f>
        <v>Pile cap beams PCB1/PCB2 &amp; column pedestals – Zone-3</v>
      </c>
      <c r="L152" s="61" t="n">
        <f aca="false">INDEX('4D Schedule'!$AE$6:$AE$156,MATCH($J152,'4D Schedule'!$A$6:$A$156,0))</f>
        <v>46123</v>
      </c>
      <c r="M152" s="61" t="n">
        <f aca="false">INDEX('4D Schedule'!$AF$6:$AF$156,MATCH($J152,'4D Schedule'!$A$6:$A$156,0))</f>
        <v>46134</v>
      </c>
      <c r="N152" s="56" t="str">
        <f aca="false">INDEX('4D Schedule'!$AG$6:$AG$156,MATCH($J152,'4D Schedule'!$A$6:$A$156,0))</f>
        <v>Completed</v>
      </c>
      <c r="O152" s="55" t="s">
        <v>932</v>
      </c>
    </row>
    <row r="153" customFormat="false" ht="15" hidden="false" customHeight="false" outlineLevel="0" collapsed="false">
      <c r="A153" s="56" t="s">
        <v>1040</v>
      </c>
      <c r="B153" s="56" t="s">
        <v>368</v>
      </c>
      <c r="C153" s="55" t="s">
        <v>942</v>
      </c>
      <c r="D153" s="56" t="s">
        <v>943</v>
      </c>
      <c r="E153" s="55" t="s">
        <v>839</v>
      </c>
      <c r="F153" s="25" t="s">
        <v>79</v>
      </c>
      <c r="G153" s="55" t="s">
        <v>930</v>
      </c>
      <c r="H153" s="56" t="s">
        <v>940</v>
      </c>
      <c r="I153" s="56" t="s">
        <v>58</v>
      </c>
      <c r="J153" s="56" t="s">
        <v>339</v>
      </c>
      <c r="K153" s="55" t="str">
        <f aca="false">INDEX('4D Schedule'!$C$6:$C$156,MATCH($J153,'4D Schedule'!$A$6:$A$156,0))</f>
        <v>Pile cap beams PCB1/PCB2 &amp; column pedestals – Zone-3</v>
      </c>
      <c r="L153" s="61" t="n">
        <f aca="false">INDEX('4D Schedule'!$AE$6:$AE$156,MATCH($J153,'4D Schedule'!$A$6:$A$156,0))</f>
        <v>46123</v>
      </c>
      <c r="M153" s="61" t="n">
        <f aca="false">INDEX('4D Schedule'!$AF$6:$AF$156,MATCH($J153,'4D Schedule'!$A$6:$A$156,0))</f>
        <v>46134</v>
      </c>
      <c r="N153" s="56" t="str">
        <f aca="false">INDEX('4D Schedule'!$AG$6:$AG$156,MATCH($J153,'4D Schedule'!$A$6:$A$156,0))</f>
        <v>Completed</v>
      </c>
      <c r="O153" s="55" t="s">
        <v>932</v>
      </c>
    </row>
    <row r="154" customFormat="false" ht="15" hidden="false" customHeight="false" outlineLevel="0" collapsed="false">
      <c r="A154" s="56" t="s">
        <v>1041</v>
      </c>
      <c r="B154" s="56" t="s">
        <v>368</v>
      </c>
      <c r="C154" s="55" t="s">
        <v>942</v>
      </c>
      <c r="D154" s="56" t="s">
        <v>943</v>
      </c>
      <c r="E154" s="55" t="s">
        <v>880</v>
      </c>
      <c r="F154" s="25" t="s">
        <v>79</v>
      </c>
      <c r="G154" s="55" t="s">
        <v>930</v>
      </c>
      <c r="H154" s="56" t="s">
        <v>940</v>
      </c>
      <c r="I154" s="56" t="s">
        <v>58</v>
      </c>
      <c r="J154" s="56" t="s">
        <v>339</v>
      </c>
      <c r="K154" s="55" t="str">
        <f aca="false">INDEX('4D Schedule'!$C$6:$C$156,MATCH($J154,'4D Schedule'!$A$6:$A$156,0))</f>
        <v>Pile cap beams PCB1/PCB2 &amp; column pedestals – Zone-3</v>
      </c>
      <c r="L154" s="61" t="n">
        <f aca="false">INDEX('4D Schedule'!$AE$6:$AE$156,MATCH($J154,'4D Schedule'!$A$6:$A$156,0))</f>
        <v>46123</v>
      </c>
      <c r="M154" s="61" t="n">
        <f aca="false">INDEX('4D Schedule'!$AF$6:$AF$156,MATCH($J154,'4D Schedule'!$A$6:$A$156,0))</f>
        <v>46134</v>
      </c>
      <c r="N154" s="56" t="str">
        <f aca="false">INDEX('4D Schedule'!$AG$6:$AG$156,MATCH($J154,'4D Schedule'!$A$6:$A$156,0))</f>
        <v>Completed</v>
      </c>
      <c r="O154" s="55" t="s">
        <v>932</v>
      </c>
    </row>
    <row r="155" customFormat="false" ht="15" hidden="false" customHeight="false" outlineLevel="0" collapsed="false">
      <c r="A155" s="56" t="s">
        <v>1042</v>
      </c>
      <c r="B155" s="56" t="s">
        <v>968</v>
      </c>
      <c r="C155" s="55" t="s">
        <v>969</v>
      </c>
      <c r="D155" s="56" t="s">
        <v>970</v>
      </c>
      <c r="E155" s="55" t="s">
        <v>1043</v>
      </c>
      <c r="F155" s="25" t="s">
        <v>79</v>
      </c>
      <c r="G155" s="55" t="s">
        <v>972</v>
      </c>
      <c r="H155" s="56" t="s">
        <v>973</v>
      </c>
      <c r="I155" s="56" t="s">
        <v>58</v>
      </c>
      <c r="J155" s="56" t="s">
        <v>339</v>
      </c>
      <c r="K155" s="55" t="str">
        <f aca="false">INDEX('4D Schedule'!$C$6:$C$156,MATCH($J155,'4D Schedule'!$A$6:$A$156,0))</f>
        <v>Pile cap beams PCB1/PCB2 &amp; column pedestals – Zone-3</v>
      </c>
      <c r="L155" s="61" t="n">
        <f aca="false">INDEX('4D Schedule'!$AE$6:$AE$156,MATCH($J155,'4D Schedule'!$A$6:$A$156,0))</f>
        <v>46123</v>
      </c>
      <c r="M155" s="61" t="n">
        <f aca="false">INDEX('4D Schedule'!$AF$6:$AF$156,MATCH($J155,'4D Schedule'!$A$6:$A$156,0))</f>
        <v>46134</v>
      </c>
      <c r="N155" s="56" t="str">
        <f aca="false">INDEX('4D Schedule'!$AG$6:$AG$156,MATCH($J155,'4D Schedule'!$A$6:$A$156,0))</f>
        <v>Completed</v>
      </c>
      <c r="O155" s="55"/>
    </row>
    <row r="156" customFormat="false" ht="15" hidden="false" customHeight="false" outlineLevel="0" collapsed="false">
      <c r="A156" s="56" t="s">
        <v>1044</v>
      </c>
      <c r="B156" s="56" t="s">
        <v>968</v>
      </c>
      <c r="C156" s="55" t="s">
        <v>969</v>
      </c>
      <c r="D156" s="56" t="s">
        <v>970</v>
      </c>
      <c r="E156" s="55" t="s">
        <v>1045</v>
      </c>
      <c r="F156" s="25" t="s">
        <v>79</v>
      </c>
      <c r="G156" s="55" t="s">
        <v>972</v>
      </c>
      <c r="H156" s="56" t="s">
        <v>973</v>
      </c>
      <c r="I156" s="56" t="s">
        <v>58</v>
      </c>
      <c r="J156" s="56" t="s">
        <v>339</v>
      </c>
      <c r="K156" s="55" t="str">
        <f aca="false">INDEX('4D Schedule'!$C$6:$C$156,MATCH($J156,'4D Schedule'!$A$6:$A$156,0))</f>
        <v>Pile cap beams PCB1/PCB2 &amp; column pedestals – Zone-3</v>
      </c>
      <c r="L156" s="61" t="n">
        <f aca="false">INDEX('4D Schedule'!$AE$6:$AE$156,MATCH($J156,'4D Schedule'!$A$6:$A$156,0))</f>
        <v>46123</v>
      </c>
      <c r="M156" s="61" t="n">
        <f aca="false">INDEX('4D Schedule'!$AF$6:$AF$156,MATCH($J156,'4D Schedule'!$A$6:$A$156,0))</f>
        <v>46134</v>
      </c>
      <c r="N156" s="56" t="str">
        <f aca="false">INDEX('4D Schedule'!$AG$6:$AG$156,MATCH($J156,'4D Schedule'!$A$6:$A$156,0))</f>
        <v>Completed</v>
      </c>
      <c r="O156" s="55"/>
    </row>
    <row r="157" customFormat="false" ht="15" hidden="false" customHeight="false" outlineLevel="0" collapsed="false">
      <c r="A157" s="56" t="s">
        <v>1046</v>
      </c>
      <c r="B157" s="56" t="s">
        <v>968</v>
      </c>
      <c r="C157" s="55" t="s">
        <v>969</v>
      </c>
      <c r="D157" s="56" t="s">
        <v>970</v>
      </c>
      <c r="E157" s="55" t="s">
        <v>1047</v>
      </c>
      <c r="F157" s="25" t="s">
        <v>79</v>
      </c>
      <c r="G157" s="55" t="s">
        <v>972</v>
      </c>
      <c r="H157" s="56" t="s">
        <v>973</v>
      </c>
      <c r="I157" s="56" t="s">
        <v>58</v>
      </c>
      <c r="J157" s="56" t="s">
        <v>339</v>
      </c>
      <c r="K157" s="55" t="str">
        <f aca="false">INDEX('4D Schedule'!$C$6:$C$156,MATCH($J157,'4D Schedule'!$A$6:$A$156,0))</f>
        <v>Pile cap beams PCB1/PCB2 &amp; column pedestals – Zone-3</v>
      </c>
      <c r="L157" s="61" t="n">
        <f aca="false">INDEX('4D Schedule'!$AE$6:$AE$156,MATCH($J157,'4D Schedule'!$A$6:$A$156,0))</f>
        <v>46123</v>
      </c>
      <c r="M157" s="61" t="n">
        <f aca="false">INDEX('4D Schedule'!$AF$6:$AF$156,MATCH($J157,'4D Schedule'!$A$6:$A$156,0))</f>
        <v>46134</v>
      </c>
      <c r="N157" s="56" t="str">
        <f aca="false">INDEX('4D Schedule'!$AG$6:$AG$156,MATCH($J157,'4D Schedule'!$A$6:$A$156,0))</f>
        <v>Completed</v>
      </c>
      <c r="O157" s="55"/>
    </row>
    <row r="158" customFormat="false" ht="15" hidden="false" customHeight="false" outlineLevel="0" collapsed="false">
      <c r="A158" s="56" t="s">
        <v>1048</v>
      </c>
      <c r="B158" s="56" t="s">
        <v>968</v>
      </c>
      <c r="C158" s="55" t="s">
        <v>969</v>
      </c>
      <c r="D158" s="56" t="s">
        <v>970</v>
      </c>
      <c r="E158" s="55" t="s">
        <v>1049</v>
      </c>
      <c r="F158" s="25" t="s">
        <v>79</v>
      </c>
      <c r="G158" s="55" t="s">
        <v>972</v>
      </c>
      <c r="H158" s="56" t="s">
        <v>973</v>
      </c>
      <c r="I158" s="56" t="s">
        <v>58</v>
      </c>
      <c r="J158" s="56" t="s">
        <v>339</v>
      </c>
      <c r="K158" s="55" t="str">
        <f aca="false">INDEX('4D Schedule'!$C$6:$C$156,MATCH($J158,'4D Schedule'!$A$6:$A$156,0))</f>
        <v>Pile cap beams PCB1/PCB2 &amp; column pedestals – Zone-3</v>
      </c>
      <c r="L158" s="61" t="n">
        <f aca="false">INDEX('4D Schedule'!$AE$6:$AE$156,MATCH($J158,'4D Schedule'!$A$6:$A$156,0))</f>
        <v>46123</v>
      </c>
      <c r="M158" s="61" t="n">
        <f aca="false">INDEX('4D Schedule'!$AF$6:$AF$156,MATCH($J158,'4D Schedule'!$A$6:$A$156,0))</f>
        <v>46134</v>
      </c>
      <c r="N158" s="56" t="str">
        <f aca="false">INDEX('4D Schedule'!$AG$6:$AG$156,MATCH($J158,'4D Schedule'!$A$6:$A$156,0))</f>
        <v>Completed</v>
      </c>
      <c r="O158" s="55"/>
    </row>
    <row r="159" customFormat="false" ht="15" hidden="false" customHeight="false" outlineLevel="0" collapsed="false">
      <c r="A159" s="56" t="s">
        <v>1050</v>
      </c>
      <c r="B159" s="56" t="s">
        <v>968</v>
      </c>
      <c r="C159" s="55" t="s">
        <v>969</v>
      </c>
      <c r="D159" s="56" t="s">
        <v>970</v>
      </c>
      <c r="E159" s="55" t="s">
        <v>1051</v>
      </c>
      <c r="F159" s="25" t="s">
        <v>79</v>
      </c>
      <c r="G159" s="55" t="s">
        <v>972</v>
      </c>
      <c r="H159" s="56" t="s">
        <v>973</v>
      </c>
      <c r="I159" s="56" t="s">
        <v>58</v>
      </c>
      <c r="J159" s="56" t="s">
        <v>339</v>
      </c>
      <c r="K159" s="55" t="str">
        <f aca="false">INDEX('4D Schedule'!$C$6:$C$156,MATCH($J159,'4D Schedule'!$A$6:$A$156,0))</f>
        <v>Pile cap beams PCB1/PCB2 &amp; column pedestals – Zone-3</v>
      </c>
      <c r="L159" s="61" t="n">
        <f aca="false">INDEX('4D Schedule'!$AE$6:$AE$156,MATCH($J159,'4D Schedule'!$A$6:$A$156,0))</f>
        <v>46123</v>
      </c>
      <c r="M159" s="61" t="n">
        <f aca="false">INDEX('4D Schedule'!$AF$6:$AF$156,MATCH($J159,'4D Schedule'!$A$6:$A$156,0))</f>
        <v>46134</v>
      </c>
      <c r="N159" s="56" t="str">
        <f aca="false">INDEX('4D Schedule'!$AG$6:$AG$156,MATCH($J159,'4D Schedule'!$A$6:$A$156,0))</f>
        <v>Completed</v>
      </c>
      <c r="O159" s="55"/>
    </row>
    <row r="160" customFormat="false" ht="15" hidden="false" customHeight="false" outlineLevel="0" collapsed="false">
      <c r="A160" s="56" t="s">
        <v>1052</v>
      </c>
      <c r="B160" s="56" t="s">
        <v>968</v>
      </c>
      <c r="C160" s="55" t="s">
        <v>992</v>
      </c>
      <c r="D160" s="56" t="s">
        <v>993</v>
      </c>
      <c r="E160" s="55" t="s">
        <v>1053</v>
      </c>
      <c r="F160" s="25" t="s">
        <v>79</v>
      </c>
      <c r="G160" s="55" t="s">
        <v>972</v>
      </c>
      <c r="H160" s="56" t="s">
        <v>973</v>
      </c>
      <c r="I160" s="56" t="s">
        <v>58</v>
      </c>
      <c r="J160" s="56" t="s">
        <v>339</v>
      </c>
      <c r="K160" s="55" t="str">
        <f aca="false">INDEX('4D Schedule'!$C$6:$C$156,MATCH($J160,'4D Schedule'!$A$6:$A$156,0))</f>
        <v>Pile cap beams PCB1/PCB2 &amp; column pedestals – Zone-3</v>
      </c>
      <c r="L160" s="61" t="n">
        <f aca="false">INDEX('4D Schedule'!$AE$6:$AE$156,MATCH($J160,'4D Schedule'!$A$6:$A$156,0))</f>
        <v>46123</v>
      </c>
      <c r="M160" s="61" t="n">
        <f aca="false">INDEX('4D Schedule'!$AF$6:$AF$156,MATCH($J160,'4D Schedule'!$A$6:$A$156,0))</f>
        <v>46134</v>
      </c>
      <c r="N160" s="56" t="str">
        <f aca="false">INDEX('4D Schedule'!$AG$6:$AG$156,MATCH($J160,'4D Schedule'!$A$6:$A$156,0))</f>
        <v>Completed</v>
      </c>
      <c r="O160" s="55"/>
    </row>
    <row r="161" customFormat="false" ht="15" hidden="false" customHeight="false" outlineLevel="0" collapsed="false">
      <c r="A161" s="56" t="s">
        <v>1054</v>
      </c>
      <c r="B161" s="56" t="s">
        <v>968</v>
      </c>
      <c r="C161" s="55" t="s">
        <v>992</v>
      </c>
      <c r="D161" s="56" t="s">
        <v>993</v>
      </c>
      <c r="E161" s="55" t="s">
        <v>1055</v>
      </c>
      <c r="F161" s="25" t="s">
        <v>79</v>
      </c>
      <c r="G161" s="55" t="s">
        <v>972</v>
      </c>
      <c r="H161" s="56" t="s">
        <v>973</v>
      </c>
      <c r="I161" s="56" t="s">
        <v>58</v>
      </c>
      <c r="J161" s="56" t="s">
        <v>339</v>
      </c>
      <c r="K161" s="55" t="str">
        <f aca="false">INDEX('4D Schedule'!$C$6:$C$156,MATCH($J161,'4D Schedule'!$A$6:$A$156,0))</f>
        <v>Pile cap beams PCB1/PCB2 &amp; column pedestals – Zone-3</v>
      </c>
      <c r="L161" s="61" t="n">
        <f aca="false">INDEX('4D Schedule'!$AE$6:$AE$156,MATCH($J161,'4D Schedule'!$A$6:$A$156,0))</f>
        <v>46123</v>
      </c>
      <c r="M161" s="61" t="n">
        <f aca="false">INDEX('4D Schedule'!$AF$6:$AF$156,MATCH($J161,'4D Schedule'!$A$6:$A$156,0))</f>
        <v>46134</v>
      </c>
      <c r="N161" s="56" t="str">
        <f aca="false">INDEX('4D Schedule'!$AG$6:$AG$156,MATCH($J161,'4D Schedule'!$A$6:$A$156,0))</f>
        <v>Completed</v>
      </c>
      <c r="O161" s="55"/>
    </row>
    <row r="162" customFormat="false" ht="22.35" hidden="false" customHeight="false" outlineLevel="0" collapsed="false">
      <c r="A162" s="56" t="s">
        <v>1056</v>
      </c>
      <c r="B162" s="56" t="s">
        <v>346</v>
      </c>
      <c r="C162" s="55" t="s">
        <v>343</v>
      </c>
      <c r="D162" s="56" t="s">
        <v>882</v>
      </c>
      <c r="E162" s="55" t="s">
        <v>344</v>
      </c>
      <c r="F162" s="25" t="s">
        <v>75</v>
      </c>
      <c r="G162" s="55" t="s">
        <v>345</v>
      </c>
      <c r="H162" s="56"/>
      <c r="I162" s="56"/>
      <c r="J162" s="56" t="s">
        <v>342</v>
      </c>
      <c r="K162" s="55" t="str">
        <f aca="false">INDEX('4D Schedule'!$C$6:$C$156,MATCH($J162,'4D Schedule'!$A$6:$A$156,0))</f>
        <v>Backfilling &amp; compaction up to plinth level – Zone-1</v>
      </c>
      <c r="L162" s="61" t="n">
        <f aca="false">INDEX('4D Schedule'!$AE$6:$AE$156,MATCH($J162,'4D Schedule'!$A$6:$A$156,0))</f>
        <v>46125</v>
      </c>
      <c r="M162" s="61" t="n">
        <f aca="false">INDEX('4D Schedule'!$AF$6:$AF$156,MATCH($J162,'4D Schedule'!$A$6:$A$156,0))</f>
        <v>46130</v>
      </c>
      <c r="N162" s="56" t="str">
        <f aca="false">INDEX('4D Schedule'!$AG$6:$AG$156,MATCH($J162,'4D Schedule'!$A$6:$A$156,0))</f>
        <v>Completed</v>
      </c>
      <c r="O162" s="55" t="s">
        <v>883</v>
      </c>
    </row>
    <row r="163" customFormat="false" ht="22.35" hidden="false" customHeight="false" outlineLevel="0" collapsed="false">
      <c r="A163" s="56" t="s">
        <v>1057</v>
      </c>
      <c r="B163" s="56" t="s">
        <v>346</v>
      </c>
      <c r="C163" s="55" t="s">
        <v>348</v>
      </c>
      <c r="D163" s="56" t="s">
        <v>882</v>
      </c>
      <c r="E163" s="55" t="s">
        <v>349</v>
      </c>
      <c r="F163" s="25" t="s">
        <v>77</v>
      </c>
      <c r="G163" s="55" t="s">
        <v>345</v>
      </c>
      <c r="H163" s="56"/>
      <c r="I163" s="56"/>
      <c r="J163" s="56" t="s">
        <v>347</v>
      </c>
      <c r="K163" s="55" t="str">
        <f aca="false">INDEX('4D Schedule'!$C$6:$C$156,MATCH($J163,'4D Schedule'!$A$6:$A$156,0))</f>
        <v>Backfilling &amp; compaction up to plinth level – Zone-2</v>
      </c>
      <c r="L163" s="61" t="n">
        <f aca="false">INDEX('4D Schedule'!$AE$6:$AE$156,MATCH($J163,'4D Schedule'!$A$6:$A$156,0))</f>
        <v>46132</v>
      </c>
      <c r="M163" s="61" t="n">
        <f aca="false">INDEX('4D Schedule'!$AF$6:$AF$156,MATCH($J163,'4D Schedule'!$A$6:$A$156,0))</f>
        <v>46136</v>
      </c>
      <c r="N163" s="56" t="str">
        <f aca="false">INDEX('4D Schedule'!$AG$6:$AG$156,MATCH($J163,'4D Schedule'!$A$6:$A$156,0))</f>
        <v>Completed</v>
      </c>
      <c r="O163" s="55" t="s">
        <v>883</v>
      </c>
    </row>
    <row r="164" customFormat="false" ht="22.35" hidden="false" customHeight="false" outlineLevel="0" collapsed="false">
      <c r="A164" s="56" t="s">
        <v>1058</v>
      </c>
      <c r="B164" s="56" t="s">
        <v>346</v>
      </c>
      <c r="C164" s="55" t="s">
        <v>351</v>
      </c>
      <c r="D164" s="56" t="s">
        <v>882</v>
      </c>
      <c r="E164" s="55" t="s">
        <v>352</v>
      </c>
      <c r="F164" s="25" t="s">
        <v>79</v>
      </c>
      <c r="G164" s="55" t="s">
        <v>345</v>
      </c>
      <c r="H164" s="56"/>
      <c r="I164" s="56"/>
      <c r="J164" s="56" t="s">
        <v>350</v>
      </c>
      <c r="K164" s="55" t="str">
        <f aca="false">INDEX('4D Schedule'!$C$6:$C$156,MATCH($J164,'4D Schedule'!$A$6:$A$156,0))</f>
        <v>Backfilling &amp; compaction up to plinth level – Zone-3</v>
      </c>
      <c r="L164" s="61" t="n">
        <f aca="false">INDEX('4D Schedule'!$AE$6:$AE$156,MATCH($J164,'4D Schedule'!$A$6:$A$156,0))</f>
        <v>46137</v>
      </c>
      <c r="M164" s="61" t="n">
        <f aca="false">INDEX('4D Schedule'!$AF$6:$AF$156,MATCH($J164,'4D Schedule'!$A$6:$A$156,0))</f>
        <v>46142</v>
      </c>
      <c r="N164" s="56" t="str">
        <f aca="false">INDEX('4D Schedule'!$AG$6:$AG$156,MATCH($J164,'4D Schedule'!$A$6:$A$156,0))</f>
        <v>Completed</v>
      </c>
      <c r="O164" s="55" t="s">
        <v>883</v>
      </c>
    </row>
    <row r="165" customFormat="false" ht="15" hidden="false" customHeight="false" outlineLevel="0" collapsed="false">
      <c r="A165" s="56" t="s">
        <v>1059</v>
      </c>
      <c r="B165" s="56" t="s">
        <v>356</v>
      </c>
      <c r="C165" s="55" t="s">
        <v>1060</v>
      </c>
      <c r="D165" s="56" t="s">
        <v>1061</v>
      </c>
      <c r="E165" s="55" t="s">
        <v>1062</v>
      </c>
      <c r="F165" s="25" t="s">
        <v>75</v>
      </c>
      <c r="G165" s="55" t="s">
        <v>355</v>
      </c>
      <c r="H165" s="56" t="s">
        <v>973</v>
      </c>
      <c r="I165" s="56" t="s">
        <v>60</v>
      </c>
      <c r="J165" s="56" t="s">
        <v>353</v>
      </c>
      <c r="K165" s="55" t="str">
        <f aca="false">INDEX('4D Schedule'!$C$6:$C$156,MATCH($J165,'4D Schedule'!$A$6:$A$156,0))</f>
        <v>Plinth beams PB (TOB EL(-)0.300) – Zone-1</v>
      </c>
      <c r="L165" s="61" t="n">
        <f aca="false">INDEX('4D Schedule'!$AE$6:$AE$156,MATCH($J165,'4D Schedule'!$A$6:$A$156,0))</f>
        <v>46132</v>
      </c>
      <c r="M165" s="61" t="n">
        <f aca="false">INDEX('4D Schedule'!$AF$6:$AF$156,MATCH($J165,'4D Schedule'!$A$6:$A$156,0))</f>
        <v>46146</v>
      </c>
      <c r="N165" s="56" t="str">
        <f aca="false">INDEX('4D Schedule'!$AG$6:$AG$156,MATCH($J165,'4D Schedule'!$A$6:$A$156,0))</f>
        <v>Completed</v>
      </c>
      <c r="O165" s="55"/>
    </row>
    <row r="166" customFormat="false" ht="22.35" hidden="false" customHeight="false" outlineLevel="0" collapsed="false">
      <c r="A166" s="56" t="s">
        <v>1063</v>
      </c>
      <c r="B166" s="56" t="s">
        <v>356</v>
      </c>
      <c r="C166" s="55" t="s">
        <v>1064</v>
      </c>
      <c r="D166" s="56" t="s">
        <v>1065</v>
      </c>
      <c r="E166" s="55" t="s">
        <v>1066</v>
      </c>
      <c r="F166" s="25" t="s">
        <v>75</v>
      </c>
      <c r="G166" s="55" t="s">
        <v>355</v>
      </c>
      <c r="H166" s="56" t="s">
        <v>1067</v>
      </c>
      <c r="I166" s="56" t="s">
        <v>60</v>
      </c>
      <c r="J166" s="56" t="s">
        <v>353</v>
      </c>
      <c r="K166" s="55" t="str">
        <f aca="false">INDEX('4D Schedule'!$C$6:$C$156,MATCH($J166,'4D Schedule'!$A$6:$A$156,0))</f>
        <v>Plinth beams PB (TOB EL(-)0.300) – Zone-1</v>
      </c>
      <c r="L166" s="61" t="n">
        <f aca="false">INDEX('4D Schedule'!$AE$6:$AE$156,MATCH($J166,'4D Schedule'!$A$6:$A$156,0))</f>
        <v>46132</v>
      </c>
      <c r="M166" s="61" t="n">
        <f aca="false">INDEX('4D Schedule'!$AF$6:$AF$156,MATCH($J166,'4D Schedule'!$A$6:$A$156,0))</f>
        <v>46146</v>
      </c>
      <c r="N166" s="56" t="str">
        <f aca="false">INDEX('4D Schedule'!$AG$6:$AG$156,MATCH($J166,'4D Schedule'!$A$6:$A$156,0))</f>
        <v>Completed</v>
      </c>
      <c r="O166" s="55"/>
    </row>
    <row r="167" customFormat="false" ht="15" hidden="false" customHeight="false" outlineLevel="0" collapsed="false">
      <c r="A167" s="56" t="s">
        <v>1068</v>
      </c>
      <c r="B167" s="56" t="s">
        <v>356</v>
      </c>
      <c r="C167" s="55" t="s">
        <v>1069</v>
      </c>
      <c r="D167" s="56" t="s">
        <v>1070</v>
      </c>
      <c r="E167" s="55" t="s">
        <v>1071</v>
      </c>
      <c r="F167" s="25" t="s">
        <v>75</v>
      </c>
      <c r="G167" s="55" t="s">
        <v>355</v>
      </c>
      <c r="H167" s="56" t="s">
        <v>973</v>
      </c>
      <c r="I167" s="56" t="s">
        <v>60</v>
      </c>
      <c r="J167" s="56" t="s">
        <v>353</v>
      </c>
      <c r="K167" s="55" t="str">
        <f aca="false">INDEX('4D Schedule'!$C$6:$C$156,MATCH($J167,'4D Schedule'!$A$6:$A$156,0))</f>
        <v>Plinth beams PB (TOB EL(-)0.300) – Zone-1</v>
      </c>
      <c r="L167" s="61" t="n">
        <f aca="false">INDEX('4D Schedule'!$AE$6:$AE$156,MATCH($J167,'4D Schedule'!$A$6:$A$156,0))</f>
        <v>46132</v>
      </c>
      <c r="M167" s="61" t="n">
        <f aca="false">INDEX('4D Schedule'!$AF$6:$AF$156,MATCH($J167,'4D Schedule'!$A$6:$A$156,0))</f>
        <v>46146</v>
      </c>
      <c r="N167" s="56" t="str">
        <f aca="false">INDEX('4D Schedule'!$AG$6:$AG$156,MATCH($J167,'4D Schedule'!$A$6:$A$156,0))</f>
        <v>Completed</v>
      </c>
      <c r="O167" s="55"/>
    </row>
    <row r="168" customFormat="false" ht="15" hidden="false" customHeight="false" outlineLevel="0" collapsed="false">
      <c r="A168" s="56" t="s">
        <v>1072</v>
      </c>
      <c r="B168" s="56" t="s">
        <v>356</v>
      </c>
      <c r="C168" s="55" t="s">
        <v>1069</v>
      </c>
      <c r="D168" s="56" t="s">
        <v>1070</v>
      </c>
      <c r="E168" s="55" t="s">
        <v>1073</v>
      </c>
      <c r="F168" s="25" t="s">
        <v>75</v>
      </c>
      <c r="G168" s="55" t="s">
        <v>355</v>
      </c>
      <c r="H168" s="56" t="s">
        <v>973</v>
      </c>
      <c r="I168" s="56" t="s">
        <v>60</v>
      </c>
      <c r="J168" s="56" t="s">
        <v>353</v>
      </c>
      <c r="K168" s="55" t="str">
        <f aca="false">INDEX('4D Schedule'!$C$6:$C$156,MATCH($J168,'4D Schedule'!$A$6:$A$156,0))</f>
        <v>Plinth beams PB (TOB EL(-)0.300) – Zone-1</v>
      </c>
      <c r="L168" s="61" t="n">
        <f aca="false">INDEX('4D Schedule'!$AE$6:$AE$156,MATCH($J168,'4D Schedule'!$A$6:$A$156,0))</f>
        <v>46132</v>
      </c>
      <c r="M168" s="61" t="n">
        <f aca="false">INDEX('4D Schedule'!$AF$6:$AF$156,MATCH($J168,'4D Schedule'!$A$6:$A$156,0))</f>
        <v>46146</v>
      </c>
      <c r="N168" s="56" t="str">
        <f aca="false">INDEX('4D Schedule'!$AG$6:$AG$156,MATCH($J168,'4D Schedule'!$A$6:$A$156,0))</f>
        <v>Completed</v>
      </c>
      <c r="O168" s="55"/>
    </row>
    <row r="169" customFormat="false" ht="15" hidden="false" customHeight="false" outlineLevel="0" collapsed="false">
      <c r="A169" s="56" t="s">
        <v>1074</v>
      </c>
      <c r="B169" s="56" t="s">
        <v>356</v>
      </c>
      <c r="C169" s="55" t="s">
        <v>1075</v>
      </c>
      <c r="D169" s="56" t="s">
        <v>1076</v>
      </c>
      <c r="E169" s="55" t="s">
        <v>1077</v>
      </c>
      <c r="F169" s="25" t="s">
        <v>75</v>
      </c>
      <c r="G169" s="55" t="s">
        <v>355</v>
      </c>
      <c r="H169" s="56" t="s">
        <v>973</v>
      </c>
      <c r="I169" s="56" t="s">
        <v>60</v>
      </c>
      <c r="J169" s="56" t="s">
        <v>353</v>
      </c>
      <c r="K169" s="55" t="str">
        <f aca="false">INDEX('4D Schedule'!$C$6:$C$156,MATCH($J169,'4D Schedule'!$A$6:$A$156,0))</f>
        <v>Plinth beams PB (TOB EL(-)0.300) – Zone-1</v>
      </c>
      <c r="L169" s="61" t="n">
        <f aca="false">INDEX('4D Schedule'!$AE$6:$AE$156,MATCH($J169,'4D Schedule'!$A$6:$A$156,0))</f>
        <v>46132</v>
      </c>
      <c r="M169" s="61" t="n">
        <f aca="false">INDEX('4D Schedule'!$AF$6:$AF$156,MATCH($J169,'4D Schedule'!$A$6:$A$156,0))</f>
        <v>46146</v>
      </c>
      <c r="N169" s="56" t="str">
        <f aca="false">INDEX('4D Schedule'!$AG$6:$AG$156,MATCH($J169,'4D Schedule'!$A$6:$A$156,0))</f>
        <v>Completed</v>
      </c>
      <c r="O169" s="55"/>
    </row>
    <row r="170" customFormat="false" ht="22.35" hidden="false" customHeight="false" outlineLevel="0" collapsed="false">
      <c r="A170" s="56" t="s">
        <v>1078</v>
      </c>
      <c r="B170" s="56" t="s">
        <v>356</v>
      </c>
      <c r="C170" s="55" t="s">
        <v>1079</v>
      </c>
      <c r="D170" s="56" t="s">
        <v>1080</v>
      </c>
      <c r="E170" s="55" t="s">
        <v>1081</v>
      </c>
      <c r="F170" s="25" t="s">
        <v>75</v>
      </c>
      <c r="G170" s="55" t="s">
        <v>355</v>
      </c>
      <c r="H170" s="56" t="s">
        <v>1082</v>
      </c>
      <c r="I170" s="56" t="s">
        <v>60</v>
      </c>
      <c r="J170" s="56" t="s">
        <v>353</v>
      </c>
      <c r="K170" s="55" t="str">
        <f aca="false">INDEX('4D Schedule'!$C$6:$C$156,MATCH($J170,'4D Schedule'!$A$6:$A$156,0))</f>
        <v>Plinth beams PB (TOB EL(-)0.300) – Zone-1</v>
      </c>
      <c r="L170" s="61" t="n">
        <f aca="false">INDEX('4D Schedule'!$AE$6:$AE$156,MATCH($J170,'4D Schedule'!$A$6:$A$156,0))</f>
        <v>46132</v>
      </c>
      <c r="M170" s="61" t="n">
        <f aca="false">INDEX('4D Schedule'!$AF$6:$AF$156,MATCH($J170,'4D Schedule'!$A$6:$A$156,0))</f>
        <v>46146</v>
      </c>
      <c r="N170" s="56" t="str">
        <f aca="false">INDEX('4D Schedule'!$AG$6:$AG$156,MATCH($J170,'4D Schedule'!$A$6:$A$156,0))</f>
        <v>Completed</v>
      </c>
      <c r="O170" s="55"/>
    </row>
    <row r="171" customFormat="false" ht="15" hidden="false" customHeight="false" outlineLevel="0" collapsed="false">
      <c r="A171" s="56" t="s">
        <v>1083</v>
      </c>
      <c r="B171" s="56" t="s">
        <v>356</v>
      </c>
      <c r="C171" s="55" t="s">
        <v>1084</v>
      </c>
      <c r="D171" s="56" t="s">
        <v>1085</v>
      </c>
      <c r="E171" s="55" t="s">
        <v>1086</v>
      </c>
      <c r="F171" s="25" t="s">
        <v>75</v>
      </c>
      <c r="G171" s="55" t="s">
        <v>355</v>
      </c>
      <c r="H171" s="56" t="s">
        <v>1067</v>
      </c>
      <c r="I171" s="56" t="s">
        <v>60</v>
      </c>
      <c r="J171" s="56" t="s">
        <v>353</v>
      </c>
      <c r="K171" s="55" t="str">
        <f aca="false">INDEX('4D Schedule'!$C$6:$C$156,MATCH($J171,'4D Schedule'!$A$6:$A$156,0))</f>
        <v>Plinth beams PB (TOB EL(-)0.300) – Zone-1</v>
      </c>
      <c r="L171" s="61" t="n">
        <f aca="false">INDEX('4D Schedule'!$AE$6:$AE$156,MATCH($J171,'4D Schedule'!$A$6:$A$156,0))</f>
        <v>46132</v>
      </c>
      <c r="M171" s="61" t="n">
        <f aca="false">INDEX('4D Schedule'!$AF$6:$AF$156,MATCH($J171,'4D Schedule'!$A$6:$A$156,0))</f>
        <v>46146</v>
      </c>
      <c r="N171" s="56" t="str">
        <f aca="false">INDEX('4D Schedule'!$AG$6:$AG$156,MATCH($J171,'4D Schedule'!$A$6:$A$156,0))</f>
        <v>Completed</v>
      </c>
      <c r="O171" s="55"/>
    </row>
    <row r="172" customFormat="false" ht="15" hidden="false" customHeight="false" outlineLevel="0" collapsed="false">
      <c r="A172" s="56" t="s">
        <v>1087</v>
      </c>
      <c r="B172" s="56" t="s">
        <v>356</v>
      </c>
      <c r="C172" s="55" t="s">
        <v>1088</v>
      </c>
      <c r="D172" s="56" t="s">
        <v>1089</v>
      </c>
      <c r="E172" s="55" t="s">
        <v>1090</v>
      </c>
      <c r="F172" s="25" t="s">
        <v>75</v>
      </c>
      <c r="G172" s="55" t="s">
        <v>355</v>
      </c>
      <c r="H172" s="56" t="s">
        <v>973</v>
      </c>
      <c r="I172" s="56" t="s">
        <v>60</v>
      </c>
      <c r="J172" s="56" t="s">
        <v>353</v>
      </c>
      <c r="K172" s="55" t="str">
        <f aca="false">INDEX('4D Schedule'!$C$6:$C$156,MATCH($J172,'4D Schedule'!$A$6:$A$156,0))</f>
        <v>Plinth beams PB (TOB EL(-)0.300) – Zone-1</v>
      </c>
      <c r="L172" s="61" t="n">
        <f aca="false">INDEX('4D Schedule'!$AE$6:$AE$156,MATCH($J172,'4D Schedule'!$A$6:$A$156,0))</f>
        <v>46132</v>
      </c>
      <c r="M172" s="61" t="n">
        <f aca="false">INDEX('4D Schedule'!$AF$6:$AF$156,MATCH($J172,'4D Schedule'!$A$6:$A$156,0))</f>
        <v>46146</v>
      </c>
      <c r="N172" s="56" t="str">
        <f aca="false">INDEX('4D Schedule'!$AG$6:$AG$156,MATCH($J172,'4D Schedule'!$A$6:$A$156,0))</f>
        <v>Completed</v>
      </c>
      <c r="O172" s="55"/>
    </row>
    <row r="173" customFormat="false" ht="15" hidden="false" customHeight="false" outlineLevel="0" collapsed="false">
      <c r="A173" s="56" t="s">
        <v>1091</v>
      </c>
      <c r="B173" s="56" t="s">
        <v>356</v>
      </c>
      <c r="C173" s="55" t="s">
        <v>1088</v>
      </c>
      <c r="D173" s="56" t="s">
        <v>1089</v>
      </c>
      <c r="E173" s="55" t="s">
        <v>1092</v>
      </c>
      <c r="F173" s="25" t="s">
        <v>75</v>
      </c>
      <c r="G173" s="55" t="s">
        <v>355</v>
      </c>
      <c r="H173" s="56" t="s">
        <v>973</v>
      </c>
      <c r="I173" s="56" t="s">
        <v>60</v>
      </c>
      <c r="J173" s="56" t="s">
        <v>353</v>
      </c>
      <c r="K173" s="55" t="str">
        <f aca="false">INDEX('4D Schedule'!$C$6:$C$156,MATCH($J173,'4D Schedule'!$A$6:$A$156,0))</f>
        <v>Plinth beams PB (TOB EL(-)0.300) – Zone-1</v>
      </c>
      <c r="L173" s="61" t="n">
        <f aca="false">INDEX('4D Schedule'!$AE$6:$AE$156,MATCH($J173,'4D Schedule'!$A$6:$A$156,0))</f>
        <v>46132</v>
      </c>
      <c r="M173" s="61" t="n">
        <f aca="false">INDEX('4D Schedule'!$AF$6:$AF$156,MATCH($J173,'4D Schedule'!$A$6:$A$156,0))</f>
        <v>46146</v>
      </c>
      <c r="N173" s="56" t="str">
        <f aca="false">INDEX('4D Schedule'!$AG$6:$AG$156,MATCH($J173,'4D Schedule'!$A$6:$A$156,0))</f>
        <v>Completed</v>
      </c>
      <c r="O173" s="55"/>
    </row>
    <row r="174" customFormat="false" ht="15" hidden="false" customHeight="false" outlineLevel="0" collapsed="false">
      <c r="A174" s="56" t="s">
        <v>1093</v>
      </c>
      <c r="B174" s="56" t="s">
        <v>356</v>
      </c>
      <c r="C174" s="55" t="s">
        <v>1094</v>
      </c>
      <c r="D174" s="56" t="s">
        <v>1095</v>
      </c>
      <c r="E174" s="55" t="s">
        <v>1096</v>
      </c>
      <c r="F174" s="25" t="s">
        <v>75</v>
      </c>
      <c r="G174" s="55" t="s">
        <v>355</v>
      </c>
      <c r="H174" s="56" t="s">
        <v>1082</v>
      </c>
      <c r="I174" s="56" t="s">
        <v>60</v>
      </c>
      <c r="J174" s="56" t="s">
        <v>353</v>
      </c>
      <c r="K174" s="55" t="str">
        <f aca="false">INDEX('4D Schedule'!$C$6:$C$156,MATCH($J174,'4D Schedule'!$A$6:$A$156,0))</f>
        <v>Plinth beams PB (TOB EL(-)0.300) – Zone-1</v>
      </c>
      <c r="L174" s="61" t="n">
        <f aca="false">INDEX('4D Schedule'!$AE$6:$AE$156,MATCH($J174,'4D Schedule'!$A$6:$A$156,0))</f>
        <v>46132</v>
      </c>
      <c r="M174" s="61" t="n">
        <f aca="false">INDEX('4D Schedule'!$AF$6:$AF$156,MATCH($J174,'4D Schedule'!$A$6:$A$156,0))</f>
        <v>46146</v>
      </c>
      <c r="N174" s="56" t="str">
        <f aca="false">INDEX('4D Schedule'!$AG$6:$AG$156,MATCH($J174,'4D Schedule'!$A$6:$A$156,0))</f>
        <v>Completed</v>
      </c>
      <c r="O174" s="55"/>
    </row>
    <row r="175" customFormat="false" ht="15" hidden="false" customHeight="false" outlineLevel="0" collapsed="false">
      <c r="A175" s="56" t="s">
        <v>1097</v>
      </c>
      <c r="B175" s="56" t="s">
        <v>356</v>
      </c>
      <c r="C175" s="55" t="s">
        <v>1094</v>
      </c>
      <c r="D175" s="56" t="s">
        <v>1095</v>
      </c>
      <c r="E175" s="55" t="s">
        <v>1098</v>
      </c>
      <c r="F175" s="25" t="s">
        <v>75</v>
      </c>
      <c r="G175" s="55" t="s">
        <v>355</v>
      </c>
      <c r="H175" s="56" t="s">
        <v>1082</v>
      </c>
      <c r="I175" s="56" t="s">
        <v>60</v>
      </c>
      <c r="J175" s="56" t="s">
        <v>353</v>
      </c>
      <c r="K175" s="55" t="str">
        <f aca="false">INDEX('4D Schedule'!$C$6:$C$156,MATCH($J175,'4D Schedule'!$A$6:$A$156,0))</f>
        <v>Plinth beams PB (TOB EL(-)0.300) – Zone-1</v>
      </c>
      <c r="L175" s="61" t="n">
        <f aca="false">INDEX('4D Schedule'!$AE$6:$AE$156,MATCH($J175,'4D Schedule'!$A$6:$A$156,0))</f>
        <v>46132</v>
      </c>
      <c r="M175" s="61" t="n">
        <f aca="false">INDEX('4D Schedule'!$AF$6:$AF$156,MATCH($J175,'4D Schedule'!$A$6:$A$156,0))</f>
        <v>46146</v>
      </c>
      <c r="N175" s="56" t="str">
        <f aca="false">INDEX('4D Schedule'!$AG$6:$AG$156,MATCH($J175,'4D Schedule'!$A$6:$A$156,0))</f>
        <v>Completed</v>
      </c>
      <c r="O175" s="55"/>
    </row>
    <row r="176" customFormat="false" ht="15" hidden="false" customHeight="false" outlineLevel="0" collapsed="false">
      <c r="A176" s="56" t="s">
        <v>1099</v>
      </c>
      <c r="B176" s="56" t="s">
        <v>356</v>
      </c>
      <c r="C176" s="55" t="s">
        <v>1100</v>
      </c>
      <c r="D176" s="56" t="s">
        <v>1101</v>
      </c>
      <c r="E176" s="55" t="s">
        <v>1102</v>
      </c>
      <c r="F176" s="25" t="s">
        <v>75</v>
      </c>
      <c r="G176" s="55" t="s">
        <v>355</v>
      </c>
      <c r="H176" s="56" t="s">
        <v>1103</v>
      </c>
      <c r="I176" s="56" t="s">
        <v>60</v>
      </c>
      <c r="J176" s="56" t="s">
        <v>353</v>
      </c>
      <c r="K176" s="55" t="str">
        <f aca="false">INDEX('4D Schedule'!$C$6:$C$156,MATCH($J176,'4D Schedule'!$A$6:$A$156,0))</f>
        <v>Plinth beams PB (TOB EL(-)0.300) – Zone-1</v>
      </c>
      <c r="L176" s="61" t="n">
        <f aca="false">INDEX('4D Schedule'!$AE$6:$AE$156,MATCH($J176,'4D Schedule'!$A$6:$A$156,0))</f>
        <v>46132</v>
      </c>
      <c r="M176" s="61" t="n">
        <f aca="false">INDEX('4D Schedule'!$AF$6:$AF$156,MATCH($J176,'4D Schedule'!$A$6:$A$156,0))</f>
        <v>46146</v>
      </c>
      <c r="N176" s="56" t="str">
        <f aca="false">INDEX('4D Schedule'!$AG$6:$AG$156,MATCH($J176,'4D Schedule'!$A$6:$A$156,0))</f>
        <v>Completed</v>
      </c>
      <c r="O176" s="55"/>
    </row>
    <row r="177" customFormat="false" ht="15" hidden="false" customHeight="false" outlineLevel="0" collapsed="false">
      <c r="A177" s="56" t="s">
        <v>1104</v>
      </c>
      <c r="B177" s="56" t="s">
        <v>356</v>
      </c>
      <c r="C177" s="55" t="s">
        <v>1105</v>
      </c>
      <c r="D177" s="56" t="s">
        <v>1106</v>
      </c>
      <c r="E177" s="55" t="s">
        <v>1107</v>
      </c>
      <c r="F177" s="25" t="s">
        <v>75</v>
      </c>
      <c r="G177" s="55" t="s">
        <v>355</v>
      </c>
      <c r="H177" s="56" t="s">
        <v>1103</v>
      </c>
      <c r="I177" s="56" t="s">
        <v>60</v>
      </c>
      <c r="J177" s="56" t="s">
        <v>353</v>
      </c>
      <c r="K177" s="55" t="str">
        <f aca="false">INDEX('4D Schedule'!$C$6:$C$156,MATCH($J177,'4D Schedule'!$A$6:$A$156,0))</f>
        <v>Plinth beams PB (TOB EL(-)0.300) – Zone-1</v>
      </c>
      <c r="L177" s="61" t="n">
        <f aca="false">INDEX('4D Schedule'!$AE$6:$AE$156,MATCH($J177,'4D Schedule'!$A$6:$A$156,0))</f>
        <v>46132</v>
      </c>
      <c r="M177" s="61" t="n">
        <f aca="false">INDEX('4D Schedule'!$AF$6:$AF$156,MATCH($J177,'4D Schedule'!$A$6:$A$156,0))</f>
        <v>46146</v>
      </c>
      <c r="N177" s="56" t="str">
        <f aca="false">INDEX('4D Schedule'!$AG$6:$AG$156,MATCH($J177,'4D Schedule'!$A$6:$A$156,0))</f>
        <v>Completed</v>
      </c>
      <c r="O177" s="55"/>
    </row>
    <row r="178" customFormat="false" ht="15" hidden="false" customHeight="false" outlineLevel="0" collapsed="false">
      <c r="A178" s="56" t="s">
        <v>1108</v>
      </c>
      <c r="B178" s="56" t="s">
        <v>356</v>
      </c>
      <c r="C178" s="55" t="s">
        <v>1060</v>
      </c>
      <c r="D178" s="56" t="s">
        <v>1061</v>
      </c>
      <c r="E178" s="55" t="s">
        <v>1109</v>
      </c>
      <c r="F178" s="25" t="s">
        <v>77</v>
      </c>
      <c r="G178" s="55" t="s">
        <v>355</v>
      </c>
      <c r="H178" s="56" t="s">
        <v>973</v>
      </c>
      <c r="I178" s="56" t="s">
        <v>60</v>
      </c>
      <c r="J178" s="56" t="s">
        <v>358</v>
      </c>
      <c r="K178" s="55" t="str">
        <f aca="false">INDEX('4D Schedule'!$C$6:$C$156,MATCH($J178,'4D Schedule'!$A$6:$A$156,0))</f>
        <v>Plinth beams PB (TOB EL(-)0.300) – Zone-2</v>
      </c>
      <c r="L178" s="61" t="n">
        <f aca="false">INDEX('4D Schedule'!$AE$6:$AE$156,MATCH($J178,'4D Schedule'!$A$6:$A$156,0))</f>
        <v>46139</v>
      </c>
      <c r="M178" s="61" t="n">
        <f aca="false">INDEX('4D Schedule'!$AF$6:$AF$156,MATCH($J178,'4D Schedule'!$A$6:$A$156,0))</f>
        <v>46150</v>
      </c>
      <c r="N178" s="56" t="str">
        <f aca="false">INDEX('4D Schedule'!$AG$6:$AG$156,MATCH($J178,'4D Schedule'!$A$6:$A$156,0))</f>
        <v>Completed</v>
      </c>
      <c r="O178" s="55"/>
    </row>
    <row r="179" customFormat="false" ht="15" hidden="false" customHeight="false" outlineLevel="0" collapsed="false">
      <c r="A179" s="56" t="s">
        <v>1110</v>
      </c>
      <c r="B179" s="56" t="s">
        <v>356</v>
      </c>
      <c r="C179" s="55" t="s">
        <v>1088</v>
      </c>
      <c r="D179" s="56" t="s">
        <v>1089</v>
      </c>
      <c r="E179" s="55" t="s">
        <v>1111</v>
      </c>
      <c r="F179" s="25" t="s">
        <v>77</v>
      </c>
      <c r="G179" s="55" t="s">
        <v>355</v>
      </c>
      <c r="H179" s="56" t="s">
        <v>973</v>
      </c>
      <c r="I179" s="56" t="s">
        <v>60</v>
      </c>
      <c r="J179" s="56" t="s">
        <v>358</v>
      </c>
      <c r="K179" s="55" t="str">
        <f aca="false">INDEX('4D Schedule'!$C$6:$C$156,MATCH($J179,'4D Schedule'!$A$6:$A$156,0))</f>
        <v>Plinth beams PB (TOB EL(-)0.300) – Zone-2</v>
      </c>
      <c r="L179" s="61" t="n">
        <f aca="false">INDEX('4D Schedule'!$AE$6:$AE$156,MATCH($J179,'4D Schedule'!$A$6:$A$156,0))</f>
        <v>46139</v>
      </c>
      <c r="M179" s="61" t="n">
        <f aca="false">INDEX('4D Schedule'!$AF$6:$AF$156,MATCH($J179,'4D Schedule'!$A$6:$A$156,0))</f>
        <v>46150</v>
      </c>
      <c r="N179" s="56" t="str">
        <f aca="false">INDEX('4D Schedule'!$AG$6:$AG$156,MATCH($J179,'4D Schedule'!$A$6:$A$156,0))</f>
        <v>Completed</v>
      </c>
      <c r="O179" s="55"/>
    </row>
    <row r="180" customFormat="false" ht="15" hidden="false" customHeight="false" outlineLevel="0" collapsed="false">
      <c r="A180" s="56" t="s">
        <v>1112</v>
      </c>
      <c r="B180" s="56" t="s">
        <v>356</v>
      </c>
      <c r="C180" s="55" t="s">
        <v>1088</v>
      </c>
      <c r="D180" s="56" t="s">
        <v>1089</v>
      </c>
      <c r="E180" s="55" t="s">
        <v>1113</v>
      </c>
      <c r="F180" s="25" t="s">
        <v>77</v>
      </c>
      <c r="G180" s="55" t="s">
        <v>355</v>
      </c>
      <c r="H180" s="56" t="s">
        <v>973</v>
      </c>
      <c r="I180" s="56" t="s">
        <v>60</v>
      </c>
      <c r="J180" s="56" t="s">
        <v>358</v>
      </c>
      <c r="K180" s="55" t="str">
        <f aca="false">INDEX('4D Schedule'!$C$6:$C$156,MATCH($J180,'4D Schedule'!$A$6:$A$156,0))</f>
        <v>Plinth beams PB (TOB EL(-)0.300) – Zone-2</v>
      </c>
      <c r="L180" s="61" t="n">
        <f aca="false">INDEX('4D Schedule'!$AE$6:$AE$156,MATCH($J180,'4D Schedule'!$A$6:$A$156,0))</f>
        <v>46139</v>
      </c>
      <c r="M180" s="61" t="n">
        <f aca="false">INDEX('4D Schedule'!$AF$6:$AF$156,MATCH($J180,'4D Schedule'!$A$6:$A$156,0))</f>
        <v>46150</v>
      </c>
      <c r="N180" s="56" t="str">
        <f aca="false">INDEX('4D Schedule'!$AG$6:$AG$156,MATCH($J180,'4D Schedule'!$A$6:$A$156,0))</f>
        <v>Completed</v>
      </c>
      <c r="O180" s="55"/>
    </row>
    <row r="181" customFormat="false" ht="15" hidden="false" customHeight="false" outlineLevel="0" collapsed="false">
      <c r="A181" s="56" t="s">
        <v>1114</v>
      </c>
      <c r="B181" s="56" t="s">
        <v>356</v>
      </c>
      <c r="C181" s="55" t="s">
        <v>1094</v>
      </c>
      <c r="D181" s="56" t="s">
        <v>1095</v>
      </c>
      <c r="E181" s="55" t="s">
        <v>1115</v>
      </c>
      <c r="F181" s="25" t="s">
        <v>77</v>
      </c>
      <c r="G181" s="55" t="s">
        <v>355</v>
      </c>
      <c r="H181" s="56" t="s">
        <v>1082</v>
      </c>
      <c r="I181" s="56" t="s">
        <v>60</v>
      </c>
      <c r="J181" s="56" t="s">
        <v>358</v>
      </c>
      <c r="K181" s="55" t="str">
        <f aca="false">INDEX('4D Schedule'!$C$6:$C$156,MATCH($J181,'4D Schedule'!$A$6:$A$156,0))</f>
        <v>Plinth beams PB (TOB EL(-)0.300) – Zone-2</v>
      </c>
      <c r="L181" s="61" t="n">
        <f aca="false">INDEX('4D Schedule'!$AE$6:$AE$156,MATCH($J181,'4D Schedule'!$A$6:$A$156,0))</f>
        <v>46139</v>
      </c>
      <c r="M181" s="61" t="n">
        <f aca="false">INDEX('4D Schedule'!$AF$6:$AF$156,MATCH($J181,'4D Schedule'!$A$6:$A$156,0))</f>
        <v>46150</v>
      </c>
      <c r="N181" s="56" t="str">
        <f aca="false">INDEX('4D Schedule'!$AG$6:$AG$156,MATCH($J181,'4D Schedule'!$A$6:$A$156,0))</f>
        <v>Completed</v>
      </c>
      <c r="O181" s="55"/>
    </row>
    <row r="182" customFormat="false" ht="15" hidden="false" customHeight="false" outlineLevel="0" collapsed="false">
      <c r="A182" s="56" t="s">
        <v>1116</v>
      </c>
      <c r="B182" s="56" t="s">
        <v>356</v>
      </c>
      <c r="C182" s="55" t="s">
        <v>1094</v>
      </c>
      <c r="D182" s="56" t="s">
        <v>1095</v>
      </c>
      <c r="E182" s="55" t="s">
        <v>1117</v>
      </c>
      <c r="F182" s="25" t="s">
        <v>77</v>
      </c>
      <c r="G182" s="55" t="s">
        <v>355</v>
      </c>
      <c r="H182" s="56" t="s">
        <v>1082</v>
      </c>
      <c r="I182" s="56" t="s">
        <v>60</v>
      </c>
      <c r="J182" s="56" t="s">
        <v>358</v>
      </c>
      <c r="K182" s="55" t="str">
        <f aca="false">INDEX('4D Schedule'!$C$6:$C$156,MATCH($J182,'4D Schedule'!$A$6:$A$156,0))</f>
        <v>Plinth beams PB (TOB EL(-)0.300) – Zone-2</v>
      </c>
      <c r="L182" s="61" t="n">
        <f aca="false">INDEX('4D Schedule'!$AE$6:$AE$156,MATCH($J182,'4D Schedule'!$A$6:$A$156,0))</f>
        <v>46139</v>
      </c>
      <c r="M182" s="61" t="n">
        <f aca="false">INDEX('4D Schedule'!$AF$6:$AF$156,MATCH($J182,'4D Schedule'!$A$6:$A$156,0))</f>
        <v>46150</v>
      </c>
      <c r="N182" s="56" t="str">
        <f aca="false">INDEX('4D Schedule'!$AG$6:$AG$156,MATCH($J182,'4D Schedule'!$A$6:$A$156,0))</f>
        <v>Completed</v>
      </c>
      <c r="O182" s="55"/>
    </row>
    <row r="183" customFormat="false" ht="15" hidden="false" customHeight="false" outlineLevel="0" collapsed="false">
      <c r="A183" s="56" t="s">
        <v>1118</v>
      </c>
      <c r="B183" s="56" t="s">
        <v>356</v>
      </c>
      <c r="C183" s="55" t="s">
        <v>1105</v>
      </c>
      <c r="D183" s="56" t="s">
        <v>1106</v>
      </c>
      <c r="E183" s="55" t="s">
        <v>1119</v>
      </c>
      <c r="F183" s="25" t="s">
        <v>77</v>
      </c>
      <c r="G183" s="55" t="s">
        <v>355</v>
      </c>
      <c r="H183" s="56" t="s">
        <v>1103</v>
      </c>
      <c r="I183" s="56" t="s">
        <v>60</v>
      </c>
      <c r="J183" s="56" t="s">
        <v>358</v>
      </c>
      <c r="K183" s="55" t="str">
        <f aca="false">INDEX('4D Schedule'!$C$6:$C$156,MATCH($J183,'4D Schedule'!$A$6:$A$156,0))</f>
        <v>Plinth beams PB (TOB EL(-)0.300) – Zone-2</v>
      </c>
      <c r="L183" s="61" t="n">
        <f aca="false">INDEX('4D Schedule'!$AE$6:$AE$156,MATCH($J183,'4D Schedule'!$A$6:$A$156,0))</f>
        <v>46139</v>
      </c>
      <c r="M183" s="61" t="n">
        <f aca="false">INDEX('4D Schedule'!$AF$6:$AF$156,MATCH($J183,'4D Schedule'!$A$6:$A$156,0))</f>
        <v>46150</v>
      </c>
      <c r="N183" s="56" t="str">
        <f aca="false">INDEX('4D Schedule'!$AG$6:$AG$156,MATCH($J183,'4D Schedule'!$A$6:$A$156,0))</f>
        <v>Completed</v>
      </c>
      <c r="O183" s="55"/>
    </row>
    <row r="184" customFormat="false" ht="15" hidden="false" customHeight="false" outlineLevel="0" collapsed="false">
      <c r="A184" s="56" t="s">
        <v>1120</v>
      </c>
      <c r="B184" s="56" t="s">
        <v>356</v>
      </c>
      <c r="C184" s="55" t="s">
        <v>1060</v>
      </c>
      <c r="D184" s="56" t="s">
        <v>1061</v>
      </c>
      <c r="E184" s="55" t="s">
        <v>1121</v>
      </c>
      <c r="F184" s="25" t="s">
        <v>79</v>
      </c>
      <c r="G184" s="55" t="s">
        <v>355</v>
      </c>
      <c r="H184" s="56" t="s">
        <v>973</v>
      </c>
      <c r="I184" s="56" t="s">
        <v>60</v>
      </c>
      <c r="J184" s="56" t="s">
        <v>361</v>
      </c>
      <c r="K184" s="55" t="str">
        <f aca="false">INDEX('4D Schedule'!$C$6:$C$156,MATCH($J184,'4D Schedule'!$A$6:$A$156,0))</f>
        <v>Plinth beams PB (TOB EL(-)0.300) – Zone-3</v>
      </c>
      <c r="L184" s="61" t="n">
        <f aca="false">INDEX('4D Schedule'!$AE$6:$AE$156,MATCH($J184,'4D Schedule'!$A$6:$A$156,0))</f>
        <v>46146</v>
      </c>
      <c r="M184" s="61" t="n">
        <f aca="false">INDEX('4D Schedule'!$AF$6:$AF$156,MATCH($J184,'4D Schedule'!$A$6:$A$156,0))</f>
        <v>46156</v>
      </c>
      <c r="N184" s="56" t="str">
        <f aca="false">INDEX('4D Schedule'!$AG$6:$AG$156,MATCH($J184,'4D Schedule'!$A$6:$A$156,0))</f>
        <v>Completed</v>
      </c>
      <c r="O184" s="55"/>
    </row>
    <row r="185" customFormat="false" ht="22.35" hidden="false" customHeight="false" outlineLevel="0" collapsed="false">
      <c r="A185" s="56" t="s">
        <v>1122</v>
      </c>
      <c r="B185" s="56" t="s">
        <v>356</v>
      </c>
      <c r="C185" s="55" t="s">
        <v>1064</v>
      </c>
      <c r="D185" s="56" t="s">
        <v>1065</v>
      </c>
      <c r="E185" s="55" t="s">
        <v>1123</v>
      </c>
      <c r="F185" s="25" t="s">
        <v>79</v>
      </c>
      <c r="G185" s="55" t="s">
        <v>355</v>
      </c>
      <c r="H185" s="56" t="s">
        <v>1067</v>
      </c>
      <c r="I185" s="56" t="s">
        <v>60</v>
      </c>
      <c r="J185" s="56" t="s">
        <v>361</v>
      </c>
      <c r="K185" s="55" t="str">
        <f aca="false">INDEX('4D Schedule'!$C$6:$C$156,MATCH($J185,'4D Schedule'!$A$6:$A$156,0))</f>
        <v>Plinth beams PB (TOB EL(-)0.300) – Zone-3</v>
      </c>
      <c r="L185" s="61" t="n">
        <f aca="false">INDEX('4D Schedule'!$AE$6:$AE$156,MATCH($J185,'4D Schedule'!$A$6:$A$156,0))</f>
        <v>46146</v>
      </c>
      <c r="M185" s="61" t="n">
        <f aca="false">INDEX('4D Schedule'!$AF$6:$AF$156,MATCH($J185,'4D Schedule'!$A$6:$A$156,0))</f>
        <v>46156</v>
      </c>
      <c r="N185" s="56" t="str">
        <f aca="false">INDEX('4D Schedule'!$AG$6:$AG$156,MATCH($J185,'4D Schedule'!$A$6:$A$156,0))</f>
        <v>Completed</v>
      </c>
      <c r="O185" s="55"/>
    </row>
    <row r="186" customFormat="false" ht="15" hidden="false" customHeight="false" outlineLevel="0" collapsed="false">
      <c r="A186" s="56" t="s">
        <v>1124</v>
      </c>
      <c r="B186" s="56" t="s">
        <v>356</v>
      </c>
      <c r="C186" s="55" t="s">
        <v>1094</v>
      </c>
      <c r="D186" s="56" t="s">
        <v>1095</v>
      </c>
      <c r="E186" s="55" t="s">
        <v>1125</v>
      </c>
      <c r="F186" s="25" t="s">
        <v>79</v>
      </c>
      <c r="G186" s="55" t="s">
        <v>355</v>
      </c>
      <c r="H186" s="56" t="s">
        <v>1082</v>
      </c>
      <c r="I186" s="56" t="s">
        <v>60</v>
      </c>
      <c r="J186" s="56" t="s">
        <v>361</v>
      </c>
      <c r="K186" s="55" t="str">
        <f aca="false">INDEX('4D Schedule'!$C$6:$C$156,MATCH($J186,'4D Schedule'!$A$6:$A$156,0))</f>
        <v>Plinth beams PB (TOB EL(-)0.300) – Zone-3</v>
      </c>
      <c r="L186" s="61" t="n">
        <f aca="false">INDEX('4D Schedule'!$AE$6:$AE$156,MATCH($J186,'4D Schedule'!$A$6:$A$156,0))</f>
        <v>46146</v>
      </c>
      <c r="M186" s="61" t="n">
        <f aca="false">INDEX('4D Schedule'!$AF$6:$AF$156,MATCH($J186,'4D Schedule'!$A$6:$A$156,0))</f>
        <v>46156</v>
      </c>
      <c r="N186" s="56" t="str">
        <f aca="false">INDEX('4D Schedule'!$AG$6:$AG$156,MATCH($J186,'4D Schedule'!$A$6:$A$156,0))</f>
        <v>Completed</v>
      </c>
      <c r="O186" s="55"/>
    </row>
    <row r="187" customFormat="false" ht="15" hidden="false" customHeight="false" outlineLevel="0" collapsed="false">
      <c r="A187" s="56" t="s">
        <v>1126</v>
      </c>
      <c r="B187" s="56" t="s">
        <v>356</v>
      </c>
      <c r="C187" s="55" t="s">
        <v>1094</v>
      </c>
      <c r="D187" s="56" t="s">
        <v>1095</v>
      </c>
      <c r="E187" s="55" t="s">
        <v>1047</v>
      </c>
      <c r="F187" s="25" t="s">
        <v>79</v>
      </c>
      <c r="G187" s="55" t="s">
        <v>355</v>
      </c>
      <c r="H187" s="56" t="s">
        <v>1082</v>
      </c>
      <c r="I187" s="56" t="s">
        <v>60</v>
      </c>
      <c r="J187" s="56" t="s">
        <v>361</v>
      </c>
      <c r="K187" s="55" t="str">
        <f aca="false">INDEX('4D Schedule'!$C$6:$C$156,MATCH($J187,'4D Schedule'!$A$6:$A$156,0))</f>
        <v>Plinth beams PB (TOB EL(-)0.300) – Zone-3</v>
      </c>
      <c r="L187" s="61" t="n">
        <f aca="false">INDEX('4D Schedule'!$AE$6:$AE$156,MATCH($J187,'4D Schedule'!$A$6:$A$156,0))</f>
        <v>46146</v>
      </c>
      <c r="M187" s="61" t="n">
        <f aca="false">INDEX('4D Schedule'!$AF$6:$AF$156,MATCH($J187,'4D Schedule'!$A$6:$A$156,0))</f>
        <v>46156</v>
      </c>
      <c r="N187" s="56" t="str">
        <f aca="false">INDEX('4D Schedule'!$AG$6:$AG$156,MATCH($J187,'4D Schedule'!$A$6:$A$156,0))</f>
        <v>Completed</v>
      </c>
      <c r="O187" s="55"/>
    </row>
    <row r="188" customFormat="false" ht="15" hidden="false" customHeight="false" outlineLevel="0" collapsed="false">
      <c r="A188" s="56" t="s">
        <v>1127</v>
      </c>
      <c r="B188" s="56" t="s">
        <v>356</v>
      </c>
      <c r="C188" s="55" t="s">
        <v>1069</v>
      </c>
      <c r="D188" s="56" t="s">
        <v>1070</v>
      </c>
      <c r="E188" s="55" t="s">
        <v>1128</v>
      </c>
      <c r="F188" s="25" t="s">
        <v>79</v>
      </c>
      <c r="G188" s="55" t="s">
        <v>355</v>
      </c>
      <c r="H188" s="56" t="s">
        <v>973</v>
      </c>
      <c r="I188" s="56" t="s">
        <v>60</v>
      </c>
      <c r="J188" s="56" t="s">
        <v>361</v>
      </c>
      <c r="K188" s="55" t="str">
        <f aca="false">INDEX('4D Schedule'!$C$6:$C$156,MATCH($J188,'4D Schedule'!$A$6:$A$156,0))</f>
        <v>Plinth beams PB (TOB EL(-)0.300) – Zone-3</v>
      </c>
      <c r="L188" s="61" t="n">
        <f aca="false">INDEX('4D Schedule'!$AE$6:$AE$156,MATCH($J188,'4D Schedule'!$A$6:$A$156,0))</f>
        <v>46146</v>
      </c>
      <c r="M188" s="61" t="n">
        <f aca="false">INDEX('4D Schedule'!$AF$6:$AF$156,MATCH($J188,'4D Schedule'!$A$6:$A$156,0))</f>
        <v>46156</v>
      </c>
      <c r="N188" s="56" t="str">
        <f aca="false">INDEX('4D Schedule'!$AG$6:$AG$156,MATCH($J188,'4D Schedule'!$A$6:$A$156,0))</f>
        <v>Completed</v>
      </c>
      <c r="O188" s="55"/>
    </row>
    <row r="189" customFormat="false" ht="15" hidden="false" customHeight="false" outlineLevel="0" collapsed="false">
      <c r="A189" s="56" t="s">
        <v>1129</v>
      </c>
      <c r="B189" s="56" t="s">
        <v>356</v>
      </c>
      <c r="C189" s="55" t="s">
        <v>1075</v>
      </c>
      <c r="D189" s="56" t="s">
        <v>1076</v>
      </c>
      <c r="E189" s="55" t="s">
        <v>1130</v>
      </c>
      <c r="F189" s="25" t="s">
        <v>79</v>
      </c>
      <c r="G189" s="55" t="s">
        <v>355</v>
      </c>
      <c r="H189" s="56" t="s">
        <v>973</v>
      </c>
      <c r="I189" s="56" t="s">
        <v>60</v>
      </c>
      <c r="J189" s="56" t="s">
        <v>361</v>
      </c>
      <c r="K189" s="55" t="str">
        <f aca="false">INDEX('4D Schedule'!$C$6:$C$156,MATCH($J189,'4D Schedule'!$A$6:$A$156,0))</f>
        <v>Plinth beams PB (TOB EL(-)0.300) – Zone-3</v>
      </c>
      <c r="L189" s="61" t="n">
        <f aca="false">INDEX('4D Schedule'!$AE$6:$AE$156,MATCH($J189,'4D Schedule'!$A$6:$A$156,0))</f>
        <v>46146</v>
      </c>
      <c r="M189" s="61" t="n">
        <f aca="false">INDEX('4D Schedule'!$AF$6:$AF$156,MATCH($J189,'4D Schedule'!$A$6:$A$156,0))</f>
        <v>46156</v>
      </c>
      <c r="N189" s="56" t="str">
        <f aca="false">INDEX('4D Schedule'!$AG$6:$AG$156,MATCH($J189,'4D Schedule'!$A$6:$A$156,0))</f>
        <v>Completed</v>
      </c>
      <c r="O189" s="55"/>
    </row>
    <row r="190" customFormat="false" ht="15" hidden="false" customHeight="false" outlineLevel="0" collapsed="false">
      <c r="A190" s="56" t="s">
        <v>1131</v>
      </c>
      <c r="B190" s="56" t="s">
        <v>356</v>
      </c>
      <c r="C190" s="55" t="s">
        <v>1105</v>
      </c>
      <c r="D190" s="56" t="s">
        <v>1106</v>
      </c>
      <c r="E190" s="55" t="s">
        <v>1132</v>
      </c>
      <c r="F190" s="25" t="s">
        <v>79</v>
      </c>
      <c r="G190" s="55" t="s">
        <v>355</v>
      </c>
      <c r="H190" s="56" t="s">
        <v>1103</v>
      </c>
      <c r="I190" s="56" t="s">
        <v>60</v>
      </c>
      <c r="J190" s="56" t="s">
        <v>361</v>
      </c>
      <c r="K190" s="55" t="str">
        <f aca="false">INDEX('4D Schedule'!$C$6:$C$156,MATCH($J190,'4D Schedule'!$A$6:$A$156,0))</f>
        <v>Plinth beams PB (TOB EL(-)0.300) – Zone-3</v>
      </c>
      <c r="L190" s="61" t="n">
        <f aca="false">INDEX('4D Schedule'!$AE$6:$AE$156,MATCH($J190,'4D Schedule'!$A$6:$A$156,0))</f>
        <v>46146</v>
      </c>
      <c r="M190" s="61" t="n">
        <f aca="false">INDEX('4D Schedule'!$AF$6:$AF$156,MATCH($J190,'4D Schedule'!$A$6:$A$156,0))</f>
        <v>46156</v>
      </c>
      <c r="N190" s="56" t="str">
        <f aca="false">INDEX('4D Schedule'!$AG$6:$AG$156,MATCH($J190,'4D Schedule'!$A$6:$A$156,0))</f>
        <v>Completed</v>
      </c>
      <c r="O190" s="55"/>
    </row>
    <row r="191" customFormat="false" ht="15" hidden="false" customHeight="false" outlineLevel="0" collapsed="false">
      <c r="A191" s="56" t="s">
        <v>1133</v>
      </c>
      <c r="B191" s="56" t="s">
        <v>356</v>
      </c>
      <c r="C191" s="55" t="s">
        <v>1105</v>
      </c>
      <c r="D191" s="56" t="s">
        <v>1106</v>
      </c>
      <c r="E191" s="55" t="s">
        <v>1055</v>
      </c>
      <c r="F191" s="25" t="s">
        <v>79</v>
      </c>
      <c r="G191" s="55" t="s">
        <v>355</v>
      </c>
      <c r="H191" s="56" t="s">
        <v>1103</v>
      </c>
      <c r="I191" s="56" t="s">
        <v>60</v>
      </c>
      <c r="J191" s="56" t="s">
        <v>361</v>
      </c>
      <c r="K191" s="55" t="str">
        <f aca="false">INDEX('4D Schedule'!$C$6:$C$156,MATCH($J191,'4D Schedule'!$A$6:$A$156,0))</f>
        <v>Plinth beams PB (TOB EL(-)0.300) – Zone-3</v>
      </c>
      <c r="L191" s="61" t="n">
        <f aca="false">INDEX('4D Schedule'!$AE$6:$AE$156,MATCH($J191,'4D Schedule'!$A$6:$A$156,0))</f>
        <v>46146</v>
      </c>
      <c r="M191" s="61" t="n">
        <f aca="false">INDEX('4D Schedule'!$AF$6:$AF$156,MATCH($J191,'4D Schedule'!$A$6:$A$156,0))</f>
        <v>46156</v>
      </c>
      <c r="N191" s="56" t="str">
        <f aca="false">INDEX('4D Schedule'!$AG$6:$AG$156,MATCH($J191,'4D Schedule'!$A$6:$A$156,0))</f>
        <v>Completed</v>
      </c>
      <c r="O191" s="55"/>
    </row>
    <row r="192" customFormat="false" ht="22.35" hidden="false" customHeight="false" outlineLevel="0" collapsed="false">
      <c r="A192" s="56" t="s">
        <v>1134</v>
      </c>
      <c r="B192" s="56" t="s">
        <v>368</v>
      </c>
      <c r="C192" s="55" t="s">
        <v>1135</v>
      </c>
      <c r="D192" s="56" t="s">
        <v>929</v>
      </c>
      <c r="E192" s="55" t="s">
        <v>741</v>
      </c>
      <c r="F192" s="25" t="s">
        <v>75</v>
      </c>
      <c r="G192" s="55" t="s">
        <v>367</v>
      </c>
      <c r="H192" s="56" t="s">
        <v>931</v>
      </c>
      <c r="I192" s="56" t="s">
        <v>58</v>
      </c>
      <c r="J192" s="56" t="s">
        <v>364</v>
      </c>
      <c r="K192" s="55" t="str">
        <f aca="false">INDEX('4D Schedule'!$C$6:$C$156,MATCH($J192,'4D Schedule'!$A$6:$A$156,0))</f>
        <v>Columns Lift-1 (EL -0.300 to +4.000) – Zone-1 (18 nos incl. SC1)</v>
      </c>
      <c r="L192" s="61" t="n">
        <f aca="false">INDEX('4D Schedule'!$AE$6:$AE$156,MATCH($J192,'4D Schedule'!$A$6:$A$156,0))</f>
        <v>46147</v>
      </c>
      <c r="M192" s="61" t="n">
        <f aca="false">INDEX('4D Schedule'!$AF$6:$AF$156,MATCH($J192,'4D Schedule'!$A$6:$A$156,0))</f>
        <v>46162</v>
      </c>
      <c r="N192" s="56" t="str">
        <f aca="false">INDEX('4D Schedule'!$AG$6:$AG$156,MATCH($J192,'4D Schedule'!$A$6:$A$156,0))</f>
        <v>Completed</v>
      </c>
      <c r="O192" s="55" t="s">
        <v>1136</v>
      </c>
    </row>
    <row r="193" customFormat="false" ht="22.35" hidden="false" customHeight="false" outlineLevel="0" collapsed="false">
      <c r="A193" s="56" t="s">
        <v>1137</v>
      </c>
      <c r="B193" s="56" t="s">
        <v>368</v>
      </c>
      <c r="C193" s="55" t="s">
        <v>1138</v>
      </c>
      <c r="D193" s="56" t="s">
        <v>935</v>
      </c>
      <c r="E193" s="55" t="s">
        <v>762</v>
      </c>
      <c r="F193" s="25" t="s">
        <v>75</v>
      </c>
      <c r="G193" s="55" t="s">
        <v>367</v>
      </c>
      <c r="H193" s="56" t="s">
        <v>931</v>
      </c>
      <c r="I193" s="56" t="s">
        <v>58</v>
      </c>
      <c r="J193" s="56" t="s">
        <v>364</v>
      </c>
      <c r="K193" s="55" t="str">
        <f aca="false">INDEX('4D Schedule'!$C$6:$C$156,MATCH($J193,'4D Schedule'!$A$6:$A$156,0))</f>
        <v>Columns Lift-1 (EL -0.300 to +4.000) – Zone-1 (18 nos incl. SC1)</v>
      </c>
      <c r="L193" s="61" t="n">
        <f aca="false">INDEX('4D Schedule'!$AE$6:$AE$156,MATCH($J193,'4D Schedule'!$A$6:$A$156,0))</f>
        <v>46147</v>
      </c>
      <c r="M193" s="61" t="n">
        <f aca="false">INDEX('4D Schedule'!$AF$6:$AF$156,MATCH($J193,'4D Schedule'!$A$6:$A$156,0))</f>
        <v>46162</v>
      </c>
      <c r="N193" s="56" t="str">
        <f aca="false">INDEX('4D Schedule'!$AG$6:$AG$156,MATCH($J193,'4D Schedule'!$A$6:$A$156,0))</f>
        <v>Completed</v>
      </c>
      <c r="O193" s="55" t="s">
        <v>1136</v>
      </c>
    </row>
    <row r="194" customFormat="false" ht="22.35" hidden="false" customHeight="false" outlineLevel="0" collapsed="false">
      <c r="A194" s="56" t="s">
        <v>1139</v>
      </c>
      <c r="B194" s="56" t="s">
        <v>368</v>
      </c>
      <c r="C194" s="55" t="s">
        <v>1135</v>
      </c>
      <c r="D194" s="56" t="s">
        <v>929</v>
      </c>
      <c r="E194" s="55" t="s">
        <v>786</v>
      </c>
      <c r="F194" s="25" t="s">
        <v>75</v>
      </c>
      <c r="G194" s="55" t="s">
        <v>367</v>
      </c>
      <c r="H194" s="56" t="s">
        <v>931</v>
      </c>
      <c r="I194" s="56" t="s">
        <v>58</v>
      </c>
      <c r="J194" s="56" t="s">
        <v>364</v>
      </c>
      <c r="K194" s="55" t="str">
        <f aca="false">INDEX('4D Schedule'!$C$6:$C$156,MATCH($J194,'4D Schedule'!$A$6:$A$156,0))</f>
        <v>Columns Lift-1 (EL -0.300 to +4.000) – Zone-1 (18 nos incl. SC1)</v>
      </c>
      <c r="L194" s="61" t="n">
        <f aca="false">INDEX('4D Schedule'!$AE$6:$AE$156,MATCH($J194,'4D Schedule'!$A$6:$A$156,0))</f>
        <v>46147</v>
      </c>
      <c r="M194" s="61" t="n">
        <f aca="false">INDEX('4D Schedule'!$AF$6:$AF$156,MATCH($J194,'4D Schedule'!$A$6:$A$156,0))</f>
        <v>46162</v>
      </c>
      <c r="N194" s="56" t="str">
        <f aca="false">INDEX('4D Schedule'!$AG$6:$AG$156,MATCH($J194,'4D Schedule'!$A$6:$A$156,0))</f>
        <v>Completed</v>
      </c>
      <c r="O194" s="55" t="s">
        <v>1136</v>
      </c>
    </row>
    <row r="195" customFormat="false" ht="22.35" hidden="false" customHeight="false" outlineLevel="0" collapsed="false">
      <c r="A195" s="56" t="s">
        <v>1140</v>
      </c>
      <c r="B195" s="56" t="s">
        <v>368</v>
      </c>
      <c r="C195" s="55" t="s">
        <v>1141</v>
      </c>
      <c r="D195" s="56" t="s">
        <v>939</v>
      </c>
      <c r="E195" s="55" t="s">
        <v>804</v>
      </c>
      <c r="F195" s="25" t="s">
        <v>75</v>
      </c>
      <c r="G195" s="55" t="s">
        <v>367</v>
      </c>
      <c r="H195" s="56" t="s">
        <v>940</v>
      </c>
      <c r="I195" s="56" t="s">
        <v>58</v>
      </c>
      <c r="J195" s="56" t="s">
        <v>364</v>
      </c>
      <c r="K195" s="55" t="str">
        <f aca="false">INDEX('4D Schedule'!$C$6:$C$156,MATCH($J195,'4D Schedule'!$A$6:$A$156,0))</f>
        <v>Columns Lift-1 (EL -0.300 to +4.000) – Zone-1 (18 nos incl. SC1)</v>
      </c>
      <c r="L195" s="61" t="n">
        <f aca="false">INDEX('4D Schedule'!$AE$6:$AE$156,MATCH($J195,'4D Schedule'!$A$6:$A$156,0))</f>
        <v>46147</v>
      </c>
      <c r="M195" s="61" t="n">
        <f aca="false">INDEX('4D Schedule'!$AF$6:$AF$156,MATCH($J195,'4D Schedule'!$A$6:$A$156,0))</f>
        <v>46162</v>
      </c>
      <c r="N195" s="56" t="str">
        <f aca="false">INDEX('4D Schedule'!$AG$6:$AG$156,MATCH($J195,'4D Schedule'!$A$6:$A$156,0))</f>
        <v>Completed</v>
      </c>
      <c r="O195" s="55" t="s">
        <v>1136</v>
      </c>
    </row>
    <row r="196" customFormat="false" ht="22.35" hidden="false" customHeight="false" outlineLevel="0" collapsed="false">
      <c r="A196" s="56" t="s">
        <v>1142</v>
      </c>
      <c r="B196" s="56" t="s">
        <v>368</v>
      </c>
      <c r="C196" s="55" t="s">
        <v>1143</v>
      </c>
      <c r="D196" s="56" t="s">
        <v>943</v>
      </c>
      <c r="E196" s="55" t="s">
        <v>842</v>
      </c>
      <c r="F196" s="25" t="s">
        <v>75</v>
      </c>
      <c r="G196" s="55" t="s">
        <v>367</v>
      </c>
      <c r="H196" s="56" t="s">
        <v>940</v>
      </c>
      <c r="I196" s="56" t="s">
        <v>58</v>
      </c>
      <c r="J196" s="56" t="s">
        <v>364</v>
      </c>
      <c r="K196" s="55" t="str">
        <f aca="false">INDEX('4D Schedule'!$C$6:$C$156,MATCH($J196,'4D Schedule'!$A$6:$A$156,0))</f>
        <v>Columns Lift-1 (EL -0.300 to +4.000) – Zone-1 (18 nos incl. SC1)</v>
      </c>
      <c r="L196" s="61" t="n">
        <f aca="false">INDEX('4D Schedule'!$AE$6:$AE$156,MATCH($J196,'4D Schedule'!$A$6:$A$156,0))</f>
        <v>46147</v>
      </c>
      <c r="M196" s="61" t="n">
        <f aca="false">INDEX('4D Schedule'!$AF$6:$AF$156,MATCH($J196,'4D Schedule'!$A$6:$A$156,0))</f>
        <v>46162</v>
      </c>
      <c r="N196" s="56" t="str">
        <f aca="false">INDEX('4D Schedule'!$AG$6:$AG$156,MATCH($J196,'4D Schedule'!$A$6:$A$156,0))</f>
        <v>Completed</v>
      </c>
      <c r="O196" s="55" t="s">
        <v>1136</v>
      </c>
    </row>
    <row r="197" customFormat="false" ht="22.35" hidden="false" customHeight="false" outlineLevel="0" collapsed="false">
      <c r="A197" s="56" t="s">
        <v>1144</v>
      </c>
      <c r="B197" s="56" t="s">
        <v>368</v>
      </c>
      <c r="C197" s="55" t="s">
        <v>1143</v>
      </c>
      <c r="D197" s="56" t="s">
        <v>943</v>
      </c>
      <c r="E197" s="55" t="s">
        <v>852</v>
      </c>
      <c r="F197" s="25" t="s">
        <v>75</v>
      </c>
      <c r="G197" s="55" t="s">
        <v>367</v>
      </c>
      <c r="H197" s="56" t="s">
        <v>940</v>
      </c>
      <c r="I197" s="56" t="s">
        <v>58</v>
      </c>
      <c r="J197" s="56" t="s">
        <v>364</v>
      </c>
      <c r="K197" s="55" t="str">
        <f aca="false">INDEX('4D Schedule'!$C$6:$C$156,MATCH($J197,'4D Schedule'!$A$6:$A$156,0))</f>
        <v>Columns Lift-1 (EL -0.300 to +4.000) – Zone-1 (18 nos incl. SC1)</v>
      </c>
      <c r="L197" s="61" t="n">
        <f aca="false">INDEX('4D Schedule'!$AE$6:$AE$156,MATCH($J197,'4D Schedule'!$A$6:$A$156,0))</f>
        <v>46147</v>
      </c>
      <c r="M197" s="61" t="n">
        <f aca="false">INDEX('4D Schedule'!$AF$6:$AF$156,MATCH($J197,'4D Schedule'!$A$6:$A$156,0))</f>
        <v>46162</v>
      </c>
      <c r="N197" s="56" t="str">
        <f aca="false">INDEX('4D Schedule'!$AG$6:$AG$156,MATCH($J197,'4D Schedule'!$A$6:$A$156,0))</f>
        <v>Completed</v>
      </c>
      <c r="O197" s="55" t="s">
        <v>1136</v>
      </c>
    </row>
    <row r="198" customFormat="false" ht="22.35" hidden="false" customHeight="false" outlineLevel="0" collapsed="false">
      <c r="A198" s="56" t="s">
        <v>1145</v>
      </c>
      <c r="B198" s="56" t="s">
        <v>368</v>
      </c>
      <c r="C198" s="55" t="s">
        <v>1146</v>
      </c>
      <c r="D198" s="56" t="s">
        <v>947</v>
      </c>
      <c r="E198" s="55" t="s">
        <v>948</v>
      </c>
      <c r="F198" s="25" t="s">
        <v>75</v>
      </c>
      <c r="G198" s="55" t="s">
        <v>367</v>
      </c>
      <c r="H198" s="56" t="s">
        <v>931</v>
      </c>
      <c r="I198" s="56" t="s">
        <v>58</v>
      </c>
      <c r="J198" s="56" t="s">
        <v>364</v>
      </c>
      <c r="K198" s="55" t="str">
        <f aca="false">INDEX('4D Schedule'!$C$6:$C$156,MATCH($J198,'4D Schedule'!$A$6:$A$156,0))</f>
        <v>Columns Lift-1 (EL -0.300 to +4.000) – Zone-1 (18 nos incl. SC1)</v>
      </c>
      <c r="L198" s="61" t="n">
        <f aca="false">INDEX('4D Schedule'!$AE$6:$AE$156,MATCH($J198,'4D Schedule'!$A$6:$A$156,0))</f>
        <v>46147</v>
      </c>
      <c r="M198" s="61" t="n">
        <f aca="false">INDEX('4D Schedule'!$AF$6:$AF$156,MATCH($J198,'4D Schedule'!$A$6:$A$156,0))</f>
        <v>46162</v>
      </c>
      <c r="N198" s="56" t="str">
        <f aca="false">INDEX('4D Schedule'!$AG$6:$AG$156,MATCH($J198,'4D Schedule'!$A$6:$A$156,0))</f>
        <v>Completed</v>
      </c>
      <c r="O198" s="55" t="s">
        <v>1136</v>
      </c>
    </row>
    <row r="199" customFormat="false" ht="22.35" hidden="false" customHeight="false" outlineLevel="0" collapsed="false">
      <c r="A199" s="56" t="s">
        <v>1147</v>
      </c>
      <c r="B199" s="56" t="s">
        <v>368</v>
      </c>
      <c r="C199" s="55" t="s">
        <v>1148</v>
      </c>
      <c r="D199" s="56" t="s">
        <v>952</v>
      </c>
      <c r="E199" s="55" t="s">
        <v>745</v>
      </c>
      <c r="F199" s="25" t="s">
        <v>75</v>
      </c>
      <c r="G199" s="55" t="s">
        <v>367</v>
      </c>
      <c r="H199" s="56" t="s">
        <v>940</v>
      </c>
      <c r="I199" s="56" t="s">
        <v>58</v>
      </c>
      <c r="J199" s="56" t="s">
        <v>364</v>
      </c>
      <c r="K199" s="55" t="str">
        <f aca="false">INDEX('4D Schedule'!$C$6:$C$156,MATCH($J199,'4D Schedule'!$A$6:$A$156,0))</f>
        <v>Columns Lift-1 (EL -0.300 to +4.000) – Zone-1 (18 nos incl. SC1)</v>
      </c>
      <c r="L199" s="61" t="n">
        <f aca="false">INDEX('4D Schedule'!$AE$6:$AE$156,MATCH($J199,'4D Schedule'!$A$6:$A$156,0))</f>
        <v>46147</v>
      </c>
      <c r="M199" s="61" t="n">
        <f aca="false">INDEX('4D Schedule'!$AF$6:$AF$156,MATCH($J199,'4D Schedule'!$A$6:$A$156,0))</f>
        <v>46162</v>
      </c>
      <c r="N199" s="56" t="str">
        <f aca="false">INDEX('4D Schedule'!$AG$6:$AG$156,MATCH($J199,'4D Schedule'!$A$6:$A$156,0))</f>
        <v>Completed</v>
      </c>
      <c r="O199" s="55" t="s">
        <v>1136</v>
      </c>
    </row>
    <row r="200" customFormat="false" ht="22.35" hidden="false" customHeight="false" outlineLevel="0" collapsed="false">
      <c r="A200" s="56" t="s">
        <v>1149</v>
      </c>
      <c r="B200" s="56" t="s">
        <v>368</v>
      </c>
      <c r="C200" s="55" t="s">
        <v>1148</v>
      </c>
      <c r="D200" s="56" t="s">
        <v>952</v>
      </c>
      <c r="E200" s="55" t="s">
        <v>767</v>
      </c>
      <c r="F200" s="25" t="s">
        <v>75</v>
      </c>
      <c r="G200" s="55" t="s">
        <v>367</v>
      </c>
      <c r="H200" s="56" t="s">
        <v>940</v>
      </c>
      <c r="I200" s="56" t="s">
        <v>58</v>
      </c>
      <c r="J200" s="56" t="s">
        <v>364</v>
      </c>
      <c r="K200" s="55" t="str">
        <f aca="false">INDEX('4D Schedule'!$C$6:$C$156,MATCH($J200,'4D Schedule'!$A$6:$A$156,0))</f>
        <v>Columns Lift-1 (EL -0.300 to +4.000) – Zone-1 (18 nos incl. SC1)</v>
      </c>
      <c r="L200" s="61" t="n">
        <f aca="false">INDEX('4D Schedule'!$AE$6:$AE$156,MATCH($J200,'4D Schedule'!$A$6:$A$156,0))</f>
        <v>46147</v>
      </c>
      <c r="M200" s="61" t="n">
        <f aca="false">INDEX('4D Schedule'!$AF$6:$AF$156,MATCH($J200,'4D Schedule'!$A$6:$A$156,0))</f>
        <v>46162</v>
      </c>
      <c r="N200" s="56" t="str">
        <f aca="false">INDEX('4D Schedule'!$AG$6:$AG$156,MATCH($J200,'4D Schedule'!$A$6:$A$156,0))</f>
        <v>Completed</v>
      </c>
      <c r="O200" s="55" t="s">
        <v>1136</v>
      </c>
    </row>
    <row r="201" customFormat="false" ht="22.35" hidden="false" customHeight="false" outlineLevel="0" collapsed="false">
      <c r="A201" s="56" t="s">
        <v>1150</v>
      </c>
      <c r="B201" s="56" t="s">
        <v>368</v>
      </c>
      <c r="C201" s="55" t="s">
        <v>1148</v>
      </c>
      <c r="D201" s="56" t="s">
        <v>952</v>
      </c>
      <c r="E201" s="55" t="s">
        <v>789</v>
      </c>
      <c r="F201" s="25" t="s">
        <v>75</v>
      </c>
      <c r="G201" s="55" t="s">
        <v>367</v>
      </c>
      <c r="H201" s="56" t="s">
        <v>940</v>
      </c>
      <c r="I201" s="56" t="s">
        <v>58</v>
      </c>
      <c r="J201" s="56" t="s">
        <v>364</v>
      </c>
      <c r="K201" s="55" t="str">
        <f aca="false">INDEX('4D Schedule'!$C$6:$C$156,MATCH($J201,'4D Schedule'!$A$6:$A$156,0))</f>
        <v>Columns Lift-1 (EL -0.300 to +4.000) – Zone-1 (18 nos incl. SC1)</v>
      </c>
      <c r="L201" s="61" t="n">
        <f aca="false">INDEX('4D Schedule'!$AE$6:$AE$156,MATCH($J201,'4D Schedule'!$A$6:$A$156,0))</f>
        <v>46147</v>
      </c>
      <c r="M201" s="61" t="n">
        <f aca="false">INDEX('4D Schedule'!$AF$6:$AF$156,MATCH($J201,'4D Schedule'!$A$6:$A$156,0))</f>
        <v>46162</v>
      </c>
      <c r="N201" s="56" t="str">
        <f aca="false">INDEX('4D Schedule'!$AG$6:$AG$156,MATCH($J201,'4D Schedule'!$A$6:$A$156,0))</f>
        <v>Completed</v>
      </c>
      <c r="O201" s="55" t="s">
        <v>1136</v>
      </c>
    </row>
    <row r="202" customFormat="false" ht="22.35" hidden="false" customHeight="false" outlineLevel="0" collapsed="false">
      <c r="A202" s="56" t="s">
        <v>1151</v>
      </c>
      <c r="B202" s="56" t="s">
        <v>368</v>
      </c>
      <c r="C202" s="55" t="s">
        <v>1141</v>
      </c>
      <c r="D202" s="56" t="s">
        <v>939</v>
      </c>
      <c r="E202" s="55" t="s">
        <v>809</v>
      </c>
      <c r="F202" s="25" t="s">
        <v>75</v>
      </c>
      <c r="G202" s="55" t="s">
        <v>367</v>
      </c>
      <c r="H202" s="56" t="s">
        <v>940</v>
      </c>
      <c r="I202" s="56" t="s">
        <v>58</v>
      </c>
      <c r="J202" s="56" t="s">
        <v>364</v>
      </c>
      <c r="K202" s="55" t="str">
        <f aca="false">INDEX('4D Schedule'!$C$6:$C$156,MATCH($J202,'4D Schedule'!$A$6:$A$156,0))</f>
        <v>Columns Lift-1 (EL -0.300 to +4.000) – Zone-1 (18 nos incl. SC1)</v>
      </c>
      <c r="L202" s="61" t="n">
        <f aca="false">INDEX('4D Schedule'!$AE$6:$AE$156,MATCH($J202,'4D Schedule'!$A$6:$A$156,0))</f>
        <v>46147</v>
      </c>
      <c r="M202" s="61" t="n">
        <f aca="false">INDEX('4D Schedule'!$AF$6:$AF$156,MATCH($J202,'4D Schedule'!$A$6:$A$156,0))</f>
        <v>46162</v>
      </c>
      <c r="N202" s="56" t="str">
        <f aca="false">INDEX('4D Schedule'!$AG$6:$AG$156,MATCH($J202,'4D Schedule'!$A$6:$A$156,0))</f>
        <v>Completed</v>
      </c>
      <c r="O202" s="55" t="s">
        <v>1136</v>
      </c>
    </row>
    <row r="203" customFormat="false" ht="22.35" hidden="false" customHeight="false" outlineLevel="0" collapsed="false">
      <c r="A203" s="56" t="s">
        <v>1152</v>
      </c>
      <c r="B203" s="56" t="s">
        <v>368</v>
      </c>
      <c r="C203" s="55" t="s">
        <v>1143</v>
      </c>
      <c r="D203" s="56" t="s">
        <v>943</v>
      </c>
      <c r="E203" s="55" t="s">
        <v>847</v>
      </c>
      <c r="F203" s="25" t="s">
        <v>75</v>
      </c>
      <c r="G203" s="55" t="s">
        <v>367</v>
      </c>
      <c r="H203" s="56" t="s">
        <v>940</v>
      </c>
      <c r="I203" s="56" t="s">
        <v>58</v>
      </c>
      <c r="J203" s="56" t="s">
        <v>364</v>
      </c>
      <c r="K203" s="55" t="str">
        <f aca="false">INDEX('4D Schedule'!$C$6:$C$156,MATCH($J203,'4D Schedule'!$A$6:$A$156,0))</f>
        <v>Columns Lift-1 (EL -0.300 to +4.000) – Zone-1 (18 nos incl. SC1)</v>
      </c>
      <c r="L203" s="61" t="n">
        <f aca="false">INDEX('4D Schedule'!$AE$6:$AE$156,MATCH($J203,'4D Schedule'!$A$6:$A$156,0))</f>
        <v>46147</v>
      </c>
      <c r="M203" s="61" t="n">
        <f aca="false">INDEX('4D Schedule'!$AF$6:$AF$156,MATCH($J203,'4D Schedule'!$A$6:$A$156,0))</f>
        <v>46162</v>
      </c>
      <c r="N203" s="56" t="str">
        <f aca="false">INDEX('4D Schedule'!$AG$6:$AG$156,MATCH($J203,'4D Schedule'!$A$6:$A$156,0))</f>
        <v>Completed</v>
      </c>
      <c r="O203" s="55" t="s">
        <v>1136</v>
      </c>
    </row>
    <row r="204" customFormat="false" ht="22.35" hidden="false" customHeight="false" outlineLevel="0" collapsed="false">
      <c r="A204" s="56" t="s">
        <v>1153</v>
      </c>
      <c r="B204" s="56" t="s">
        <v>368</v>
      </c>
      <c r="C204" s="55" t="s">
        <v>1143</v>
      </c>
      <c r="D204" s="56" t="s">
        <v>943</v>
      </c>
      <c r="E204" s="55" t="s">
        <v>855</v>
      </c>
      <c r="F204" s="25" t="s">
        <v>75</v>
      </c>
      <c r="G204" s="55" t="s">
        <v>367</v>
      </c>
      <c r="H204" s="56" t="s">
        <v>940</v>
      </c>
      <c r="I204" s="56" t="s">
        <v>58</v>
      </c>
      <c r="J204" s="56" t="s">
        <v>364</v>
      </c>
      <c r="K204" s="55" t="str">
        <f aca="false">INDEX('4D Schedule'!$C$6:$C$156,MATCH($J204,'4D Schedule'!$A$6:$A$156,0))</f>
        <v>Columns Lift-1 (EL -0.300 to +4.000) – Zone-1 (18 nos incl. SC1)</v>
      </c>
      <c r="L204" s="61" t="n">
        <f aca="false">INDEX('4D Schedule'!$AE$6:$AE$156,MATCH($J204,'4D Schedule'!$A$6:$A$156,0))</f>
        <v>46147</v>
      </c>
      <c r="M204" s="61" t="n">
        <f aca="false">INDEX('4D Schedule'!$AF$6:$AF$156,MATCH($J204,'4D Schedule'!$A$6:$A$156,0))</f>
        <v>46162</v>
      </c>
      <c r="N204" s="56" t="str">
        <f aca="false">INDEX('4D Schedule'!$AG$6:$AG$156,MATCH($J204,'4D Schedule'!$A$6:$A$156,0))</f>
        <v>Completed</v>
      </c>
      <c r="O204" s="55" t="s">
        <v>1136</v>
      </c>
    </row>
    <row r="205" customFormat="false" ht="22.35" hidden="false" customHeight="false" outlineLevel="0" collapsed="false">
      <c r="A205" s="56" t="s">
        <v>1154</v>
      </c>
      <c r="B205" s="56" t="s">
        <v>368</v>
      </c>
      <c r="C205" s="55" t="s">
        <v>1148</v>
      </c>
      <c r="D205" s="56" t="s">
        <v>952</v>
      </c>
      <c r="E205" s="55" t="s">
        <v>748</v>
      </c>
      <c r="F205" s="25" t="s">
        <v>75</v>
      </c>
      <c r="G205" s="55" t="s">
        <v>367</v>
      </c>
      <c r="H205" s="56" t="s">
        <v>940</v>
      </c>
      <c r="I205" s="56" t="s">
        <v>58</v>
      </c>
      <c r="J205" s="56" t="s">
        <v>364</v>
      </c>
      <c r="K205" s="55" t="str">
        <f aca="false">INDEX('4D Schedule'!$C$6:$C$156,MATCH($J205,'4D Schedule'!$A$6:$A$156,0))</f>
        <v>Columns Lift-1 (EL -0.300 to +4.000) – Zone-1 (18 nos incl. SC1)</v>
      </c>
      <c r="L205" s="61" t="n">
        <f aca="false">INDEX('4D Schedule'!$AE$6:$AE$156,MATCH($J205,'4D Schedule'!$A$6:$A$156,0))</f>
        <v>46147</v>
      </c>
      <c r="M205" s="61" t="n">
        <f aca="false">INDEX('4D Schedule'!$AF$6:$AF$156,MATCH($J205,'4D Schedule'!$A$6:$A$156,0))</f>
        <v>46162</v>
      </c>
      <c r="N205" s="56" t="str">
        <f aca="false">INDEX('4D Schedule'!$AG$6:$AG$156,MATCH($J205,'4D Schedule'!$A$6:$A$156,0))</f>
        <v>Completed</v>
      </c>
      <c r="O205" s="55" t="s">
        <v>1136</v>
      </c>
    </row>
    <row r="206" customFormat="false" ht="22.35" hidden="false" customHeight="false" outlineLevel="0" collapsed="false">
      <c r="A206" s="56" t="s">
        <v>1155</v>
      </c>
      <c r="B206" s="56" t="s">
        <v>368</v>
      </c>
      <c r="C206" s="55" t="s">
        <v>1148</v>
      </c>
      <c r="D206" s="56" t="s">
        <v>952</v>
      </c>
      <c r="E206" s="55" t="s">
        <v>770</v>
      </c>
      <c r="F206" s="25" t="s">
        <v>75</v>
      </c>
      <c r="G206" s="55" t="s">
        <v>367</v>
      </c>
      <c r="H206" s="56" t="s">
        <v>940</v>
      </c>
      <c r="I206" s="56" t="s">
        <v>58</v>
      </c>
      <c r="J206" s="56" t="s">
        <v>364</v>
      </c>
      <c r="K206" s="55" t="str">
        <f aca="false">INDEX('4D Schedule'!$C$6:$C$156,MATCH($J206,'4D Schedule'!$A$6:$A$156,0))</f>
        <v>Columns Lift-1 (EL -0.300 to +4.000) – Zone-1 (18 nos incl. SC1)</v>
      </c>
      <c r="L206" s="61" t="n">
        <f aca="false">INDEX('4D Schedule'!$AE$6:$AE$156,MATCH($J206,'4D Schedule'!$A$6:$A$156,0))</f>
        <v>46147</v>
      </c>
      <c r="M206" s="61" t="n">
        <f aca="false">INDEX('4D Schedule'!$AF$6:$AF$156,MATCH($J206,'4D Schedule'!$A$6:$A$156,0))</f>
        <v>46162</v>
      </c>
      <c r="N206" s="56" t="str">
        <f aca="false">INDEX('4D Schedule'!$AG$6:$AG$156,MATCH($J206,'4D Schedule'!$A$6:$A$156,0))</f>
        <v>Completed</v>
      </c>
      <c r="O206" s="55" t="s">
        <v>1136</v>
      </c>
    </row>
    <row r="207" customFormat="false" ht="22.35" hidden="false" customHeight="false" outlineLevel="0" collapsed="false">
      <c r="A207" s="56" t="s">
        <v>1156</v>
      </c>
      <c r="B207" s="56" t="s">
        <v>368</v>
      </c>
      <c r="C207" s="55" t="s">
        <v>1148</v>
      </c>
      <c r="D207" s="56" t="s">
        <v>952</v>
      </c>
      <c r="E207" s="55" t="s">
        <v>792</v>
      </c>
      <c r="F207" s="25" t="s">
        <v>75</v>
      </c>
      <c r="G207" s="55" t="s">
        <v>367</v>
      </c>
      <c r="H207" s="56" t="s">
        <v>940</v>
      </c>
      <c r="I207" s="56" t="s">
        <v>58</v>
      </c>
      <c r="J207" s="56" t="s">
        <v>364</v>
      </c>
      <c r="K207" s="55" t="str">
        <f aca="false">INDEX('4D Schedule'!$C$6:$C$156,MATCH($J207,'4D Schedule'!$A$6:$A$156,0))</f>
        <v>Columns Lift-1 (EL -0.300 to +4.000) – Zone-1 (18 nos incl. SC1)</v>
      </c>
      <c r="L207" s="61" t="n">
        <f aca="false">INDEX('4D Schedule'!$AE$6:$AE$156,MATCH($J207,'4D Schedule'!$A$6:$A$156,0))</f>
        <v>46147</v>
      </c>
      <c r="M207" s="61" t="n">
        <f aca="false">INDEX('4D Schedule'!$AF$6:$AF$156,MATCH($J207,'4D Schedule'!$A$6:$A$156,0))</f>
        <v>46162</v>
      </c>
      <c r="N207" s="56" t="str">
        <f aca="false">INDEX('4D Schedule'!$AG$6:$AG$156,MATCH($J207,'4D Schedule'!$A$6:$A$156,0))</f>
        <v>Completed</v>
      </c>
      <c r="O207" s="55" t="s">
        <v>1136</v>
      </c>
    </row>
    <row r="208" customFormat="false" ht="22.35" hidden="false" customHeight="false" outlineLevel="0" collapsed="false">
      <c r="A208" s="56" t="s">
        <v>1157</v>
      </c>
      <c r="B208" s="56" t="s">
        <v>368</v>
      </c>
      <c r="C208" s="55" t="s">
        <v>1158</v>
      </c>
      <c r="D208" s="56" t="s">
        <v>963</v>
      </c>
      <c r="E208" s="55" t="s">
        <v>814</v>
      </c>
      <c r="F208" s="25" t="s">
        <v>75</v>
      </c>
      <c r="G208" s="55" t="s">
        <v>367</v>
      </c>
      <c r="H208" s="56" t="s">
        <v>931</v>
      </c>
      <c r="I208" s="56" t="s">
        <v>58</v>
      </c>
      <c r="J208" s="56" t="s">
        <v>364</v>
      </c>
      <c r="K208" s="55" t="str">
        <f aca="false">INDEX('4D Schedule'!$C$6:$C$156,MATCH($J208,'4D Schedule'!$A$6:$A$156,0))</f>
        <v>Columns Lift-1 (EL -0.300 to +4.000) – Zone-1 (18 nos incl. SC1)</v>
      </c>
      <c r="L208" s="61" t="n">
        <f aca="false">INDEX('4D Schedule'!$AE$6:$AE$156,MATCH($J208,'4D Schedule'!$A$6:$A$156,0))</f>
        <v>46147</v>
      </c>
      <c r="M208" s="61" t="n">
        <f aca="false">INDEX('4D Schedule'!$AF$6:$AF$156,MATCH($J208,'4D Schedule'!$A$6:$A$156,0))</f>
        <v>46162</v>
      </c>
      <c r="N208" s="56" t="str">
        <f aca="false">INDEX('4D Schedule'!$AG$6:$AG$156,MATCH($J208,'4D Schedule'!$A$6:$A$156,0))</f>
        <v>Completed</v>
      </c>
      <c r="O208" s="55" t="s">
        <v>1136</v>
      </c>
    </row>
    <row r="209" customFormat="false" ht="22.35" hidden="false" customHeight="false" outlineLevel="0" collapsed="false">
      <c r="A209" s="56" t="s">
        <v>1159</v>
      </c>
      <c r="B209" s="56" t="s">
        <v>368</v>
      </c>
      <c r="C209" s="55" t="s">
        <v>1160</v>
      </c>
      <c r="D209" s="56" t="s">
        <v>966</v>
      </c>
      <c r="E209" s="55" t="s">
        <v>860</v>
      </c>
      <c r="F209" s="25" t="s">
        <v>75</v>
      </c>
      <c r="G209" s="55" t="s">
        <v>367</v>
      </c>
      <c r="H209" s="56" t="s">
        <v>931</v>
      </c>
      <c r="I209" s="56" t="s">
        <v>58</v>
      </c>
      <c r="J209" s="56" t="s">
        <v>364</v>
      </c>
      <c r="K209" s="55" t="str">
        <f aca="false">INDEX('4D Schedule'!$C$6:$C$156,MATCH($J209,'4D Schedule'!$A$6:$A$156,0))</f>
        <v>Columns Lift-1 (EL -0.300 to +4.000) – Zone-1 (18 nos incl. SC1)</v>
      </c>
      <c r="L209" s="61" t="n">
        <f aca="false">INDEX('4D Schedule'!$AE$6:$AE$156,MATCH($J209,'4D Schedule'!$A$6:$A$156,0))</f>
        <v>46147</v>
      </c>
      <c r="M209" s="61" t="n">
        <f aca="false">INDEX('4D Schedule'!$AF$6:$AF$156,MATCH($J209,'4D Schedule'!$A$6:$A$156,0))</f>
        <v>46162</v>
      </c>
      <c r="N209" s="56" t="str">
        <f aca="false">INDEX('4D Schedule'!$AG$6:$AG$156,MATCH($J209,'4D Schedule'!$A$6:$A$156,0))</f>
        <v>Completed</v>
      </c>
      <c r="O209" s="55" t="s">
        <v>1136</v>
      </c>
    </row>
    <row r="210" customFormat="false" ht="15" hidden="false" customHeight="false" outlineLevel="0" collapsed="false">
      <c r="A210" s="56" t="s">
        <v>1161</v>
      </c>
      <c r="B210" s="56" t="s">
        <v>368</v>
      </c>
      <c r="C210" s="55" t="s">
        <v>1148</v>
      </c>
      <c r="D210" s="56" t="s">
        <v>952</v>
      </c>
      <c r="E210" s="55" t="s">
        <v>751</v>
      </c>
      <c r="F210" s="25" t="s">
        <v>77</v>
      </c>
      <c r="G210" s="55" t="s">
        <v>367</v>
      </c>
      <c r="H210" s="56" t="s">
        <v>940</v>
      </c>
      <c r="I210" s="56" t="s">
        <v>58</v>
      </c>
      <c r="J210" s="56" t="s">
        <v>370</v>
      </c>
      <c r="K210" s="55" t="str">
        <f aca="false">INDEX('4D Schedule'!$C$6:$C$156,MATCH($J210,'4D Schedule'!$A$6:$A$156,0))</f>
        <v>Columns Lift-1 (EL -0.300 to +4.000) – Zone-2 (10 nos)</v>
      </c>
      <c r="L210" s="61" t="n">
        <f aca="false">INDEX('4D Schedule'!$AE$6:$AE$156,MATCH($J210,'4D Schedule'!$A$6:$A$156,0))</f>
        <v>46155</v>
      </c>
      <c r="M210" s="61" t="n">
        <f aca="false">INDEX('4D Schedule'!$AF$6:$AF$156,MATCH($J210,'4D Schedule'!$A$6:$A$156,0))</f>
        <v>46165</v>
      </c>
      <c r="N210" s="56" t="str">
        <f aca="false">INDEX('4D Schedule'!$AG$6:$AG$156,MATCH($J210,'4D Schedule'!$A$6:$A$156,0))</f>
        <v>Completed</v>
      </c>
      <c r="O210" s="55" t="s">
        <v>1136</v>
      </c>
    </row>
    <row r="211" customFormat="false" ht="15" hidden="false" customHeight="false" outlineLevel="0" collapsed="false">
      <c r="A211" s="56" t="s">
        <v>1162</v>
      </c>
      <c r="B211" s="56" t="s">
        <v>368</v>
      </c>
      <c r="C211" s="55" t="s">
        <v>1148</v>
      </c>
      <c r="D211" s="56" t="s">
        <v>952</v>
      </c>
      <c r="E211" s="55" t="s">
        <v>773</v>
      </c>
      <c r="F211" s="25" t="s">
        <v>77</v>
      </c>
      <c r="G211" s="55" t="s">
        <v>367</v>
      </c>
      <c r="H211" s="56" t="s">
        <v>940</v>
      </c>
      <c r="I211" s="56" t="s">
        <v>58</v>
      </c>
      <c r="J211" s="56" t="s">
        <v>370</v>
      </c>
      <c r="K211" s="55" t="str">
        <f aca="false">INDEX('4D Schedule'!$C$6:$C$156,MATCH($J211,'4D Schedule'!$A$6:$A$156,0))</f>
        <v>Columns Lift-1 (EL -0.300 to +4.000) – Zone-2 (10 nos)</v>
      </c>
      <c r="L211" s="61" t="n">
        <f aca="false">INDEX('4D Schedule'!$AE$6:$AE$156,MATCH($J211,'4D Schedule'!$A$6:$A$156,0))</f>
        <v>46155</v>
      </c>
      <c r="M211" s="61" t="n">
        <f aca="false">INDEX('4D Schedule'!$AF$6:$AF$156,MATCH($J211,'4D Schedule'!$A$6:$A$156,0))</f>
        <v>46165</v>
      </c>
      <c r="N211" s="56" t="str">
        <f aca="false">INDEX('4D Schedule'!$AG$6:$AG$156,MATCH($J211,'4D Schedule'!$A$6:$A$156,0))</f>
        <v>Completed</v>
      </c>
      <c r="O211" s="55" t="s">
        <v>1136</v>
      </c>
    </row>
    <row r="212" customFormat="false" ht="15" hidden="false" customHeight="false" outlineLevel="0" collapsed="false">
      <c r="A212" s="56" t="s">
        <v>1163</v>
      </c>
      <c r="B212" s="56" t="s">
        <v>368</v>
      </c>
      <c r="C212" s="55" t="s">
        <v>1164</v>
      </c>
      <c r="D212" s="56" t="s">
        <v>1008</v>
      </c>
      <c r="E212" s="55" t="s">
        <v>795</v>
      </c>
      <c r="F212" s="25" t="s">
        <v>77</v>
      </c>
      <c r="G212" s="55" t="s">
        <v>367</v>
      </c>
      <c r="H212" s="56" t="s">
        <v>940</v>
      </c>
      <c r="I212" s="56" t="s">
        <v>58</v>
      </c>
      <c r="J212" s="56" t="s">
        <v>370</v>
      </c>
      <c r="K212" s="55" t="str">
        <f aca="false">INDEX('4D Schedule'!$C$6:$C$156,MATCH($J212,'4D Schedule'!$A$6:$A$156,0))</f>
        <v>Columns Lift-1 (EL -0.300 to +4.000) – Zone-2 (10 nos)</v>
      </c>
      <c r="L212" s="61" t="n">
        <f aca="false">INDEX('4D Schedule'!$AE$6:$AE$156,MATCH($J212,'4D Schedule'!$A$6:$A$156,0))</f>
        <v>46155</v>
      </c>
      <c r="M212" s="61" t="n">
        <f aca="false">INDEX('4D Schedule'!$AF$6:$AF$156,MATCH($J212,'4D Schedule'!$A$6:$A$156,0))</f>
        <v>46165</v>
      </c>
      <c r="N212" s="56" t="str">
        <f aca="false">INDEX('4D Schedule'!$AG$6:$AG$156,MATCH($J212,'4D Schedule'!$A$6:$A$156,0))</f>
        <v>Completed</v>
      </c>
      <c r="O212" s="55" t="s">
        <v>1136</v>
      </c>
    </row>
    <row r="213" customFormat="false" ht="15" hidden="false" customHeight="false" outlineLevel="0" collapsed="false">
      <c r="A213" s="56" t="s">
        <v>1165</v>
      </c>
      <c r="B213" s="56" t="s">
        <v>368</v>
      </c>
      <c r="C213" s="55" t="s">
        <v>1158</v>
      </c>
      <c r="D213" s="56" t="s">
        <v>963</v>
      </c>
      <c r="E213" s="55" t="s">
        <v>819</v>
      </c>
      <c r="F213" s="25" t="s">
        <v>77</v>
      </c>
      <c r="G213" s="55" t="s">
        <v>367</v>
      </c>
      <c r="H213" s="56" t="s">
        <v>931</v>
      </c>
      <c r="I213" s="56" t="s">
        <v>58</v>
      </c>
      <c r="J213" s="56" t="s">
        <v>370</v>
      </c>
      <c r="K213" s="55" t="str">
        <f aca="false">INDEX('4D Schedule'!$C$6:$C$156,MATCH($J213,'4D Schedule'!$A$6:$A$156,0))</f>
        <v>Columns Lift-1 (EL -0.300 to +4.000) – Zone-2 (10 nos)</v>
      </c>
      <c r="L213" s="61" t="n">
        <f aca="false">INDEX('4D Schedule'!$AE$6:$AE$156,MATCH($J213,'4D Schedule'!$A$6:$A$156,0))</f>
        <v>46155</v>
      </c>
      <c r="M213" s="61" t="n">
        <f aca="false">INDEX('4D Schedule'!$AF$6:$AF$156,MATCH($J213,'4D Schedule'!$A$6:$A$156,0))</f>
        <v>46165</v>
      </c>
      <c r="N213" s="56" t="str">
        <f aca="false">INDEX('4D Schedule'!$AG$6:$AG$156,MATCH($J213,'4D Schedule'!$A$6:$A$156,0))</f>
        <v>Completed</v>
      </c>
      <c r="O213" s="55" t="s">
        <v>1136</v>
      </c>
    </row>
    <row r="214" customFormat="false" ht="15" hidden="false" customHeight="false" outlineLevel="0" collapsed="false">
      <c r="A214" s="56" t="s">
        <v>1166</v>
      </c>
      <c r="B214" s="56" t="s">
        <v>368</v>
      </c>
      <c r="C214" s="55" t="s">
        <v>1160</v>
      </c>
      <c r="D214" s="56" t="s">
        <v>966</v>
      </c>
      <c r="E214" s="55" t="s">
        <v>865</v>
      </c>
      <c r="F214" s="25" t="s">
        <v>77</v>
      </c>
      <c r="G214" s="55" t="s">
        <v>367</v>
      </c>
      <c r="H214" s="56" t="s">
        <v>931</v>
      </c>
      <c r="I214" s="56" t="s">
        <v>58</v>
      </c>
      <c r="J214" s="56" t="s">
        <v>370</v>
      </c>
      <c r="K214" s="55" t="str">
        <f aca="false">INDEX('4D Schedule'!$C$6:$C$156,MATCH($J214,'4D Schedule'!$A$6:$A$156,0))</f>
        <v>Columns Lift-1 (EL -0.300 to +4.000) – Zone-2 (10 nos)</v>
      </c>
      <c r="L214" s="61" t="n">
        <f aca="false">INDEX('4D Schedule'!$AE$6:$AE$156,MATCH($J214,'4D Schedule'!$A$6:$A$156,0))</f>
        <v>46155</v>
      </c>
      <c r="M214" s="61" t="n">
        <f aca="false">INDEX('4D Schedule'!$AF$6:$AF$156,MATCH($J214,'4D Schedule'!$A$6:$A$156,0))</f>
        <v>46165</v>
      </c>
      <c r="N214" s="56" t="str">
        <f aca="false">INDEX('4D Schedule'!$AG$6:$AG$156,MATCH($J214,'4D Schedule'!$A$6:$A$156,0))</f>
        <v>Completed</v>
      </c>
      <c r="O214" s="55" t="s">
        <v>1136</v>
      </c>
    </row>
    <row r="215" customFormat="false" ht="15" hidden="false" customHeight="false" outlineLevel="0" collapsed="false">
      <c r="A215" s="56" t="s">
        <v>1167</v>
      </c>
      <c r="B215" s="56" t="s">
        <v>368</v>
      </c>
      <c r="C215" s="55" t="s">
        <v>1138</v>
      </c>
      <c r="D215" s="56" t="s">
        <v>935</v>
      </c>
      <c r="E215" s="55" t="s">
        <v>754</v>
      </c>
      <c r="F215" s="25" t="s">
        <v>77</v>
      </c>
      <c r="G215" s="55" t="s">
        <v>367</v>
      </c>
      <c r="H215" s="56" t="s">
        <v>931</v>
      </c>
      <c r="I215" s="56" t="s">
        <v>58</v>
      </c>
      <c r="J215" s="56" t="s">
        <v>370</v>
      </c>
      <c r="K215" s="55" t="str">
        <f aca="false">INDEX('4D Schedule'!$C$6:$C$156,MATCH($J215,'4D Schedule'!$A$6:$A$156,0))</f>
        <v>Columns Lift-1 (EL -0.300 to +4.000) – Zone-2 (10 nos)</v>
      </c>
      <c r="L215" s="61" t="n">
        <f aca="false">INDEX('4D Schedule'!$AE$6:$AE$156,MATCH($J215,'4D Schedule'!$A$6:$A$156,0))</f>
        <v>46155</v>
      </c>
      <c r="M215" s="61" t="n">
        <f aca="false">INDEX('4D Schedule'!$AF$6:$AF$156,MATCH($J215,'4D Schedule'!$A$6:$A$156,0))</f>
        <v>46165</v>
      </c>
      <c r="N215" s="56" t="str">
        <f aca="false">INDEX('4D Schedule'!$AG$6:$AG$156,MATCH($J215,'4D Schedule'!$A$6:$A$156,0))</f>
        <v>Completed</v>
      </c>
      <c r="O215" s="55" t="s">
        <v>1136</v>
      </c>
    </row>
    <row r="216" customFormat="false" ht="15" hidden="false" customHeight="false" outlineLevel="0" collapsed="false">
      <c r="A216" s="56" t="s">
        <v>1168</v>
      </c>
      <c r="B216" s="56" t="s">
        <v>368</v>
      </c>
      <c r="C216" s="55" t="s">
        <v>1135</v>
      </c>
      <c r="D216" s="56" t="s">
        <v>929</v>
      </c>
      <c r="E216" s="55" t="s">
        <v>776</v>
      </c>
      <c r="F216" s="25" t="s">
        <v>77</v>
      </c>
      <c r="G216" s="55" t="s">
        <v>367</v>
      </c>
      <c r="H216" s="56" t="s">
        <v>931</v>
      </c>
      <c r="I216" s="56" t="s">
        <v>58</v>
      </c>
      <c r="J216" s="56" t="s">
        <v>370</v>
      </c>
      <c r="K216" s="55" t="str">
        <f aca="false">INDEX('4D Schedule'!$C$6:$C$156,MATCH($J216,'4D Schedule'!$A$6:$A$156,0))</f>
        <v>Columns Lift-1 (EL -0.300 to +4.000) – Zone-2 (10 nos)</v>
      </c>
      <c r="L216" s="61" t="n">
        <f aca="false">INDEX('4D Schedule'!$AE$6:$AE$156,MATCH($J216,'4D Schedule'!$A$6:$A$156,0))</f>
        <v>46155</v>
      </c>
      <c r="M216" s="61" t="n">
        <f aca="false">INDEX('4D Schedule'!$AF$6:$AF$156,MATCH($J216,'4D Schedule'!$A$6:$A$156,0))</f>
        <v>46165</v>
      </c>
      <c r="N216" s="56" t="str">
        <f aca="false">INDEX('4D Schedule'!$AG$6:$AG$156,MATCH($J216,'4D Schedule'!$A$6:$A$156,0))</f>
        <v>Completed</v>
      </c>
      <c r="O216" s="55" t="s">
        <v>1136</v>
      </c>
    </row>
    <row r="217" customFormat="false" ht="15" hidden="false" customHeight="false" outlineLevel="0" collapsed="false">
      <c r="A217" s="56" t="s">
        <v>1169</v>
      </c>
      <c r="B217" s="56" t="s">
        <v>368</v>
      </c>
      <c r="C217" s="55" t="s">
        <v>1135</v>
      </c>
      <c r="D217" s="56" t="s">
        <v>929</v>
      </c>
      <c r="E217" s="55" t="s">
        <v>798</v>
      </c>
      <c r="F217" s="25" t="s">
        <v>77</v>
      </c>
      <c r="G217" s="55" t="s">
        <v>367</v>
      </c>
      <c r="H217" s="56" t="s">
        <v>931</v>
      </c>
      <c r="I217" s="56" t="s">
        <v>58</v>
      </c>
      <c r="J217" s="56" t="s">
        <v>370</v>
      </c>
      <c r="K217" s="55" t="str">
        <f aca="false">INDEX('4D Schedule'!$C$6:$C$156,MATCH($J217,'4D Schedule'!$A$6:$A$156,0))</f>
        <v>Columns Lift-1 (EL -0.300 to +4.000) – Zone-2 (10 nos)</v>
      </c>
      <c r="L217" s="61" t="n">
        <f aca="false">INDEX('4D Schedule'!$AE$6:$AE$156,MATCH($J217,'4D Schedule'!$A$6:$A$156,0))</f>
        <v>46155</v>
      </c>
      <c r="M217" s="61" t="n">
        <f aca="false">INDEX('4D Schedule'!$AF$6:$AF$156,MATCH($J217,'4D Schedule'!$A$6:$A$156,0))</f>
        <v>46165</v>
      </c>
      <c r="N217" s="56" t="str">
        <f aca="false">INDEX('4D Schedule'!$AG$6:$AG$156,MATCH($J217,'4D Schedule'!$A$6:$A$156,0))</f>
        <v>Completed</v>
      </c>
      <c r="O217" s="55" t="s">
        <v>1136</v>
      </c>
    </row>
    <row r="218" customFormat="false" ht="15" hidden="false" customHeight="false" outlineLevel="0" collapsed="false">
      <c r="A218" s="56" t="s">
        <v>1170</v>
      </c>
      <c r="B218" s="56" t="s">
        <v>368</v>
      </c>
      <c r="C218" s="55" t="s">
        <v>1158</v>
      </c>
      <c r="D218" s="56" t="s">
        <v>963</v>
      </c>
      <c r="E218" s="55" t="s">
        <v>824</v>
      </c>
      <c r="F218" s="25" t="s">
        <v>77</v>
      </c>
      <c r="G218" s="55" t="s">
        <v>367</v>
      </c>
      <c r="H218" s="56" t="s">
        <v>931</v>
      </c>
      <c r="I218" s="56" t="s">
        <v>58</v>
      </c>
      <c r="J218" s="56" t="s">
        <v>370</v>
      </c>
      <c r="K218" s="55" t="str">
        <f aca="false">INDEX('4D Schedule'!$C$6:$C$156,MATCH($J218,'4D Schedule'!$A$6:$A$156,0))</f>
        <v>Columns Lift-1 (EL -0.300 to +4.000) – Zone-2 (10 nos)</v>
      </c>
      <c r="L218" s="61" t="n">
        <f aca="false">INDEX('4D Schedule'!$AE$6:$AE$156,MATCH($J218,'4D Schedule'!$A$6:$A$156,0))</f>
        <v>46155</v>
      </c>
      <c r="M218" s="61" t="n">
        <f aca="false">INDEX('4D Schedule'!$AF$6:$AF$156,MATCH($J218,'4D Schedule'!$A$6:$A$156,0))</f>
        <v>46165</v>
      </c>
      <c r="N218" s="56" t="str">
        <f aca="false">INDEX('4D Schedule'!$AG$6:$AG$156,MATCH($J218,'4D Schedule'!$A$6:$A$156,0))</f>
        <v>Completed</v>
      </c>
      <c r="O218" s="55" t="s">
        <v>1136</v>
      </c>
    </row>
    <row r="219" customFormat="false" ht="15" hidden="false" customHeight="false" outlineLevel="0" collapsed="false">
      <c r="A219" s="56" t="s">
        <v>1171</v>
      </c>
      <c r="B219" s="56" t="s">
        <v>368</v>
      </c>
      <c r="C219" s="55" t="s">
        <v>1160</v>
      </c>
      <c r="D219" s="56" t="s">
        <v>966</v>
      </c>
      <c r="E219" s="55" t="s">
        <v>870</v>
      </c>
      <c r="F219" s="25" t="s">
        <v>77</v>
      </c>
      <c r="G219" s="55" t="s">
        <v>367</v>
      </c>
      <c r="H219" s="56" t="s">
        <v>931</v>
      </c>
      <c r="I219" s="56" t="s">
        <v>58</v>
      </c>
      <c r="J219" s="56" t="s">
        <v>370</v>
      </c>
      <c r="K219" s="55" t="str">
        <f aca="false">INDEX('4D Schedule'!$C$6:$C$156,MATCH($J219,'4D Schedule'!$A$6:$A$156,0))</f>
        <v>Columns Lift-1 (EL -0.300 to +4.000) – Zone-2 (10 nos)</v>
      </c>
      <c r="L219" s="61" t="n">
        <f aca="false">INDEX('4D Schedule'!$AE$6:$AE$156,MATCH($J219,'4D Schedule'!$A$6:$A$156,0))</f>
        <v>46155</v>
      </c>
      <c r="M219" s="61" t="n">
        <f aca="false">INDEX('4D Schedule'!$AF$6:$AF$156,MATCH($J219,'4D Schedule'!$A$6:$A$156,0))</f>
        <v>46165</v>
      </c>
      <c r="N219" s="56" t="str">
        <f aca="false">INDEX('4D Schedule'!$AG$6:$AG$156,MATCH($J219,'4D Schedule'!$A$6:$A$156,0))</f>
        <v>Completed</v>
      </c>
      <c r="O219" s="55" t="s">
        <v>1136</v>
      </c>
    </row>
    <row r="220" customFormat="false" ht="15" hidden="false" customHeight="false" outlineLevel="0" collapsed="false">
      <c r="A220" s="56" t="s">
        <v>1172</v>
      </c>
      <c r="B220" s="56" t="s">
        <v>368</v>
      </c>
      <c r="C220" s="55" t="s">
        <v>1143</v>
      </c>
      <c r="D220" s="56" t="s">
        <v>943</v>
      </c>
      <c r="E220" s="55" t="s">
        <v>834</v>
      </c>
      <c r="F220" s="25" t="s">
        <v>79</v>
      </c>
      <c r="G220" s="55" t="s">
        <v>367</v>
      </c>
      <c r="H220" s="56" t="s">
        <v>940</v>
      </c>
      <c r="I220" s="56" t="s">
        <v>58</v>
      </c>
      <c r="J220" s="56" t="s">
        <v>373</v>
      </c>
      <c r="K220" s="55" t="str">
        <f aca="false">INDEX('4D Schedule'!$C$6:$C$156,MATCH($J220,'4D Schedule'!$A$6:$A$156,0))</f>
        <v>Columns Lift-1 (EL -0.300 to +4.000) – Zone-3 (8 nos)</v>
      </c>
      <c r="L220" s="61" t="n">
        <f aca="false">INDEX('4D Schedule'!$AE$6:$AE$156,MATCH($J220,'4D Schedule'!$A$6:$A$156,0))</f>
        <v>46161</v>
      </c>
      <c r="M220" s="61" t="n">
        <f aca="false">INDEX('4D Schedule'!$AF$6:$AF$156,MATCH($J220,'4D Schedule'!$A$6:$A$156,0))</f>
        <v>46169</v>
      </c>
      <c r="N220" s="56" t="str">
        <f aca="false">INDEX('4D Schedule'!$AG$6:$AG$156,MATCH($J220,'4D Schedule'!$A$6:$A$156,0))</f>
        <v>Completed</v>
      </c>
      <c r="O220" s="55" t="s">
        <v>1136</v>
      </c>
    </row>
    <row r="221" customFormat="false" ht="15" hidden="false" customHeight="false" outlineLevel="0" collapsed="false">
      <c r="A221" s="56" t="s">
        <v>1173</v>
      </c>
      <c r="B221" s="56" t="s">
        <v>368</v>
      </c>
      <c r="C221" s="55" t="s">
        <v>1143</v>
      </c>
      <c r="D221" s="56" t="s">
        <v>943</v>
      </c>
      <c r="E221" s="55" t="s">
        <v>875</v>
      </c>
      <c r="F221" s="25" t="s">
        <v>79</v>
      </c>
      <c r="G221" s="55" t="s">
        <v>367</v>
      </c>
      <c r="H221" s="56" t="s">
        <v>940</v>
      </c>
      <c r="I221" s="56" t="s">
        <v>58</v>
      </c>
      <c r="J221" s="56" t="s">
        <v>373</v>
      </c>
      <c r="K221" s="55" t="str">
        <f aca="false">INDEX('4D Schedule'!$C$6:$C$156,MATCH($J221,'4D Schedule'!$A$6:$A$156,0))</f>
        <v>Columns Lift-1 (EL -0.300 to +4.000) – Zone-3 (8 nos)</v>
      </c>
      <c r="L221" s="61" t="n">
        <f aca="false">INDEX('4D Schedule'!$AE$6:$AE$156,MATCH($J221,'4D Schedule'!$A$6:$A$156,0))</f>
        <v>46161</v>
      </c>
      <c r="M221" s="61" t="n">
        <f aca="false">INDEX('4D Schedule'!$AF$6:$AF$156,MATCH($J221,'4D Schedule'!$A$6:$A$156,0))</f>
        <v>46169</v>
      </c>
      <c r="N221" s="56" t="str">
        <f aca="false">INDEX('4D Schedule'!$AG$6:$AG$156,MATCH($J221,'4D Schedule'!$A$6:$A$156,0))</f>
        <v>Completed</v>
      </c>
      <c r="O221" s="55" t="s">
        <v>1136</v>
      </c>
    </row>
    <row r="222" customFormat="false" ht="15" hidden="false" customHeight="false" outlineLevel="0" collapsed="false">
      <c r="A222" s="56" t="s">
        <v>1174</v>
      </c>
      <c r="B222" s="56" t="s">
        <v>368</v>
      </c>
      <c r="C222" s="55" t="s">
        <v>1138</v>
      </c>
      <c r="D222" s="56" t="s">
        <v>935</v>
      </c>
      <c r="E222" s="55" t="s">
        <v>759</v>
      </c>
      <c r="F222" s="25" t="s">
        <v>79</v>
      </c>
      <c r="G222" s="55" t="s">
        <v>367</v>
      </c>
      <c r="H222" s="56" t="s">
        <v>931</v>
      </c>
      <c r="I222" s="56" t="s">
        <v>58</v>
      </c>
      <c r="J222" s="56" t="s">
        <v>373</v>
      </c>
      <c r="K222" s="55" t="str">
        <f aca="false">INDEX('4D Schedule'!$C$6:$C$156,MATCH($J222,'4D Schedule'!$A$6:$A$156,0))</f>
        <v>Columns Lift-1 (EL -0.300 to +4.000) – Zone-3 (8 nos)</v>
      </c>
      <c r="L222" s="61" t="n">
        <f aca="false">INDEX('4D Schedule'!$AE$6:$AE$156,MATCH($J222,'4D Schedule'!$A$6:$A$156,0))</f>
        <v>46161</v>
      </c>
      <c r="M222" s="61" t="n">
        <f aca="false">INDEX('4D Schedule'!$AF$6:$AF$156,MATCH($J222,'4D Schedule'!$A$6:$A$156,0))</f>
        <v>46169</v>
      </c>
      <c r="N222" s="56" t="str">
        <f aca="false">INDEX('4D Schedule'!$AG$6:$AG$156,MATCH($J222,'4D Schedule'!$A$6:$A$156,0))</f>
        <v>Completed</v>
      </c>
      <c r="O222" s="55" t="s">
        <v>1136</v>
      </c>
    </row>
    <row r="223" customFormat="false" ht="15" hidden="false" customHeight="false" outlineLevel="0" collapsed="false">
      <c r="A223" s="56" t="s">
        <v>1175</v>
      </c>
      <c r="B223" s="56" t="s">
        <v>368</v>
      </c>
      <c r="C223" s="55" t="s">
        <v>1138</v>
      </c>
      <c r="D223" s="56" t="s">
        <v>935</v>
      </c>
      <c r="E223" s="55" t="s">
        <v>781</v>
      </c>
      <c r="F223" s="25" t="s">
        <v>79</v>
      </c>
      <c r="G223" s="55" t="s">
        <v>367</v>
      </c>
      <c r="H223" s="56" t="s">
        <v>931</v>
      </c>
      <c r="I223" s="56" t="s">
        <v>58</v>
      </c>
      <c r="J223" s="56" t="s">
        <v>373</v>
      </c>
      <c r="K223" s="55" t="str">
        <f aca="false">INDEX('4D Schedule'!$C$6:$C$156,MATCH($J223,'4D Schedule'!$A$6:$A$156,0))</f>
        <v>Columns Lift-1 (EL -0.300 to +4.000) – Zone-3 (8 nos)</v>
      </c>
      <c r="L223" s="61" t="n">
        <f aca="false">INDEX('4D Schedule'!$AE$6:$AE$156,MATCH($J223,'4D Schedule'!$A$6:$A$156,0))</f>
        <v>46161</v>
      </c>
      <c r="M223" s="61" t="n">
        <f aca="false">INDEX('4D Schedule'!$AF$6:$AF$156,MATCH($J223,'4D Schedule'!$A$6:$A$156,0))</f>
        <v>46169</v>
      </c>
      <c r="N223" s="56" t="str">
        <f aca="false">INDEX('4D Schedule'!$AG$6:$AG$156,MATCH($J223,'4D Schedule'!$A$6:$A$156,0))</f>
        <v>Completed</v>
      </c>
      <c r="O223" s="55" t="s">
        <v>1136</v>
      </c>
    </row>
    <row r="224" customFormat="false" ht="15" hidden="false" customHeight="false" outlineLevel="0" collapsed="false">
      <c r="A224" s="56" t="s">
        <v>1176</v>
      </c>
      <c r="B224" s="56" t="s">
        <v>368</v>
      </c>
      <c r="C224" s="55" t="s">
        <v>1138</v>
      </c>
      <c r="D224" s="56" t="s">
        <v>935</v>
      </c>
      <c r="E224" s="55" t="s">
        <v>801</v>
      </c>
      <c r="F224" s="25" t="s">
        <v>79</v>
      </c>
      <c r="G224" s="55" t="s">
        <v>367</v>
      </c>
      <c r="H224" s="56" t="s">
        <v>931</v>
      </c>
      <c r="I224" s="56" t="s">
        <v>58</v>
      </c>
      <c r="J224" s="56" t="s">
        <v>373</v>
      </c>
      <c r="K224" s="55" t="str">
        <f aca="false">INDEX('4D Schedule'!$C$6:$C$156,MATCH($J224,'4D Schedule'!$A$6:$A$156,0))</f>
        <v>Columns Lift-1 (EL -0.300 to +4.000) – Zone-3 (8 nos)</v>
      </c>
      <c r="L224" s="61" t="n">
        <f aca="false">INDEX('4D Schedule'!$AE$6:$AE$156,MATCH($J224,'4D Schedule'!$A$6:$A$156,0))</f>
        <v>46161</v>
      </c>
      <c r="M224" s="61" t="n">
        <f aca="false">INDEX('4D Schedule'!$AF$6:$AF$156,MATCH($J224,'4D Schedule'!$A$6:$A$156,0))</f>
        <v>46169</v>
      </c>
      <c r="N224" s="56" t="str">
        <f aca="false">INDEX('4D Schedule'!$AG$6:$AG$156,MATCH($J224,'4D Schedule'!$A$6:$A$156,0))</f>
        <v>Completed</v>
      </c>
      <c r="O224" s="55" t="s">
        <v>1136</v>
      </c>
    </row>
    <row r="225" customFormat="false" ht="15" hidden="false" customHeight="false" outlineLevel="0" collapsed="false">
      <c r="A225" s="56" t="s">
        <v>1177</v>
      </c>
      <c r="B225" s="56" t="s">
        <v>368</v>
      </c>
      <c r="C225" s="55" t="s">
        <v>1178</v>
      </c>
      <c r="D225" s="56" t="s">
        <v>1039</v>
      </c>
      <c r="E225" s="55" t="s">
        <v>829</v>
      </c>
      <c r="F225" s="25" t="s">
        <v>79</v>
      </c>
      <c r="G225" s="55" t="s">
        <v>367</v>
      </c>
      <c r="H225" s="56" t="s">
        <v>940</v>
      </c>
      <c r="I225" s="56" t="s">
        <v>58</v>
      </c>
      <c r="J225" s="56" t="s">
        <v>373</v>
      </c>
      <c r="K225" s="55" t="str">
        <f aca="false">INDEX('4D Schedule'!$C$6:$C$156,MATCH($J225,'4D Schedule'!$A$6:$A$156,0))</f>
        <v>Columns Lift-1 (EL -0.300 to +4.000) – Zone-3 (8 nos)</v>
      </c>
      <c r="L225" s="61" t="n">
        <f aca="false">INDEX('4D Schedule'!$AE$6:$AE$156,MATCH($J225,'4D Schedule'!$A$6:$A$156,0))</f>
        <v>46161</v>
      </c>
      <c r="M225" s="61" t="n">
        <f aca="false">INDEX('4D Schedule'!$AF$6:$AF$156,MATCH($J225,'4D Schedule'!$A$6:$A$156,0))</f>
        <v>46169</v>
      </c>
      <c r="N225" s="56" t="str">
        <f aca="false">INDEX('4D Schedule'!$AG$6:$AG$156,MATCH($J225,'4D Schedule'!$A$6:$A$156,0))</f>
        <v>Completed</v>
      </c>
      <c r="O225" s="55" t="s">
        <v>1136</v>
      </c>
    </row>
    <row r="226" customFormat="false" ht="15" hidden="false" customHeight="false" outlineLevel="0" collapsed="false">
      <c r="A226" s="56" t="s">
        <v>1179</v>
      </c>
      <c r="B226" s="56" t="s">
        <v>368</v>
      </c>
      <c r="C226" s="55" t="s">
        <v>1143</v>
      </c>
      <c r="D226" s="56" t="s">
        <v>943</v>
      </c>
      <c r="E226" s="55" t="s">
        <v>839</v>
      </c>
      <c r="F226" s="25" t="s">
        <v>79</v>
      </c>
      <c r="G226" s="55" t="s">
        <v>367</v>
      </c>
      <c r="H226" s="56" t="s">
        <v>940</v>
      </c>
      <c r="I226" s="56" t="s">
        <v>58</v>
      </c>
      <c r="J226" s="56" t="s">
        <v>373</v>
      </c>
      <c r="K226" s="55" t="str">
        <f aca="false">INDEX('4D Schedule'!$C$6:$C$156,MATCH($J226,'4D Schedule'!$A$6:$A$156,0))</f>
        <v>Columns Lift-1 (EL -0.300 to +4.000) – Zone-3 (8 nos)</v>
      </c>
      <c r="L226" s="61" t="n">
        <f aca="false">INDEX('4D Schedule'!$AE$6:$AE$156,MATCH($J226,'4D Schedule'!$A$6:$A$156,0))</f>
        <v>46161</v>
      </c>
      <c r="M226" s="61" t="n">
        <f aca="false">INDEX('4D Schedule'!$AF$6:$AF$156,MATCH($J226,'4D Schedule'!$A$6:$A$156,0))</f>
        <v>46169</v>
      </c>
      <c r="N226" s="56" t="str">
        <f aca="false">INDEX('4D Schedule'!$AG$6:$AG$156,MATCH($J226,'4D Schedule'!$A$6:$A$156,0))</f>
        <v>Completed</v>
      </c>
      <c r="O226" s="55" t="s">
        <v>1136</v>
      </c>
    </row>
    <row r="227" customFormat="false" ht="15" hidden="false" customHeight="false" outlineLevel="0" collapsed="false">
      <c r="A227" s="56" t="s">
        <v>1180</v>
      </c>
      <c r="B227" s="56" t="s">
        <v>368</v>
      </c>
      <c r="C227" s="55" t="s">
        <v>1143</v>
      </c>
      <c r="D227" s="56" t="s">
        <v>943</v>
      </c>
      <c r="E227" s="55" t="s">
        <v>880</v>
      </c>
      <c r="F227" s="25" t="s">
        <v>79</v>
      </c>
      <c r="G227" s="55" t="s">
        <v>367</v>
      </c>
      <c r="H227" s="56" t="s">
        <v>940</v>
      </c>
      <c r="I227" s="56" t="s">
        <v>58</v>
      </c>
      <c r="J227" s="56" t="s">
        <v>373</v>
      </c>
      <c r="K227" s="55" t="str">
        <f aca="false">INDEX('4D Schedule'!$C$6:$C$156,MATCH($J227,'4D Schedule'!$A$6:$A$156,0))</f>
        <v>Columns Lift-1 (EL -0.300 to +4.000) – Zone-3 (8 nos)</v>
      </c>
      <c r="L227" s="61" t="n">
        <f aca="false">INDEX('4D Schedule'!$AE$6:$AE$156,MATCH($J227,'4D Schedule'!$A$6:$A$156,0))</f>
        <v>46161</v>
      </c>
      <c r="M227" s="61" t="n">
        <f aca="false">INDEX('4D Schedule'!$AF$6:$AF$156,MATCH($J227,'4D Schedule'!$A$6:$A$156,0))</f>
        <v>46169</v>
      </c>
      <c r="N227" s="56" t="str">
        <f aca="false">INDEX('4D Schedule'!$AG$6:$AG$156,MATCH($J227,'4D Schedule'!$A$6:$A$156,0))</f>
        <v>Completed</v>
      </c>
      <c r="O227" s="55" t="s">
        <v>1136</v>
      </c>
    </row>
    <row r="228" customFormat="false" ht="15" hidden="false" customHeight="false" outlineLevel="0" collapsed="false">
      <c r="A228" s="56" t="s">
        <v>1181</v>
      </c>
      <c r="B228" s="56" t="s">
        <v>1182</v>
      </c>
      <c r="C228" s="55" t="s">
        <v>1183</v>
      </c>
      <c r="D228" s="56" t="s">
        <v>381</v>
      </c>
      <c r="E228" s="55" t="s">
        <v>378</v>
      </c>
      <c r="F228" s="25" t="s">
        <v>75</v>
      </c>
      <c r="G228" s="55" t="s">
        <v>1184</v>
      </c>
      <c r="H228" s="56" t="s">
        <v>1185</v>
      </c>
      <c r="I228" s="56" t="s">
        <v>62</v>
      </c>
      <c r="J228" s="56" t="s">
        <v>376</v>
      </c>
      <c r="K228" s="55" t="str">
        <f aca="false">INDEX('4D Schedule'!$C$6:$C$156,MATCH($J228,'4D Schedule'!$A$6:$A$156,0))</f>
        <v>Tie beam TB1 (TOB EL +2.100) at Grid 1</v>
      </c>
      <c r="L228" s="61" t="n">
        <f aca="false">INDEX('4D Schedule'!$AE$6:$AE$156,MATCH($J228,'4D Schedule'!$A$6:$A$156,0))</f>
        <v>46154</v>
      </c>
      <c r="M228" s="61" t="n">
        <f aca="false">INDEX('4D Schedule'!$AF$6:$AF$156,MATCH($J228,'4D Schedule'!$A$6:$A$156,0))</f>
        <v>46158</v>
      </c>
      <c r="N228" s="56" t="str">
        <f aca="false">INDEX('4D Schedule'!$AG$6:$AG$156,MATCH($J228,'4D Schedule'!$A$6:$A$156,0))</f>
        <v>Completed</v>
      </c>
      <c r="O228" s="55"/>
    </row>
    <row r="229" customFormat="false" ht="22.35" hidden="false" customHeight="false" outlineLevel="0" collapsed="false">
      <c r="A229" s="56" t="s">
        <v>1186</v>
      </c>
      <c r="B229" s="56" t="s">
        <v>1187</v>
      </c>
      <c r="C229" s="55" t="s">
        <v>1188</v>
      </c>
      <c r="D229" s="56" t="s">
        <v>1189</v>
      </c>
      <c r="E229" s="55" t="s">
        <v>384</v>
      </c>
      <c r="F229" s="25" t="s">
        <v>75</v>
      </c>
      <c r="G229" s="55" t="s">
        <v>385</v>
      </c>
      <c r="H229" s="56" t="s">
        <v>1190</v>
      </c>
      <c r="I229" s="56" t="s">
        <v>66</v>
      </c>
      <c r="J229" s="56" t="s">
        <v>382</v>
      </c>
      <c r="K229" s="55" t="str">
        <f aca="false">INDEX('4D Schedule'!$C$6:$C$156,MATCH($J229,'4D Schedule'!$A$6:$A$156,0))</f>
        <v>Staircase ST-2 – flights FLT-1 to FLT-3, landings +1.300/+2.650 up to +4.000</v>
      </c>
      <c r="L229" s="61" t="n">
        <f aca="false">INDEX('4D Schedule'!$AE$6:$AE$156,MATCH($J229,'4D Schedule'!$A$6:$A$156,0))</f>
        <v>46163</v>
      </c>
      <c r="M229" s="61" t="n">
        <f aca="false">INDEX('4D Schedule'!$AF$6:$AF$156,MATCH($J229,'4D Schedule'!$A$6:$A$156,0))</f>
        <v>46179</v>
      </c>
      <c r="N229" s="56" t="str">
        <f aca="false">INDEX('4D Schedule'!$AG$6:$AG$156,MATCH($J229,'4D Schedule'!$A$6:$A$156,0))</f>
        <v>Completed</v>
      </c>
      <c r="O229" s="55"/>
    </row>
    <row r="230" customFormat="false" ht="22.35" hidden="false" customHeight="false" outlineLevel="0" collapsed="false">
      <c r="A230" s="56" t="s">
        <v>1191</v>
      </c>
      <c r="B230" s="56" t="s">
        <v>1192</v>
      </c>
      <c r="C230" s="55" t="s">
        <v>1193</v>
      </c>
      <c r="D230" s="56" t="s">
        <v>1194</v>
      </c>
      <c r="E230" s="55" t="s">
        <v>384</v>
      </c>
      <c r="F230" s="25" t="s">
        <v>75</v>
      </c>
      <c r="G230" s="55" t="s">
        <v>385</v>
      </c>
      <c r="H230" s="56" t="s">
        <v>1195</v>
      </c>
      <c r="I230" s="56" t="s">
        <v>66</v>
      </c>
      <c r="J230" s="56" t="s">
        <v>382</v>
      </c>
      <c r="K230" s="55" t="str">
        <f aca="false">INDEX('4D Schedule'!$C$6:$C$156,MATCH($J230,'4D Schedule'!$A$6:$A$156,0))</f>
        <v>Staircase ST-2 – flights FLT-1 to FLT-3, landings +1.300/+2.650 up to +4.000</v>
      </c>
      <c r="L230" s="61" t="n">
        <f aca="false">INDEX('4D Schedule'!$AE$6:$AE$156,MATCH($J230,'4D Schedule'!$A$6:$A$156,0))</f>
        <v>46163</v>
      </c>
      <c r="M230" s="61" t="n">
        <f aca="false">INDEX('4D Schedule'!$AF$6:$AF$156,MATCH($J230,'4D Schedule'!$A$6:$A$156,0))</f>
        <v>46179</v>
      </c>
      <c r="N230" s="56" t="str">
        <f aca="false">INDEX('4D Schedule'!$AG$6:$AG$156,MATCH($J230,'4D Schedule'!$A$6:$A$156,0))</f>
        <v>Completed</v>
      </c>
      <c r="O230" s="55"/>
    </row>
    <row r="231" customFormat="false" ht="22.35" hidden="false" customHeight="false" outlineLevel="0" collapsed="false">
      <c r="A231" s="56" t="s">
        <v>1196</v>
      </c>
      <c r="B231" s="56" t="s">
        <v>1197</v>
      </c>
      <c r="C231" s="55" t="s">
        <v>1198</v>
      </c>
      <c r="D231" s="56" t="s">
        <v>1199</v>
      </c>
      <c r="E231" s="55" t="s">
        <v>384</v>
      </c>
      <c r="F231" s="25" t="s">
        <v>75</v>
      </c>
      <c r="G231" s="55" t="s">
        <v>385</v>
      </c>
      <c r="H231" s="56" t="s">
        <v>1200</v>
      </c>
      <c r="I231" s="56" t="s">
        <v>66</v>
      </c>
      <c r="J231" s="56" t="s">
        <v>382</v>
      </c>
      <c r="K231" s="55" t="str">
        <f aca="false">INDEX('4D Schedule'!$C$6:$C$156,MATCH($J231,'4D Schedule'!$A$6:$A$156,0))</f>
        <v>Staircase ST-2 – flights FLT-1 to FLT-3, landings +1.300/+2.650 up to +4.000</v>
      </c>
      <c r="L231" s="61" t="n">
        <f aca="false">INDEX('4D Schedule'!$AE$6:$AE$156,MATCH($J231,'4D Schedule'!$A$6:$A$156,0))</f>
        <v>46163</v>
      </c>
      <c r="M231" s="61" t="n">
        <f aca="false">INDEX('4D Schedule'!$AF$6:$AF$156,MATCH($J231,'4D Schedule'!$A$6:$A$156,0))</f>
        <v>46179</v>
      </c>
      <c r="N231" s="56" t="str">
        <f aca="false">INDEX('4D Schedule'!$AG$6:$AG$156,MATCH($J231,'4D Schedule'!$A$6:$A$156,0))</f>
        <v>Completed</v>
      </c>
      <c r="O231" s="55"/>
    </row>
    <row r="232" customFormat="false" ht="22.35" hidden="false" customHeight="false" outlineLevel="0" collapsed="false">
      <c r="A232" s="56" t="s">
        <v>1201</v>
      </c>
      <c r="B232" s="56" t="s">
        <v>1202</v>
      </c>
      <c r="C232" s="55" t="s">
        <v>1203</v>
      </c>
      <c r="D232" s="56" t="s">
        <v>1204</v>
      </c>
      <c r="E232" s="55" t="s">
        <v>1205</v>
      </c>
      <c r="F232" s="25" t="s">
        <v>75</v>
      </c>
      <c r="G232" s="55" t="s">
        <v>390</v>
      </c>
      <c r="H232" s="56" t="s">
        <v>940</v>
      </c>
      <c r="I232" s="56" t="s">
        <v>62</v>
      </c>
      <c r="J232" s="56" t="s">
        <v>388</v>
      </c>
      <c r="K232" s="55" t="str">
        <f aca="false">INDEX('4D Schedule'!$C$6:$C$156,MATCH($J232,'4D Schedule'!$A$6:$A$156,0))</f>
        <v>First floor beams &amp; 150 thk slab (TOC EL +4.000) – Zone-1 (Grid 1–3, Row E–D)</v>
      </c>
      <c r="L232" s="61" t="n">
        <f aca="false">INDEX('4D Schedule'!$AE$6:$AE$156,MATCH($J232,'4D Schedule'!$A$6:$A$156,0))</f>
        <v>46163</v>
      </c>
      <c r="M232" s="61" t="n">
        <f aca="false">INDEX('4D Schedule'!$AF$6:$AF$156,MATCH($J232,'4D Schedule'!$A$6:$A$156,0))</f>
        <v>46190</v>
      </c>
      <c r="N232" s="56" t="str">
        <f aca="false">INDEX('4D Schedule'!$AG$6:$AG$156,MATCH($J232,'4D Schedule'!$A$6:$A$156,0))</f>
        <v>Completed</v>
      </c>
      <c r="O232" s="55"/>
    </row>
    <row r="233" customFormat="false" ht="22.35" hidden="false" customHeight="false" outlineLevel="0" collapsed="false">
      <c r="A233" s="56" t="s">
        <v>1206</v>
      </c>
      <c r="B233" s="56" t="s">
        <v>1202</v>
      </c>
      <c r="C233" s="55" t="s">
        <v>1207</v>
      </c>
      <c r="D233" s="56" t="s">
        <v>1208</v>
      </c>
      <c r="E233" s="55" t="s">
        <v>1209</v>
      </c>
      <c r="F233" s="25" t="s">
        <v>75</v>
      </c>
      <c r="G233" s="55" t="s">
        <v>390</v>
      </c>
      <c r="H233" s="56" t="s">
        <v>973</v>
      </c>
      <c r="I233" s="56" t="s">
        <v>62</v>
      </c>
      <c r="J233" s="56" t="s">
        <v>388</v>
      </c>
      <c r="K233" s="55" t="str">
        <f aca="false">INDEX('4D Schedule'!$C$6:$C$156,MATCH($J233,'4D Schedule'!$A$6:$A$156,0))</f>
        <v>First floor beams &amp; 150 thk slab (TOC EL +4.000) – Zone-1 (Grid 1–3, Row E–D)</v>
      </c>
      <c r="L233" s="61" t="n">
        <f aca="false">INDEX('4D Schedule'!$AE$6:$AE$156,MATCH($J233,'4D Schedule'!$A$6:$A$156,0))</f>
        <v>46163</v>
      </c>
      <c r="M233" s="61" t="n">
        <f aca="false">INDEX('4D Schedule'!$AF$6:$AF$156,MATCH($J233,'4D Schedule'!$A$6:$A$156,0))</f>
        <v>46190</v>
      </c>
      <c r="N233" s="56" t="str">
        <f aca="false">INDEX('4D Schedule'!$AG$6:$AG$156,MATCH($J233,'4D Schedule'!$A$6:$A$156,0))</f>
        <v>Completed</v>
      </c>
      <c r="O233" s="55"/>
    </row>
    <row r="234" customFormat="false" ht="22.35" hidden="false" customHeight="false" outlineLevel="0" collapsed="false">
      <c r="A234" s="56" t="s">
        <v>1210</v>
      </c>
      <c r="B234" s="56" t="s">
        <v>1202</v>
      </c>
      <c r="C234" s="55" t="s">
        <v>1211</v>
      </c>
      <c r="D234" s="56" t="s">
        <v>1212</v>
      </c>
      <c r="E234" s="55" t="s">
        <v>1213</v>
      </c>
      <c r="F234" s="25" t="s">
        <v>75</v>
      </c>
      <c r="G234" s="55" t="s">
        <v>390</v>
      </c>
      <c r="H234" s="56" t="s">
        <v>973</v>
      </c>
      <c r="I234" s="56" t="s">
        <v>62</v>
      </c>
      <c r="J234" s="56" t="s">
        <v>388</v>
      </c>
      <c r="K234" s="55" t="str">
        <f aca="false">INDEX('4D Schedule'!$C$6:$C$156,MATCH($J234,'4D Schedule'!$A$6:$A$156,0))</f>
        <v>First floor beams &amp; 150 thk slab (TOC EL +4.000) – Zone-1 (Grid 1–3, Row E–D)</v>
      </c>
      <c r="L234" s="61" t="n">
        <f aca="false">INDEX('4D Schedule'!$AE$6:$AE$156,MATCH($J234,'4D Schedule'!$A$6:$A$156,0))</f>
        <v>46163</v>
      </c>
      <c r="M234" s="61" t="n">
        <f aca="false">INDEX('4D Schedule'!$AF$6:$AF$156,MATCH($J234,'4D Schedule'!$A$6:$A$156,0))</f>
        <v>46190</v>
      </c>
      <c r="N234" s="56" t="str">
        <f aca="false">INDEX('4D Schedule'!$AG$6:$AG$156,MATCH($J234,'4D Schedule'!$A$6:$A$156,0))</f>
        <v>Completed</v>
      </c>
      <c r="O234" s="55"/>
    </row>
    <row r="235" customFormat="false" ht="22.35" hidden="false" customHeight="false" outlineLevel="0" collapsed="false">
      <c r="A235" s="56" t="s">
        <v>1214</v>
      </c>
      <c r="B235" s="56" t="s">
        <v>1202</v>
      </c>
      <c r="C235" s="55" t="s">
        <v>1215</v>
      </c>
      <c r="D235" s="56" t="s">
        <v>1216</v>
      </c>
      <c r="E235" s="55" t="s">
        <v>1217</v>
      </c>
      <c r="F235" s="25" t="s">
        <v>75</v>
      </c>
      <c r="G235" s="55" t="s">
        <v>390</v>
      </c>
      <c r="H235" s="56" t="s">
        <v>1218</v>
      </c>
      <c r="I235" s="56" t="s">
        <v>62</v>
      </c>
      <c r="J235" s="56" t="s">
        <v>388</v>
      </c>
      <c r="K235" s="55" t="str">
        <f aca="false">INDEX('4D Schedule'!$C$6:$C$156,MATCH($J235,'4D Schedule'!$A$6:$A$156,0))</f>
        <v>First floor beams &amp; 150 thk slab (TOC EL +4.000) – Zone-1 (Grid 1–3, Row E–D)</v>
      </c>
      <c r="L235" s="61" t="n">
        <f aca="false">INDEX('4D Schedule'!$AE$6:$AE$156,MATCH($J235,'4D Schedule'!$A$6:$A$156,0))</f>
        <v>46163</v>
      </c>
      <c r="M235" s="61" t="n">
        <f aca="false">INDEX('4D Schedule'!$AF$6:$AF$156,MATCH($J235,'4D Schedule'!$A$6:$A$156,0))</f>
        <v>46190</v>
      </c>
      <c r="N235" s="56" t="str">
        <f aca="false">INDEX('4D Schedule'!$AG$6:$AG$156,MATCH($J235,'4D Schedule'!$A$6:$A$156,0))</f>
        <v>Completed</v>
      </c>
      <c r="O235" s="55"/>
    </row>
    <row r="236" customFormat="false" ht="22.35" hidden="false" customHeight="false" outlineLevel="0" collapsed="false">
      <c r="A236" s="56" t="s">
        <v>1219</v>
      </c>
      <c r="B236" s="56" t="s">
        <v>1202</v>
      </c>
      <c r="C236" s="55" t="s">
        <v>1220</v>
      </c>
      <c r="D236" s="56" t="s">
        <v>1221</v>
      </c>
      <c r="E236" s="55" t="s">
        <v>1222</v>
      </c>
      <c r="F236" s="25" t="s">
        <v>75</v>
      </c>
      <c r="G236" s="55" t="s">
        <v>390</v>
      </c>
      <c r="H236" s="56" t="s">
        <v>1218</v>
      </c>
      <c r="I236" s="56" t="s">
        <v>62</v>
      </c>
      <c r="J236" s="56" t="s">
        <v>388</v>
      </c>
      <c r="K236" s="55" t="str">
        <f aca="false">INDEX('4D Schedule'!$C$6:$C$156,MATCH($J236,'4D Schedule'!$A$6:$A$156,0))</f>
        <v>First floor beams &amp; 150 thk slab (TOC EL +4.000) – Zone-1 (Grid 1–3, Row E–D)</v>
      </c>
      <c r="L236" s="61" t="n">
        <f aca="false">INDEX('4D Schedule'!$AE$6:$AE$156,MATCH($J236,'4D Schedule'!$A$6:$A$156,0))</f>
        <v>46163</v>
      </c>
      <c r="M236" s="61" t="n">
        <f aca="false">INDEX('4D Schedule'!$AF$6:$AF$156,MATCH($J236,'4D Schedule'!$A$6:$A$156,0))</f>
        <v>46190</v>
      </c>
      <c r="N236" s="56" t="str">
        <f aca="false">INDEX('4D Schedule'!$AG$6:$AG$156,MATCH($J236,'4D Schedule'!$A$6:$A$156,0))</f>
        <v>Completed</v>
      </c>
      <c r="O236" s="55"/>
    </row>
    <row r="237" customFormat="false" ht="22.35" hidden="false" customHeight="false" outlineLevel="0" collapsed="false">
      <c r="A237" s="56" t="s">
        <v>1223</v>
      </c>
      <c r="B237" s="56" t="s">
        <v>1202</v>
      </c>
      <c r="C237" s="55" t="s">
        <v>1224</v>
      </c>
      <c r="D237" s="56" t="s">
        <v>1225</v>
      </c>
      <c r="E237" s="55" t="s">
        <v>1226</v>
      </c>
      <c r="F237" s="25" t="s">
        <v>75</v>
      </c>
      <c r="G237" s="55" t="s">
        <v>390</v>
      </c>
      <c r="H237" s="56" t="s">
        <v>973</v>
      </c>
      <c r="I237" s="56" t="s">
        <v>62</v>
      </c>
      <c r="J237" s="56" t="s">
        <v>388</v>
      </c>
      <c r="K237" s="55" t="str">
        <f aca="false">INDEX('4D Schedule'!$C$6:$C$156,MATCH($J237,'4D Schedule'!$A$6:$A$156,0))</f>
        <v>First floor beams &amp; 150 thk slab (TOC EL +4.000) – Zone-1 (Grid 1–3, Row E–D)</v>
      </c>
      <c r="L237" s="61" t="n">
        <f aca="false">INDEX('4D Schedule'!$AE$6:$AE$156,MATCH($J237,'4D Schedule'!$A$6:$A$156,0))</f>
        <v>46163</v>
      </c>
      <c r="M237" s="61" t="n">
        <f aca="false">INDEX('4D Schedule'!$AF$6:$AF$156,MATCH($J237,'4D Schedule'!$A$6:$A$156,0))</f>
        <v>46190</v>
      </c>
      <c r="N237" s="56" t="str">
        <f aca="false">INDEX('4D Schedule'!$AG$6:$AG$156,MATCH($J237,'4D Schedule'!$A$6:$A$156,0))</f>
        <v>Completed</v>
      </c>
      <c r="O237" s="55"/>
    </row>
    <row r="238" customFormat="false" ht="22.35" hidden="false" customHeight="false" outlineLevel="0" collapsed="false">
      <c r="A238" s="56" t="s">
        <v>1227</v>
      </c>
      <c r="B238" s="56" t="s">
        <v>1202</v>
      </c>
      <c r="C238" s="55" t="s">
        <v>1228</v>
      </c>
      <c r="D238" s="56" t="s">
        <v>1229</v>
      </c>
      <c r="E238" s="55" t="s">
        <v>1230</v>
      </c>
      <c r="F238" s="25" t="s">
        <v>75</v>
      </c>
      <c r="G238" s="55" t="s">
        <v>390</v>
      </c>
      <c r="H238" s="56" t="s">
        <v>1082</v>
      </c>
      <c r="I238" s="56" t="s">
        <v>62</v>
      </c>
      <c r="J238" s="56" t="s">
        <v>388</v>
      </c>
      <c r="K238" s="55" t="str">
        <f aca="false">INDEX('4D Schedule'!$C$6:$C$156,MATCH($J238,'4D Schedule'!$A$6:$A$156,0))</f>
        <v>First floor beams &amp; 150 thk slab (TOC EL +4.000) – Zone-1 (Grid 1–3, Row E–D)</v>
      </c>
      <c r="L238" s="61" t="n">
        <f aca="false">INDEX('4D Schedule'!$AE$6:$AE$156,MATCH($J238,'4D Schedule'!$A$6:$A$156,0))</f>
        <v>46163</v>
      </c>
      <c r="M238" s="61" t="n">
        <f aca="false">INDEX('4D Schedule'!$AF$6:$AF$156,MATCH($J238,'4D Schedule'!$A$6:$A$156,0))</f>
        <v>46190</v>
      </c>
      <c r="N238" s="56" t="str">
        <f aca="false">INDEX('4D Schedule'!$AG$6:$AG$156,MATCH($J238,'4D Schedule'!$A$6:$A$156,0))</f>
        <v>Completed</v>
      </c>
      <c r="O238" s="55"/>
    </row>
    <row r="239" customFormat="false" ht="22.35" hidden="false" customHeight="false" outlineLevel="0" collapsed="false">
      <c r="A239" s="56" t="s">
        <v>1231</v>
      </c>
      <c r="B239" s="56" t="s">
        <v>1232</v>
      </c>
      <c r="C239" s="55" t="s">
        <v>1233</v>
      </c>
      <c r="D239" s="56" t="s">
        <v>1234</v>
      </c>
      <c r="E239" s="55" t="s">
        <v>1235</v>
      </c>
      <c r="F239" s="25" t="s">
        <v>75</v>
      </c>
      <c r="G239" s="55" t="s">
        <v>390</v>
      </c>
      <c r="H239" s="56" t="s">
        <v>1195</v>
      </c>
      <c r="I239" s="56" t="s">
        <v>62</v>
      </c>
      <c r="J239" s="56" t="s">
        <v>388</v>
      </c>
      <c r="K239" s="55" t="str">
        <f aca="false">INDEX('4D Schedule'!$C$6:$C$156,MATCH($J239,'4D Schedule'!$A$6:$A$156,0))</f>
        <v>First floor beams &amp; 150 thk slab (TOC EL +4.000) – Zone-1 (Grid 1–3, Row E–D)</v>
      </c>
      <c r="L239" s="61" t="n">
        <f aca="false">INDEX('4D Schedule'!$AE$6:$AE$156,MATCH($J239,'4D Schedule'!$A$6:$A$156,0))</f>
        <v>46163</v>
      </c>
      <c r="M239" s="61" t="n">
        <f aca="false">INDEX('4D Schedule'!$AF$6:$AF$156,MATCH($J239,'4D Schedule'!$A$6:$A$156,0))</f>
        <v>46190</v>
      </c>
      <c r="N239" s="56" t="str">
        <f aca="false">INDEX('4D Schedule'!$AG$6:$AG$156,MATCH($J239,'4D Schedule'!$A$6:$A$156,0))</f>
        <v>Completed</v>
      </c>
      <c r="O239" s="55"/>
    </row>
    <row r="240" customFormat="false" ht="22.35" hidden="false" customHeight="false" outlineLevel="0" collapsed="false">
      <c r="A240" s="56" t="s">
        <v>1236</v>
      </c>
      <c r="B240" s="56" t="s">
        <v>1202</v>
      </c>
      <c r="C240" s="55" t="s">
        <v>1203</v>
      </c>
      <c r="D240" s="56" t="s">
        <v>1204</v>
      </c>
      <c r="E240" s="55" t="s">
        <v>1237</v>
      </c>
      <c r="F240" s="25" t="s">
        <v>77</v>
      </c>
      <c r="G240" s="55" t="s">
        <v>390</v>
      </c>
      <c r="H240" s="56" t="s">
        <v>940</v>
      </c>
      <c r="I240" s="56" t="s">
        <v>62</v>
      </c>
      <c r="J240" s="56" t="s">
        <v>393</v>
      </c>
      <c r="K240" s="55" t="str">
        <f aca="false">INDEX('4D Schedule'!$C$6:$C$156,MATCH($J240,'4D Schedule'!$A$6:$A$156,0))</f>
        <v>First floor beams &amp; 150 thk slab (TOC EL +4.000) – Zone-2 (Grid 3–5, Row E–D)</v>
      </c>
      <c r="L240" s="61" t="n">
        <f aca="false">INDEX('4D Schedule'!$AE$6:$AE$156,MATCH($J240,'4D Schedule'!$A$6:$A$156,0))</f>
        <v>46177</v>
      </c>
      <c r="M240" s="61" t="n">
        <f aca="false">INDEX('4D Schedule'!$AF$6:$AF$156,MATCH($J240,'4D Schedule'!$A$6:$A$156,0))</f>
        <v>46202</v>
      </c>
      <c r="N240" s="56" t="str">
        <f aca="false">INDEX('4D Schedule'!$AG$6:$AG$156,MATCH($J240,'4D Schedule'!$A$6:$A$156,0))</f>
        <v>Completed</v>
      </c>
      <c r="O240" s="55"/>
    </row>
    <row r="241" customFormat="false" ht="22.35" hidden="false" customHeight="false" outlineLevel="0" collapsed="false">
      <c r="A241" s="56" t="s">
        <v>1238</v>
      </c>
      <c r="B241" s="56" t="s">
        <v>1202</v>
      </c>
      <c r="C241" s="55" t="s">
        <v>1207</v>
      </c>
      <c r="D241" s="56" t="s">
        <v>1208</v>
      </c>
      <c r="E241" s="55" t="s">
        <v>1239</v>
      </c>
      <c r="F241" s="25" t="s">
        <v>77</v>
      </c>
      <c r="G241" s="55" t="s">
        <v>390</v>
      </c>
      <c r="H241" s="56" t="s">
        <v>973</v>
      </c>
      <c r="I241" s="56" t="s">
        <v>62</v>
      </c>
      <c r="J241" s="56" t="s">
        <v>393</v>
      </c>
      <c r="K241" s="55" t="str">
        <f aca="false">INDEX('4D Schedule'!$C$6:$C$156,MATCH($J241,'4D Schedule'!$A$6:$A$156,0))</f>
        <v>First floor beams &amp; 150 thk slab (TOC EL +4.000) – Zone-2 (Grid 3–5, Row E–D)</v>
      </c>
      <c r="L241" s="61" t="n">
        <f aca="false">INDEX('4D Schedule'!$AE$6:$AE$156,MATCH($J241,'4D Schedule'!$A$6:$A$156,0))</f>
        <v>46177</v>
      </c>
      <c r="M241" s="61" t="n">
        <f aca="false">INDEX('4D Schedule'!$AF$6:$AF$156,MATCH($J241,'4D Schedule'!$A$6:$A$156,0))</f>
        <v>46202</v>
      </c>
      <c r="N241" s="56" t="str">
        <f aca="false">INDEX('4D Schedule'!$AG$6:$AG$156,MATCH($J241,'4D Schedule'!$A$6:$A$156,0))</f>
        <v>Completed</v>
      </c>
      <c r="O241" s="55"/>
    </row>
    <row r="242" customFormat="false" ht="22.35" hidden="false" customHeight="false" outlineLevel="0" collapsed="false">
      <c r="A242" s="56" t="s">
        <v>1240</v>
      </c>
      <c r="B242" s="56" t="s">
        <v>1202</v>
      </c>
      <c r="C242" s="55" t="s">
        <v>1241</v>
      </c>
      <c r="D242" s="56" t="s">
        <v>1242</v>
      </c>
      <c r="E242" s="55" t="s">
        <v>1243</v>
      </c>
      <c r="F242" s="25" t="s">
        <v>77</v>
      </c>
      <c r="G242" s="55" t="s">
        <v>390</v>
      </c>
      <c r="H242" s="56" t="s">
        <v>973</v>
      </c>
      <c r="I242" s="56" t="s">
        <v>62</v>
      </c>
      <c r="J242" s="56" t="s">
        <v>393</v>
      </c>
      <c r="K242" s="55" t="str">
        <f aca="false">INDEX('4D Schedule'!$C$6:$C$156,MATCH($J242,'4D Schedule'!$A$6:$A$156,0))</f>
        <v>First floor beams &amp; 150 thk slab (TOC EL +4.000) – Zone-2 (Grid 3–5, Row E–D)</v>
      </c>
      <c r="L242" s="61" t="n">
        <f aca="false">INDEX('4D Schedule'!$AE$6:$AE$156,MATCH($J242,'4D Schedule'!$A$6:$A$156,0))</f>
        <v>46177</v>
      </c>
      <c r="M242" s="61" t="n">
        <f aca="false">INDEX('4D Schedule'!$AF$6:$AF$156,MATCH($J242,'4D Schedule'!$A$6:$A$156,0))</f>
        <v>46202</v>
      </c>
      <c r="N242" s="56" t="str">
        <f aca="false">INDEX('4D Schedule'!$AG$6:$AG$156,MATCH($J242,'4D Schedule'!$A$6:$A$156,0))</f>
        <v>Completed</v>
      </c>
      <c r="O242" s="55"/>
    </row>
    <row r="243" customFormat="false" ht="22.35" hidden="false" customHeight="false" outlineLevel="0" collapsed="false">
      <c r="A243" s="56" t="s">
        <v>1244</v>
      </c>
      <c r="B243" s="56" t="s">
        <v>1202</v>
      </c>
      <c r="C243" s="55" t="s">
        <v>1245</v>
      </c>
      <c r="D243" s="56" t="s">
        <v>1246</v>
      </c>
      <c r="E243" s="55" t="s">
        <v>1247</v>
      </c>
      <c r="F243" s="25" t="s">
        <v>77</v>
      </c>
      <c r="G243" s="55" t="s">
        <v>390</v>
      </c>
      <c r="H243" s="56" t="s">
        <v>1218</v>
      </c>
      <c r="I243" s="56" t="s">
        <v>62</v>
      </c>
      <c r="J243" s="56" t="s">
        <v>393</v>
      </c>
      <c r="K243" s="55" t="str">
        <f aca="false">INDEX('4D Schedule'!$C$6:$C$156,MATCH($J243,'4D Schedule'!$A$6:$A$156,0))</f>
        <v>First floor beams &amp; 150 thk slab (TOC EL +4.000) – Zone-2 (Grid 3–5, Row E–D)</v>
      </c>
      <c r="L243" s="61" t="n">
        <f aca="false">INDEX('4D Schedule'!$AE$6:$AE$156,MATCH($J243,'4D Schedule'!$A$6:$A$156,0))</f>
        <v>46177</v>
      </c>
      <c r="M243" s="61" t="n">
        <f aca="false">INDEX('4D Schedule'!$AF$6:$AF$156,MATCH($J243,'4D Schedule'!$A$6:$A$156,0))</f>
        <v>46202</v>
      </c>
      <c r="N243" s="56" t="str">
        <f aca="false">INDEX('4D Schedule'!$AG$6:$AG$156,MATCH($J243,'4D Schedule'!$A$6:$A$156,0))</f>
        <v>Completed</v>
      </c>
      <c r="O243" s="55"/>
    </row>
    <row r="244" customFormat="false" ht="22.35" hidden="false" customHeight="false" outlineLevel="0" collapsed="false">
      <c r="A244" s="56" t="s">
        <v>1248</v>
      </c>
      <c r="B244" s="56" t="s">
        <v>1202</v>
      </c>
      <c r="C244" s="55" t="s">
        <v>1215</v>
      </c>
      <c r="D244" s="56" t="s">
        <v>1216</v>
      </c>
      <c r="E244" s="55" t="s">
        <v>1249</v>
      </c>
      <c r="F244" s="25" t="s">
        <v>77</v>
      </c>
      <c r="G244" s="55" t="s">
        <v>390</v>
      </c>
      <c r="H244" s="56" t="s">
        <v>1218</v>
      </c>
      <c r="I244" s="56" t="s">
        <v>62</v>
      </c>
      <c r="J244" s="56" t="s">
        <v>393</v>
      </c>
      <c r="K244" s="55" t="str">
        <f aca="false">INDEX('4D Schedule'!$C$6:$C$156,MATCH($J244,'4D Schedule'!$A$6:$A$156,0))</f>
        <v>First floor beams &amp; 150 thk slab (TOC EL +4.000) – Zone-2 (Grid 3–5, Row E–D)</v>
      </c>
      <c r="L244" s="61" t="n">
        <f aca="false">INDEX('4D Schedule'!$AE$6:$AE$156,MATCH($J244,'4D Schedule'!$A$6:$A$156,0))</f>
        <v>46177</v>
      </c>
      <c r="M244" s="61" t="n">
        <f aca="false">INDEX('4D Schedule'!$AF$6:$AF$156,MATCH($J244,'4D Schedule'!$A$6:$A$156,0))</f>
        <v>46202</v>
      </c>
      <c r="N244" s="56" t="str">
        <f aca="false">INDEX('4D Schedule'!$AG$6:$AG$156,MATCH($J244,'4D Schedule'!$A$6:$A$156,0))</f>
        <v>Completed</v>
      </c>
      <c r="O244" s="55"/>
    </row>
    <row r="245" customFormat="false" ht="22.35" hidden="false" customHeight="false" outlineLevel="0" collapsed="false">
      <c r="A245" s="56" t="s">
        <v>1250</v>
      </c>
      <c r="B245" s="56" t="s">
        <v>1202</v>
      </c>
      <c r="C245" s="55" t="s">
        <v>1224</v>
      </c>
      <c r="D245" s="56" t="s">
        <v>1225</v>
      </c>
      <c r="E245" s="55" t="s">
        <v>1251</v>
      </c>
      <c r="F245" s="25" t="s">
        <v>77</v>
      </c>
      <c r="G245" s="55" t="s">
        <v>390</v>
      </c>
      <c r="H245" s="56" t="s">
        <v>973</v>
      </c>
      <c r="I245" s="56" t="s">
        <v>62</v>
      </c>
      <c r="J245" s="56" t="s">
        <v>393</v>
      </c>
      <c r="K245" s="55" t="str">
        <f aca="false">INDEX('4D Schedule'!$C$6:$C$156,MATCH($J245,'4D Schedule'!$A$6:$A$156,0))</f>
        <v>First floor beams &amp; 150 thk slab (TOC EL +4.000) – Zone-2 (Grid 3–5, Row E–D)</v>
      </c>
      <c r="L245" s="61" t="n">
        <f aca="false">INDEX('4D Schedule'!$AE$6:$AE$156,MATCH($J245,'4D Schedule'!$A$6:$A$156,0))</f>
        <v>46177</v>
      </c>
      <c r="M245" s="61" t="n">
        <f aca="false">INDEX('4D Schedule'!$AF$6:$AF$156,MATCH($J245,'4D Schedule'!$A$6:$A$156,0))</f>
        <v>46202</v>
      </c>
      <c r="N245" s="56" t="str">
        <f aca="false">INDEX('4D Schedule'!$AG$6:$AG$156,MATCH($J245,'4D Schedule'!$A$6:$A$156,0))</f>
        <v>Completed</v>
      </c>
      <c r="O245" s="55"/>
    </row>
    <row r="246" customFormat="false" ht="22.35" hidden="false" customHeight="false" outlineLevel="0" collapsed="false">
      <c r="A246" s="56" t="s">
        <v>1252</v>
      </c>
      <c r="B246" s="56" t="s">
        <v>1232</v>
      </c>
      <c r="C246" s="55" t="s">
        <v>1233</v>
      </c>
      <c r="D246" s="56" t="s">
        <v>1234</v>
      </c>
      <c r="E246" s="55" t="s">
        <v>1253</v>
      </c>
      <c r="F246" s="25" t="s">
        <v>77</v>
      </c>
      <c r="G246" s="55" t="s">
        <v>390</v>
      </c>
      <c r="H246" s="56" t="s">
        <v>1195</v>
      </c>
      <c r="I246" s="56" t="s">
        <v>62</v>
      </c>
      <c r="J246" s="56" t="s">
        <v>393</v>
      </c>
      <c r="K246" s="55" t="str">
        <f aca="false">INDEX('4D Schedule'!$C$6:$C$156,MATCH($J246,'4D Schedule'!$A$6:$A$156,0))</f>
        <v>First floor beams &amp; 150 thk slab (TOC EL +4.000) – Zone-2 (Grid 3–5, Row E–D)</v>
      </c>
      <c r="L246" s="61" t="n">
        <f aca="false">INDEX('4D Schedule'!$AE$6:$AE$156,MATCH($J246,'4D Schedule'!$A$6:$A$156,0))</f>
        <v>46177</v>
      </c>
      <c r="M246" s="61" t="n">
        <f aca="false">INDEX('4D Schedule'!$AF$6:$AF$156,MATCH($J246,'4D Schedule'!$A$6:$A$156,0))</f>
        <v>46202</v>
      </c>
      <c r="N246" s="56" t="str">
        <f aca="false">INDEX('4D Schedule'!$AG$6:$AG$156,MATCH($J246,'4D Schedule'!$A$6:$A$156,0))</f>
        <v>Completed</v>
      </c>
      <c r="O246" s="55"/>
    </row>
    <row r="247" customFormat="false" ht="22.35" hidden="false" customHeight="false" outlineLevel="0" collapsed="false">
      <c r="A247" s="56" t="s">
        <v>1254</v>
      </c>
      <c r="B247" s="56" t="s">
        <v>1202</v>
      </c>
      <c r="C247" s="55" t="s">
        <v>1203</v>
      </c>
      <c r="D247" s="56" t="s">
        <v>1204</v>
      </c>
      <c r="E247" s="55" t="s">
        <v>1130</v>
      </c>
      <c r="F247" s="25" t="s">
        <v>79</v>
      </c>
      <c r="G247" s="55" t="s">
        <v>390</v>
      </c>
      <c r="H247" s="56" t="s">
        <v>940</v>
      </c>
      <c r="I247" s="56" t="s">
        <v>62</v>
      </c>
      <c r="J247" s="56" t="s">
        <v>396</v>
      </c>
      <c r="K247" s="55" t="str">
        <f aca="false">INDEX('4D Schedule'!$C$6:$C$156,MATCH($J247,'4D Schedule'!$A$6:$A$156,0))</f>
        <v>First floor beams &amp; 150 thk slab (TOC EL +4.000) – Zone-3 (Grid 5–6, Row E–D)</v>
      </c>
      <c r="L247" s="61" t="n">
        <f aca="false">INDEX('4D Schedule'!$AE$6:$AE$156,MATCH($J247,'4D Schedule'!$A$6:$A$156,0))</f>
        <v>46189</v>
      </c>
      <c r="M247" s="61" t="n">
        <f aca="false">INDEX('4D Schedule'!$AF$6:$AF$156,MATCH($J247,'4D Schedule'!$A$6:$A$156,0))</f>
        <v>46211</v>
      </c>
      <c r="N247" s="56" t="str">
        <f aca="false">INDEX('4D Schedule'!$AG$6:$AG$156,MATCH($J247,'4D Schedule'!$A$6:$A$156,0))</f>
        <v>Completed</v>
      </c>
      <c r="O247" s="55"/>
    </row>
    <row r="248" customFormat="false" ht="22.35" hidden="false" customHeight="false" outlineLevel="0" collapsed="false">
      <c r="A248" s="56" t="s">
        <v>1255</v>
      </c>
      <c r="B248" s="56" t="s">
        <v>1202</v>
      </c>
      <c r="C248" s="55" t="s">
        <v>1256</v>
      </c>
      <c r="D248" s="56" t="s">
        <v>1257</v>
      </c>
      <c r="E248" s="55" t="s">
        <v>1258</v>
      </c>
      <c r="F248" s="25" t="s">
        <v>79</v>
      </c>
      <c r="G248" s="55" t="s">
        <v>390</v>
      </c>
      <c r="H248" s="56" t="s">
        <v>973</v>
      </c>
      <c r="I248" s="56" t="s">
        <v>62</v>
      </c>
      <c r="J248" s="56" t="s">
        <v>396</v>
      </c>
      <c r="K248" s="55" t="str">
        <f aca="false">INDEX('4D Schedule'!$C$6:$C$156,MATCH($J248,'4D Schedule'!$A$6:$A$156,0))</f>
        <v>First floor beams &amp; 150 thk slab (TOC EL +4.000) – Zone-3 (Grid 5–6, Row E–D)</v>
      </c>
      <c r="L248" s="61" t="n">
        <f aca="false">INDEX('4D Schedule'!$AE$6:$AE$156,MATCH($J248,'4D Schedule'!$A$6:$A$156,0))</f>
        <v>46189</v>
      </c>
      <c r="M248" s="61" t="n">
        <f aca="false">INDEX('4D Schedule'!$AF$6:$AF$156,MATCH($J248,'4D Schedule'!$A$6:$A$156,0))</f>
        <v>46211</v>
      </c>
      <c r="N248" s="56" t="str">
        <f aca="false">INDEX('4D Schedule'!$AG$6:$AG$156,MATCH($J248,'4D Schedule'!$A$6:$A$156,0))</f>
        <v>Completed</v>
      </c>
      <c r="O248" s="55"/>
    </row>
    <row r="249" customFormat="false" ht="22.35" hidden="false" customHeight="false" outlineLevel="0" collapsed="false">
      <c r="A249" s="56" t="s">
        <v>1259</v>
      </c>
      <c r="B249" s="56" t="s">
        <v>1202</v>
      </c>
      <c r="C249" s="55" t="s">
        <v>1207</v>
      </c>
      <c r="D249" s="56" t="s">
        <v>1208</v>
      </c>
      <c r="E249" s="55" t="s">
        <v>1260</v>
      </c>
      <c r="F249" s="25" t="s">
        <v>79</v>
      </c>
      <c r="G249" s="55" t="s">
        <v>390</v>
      </c>
      <c r="H249" s="56" t="s">
        <v>973</v>
      </c>
      <c r="I249" s="56" t="s">
        <v>62</v>
      </c>
      <c r="J249" s="56" t="s">
        <v>396</v>
      </c>
      <c r="K249" s="55" t="str">
        <f aca="false">INDEX('4D Schedule'!$C$6:$C$156,MATCH($J249,'4D Schedule'!$A$6:$A$156,0))</f>
        <v>First floor beams &amp; 150 thk slab (TOC EL +4.000) – Zone-3 (Grid 5–6, Row E–D)</v>
      </c>
      <c r="L249" s="61" t="n">
        <f aca="false">INDEX('4D Schedule'!$AE$6:$AE$156,MATCH($J249,'4D Schedule'!$A$6:$A$156,0))</f>
        <v>46189</v>
      </c>
      <c r="M249" s="61" t="n">
        <f aca="false">INDEX('4D Schedule'!$AF$6:$AF$156,MATCH($J249,'4D Schedule'!$A$6:$A$156,0))</f>
        <v>46211</v>
      </c>
      <c r="N249" s="56" t="str">
        <f aca="false">INDEX('4D Schedule'!$AG$6:$AG$156,MATCH($J249,'4D Schedule'!$A$6:$A$156,0))</f>
        <v>Completed</v>
      </c>
      <c r="O249" s="55"/>
    </row>
    <row r="250" customFormat="false" ht="22.35" hidden="false" customHeight="false" outlineLevel="0" collapsed="false">
      <c r="A250" s="56" t="s">
        <v>1261</v>
      </c>
      <c r="B250" s="56" t="s">
        <v>1202</v>
      </c>
      <c r="C250" s="55" t="s">
        <v>1262</v>
      </c>
      <c r="D250" s="56" t="s">
        <v>1263</v>
      </c>
      <c r="E250" s="55" t="s">
        <v>1264</v>
      </c>
      <c r="F250" s="25" t="s">
        <v>79</v>
      </c>
      <c r="G250" s="55" t="s">
        <v>390</v>
      </c>
      <c r="H250" s="56" t="s">
        <v>973</v>
      </c>
      <c r="I250" s="56" t="s">
        <v>62</v>
      </c>
      <c r="J250" s="56" t="s">
        <v>396</v>
      </c>
      <c r="K250" s="55" t="str">
        <f aca="false">INDEX('4D Schedule'!$C$6:$C$156,MATCH($J250,'4D Schedule'!$A$6:$A$156,0))</f>
        <v>First floor beams &amp; 150 thk slab (TOC EL +4.000) – Zone-3 (Grid 5–6, Row E–D)</v>
      </c>
      <c r="L250" s="61" t="n">
        <f aca="false">INDEX('4D Schedule'!$AE$6:$AE$156,MATCH($J250,'4D Schedule'!$A$6:$A$156,0))</f>
        <v>46189</v>
      </c>
      <c r="M250" s="61" t="n">
        <f aca="false">INDEX('4D Schedule'!$AF$6:$AF$156,MATCH($J250,'4D Schedule'!$A$6:$A$156,0))</f>
        <v>46211</v>
      </c>
      <c r="N250" s="56" t="str">
        <f aca="false">INDEX('4D Schedule'!$AG$6:$AG$156,MATCH($J250,'4D Schedule'!$A$6:$A$156,0))</f>
        <v>Completed</v>
      </c>
      <c r="O250" s="55"/>
    </row>
    <row r="251" customFormat="false" ht="22.35" hidden="false" customHeight="false" outlineLevel="0" collapsed="false">
      <c r="A251" s="56" t="s">
        <v>1265</v>
      </c>
      <c r="B251" s="56" t="s">
        <v>1202</v>
      </c>
      <c r="C251" s="55" t="s">
        <v>1224</v>
      </c>
      <c r="D251" s="56" t="s">
        <v>1225</v>
      </c>
      <c r="E251" s="55" t="s">
        <v>1266</v>
      </c>
      <c r="F251" s="25" t="s">
        <v>79</v>
      </c>
      <c r="G251" s="55" t="s">
        <v>390</v>
      </c>
      <c r="H251" s="56" t="s">
        <v>973</v>
      </c>
      <c r="I251" s="56" t="s">
        <v>62</v>
      </c>
      <c r="J251" s="56" t="s">
        <v>396</v>
      </c>
      <c r="K251" s="55" t="str">
        <f aca="false">INDEX('4D Schedule'!$C$6:$C$156,MATCH($J251,'4D Schedule'!$A$6:$A$156,0))</f>
        <v>First floor beams &amp; 150 thk slab (TOC EL +4.000) – Zone-3 (Grid 5–6, Row E–D)</v>
      </c>
      <c r="L251" s="61" t="n">
        <f aca="false">INDEX('4D Schedule'!$AE$6:$AE$156,MATCH($J251,'4D Schedule'!$A$6:$A$156,0))</f>
        <v>46189</v>
      </c>
      <c r="M251" s="61" t="n">
        <f aca="false">INDEX('4D Schedule'!$AF$6:$AF$156,MATCH($J251,'4D Schedule'!$A$6:$A$156,0))</f>
        <v>46211</v>
      </c>
      <c r="N251" s="56" t="str">
        <f aca="false">INDEX('4D Schedule'!$AG$6:$AG$156,MATCH($J251,'4D Schedule'!$A$6:$A$156,0))</f>
        <v>Completed</v>
      </c>
      <c r="O251" s="55"/>
    </row>
    <row r="252" customFormat="false" ht="22.35" hidden="false" customHeight="false" outlineLevel="0" collapsed="false">
      <c r="A252" s="56" t="s">
        <v>1267</v>
      </c>
      <c r="B252" s="56" t="s">
        <v>1202</v>
      </c>
      <c r="C252" s="55" t="s">
        <v>1228</v>
      </c>
      <c r="D252" s="56" t="s">
        <v>1229</v>
      </c>
      <c r="E252" s="55" t="s">
        <v>1268</v>
      </c>
      <c r="F252" s="25" t="s">
        <v>79</v>
      </c>
      <c r="G252" s="55" t="s">
        <v>390</v>
      </c>
      <c r="H252" s="56" t="s">
        <v>1082</v>
      </c>
      <c r="I252" s="56" t="s">
        <v>62</v>
      </c>
      <c r="J252" s="56" t="s">
        <v>396</v>
      </c>
      <c r="K252" s="55" t="str">
        <f aca="false">INDEX('4D Schedule'!$C$6:$C$156,MATCH($J252,'4D Schedule'!$A$6:$A$156,0))</f>
        <v>First floor beams &amp; 150 thk slab (TOC EL +4.000) – Zone-3 (Grid 5–6, Row E–D)</v>
      </c>
      <c r="L252" s="61" t="n">
        <f aca="false">INDEX('4D Schedule'!$AE$6:$AE$156,MATCH($J252,'4D Schedule'!$A$6:$A$156,0))</f>
        <v>46189</v>
      </c>
      <c r="M252" s="61" t="n">
        <f aca="false">INDEX('4D Schedule'!$AF$6:$AF$156,MATCH($J252,'4D Schedule'!$A$6:$A$156,0))</f>
        <v>46211</v>
      </c>
      <c r="N252" s="56" t="str">
        <f aca="false">INDEX('4D Schedule'!$AG$6:$AG$156,MATCH($J252,'4D Schedule'!$A$6:$A$156,0))</f>
        <v>Completed</v>
      </c>
      <c r="O252" s="55"/>
    </row>
    <row r="253" customFormat="false" ht="22.35" hidden="false" customHeight="false" outlineLevel="0" collapsed="false">
      <c r="A253" s="56" t="s">
        <v>1269</v>
      </c>
      <c r="B253" s="56" t="s">
        <v>1232</v>
      </c>
      <c r="C253" s="55" t="s">
        <v>1233</v>
      </c>
      <c r="D253" s="56" t="s">
        <v>1234</v>
      </c>
      <c r="E253" s="55" t="s">
        <v>1270</v>
      </c>
      <c r="F253" s="25" t="s">
        <v>79</v>
      </c>
      <c r="G253" s="55" t="s">
        <v>390</v>
      </c>
      <c r="H253" s="56" t="s">
        <v>1195</v>
      </c>
      <c r="I253" s="56" t="s">
        <v>62</v>
      </c>
      <c r="J253" s="56" t="s">
        <v>396</v>
      </c>
      <c r="K253" s="55" t="str">
        <f aca="false">INDEX('4D Schedule'!$C$6:$C$156,MATCH($J253,'4D Schedule'!$A$6:$A$156,0))</f>
        <v>First floor beams &amp; 150 thk slab (TOC EL +4.000) – Zone-3 (Grid 5–6, Row E–D)</v>
      </c>
      <c r="L253" s="61" t="n">
        <f aca="false">INDEX('4D Schedule'!$AE$6:$AE$156,MATCH($J253,'4D Schedule'!$A$6:$A$156,0))</f>
        <v>46189</v>
      </c>
      <c r="M253" s="61" t="n">
        <f aca="false">INDEX('4D Schedule'!$AF$6:$AF$156,MATCH($J253,'4D Schedule'!$A$6:$A$156,0))</f>
        <v>46211</v>
      </c>
      <c r="N253" s="56" t="str">
        <f aca="false">INDEX('4D Schedule'!$AG$6:$AG$156,MATCH($J253,'4D Schedule'!$A$6:$A$156,0))</f>
        <v>Completed</v>
      </c>
      <c r="O253" s="55"/>
    </row>
    <row r="254" customFormat="false" ht="22.35" hidden="false" customHeight="false" outlineLevel="0" collapsed="false">
      <c r="A254" s="56" t="s">
        <v>1271</v>
      </c>
      <c r="B254" s="56" t="s">
        <v>1187</v>
      </c>
      <c r="C254" s="55" t="s">
        <v>1272</v>
      </c>
      <c r="D254" s="56" t="s">
        <v>1189</v>
      </c>
      <c r="E254" s="55" t="s">
        <v>401</v>
      </c>
      <c r="F254" s="25" t="s">
        <v>79</v>
      </c>
      <c r="G254" s="55" t="s">
        <v>385</v>
      </c>
      <c r="H254" s="56" t="s">
        <v>1190</v>
      </c>
      <c r="I254" s="56" t="s">
        <v>66</v>
      </c>
      <c r="J254" s="56" t="s">
        <v>399</v>
      </c>
      <c r="K254" s="55" t="str">
        <f aca="false">INDEX('4D Schedule'!$C$6:$C$156,MATCH($J254,'4D Schedule'!$A$6:$A$156,0))</f>
        <v>Staircase ST-1 – flights FLT-1 to FLT-3, landings +1.300/+2.650 up to +4.000</v>
      </c>
      <c r="L254" s="61" t="n">
        <f aca="false">INDEX('4D Schedule'!$AE$6:$AE$156,MATCH($J254,'4D Schedule'!$A$6:$A$156,0))</f>
        <v>46170</v>
      </c>
      <c r="M254" s="61" t="n">
        <f aca="false">INDEX('4D Schedule'!$AF$6:$AF$156,MATCH($J254,'4D Schedule'!$A$6:$A$156,0))</f>
        <v>46186</v>
      </c>
      <c r="N254" s="56" t="str">
        <f aca="false">INDEX('4D Schedule'!$AG$6:$AG$156,MATCH($J254,'4D Schedule'!$A$6:$A$156,0))</f>
        <v>Completed</v>
      </c>
      <c r="O254" s="55"/>
    </row>
    <row r="255" customFormat="false" ht="22.35" hidden="false" customHeight="false" outlineLevel="0" collapsed="false">
      <c r="A255" s="56" t="s">
        <v>1273</v>
      </c>
      <c r="B255" s="56" t="s">
        <v>1192</v>
      </c>
      <c r="C255" s="55" t="s">
        <v>1274</v>
      </c>
      <c r="D255" s="56" t="s">
        <v>1194</v>
      </c>
      <c r="E255" s="55" t="s">
        <v>401</v>
      </c>
      <c r="F255" s="25" t="s">
        <v>79</v>
      </c>
      <c r="G255" s="55" t="s">
        <v>385</v>
      </c>
      <c r="H255" s="56" t="s">
        <v>1195</v>
      </c>
      <c r="I255" s="56" t="s">
        <v>66</v>
      </c>
      <c r="J255" s="56" t="s">
        <v>399</v>
      </c>
      <c r="K255" s="55" t="str">
        <f aca="false">INDEX('4D Schedule'!$C$6:$C$156,MATCH($J255,'4D Schedule'!$A$6:$A$156,0))</f>
        <v>Staircase ST-1 – flights FLT-1 to FLT-3, landings +1.300/+2.650 up to +4.000</v>
      </c>
      <c r="L255" s="61" t="n">
        <f aca="false">INDEX('4D Schedule'!$AE$6:$AE$156,MATCH($J255,'4D Schedule'!$A$6:$A$156,0))</f>
        <v>46170</v>
      </c>
      <c r="M255" s="61" t="n">
        <f aca="false">INDEX('4D Schedule'!$AF$6:$AF$156,MATCH($J255,'4D Schedule'!$A$6:$A$156,0))</f>
        <v>46186</v>
      </c>
      <c r="N255" s="56" t="str">
        <f aca="false">INDEX('4D Schedule'!$AG$6:$AG$156,MATCH($J255,'4D Schedule'!$A$6:$A$156,0))</f>
        <v>Completed</v>
      </c>
      <c r="O255" s="55"/>
    </row>
    <row r="256" customFormat="false" ht="22.35" hidden="false" customHeight="false" outlineLevel="0" collapsed="false">
      <c r="A256" s="56" t="s">
        <v>1275</v>
      </c>
      <c r="B256" s="56" t="s">
        <v>1197</v>
      </c>
      <c r="C256" s="55" t="s">
        <v>1276</v>
      </c>
      <c r="D256" s="56" t="s">
        <v>1199</v>
      </c>
      <c r="E256" s="55" t="s">
        <v>401</v>
      </c>
      <c r="F256" s="25" t="s">
        <v>79</v>
      </c>
      <c r="G256" s="55" t="s">
        <v>385</v>
      </c>
      <c r="H256" s="56" t="s">
        <v>1200</v>
      </c>
      <c r="I256" s="56" t="s">
        <v>66</v>
      </c>
      <c r="J256" s="56" t="s">
        <v>399</v>
      </c>
      <c r="K256" s="55" t="str">
        <f aca="false">INDEX('4D Schedule'!$C$6:$C$156,MATCH($J256,'4D Schedule'!$A$6:$A$156,0))</f>
        <v>Staircase ST-1 – flights FLT-1 to FLT-3, landings +1.300/+2.650 up to +4.000</v>
      </c>
      <c r="L256" s="61" t="n">
        <f aca="false">INDEX('4D Schedule'!$AE$6:$AE$156,MATCH($J256,'4D Schedule'!$A$6:$A$156,0))</f>
        <v>46170</v>
      </c>
      <c r="M256" s="61" t="n">
        <f aca="false">INDEX('4D Schedule'!$AF$6:$AF$156,MATCH($J256,'4D Schedule'!$A$6:$A$156,0))</f>
        <v>46186</v>
      </c>
      <c r="N256" s="56" t="str">
        <f aca="false">INDEX('4D Schedule'!$AG$6:$AG$156,MATCH($J256,'4D Schedule'!$A$6:$A$156,0))</f>
        <v>Completed</v>
      </c>
      <c r="O256" s="55"/>
    </row>
    <row r="257" customFormat="false" ht="22.35" hidden="false" customHeight="false" outlineLevel="0" collapsed="false">
      <c r="A257" s="56" t="s">
        <v>1277</v>
      </c>
      <c r="B257" s="56" t="s">
        <v>368</v>
      </c>
      <c r="C257" s="55" t="s">
        <v>1278</v>
      </c>
      <c r="D257" s="56" t="s">
        <v>929</v>
      </c>
      <c r="E257" s="55" t="s">
        <v>741</v>
      </c>
      <c r="F257" s="25" t="s">
        <v>75</v>
      </c>
      <c r="G257" s="55" t="s">
        <v>404</v>
      </c>
      <c r="H257" s="56" t="s">
        <v>931</v>
      </c>
      <c r="I257" s="56" t="s">
        <v>58</v>
      </c>
      <c r="J257" s="56" t="s">
        <v>402</v>
      </c>
      <c r="K257" s="55" t="str">
        <f aca="false">INDEX('4D Schedule'!$C$6:$C$156,MATCH($J257,'4D Schedule'!$A$6:$A$156,0))</f>
        <v>Columns Lift-2 (EL +4.000 to +9.150) – Zone-1 (18 nos incl. SC1)</v>
      </c>
      <c r="L257" s="61" t="n">
        <f aca="false">INDEX('4D Schedule'!$AE$6:$AE$156,MATCH($J257,'4D Schedule'!$A$6:$A$156,0))</f>
        <v>46191</v>
      </c>
      <c r="M257" s="61" t="n">
        <f aca="false">INDEX('4D Schedule'!$AF$6:$AF$156,MATCH($J257,'4D Schedule'!$A$6:$A$156,0))</f>
        <v>46211</v>
      </c>
      <c r="N257" s="56" t="str">
        <f aca="false">INDEX('4D Schedule'!$AG$6:$AG$156,MATCH($J257,'4D Schedule'!$A$6:$A$156,0))</f>
        <v>Completed</v>
      </c>
      <c r="O257" s="55"/>
    </row>
    <row r="258" customFormat="false" ht="22.35" hidden="false" customHeight="false" outlineLevel="0" collapsed="false">
      <c r="A258" s="56" t="s">
        <v>1279</v>
      </c>
      <c r="B258" s="56" t="s">
        <v>368</v>
      </c>
      <c r="C258" s="55" t="s">
        <v>1280</v>
      </c>
      <c r="D258" s="56" t="s">
        <v>935</v>
      </c>
      <c r="E258" s="55" t="s">
        <v>762</v>
      </c>
      <c r="F258" s="25" t="s">
        <v>75</v>
      </c>
      <c r="G258" s="55" t="s">
        <v>404</v>
      </c>
      <c r="H258" s="56" t="s">
        <v>931</v>
      </c>
      <c r="I258" s="56" t="s">
        <v>58</v>
      </c>
      <c r="J258" s="56" t="s">
        <v>402</v>
      </c>
      <c r="K258" s="55" t="str">
        <f aca="false">INDEX('4D Schedule'!$C$6:$C$156,MATCH($J258,'4D Schedule'!$A$6:$A$156,0))</f>
        <v>Columns Lift-2 (EL +4.000 to +9.150) – Zone-1 (18 nos incl. SC1)</v>
      </c>
      <c r="L258" s="61" t="n">
        <f aca="false">INDEX('4D Schedule'!$AE$6:$AE$156,MATCH($J258,'4D Schedule'!$A$6:$A$156,0))</f>
        <v>46191</v>
      </c>
      <c r="M258" s="61" t="n">
        <f aca="false">INDEX('4D Schedule'!$AF$6:$AF$156,MATCH($J258,'4D Schedule'!$A$6:$A$156,0))</f>
        <v>46211</v>
      </c>
      <c r="N258" s="56" t="str">
        <f aca="false">INDEX('4D Schedule'!$AG$6:$AG$156,MATCH($J258,'4D Schedule'!$A$6:$A$156,0))</f>
        <v>Completed</v>
      </c>
      <c r="O258" s="55"/>
    </row>
    <row r="259" customFormat="false" ht="22.35" hidden="false" customHeight="false" outlineLevel="0" collapsed="false">
      <c r="A259" s="56" t="s">
        <v>1281</v>
      </c>
      <c r="B259" s="56" t="s">
        <v>368</v>
      </c>
      <c r="C259" s="55" t="s">
        <v>1278</v>
      </c>
      <c r="D259" s="56" t="s">
        <v>929</v>
      </c>
      <c r="E259" s="55" t="s">
        <v>786</v>
      </c>
      <c r="F259" s="25" t="s">
        <v>75</v>
      </c>
      <c r="G259" s="55" t="s">
        <v>404</v>
      </c>
      <c r="H259" s="56" t="s">
        <v>931</v>
      </c>
      <c r="I259" s="56" t="s">
        <v>58</v>
      </c>
      <c r="J259" s="56" t="s">
        <v>402</v>
      </c>
      <c r="K259" s="55" t="str">
        <f aca="false">INDEX('4D Schedule'!$C$6:$C$156,MATCH($J259,'4D Schedule'!$A$6:$A$156,0))</f>
        <v>Columns Lift-2 (EL +4.000 to +9.150) – Zone-1 (18 nos incl. SC1)</v>
      </c>
      <c r="L259" s="61" t="n">
        <f aca="false">INDEX('4D Schedule'!$AE$6:$AE$156,MATCH($J259,'4D Schedule'!$A$6:$A$156,0))</f>
        <v>46191</v>
      </c>
      <c r="M259" s="61" t="n">
        <f aca="false">INDEX('4D Schedule'!$AF$6:$AF$156,MATCH($J259,'4D Schedule'!$A$6:$A$156,0))</f>
        <v>46211</v>
      </c>
      <c r="N259" s="56" t="str">
        <f aca="false">INDEX('4D Schedule'!$AG$6:$AG$156,MATCH($J259,'4D Schedule'!$A$6:$A$156,0))</f>
        <v>Completed</v>
      </c>
      <c r="O259" s="55"/>
    </row>
    <row r="260" customFormat="false" ht="22.35" hidden="false" customHeight="false" outlineLevel="0" collapsed="false">
      <c r="A260" s="56" t="s">
        <v>1282</v>
      </c>
      <c r="B260" s="56" t="s">
        <v>368</v>
      </c>
      <c r="C260" s="55" t="s">
        <v>1283</v>
      </c>
      <c r="D260" s="56" t="s">
        <v>939</v>
      </c>
      <c r="E260" s="55" t="s">
        <v>804</v>
      </c>
      <c r="F260" s="25" t="s">
        <v>75</v>
      </c>
      <c r="G260" s="55" t="s">
        <v>404</v>
      </c>
      <c r="H260" s="56" t="s">
        <v>940</v>
      </c>
      <c r="I260" s="56" t="s">
        <v>58</v>
      </c>
      <c r="J260" s="56" t="s">
        <v>402</v>
      </c>
      <c r="K260" s="55" t="str">
        <f aca="false">INDEX('4D Schedule'!$C$6:$C$156,MATCH($J260,'4D Schedule'!$A$6:$A$156,0))</f>
        <v>Columns Lift-2 (EL +4.000 to +9.150) – Zone-1 (18 nos incl. SC1)</v>
      </c>
      <c r="L260" s="61" t="n">
        <f aca="false">INDEX('4D Schedule'!$AE$6:$AE$156,MATCH($J260,'4D Schedule'!$A$6:$A$156,0))</f>
        <v>46191</v>
      </c>
      <c r="M260" s="61" t="n">
        <f aca="false">INDEX('4D Schedule'!$AF$6:$AF$156,MATCH($J260,'4D Schedule'!$A$6:$A$156,0))</f>
        <v>46211</v>
      </c>
      <c r="N260" s="56" t="str">
        <f aca="false">INDEX('4D Schedule'!$AG$6:$AG$156,MATCH($J260,'4D Schedule'!$A$6:$A$156,0))</f>
        <v>Completed</v>
      </c>
      <c r="O260" s="55"/>
    </row>
    <row r="261" customFormat="false" ht="22.35" hidden="false" customHeight="false" outlineLevel="0" collapsed="false">
      <c r="A261" s="56" t="s">
        <v>1284</v>
      </c>
      <c r="B261" s="56" t="s">
        <v>368</v>
      </c>
      <c r="C261" s="55" t="s">
        <v>1285</v>
      </c>
      <c r="D261" s="56" t="s">
        <v>943</v>
      </c>
      <c r="E261" s="55" t="s">
        <v>842</v>
      </c>
      <c r="F261" s="25" t="s">
        <v>75</v>
      </c>
      <c r="G261" s="55" t="s">
        <v>404</v>
      </c>
      <c r="H261" s="56" t="s">
        <v>940</v>
      </c>
      <c r="I261" s="56" t="s">
        <v>58</v>
      </c>
      <c r="J261" s="56" t="s">
        <v>402</v>
      </c>
      <c r="K261" s="55" t="str">
        <f aca="false">INDEX('4D Schedule'!$C$6:$C$156,MATCH($J261,'4D Schedule'!$A$6:$A$156,0))</f>
        <v>Columns Lift-2 (EL +4.000 to +9.150) – Zone-1 (18 nos incl. SC1)</v>
      </c>
      <c r="L261" s="61" t="n">
        <f aca="false">INDEX('4D Schedule'!$AE$6:$AE$156,MATCH($J261,'4D Schedule'!$A$6:$A$156,0))</f>
        <v>46191</v>
      </c>
      <c r="M261" s="61" t="n">
        <f aca="false">INDEX('4D Schedule'!$AF$6:$AF$156,MATCH($J261,'4D Schedule'!$A$6:$A$156,0))</f>
        <v>46211</v>
      </c>
      <c r="N261" s="56" t="str">
        <f aca="false">INDEX('4D Schedule'!$AG$6:$AG$156,MATCH($J261,'4D Schedule'!$A$6:$A$156,0))</f>
        <v>Completed</v>
      </c>
      <c r="O261" s="55"/>
    </row>
    <row r="262" customFormat="false" ht="22.35" hidden="false" customHeight="false" outlineLevel="0" collapsed="false">
      <c r="A262" s="56" t="s">
        <v>1286</v>
      </c>
      <c r="B262" s="56" t="s">
        <v>368</v>
      </c>
      <c r="C262" s="55" t="s">
        <v>1285</v>
      </c>
      <c r="D262" s="56" t="s">
        <v>943</v>
      </c>
      <c r="E262" s="55" t="s">
        <v>852</v>
      </c>
      <c r="F262" s="25" t="s">
        <v>75</v>
      </c>
      <c r="G262" s="55" t="s">
        <v>404</v>
      </c>
      <c r="H262" s="56" t="s">
        <v>940</v>
      </c>
      <c r="I262" s="56" t="s">
        <v>58</v>
      </c>
      <c r="J262" s="56" t="s">
        <v>402</v>
      </c>
      <c r="K262" s="55" t="str">
        <f aca="false">INDEX('4D Schedule'!$C$6:$C$156,MATCH($J262,'4D Schedule'!$A$6:$A$156,0))</f>
        <v>Columns Lift-2 (EL +4.000 to +9.150) – Zone-1 (18 nos incl. SC1)</v>
      </c>
      <c r="L262" s="61" t="n">
        <f aca="false">INDEX('4D Schedule'!$AE$6:$AE$156,MATCH($J262,'4D Schedule'!$A$6:$A$156,0))</f>
        <v>46191</v>
      </c>
      <c r="M262" s="61" t="n">
        <f aca="false">INDEX('4D Schedule'!$AF$6:$AF$156,MATCH($J262,'4D Schedule'!$A$6:$A$156,0))</f>
        <v>46211</v>
      </c>
      <c r="N262" s="56" t="str">
        <f aca="false">INDEX('4D Schedule'!$AG$6:$AG$156,MATCH($J262,'4D Schedule'!$A$6:$A$156,0))</f>
        <v>Completed</v>
      </c>
      <c r="O262" s="55"/>
    </row>
    <row r="263" customFormat="false" ht="22.35" hidden="false" customHeight="false" outlineLevel="0" collapsed="false">
      <c r="A263" s="56" t="s">
        <v>1287</v>
      </c>
      <c r="B263" s="56" t="s">
        <v>368</v>
      </c>
      <c r="C263" s="55" t="s">
        <v>1288</v>
      </c>
      <c r="D263" s="56" t="s">
        <v>947</v>
      </c>
      <c r="E263" s="55" t="s">
        <v>948</v>
      </c>
      <c r="F263" s="25" t="s">
        <v>75</v>
      </c>
      <c r="G263" s="55" t="s">
        <v>404</v>
      </c>
      <c r="H263" s="56" t="s">
        <v>931</v>
      </c>
      <c r="I263" s="56" t="s">
        <v>58</v>
      </c>
      <c r="J263" s="56" t="s">
        <v>402</v>
      </c>
      <c r="K263" s="55" t="str">
        <f aca="false">INDEX('4D Schedule'!$C$6:$C$156,MATCH($J263,'4D Schedule'!$A$6:$A$156,0))</f>
        <v>Columns Lift-2 (EL +4.000 to +9.150) – Zone-1 (18 nos incl. SC1)</v>
      </c>
      <c r="L263" s="61" t="n">
        <f aca="false">INDEX('4D Schedule'!$AE$6:$AE$156,MATCH($J263,'4D Schedule'!$A$6:$A$156,0))</f>
        <v>46191</v>
      </c>
      <c r="M263" s="61" t="n">
        <f aca="false">INDEX('4D Schedule'!$AF$6:$AF$156,MATCH($J263,'4D Schedule'!$A$6:$A$156,0))</f>
        <v>46211</v>
      </c>
      <c r="N263" s="56" t="str">
        <f aca="false">INDEX('4D Schedule'!$AG$6:$AG$156,MATCH($J263,'4D Schedule'!$A$6:$A$156,0))</f>
        <v>Completed</v>
      </c>
      <c r="O263" s="55"/>
    </row>
    <row r="264" customFormat="false" ht="22.35" hidden="false" customHeight="false" outlineLevel="0" collapsed="false">
      <c r="A264" s="56" t="s">
        <v>1289</v>
      </c>
      <c r="B264" s="56" t="s">
        <v>368</v>
      </c>
      <c r="C264" s="55" t="s">
        <v>1290</v>
      </c>
      <c r="D264" s="56" t="s">
        <v>952</v>
      </c>
      <c r="E264" s="55" t="s">
        <v>745</v>
      </c>
      <c r="F264" s="25" t="s">
        <v>75</v>
      </c>
      <c r="G264" s="55" t="s">
        <v>404</v>
      </c>
      <c r="H264" s="56" t="s">
        <v>940</v>
      </c>
      <c r="I264" s="56" t="s">
        <v>58</v>
      </c>
      <c r="J264" s="56" t="s">
        <v>402</v>
      </c>
      <c r="K264" s="55" t="str">
        <f aca="false">INDEX('4D Schedule'!$C$6:$C$156,MATCH($J264,'4D Schedule'!$A$6:$A$156,0))</f>
        <v>Columns Lift-2 (EL +4.000 to +9.150) – Zone-1 (18 nos incl. SC1)</v>
      </c>
      <c r="L264" s="61" t="n">
        <f aca="false">INDEX('4D Schedule'!$AE$6:$AE$156,MATCH($J264,'4D Schedule'!$A$6:$A$156,0))</f>
        <v>46191</v>
      </c>
      <c r="M264" s="61" t="n">
        <f aca="false">INDEX('4D Schedule'!$AF$6:$AF$156,MATCH($J264,'4D Schedule'!$A$6:$A$156,0))</f>
        <v>46211</v>
      </c>
      <c r="N264" s="56" t="str">
        <f aca="false">INDEX('4D Schedule'!$AG$6:$AG$156,MATCH($J264,'4D Schedule'!$A$6:$A$156,0))</f>
        <v>Completed</v>
      </c>
      <c r="O264" s="55"/>
    </row>
    <row r="265" customFormat="false" ht="22.35" hidden="false" customHeight="false" outlineLevel="0" collapsed="false">
      <c r="A265" s="56" t="s">
        <v>1291</v>
      </c>
      <c r="B265" s="56" t="s">
        <v>368</v>
      </c>
      <c r="C265" s="55" t="s">
        <v>1290</v>
      </c>
      <c r="D265" s="56" t="s">
        <v>952</v>
      </c>
      <c r="E265" s="55" t="s">
        <v>767</v>
      </c>
      <c r="F265" s="25" t="s">
        <v>75</v>
      </c>
      <c r="G265" s="55" t="s">
        <v>404</v>
      </c>
      <c r="H265" s="56" t="s">
        <v>940</v>
      </c>
      <c r="I265" s="56" t="s">
        <v>58</v>
      </c>
      <c r="J265" s="56" t="s">
        <v>402</v>
      </c>
      <c r="K265" s="55" t="str">
        <f aca="false">INDEX('4D Schedule'!$C$6:$C$156,MATCH($J265,'4D Schedule'!$A$6:$A$156,0))</f>
        <v>Columns Lift-2 (EL +4.000 to +9.150) – Zone-1 (18 nos incl. SC1)</v>
      </c>
      <c r="L265" s="61" t="n">
        <f aca="false">INDEX('4D Schedule'!$AE$6:$AE$156,MATCH($J265,'4D Schedule'!$A$6:$A$156,0))</f>
        <v>46191</v>
      </c>
      <c r="M265" s="61" t="n">
        <f aca="false">INDEX('4D Schedule'!$AF$6:$AF$156,MATCH($J265,'4D Schedule'!$A$6:$A$156,0))</f>
        <v>46211</v>
      </c>
      <c r="N265" s="56" t="str">
        <f aca="false">INDEX('4D Schedule'!$AG$6:$AG$156,MATCH($J265,'4D Schedule'!$A$6:$A$156,0))</f>
        <v>Completed</v>
      </c>
      <c r="O265" s="55"/>
    </row>
    <row r="266" customFormat="false" ht="22.35" hidden="false" customHeight="false" outlineLevel="0" collapsed="false">
      <c r="A266" s="56" t="s">
        <v>1292</v>
      </c>
      <c r="B266" s="56" t="s">
        <v>368</v>
      </c>
      <c r="C266" s="55" t="s">
        <v>1290</v>
      </c>
      <c r="D266" s="56" t="s">
        <v>952</v>
      </c>
      <c r="E266" s="55" t="s">
        <v>789</v>
      </c>
      <c r="F266" s="25" t="s">
        <v>75</v>
      </c>
      <c r="G266" s="55" t="s">
        <v>404</v>
      </c>
      <c r="H266" s="56" t="s">
        <v>940</v>
      </c>
      <c r="I266" s="56" t="s">
        <v>58</v>
      </c>
      <c r="J266" s="56" t="s">
        <v>402</v>
      </c>
      <c r="K266" s="55" t="str">
        <f aca="false">INDEX('4D Schedule'!$C$6:$C$156,MATCH($J266,'4D Schedule'!$A$6:$A$156,0))</f>
        <v>Columns Lift-2 (EL +4.000 to +9.150) – Zone-1 (18 nos incl. SC1)</v>
      </c>
      <c r="L266" s="61" t="n">
        <f aca="false">INDEX('4D Schedule'!$AE$6:$AE$156,MATCH($J266,'4D Schedule'!$A$6:$A$156,0))</f>
        <v>46191</v>
      </c>
      <c r="M266" s="61" t="n">
        <f aca="false">INDEX('4D Schedule'!$AF$6:$AF$156,MATCH($J266,'4D Schedule'!$A$6:$A$156,0))</f>
        <v>46211</v>
      </c>
      <c r="N266" s="56" t="str">
        <f aca="false">INDEX('4D Schedule'!$AG$6:$AG$156,MATCH($J266,'4D Schedule'!$A$6:$A$156,0))</f>
        <v>Completed</v>
      </c>
      <c r="O266" s="55"/>
    </row>
    <row r="267" customFormat="false" ht="22.35" hidden="false" customHeight="false" outlineLevel="0" collapsed="false">
      <c r="A267" s="56" t="s">
        <v>1293</v>
      </c>
      <c r="B267" s="56" t="s">
        <v>368</v>
      </c>
      <c r="C267" s="55" t="s">
        <v>1283</v>
      </c>
      <c r="D267" s="56" t="s">
        <v>939</v>
      </c>
      <c r="E267" s="55" t="s">
        <v>809</v>
      </c>
      <c r="F267" s="25" t="s">
        <v>75</v>
      </c>
      <c r="G267" s="55" t="s">
        <v>404</v>
      </c>
      <c r="H267" s="56" t="s">
        <v>940</v>
      </c>
      <c r="I267" s="56" t="s">
        <v>58</v>
      </c>
      <c r="J267" s="56" t="s">
        <v>402</v>
      </c>
      <c r="K267" s="55" t="str">
        <f aca="false">INDEX('4D Schedule'!$C$6:$C$156,MATCH($J267,'4D Schedule'!$A$6:$A$156,0))</f>
        <v>Columns Lift-2 (EL +4.000 to +9.150) – Zone-1 (18 nos incl. SC1)</v>
      </c>
      <c r="L267" s="61" t="n">
        <f aca="false">INDEX('4D Schedule'!$AE$6:$AE$156,MATCH($J267,'4D Schedule'!$A$6:$A$156,0))</f>
        <v>46191</v>
      </c>
      <c r="M267" s="61" t="n">
        <f aca="false">INDEX('4D Schedule'!$AF$6:$AF$156,MATCH($J267,'4D Schedule'!$A$6:$A$156,0))</f>
        <v>46211</v>
      </c>
      <c r="N267" s="56" t="str">
        <f aca="false">INDEX('4D Schedule'!$AG$6:$AG$156,MATCH($J267,'4D Schedule'!$A$6:$A$156,0))</f>
        <v>Completed</v>
      </c>
      <c r="O267" s="55"/>
    </row>
    <row r="268" customFormat="false" ht="22.35" hidden="false" customHeight="false" outlineLevel="0" collapsed="false">
      <c r="A268" s="56" t="s">
        <v>1294</v>
      </c>
      <c r="B268" s="56" t="s">
        <v>368</v>
      </c>
      <c r="C268" s="55" t="s">
        <v>1285</v>
      </c>
      <c r="D268" s="56" t="s">
        <v>943</v>
      </c>
      <c r="E268" s="55" t="s">
        <v>847</v>
      </c>
      <c r="F268" s="25" t="s">
        <v>75</v>
      </c>
      <c r="G268" s="55" t="s">
        <v>404</v>
      </c>
      <c r="H268" s="56" t="s">
        <v>940</v>
      </c>
      <c r="I268" s="56" t="s">
        <v>58</v>
      </c>
      <c r="J268" s="56" t="s">
        <v>402</v>
      </c>
      <c r="K268" s="55" t="str">
        <f aca="false">INDEX('4D Schedule'!$C$6:$C$156,MATCH($J268,'4D Schedule'!$A$6:$A$156,0))</f>
        <v>Columns Lift-2 (EL +4.000 to +9.150) – Zone-1 (18 nos incl. SC1)</v>
      </c>
      <c r="L268" s="61" t="n">
        <f aca="false">INDEX('4D Schedule'!$AE$6:$AE$156,MATCH($J268,'4D Schedule'!$A$6:$A$156,0))</f>
        <v>46191</v>
      </c>
      <c r="M268" s="61" t="n">
        <f aca="false">INDEX('4D Schedule'!$AF$6:$AF$156,MATCH($J268,'4D Schedule'!$A$6:$A$156,0))</f>
        <v>46211</v>
      </c>
      <c r="N268" s="56" t="str">
        <f aca="false">INDEX('4D Schedule'!$AG$6:$AG$156,MATCH($J268,'4D Schedule'!$A$6:$A$156,0))</f>
        <v>Completed</v>
      </c>
      <c r="O268" s="55"/>
    </row>
    <row r="269" customFormat="false" ht="22.35" hidden="false" customHeight="false" outlineLevel="0" collapsed="false">
      <c r="A269" s="56" t="s">
        <v>1295</v>
      </c>
      <c r="B269" s="56" t="s">
        <v>368</v>
      </c>
      <c r="C269" s="55" t="s">
        <v>1285</v>
      </c>
      <c r="D269" s="56" t="s">
        <v>943</v>
      </c>
      <c r="E269" s="55" t="s">
        <v>855</v>
      </c>
      <c r="F269" s="25" t="s">
        <v>75</v>
      </c>
      <c r="G269" s="55" t="s">
        <v>404</v>
      </c>
      <c r="H269" s="56" t="s">
        <v>940</v>
      </c>
      <c r="I269" s="56" t="s">
        <v>58</v>
      </c>
      <c r="J269" s="56" t="s">
        <v>402</v>
      </c>
      <c r="K269" s="55" t="str">
        <f aca="false">INDEX('4D Schedule'!$C$6:$C$156,MATCH($J269,'4D Schedule'!$A$6:$A$156,0))</f>
        <v>Columns Lift-2 (EL +4.000 to +9.150) – Zone-1 (18 nos incl. SC1)</v>
      </c>
      <c r="L269" s="61" t="n">
        <f aca="false">INDEX('4D Schedule'!$AE$6:$AE$156,MATCH($J269,'4D Schedule'!$A$6:$A$156,0))</f>
        <v>46191</v>
      </c>
      <c r="M269" s="61" t="n">
        <f aca="false">INDEX('4D Schedule'!$AF$6:$AF$156,MATCH($J269,'4D Schedule'!$A$6:$A$156,0))</f>
        <v>46211</v>
      </c>
      <c r="N269" s="56" t="str">
        <f aca="false">INDEX('4D Schedule'!$AG$6:$AG$156,MATCH($J269,'4D Schedule'!$A$6:$A$156,0))</f>
        <v>Completed</v>
      </c>
      <c r="O269" s="55"/>
    </row>
    <row r="270" customFormat="false" ht="22.35" hidden="false" customHeight="false" outlineLevel="0" collapsed="false">
      <c r="A270" s="56" t="s">
        <v>1296</v>
      </c>
      <c r="B270" s="56" t="s">
        <v>368</v>
      </c>
      <c r="C270" s="55" t="s">
        <v>1290</v>
      </c>
      <c r="D270" s="56" t="s">
        <v>952</v>
      </c>
      <c r="E270" s="55" t="s">
        <v>748</v>
      </c>
      <c r="F270" s="25" t="s">
        <v>75</v>
      </c>
      <c r="G270" s="55" t="s">
        <v>404</v>
      </c>
      <c r="H270" s="56" t="s">
        <v>940</v>
      </c>
      <c r="I270" s="56" t="s">
        <v>58</v>
      </c>
      <c r="J270" s="56" t="s">
        <v>402</v>
      </c>
      <c r="K270" s="55" t="str">
        <f aca="false">INDEX('4D Schedule'!$C$6:$C$156,MATCH($J270,'4D Schedule'!$A$6:$A$156,0))</f>
        <v>Columns Lift-2 (EL +4.000 to +9.150) – Zone-1 (18 nos incl. SC1)</v>
      </c>
      <c r="L270" s="61" t="n">
        <f aca="false">INDEX('4D Schedule'!$AE$6:$AE$156,MATCH($J270,'4D Schedule'!$A$6:$A$156,0))</f>
        <v>46191</v>
      </c>
      <c r="M270" s="61" t="n">
        <f aca="false">INDEX('4D Schedule'!$AF$6:$AF$156,MATCH($J270,'4D Schedule'!$A$6:$A$156,0))</f>
        <v>46211</v>
      </c>
      <c r="N270" s="56" t="str">
        <f aca="false">INDEX('4D Schedule'!$AG$6:$AG$156,MATCH($J270,'4D Schedule'!$A$6:$A$156,0))</f>
        <v>Completed</v>
      </c>
      <c r="O270" s="55"/>
    </row>
    <row r="271" customFormat="false" ht="22.35" hidden="false" customHeight="false" outlineLevel="0" collapsed="false">
      <c r="A271" s="56" t="s">
        <v>1297</v>
      </c>
      <c r="B271" s="56" t="s">
        <v>368</v>
      </c>
      <c r="C271" s="55" t="s">
        <v>1290</v>
      </c>
      <c r="D271" s="56" t="s">
        <v>952</v>
      </c>
      <c r="E271" s="55" t="s">
        <v>770</v>
      </c>
      <c r="F271" s="25" t="s">
        <v>75</v>
      </c>
      <c r="G271" s="55" t="s">
        <v>404</v>
      </c>
      <c r="H271" s="56" t="s">
        <v>940</v>
      </c>
      <c r="I271" s="56" t="s">
        <v>58</v>
      </c>
      <c r="J271" s="56" t="s">
        <v>402</v>
      </c>
      <c r="K271" s="55" t="str">
        <f aca="false">INDEX('4D Schedule'!$C$6:$C$156,MATCH($J271,'4D Schedule'!$A$6:$A$156,0))</f>
        <v>Columns Lift-2 (EL +4.000 to +9.150) – Zone-1 (18 nos incl. SC1)</v>
      </c>
      <c r="L271" s="61" t="n">
        <f aca="false">INDEX('4D Schedule'!$AE$6:$AE$156,MATCH($J271,'4D Schedule'!$A$6:$A$156,0))</f>
        <v>46191</v>
      </c>
      <c r="M271" s="61" t="n">
        <f aca="false">INDEX('4D Schedule'!$AF$6:$AF$156,MATCH($J271,'4D Schedule'!$A$6:$A$156,0))</f>
        <v>46211</v>
      </c>
      <c r="N271" s="56" t="str">
        <f aca="false">INDEX('4D Schedule'!$AG$6:$AG$156,MATCH($J271,'4D Schedule'!$A$6:$A$156,0))</f>
        <v>Completed</v>
      </c>
      <c r="O271" s="55"/>
    </row>
    <row r="272" customFormat="false" ht="22.35" hidden="false" customHeight="false" outlineLevel="0" collapsed="false">
      <c r="A272" s="56" t="s">
        <v>1298</v>
      </c>
      <c r="B272" s="56" t="s">
        <v>368</v>
      </c>
      <c r="C272" s="55" t="s">
        <v>1290</v>
      </c>
      <c r="D272" s="56" t="s">
        <v>952</v>
      </c>
      <c r="E272" s="55" t="s">
        <v>792</v>
      </c>
      <c r="F272" s="25" t="s">
        <v>75</v>
      </c>
      <c r="G272" s="55" t="s">
        <v>404</v>
      </c>
      <c r="H272" s="56" t="s">
        <v>940</v>
      </c>
      <c r="I272" s="56" t="s">
        <v>58</v>
      </c>
      <c r="J272" s="56" t="s">
        <v>402</v>
      </c>
      <c r="K272" s="55" t="str">
        <f aca="false">INDEX('4D Schedule'!$C$6:$C$156,MATCH($J272,'4D Schedule'!$A$6:$A$156,0))</f>
        <v>Columns Lift-2 (EL +4.000 to +9.150) – Zone-1 (18 nos incl. SC1)</v>
      </c>
      <c r="L272" s="61" t="n">
        <f aca="false">INDEX('4D Schedule'!$AE$6:$AE$156,MATCH($J272,'4D Schedule'!$A$6:$A$156,0))</f>
        <v>46191</v>
      </c>
      <c r="M272" s="61" t="n">
        <f aca="false">INDEX('4D Schedule'!$AF$6:$AF$156,MATCH($J272,'4D Schedule'!$A$6:$A$156,0))</f>
        <v>46211</v>
      </c>
      <c r="N272" s="56" t="str">
        <f aca="false">INDEX('4D Schedule'!$AG$6:$AG$156,MATCH($J272,'4D Schedule'!$A$6:$A$156,0))</f>
        <v>Completed</v>
      </c>
      <c r="O272" s="55"/>
    </row>
    <row r="273" customFormat="false" ht="22.35" hidden="false" customHeight="false" outlineLevel="0" collapsed="false">
      <c r="A273" s="56" t="s">
        <v>1299</v>
      </c>
      <c r="B273" s="56" t="s">
        <v>368</v>
      </c>
      <c r="C273" s="55" t="s">
        <v>1300</v>
      </c>
      <c r="D273" s="56" t="s">
        <v>963</v>
      </c>
      <c r="E273" s="55" t="s">
        <v>814</v>
      </c>
      <c r="F273" s="25" t="s">
        <v>75</v>
      </c>
      <c r="G273" s="55" t="s">
        <v>404</v>
      </c>
      <c r="H273" s="56" t="s">
        <v>931</v>
      </c>
      <c r="I273" s="56" t="s">
        <v>58</v>
      </c>
      <c r="J273" s="56" t="s">
        <v>402</v>
      </c>
      <c r="K273" s="55" t="str">
        <f aca="false">INDEX('4D Schedule'!$C$6:$C$156,MATCH($J273,'4D Schedule'!$A$6:$A$156,0))</f>
        <v>Columns Lift-2 (EL +4.000 to +9.150) – Zone-1 (18 nos incl. SC1)</v>
      </c>
      <c r="L273" s="61" t="n">
        <f aca="false">INDEX('4D Schedule'!$AE$6:$AE$156,MATCH($J273,'4D Schedule'!$A$6:$A$156,0))</f>
        <v>46191</v>
      </c>
      <c r="M273" s="61" t="n">
        <f aca="false">INDEX('4D Schedule'!$AF$6:$AF$156,MATCH($J273,'4D Schedule'!$A$6:$A$156,0))</f>
        <v>46211</v>
      </c>
      <c r="N273" s="56" t="str">
        <f aca="false">INDEX('4D Schedule'!$AG$6:$AG$156,MATCH($J273,'4D Schedule'!$A$6:$A$156,0))</f>
        <v>Completed</v>
      </c>
      <c r="O273" s="55"/>
    </row>
    <row r="274" customFormat="false" ht="22.35" hidden="false" customHeight="false" outlineLevel="0" collapsed="false">
      <c r="A274" s="56" t="s">
        <v>1301</v>
      </c>
      <c r="B274" s="56" t="s">
        <v>368</v>
      </c>
      <c r="C274" s="55" t="s">
        <v>1302</v>
      </c>
      <c r="D274" s="56" t="s">
        <v>966</v>
      </c>
      <c r="E274" s="55" t="s">
        <v>860</v>
      </c>
      <c r="F274" s="25" t="s">
        <v>75</v>
      </c>
      <c r="G274" s="55" t="s">
        <v>404</v>
      </c>
      <c r="H274" s="56" t="s">
        <v>931</v>
      </c>
      <c r="I274" s="56" t="s">
        <v>58</v>
      </c>
      <c r="J274" s="56" t="s">
        <v>402</v>
      </c>
      <c r="K274" s="55" t="str">
        <f aca="false">INDEX('4D Schedule'!$C$6:$C$156,MATCH($J274,'4D Schedule'!$A$6:$A$156,0))</f>
        <v>Columns Lift-2 (EL +4.000 to +9.150) – Zone-1 (18 nos incl. SC1)</v>
      </c>
      <c r="L274" s="61" t="n">
        <f aca="false">INDEX('4D Schedule'!$AE$6:$AE$156,MATCH($J274,'4D Schedule'!$A$6:$A$156,0))</f>
        <v>46191</v>
      </c>
      <c r="M274" s="61" t="n">
        <f aca="false">INDEX('4D Schedule'!$AF$6:$AF$156,MATCH($J274,'4D Schedule'!$A$6:$A$156,0))</f>
        <v>46211</v>
      </c>
      <c r="N274" s="56" t="str">
        <f aca="false">INDEX('4D Schedule'!$AG$6:$AG$156,MATCH($J274,'4D Schedule'!$A$6:$A$156,0))</f>
        <v>Completed</v>
      </c>
      <c r="O274" s="55"/>
    </row>
    <row r="275" customFormat="false" ht="15" hidden="false" customHeight="false" outlineLevel="0" collapsed="false">
      <c r="A275" s="56" t="s">
        <v>1303</v>
      </c>
      <c r="B275" s="56" t="s">
        <v>368</v>
      </c>
      <c r="C275" s="55" t="s">
        <v>1290</v>
      </c>
      <c r="D275" s="56" t="s">
        <v>952</v>
      </c>
      <c r="E275" s="55" t="s">
        <v>751</v>
      </c>
      <c r="F275" s="25" t="s">
        <v>77</v>
      </c>
      <c r="G275" s="55" t="s">
        <v>404</v>
      </c>
      <c r="H275" s="56" t="s">
        <v>940</v>
      </c>
      <c r="I275" s="56" t="s">
        <v>58</v>
      </c>
      <c r="J275" s="56" t="s">
        <v>405</v>
      </c>
      <c r="K275" s="55" t="str">
        <f aca="false">INDEX('4D Schedule'!$C$6:$C$156,MATCH($J275,'4D Schedule'!$A$6:$A$156,0))</f>
        <v>Columns Lift-2 (EL +4.000 to +9.150) – Zone-2 (10 nos)</v>
      </c>
      <c r="L275" s="61" t="n">
        <f aca="false">INDEX('4D Schedule'!$AE$6:$AE$156,MATCH($J275,'4D Schedule'!$A$6:$A$156,0))</f>
        <v>46203</v>
      </c>
      <c r="M275" s="61" t="n">
        <f aca="false">INDEX('4D Schedule'!$AF$6:$AF$156,MATCH($J275,'4D Schedule'!$A$6:$A$156,0))</f>
        <v>46218</v>
      </c>
      <c r="N275" s="56" t="str">
        <f aca="false">INDEX('4D Schedule'!$AG$6:$AG$156,MATCH($J275,'4D Schedule'!$A$6:$A$156,0))</f>
        <v>Completed</v>
      </c>
      <c r="O275" s="55"/>
    </row>
    <row r="276" customFormat="false" ht="15" hidden="false" customHeight="false" outlineLevel="0" collapsed="false">
      <c r="A276" s="56" t="s">
        <v>1304</v>
      </c>
      <c r="B276" s="56" t="s">
        <v>368</v>
      </c>
      <c r="C276" s="55" t="s">
        <v>1290</v>
      </c>
      <c r="D276" s="56" t="s">
        <v>952</v>
      </c>
      <c r="E276" s="55" t="s">
        <v>773</v>
      </c>
      <c r="F276" s="25" t="s">
        <v>77</v>
      </c>
      <c r="G276" s="55" t="s">
        <v>404</v>
      </c>
      <c r="H276" s="56" t="s">
        <v>940</v>
      </c>
      <c r="I276" s="56" t="s">
        <v>58</v>
      </c>
      <c r="J276" s="56" t="s">
        <v>405</v>
      </c>
      <c r="K276" s="55" t="str">
        <f aca="false">INDEX('4D Schedule'!$C$6:$C$156,MATCH($J276,'4D Schedule'!$A$6:$A$156,0))</f>
        <v>Columns Lift-2 (EL +4.000 to +9.150) – Zone-2 (10 nos)</v>
      </c>
      <c r="L276" s="61" t="n">
        <f aca="false">INDEX('4D Schedule'!$AE$6:$AE$156,MATCH($J276,'4D Schedule'!$A$6:$A$156,0))</f>
        <v>46203</v>
      </c>
      <c r="M276" s="61" t="n">
        <f aca="false">INDEX('4D Schedule'!$AF$6:$AF$156,MATCH($J276,'4D Schedule'!$A$6:$A$156,0))</f>
        <v>46218</v>
      </c>
      <c r="N276" s="56" t="str">
        <f aca="false">INDEX('4D Schedule'!$AG$6:$AG$156,MATCH($J276,'4D Schedule'!$A$6:$A$156,0))</f>
        <v>Completed</v>
      </c>
      <c r="O276" s="55"/>
    </row>
    <row r="277" customFormat="false" ht="15" hidden="false" customHeight="false" outlineLevel="0" collapsed="false">
      <c r="A277" s="56" t="s">
        <v>1305</v>
      </c>
      <c r="B277" s="56" t="s">
        <v>368</v>
      </c>
      <c r="C277" s="55" t="s">
        <v>1306</v>
      </c>
      <c r="D277" s="56" t="s">
        <v>1008</v>
      </c>
      <c r="E277" s="55" t="s">
        <v>795</v>
      </c>
      <c r="F277" s="25" t="s">
        <v>77</v>
      </c>
      <c r="G277" s="55" t="s">
        <v>404</v>
      </c>
      <c r="H277" s="56" t="s">
        <v>940</v>
      </c>
      <c r="I277" s="56" t="s">
        <v>58</v>
      </c>
      <c r="J277" s="56" t="s">
        <v>405</v>
      </c>
      <c r="K277" s="55" t="str">
        <f aca="false">INDEX('4D Schedule'!$C$6:$C$156,MATCH($J277,'4D Schedule'!$A$6:$A$156,0))</f>
        <v>Columns Lift-2 (EL +4.000 to +9.150) – Zone-2 (10 nos)</v>
      </c>
      <c r="L277" s="61" t="n">
        <f aca="false">INDEX('4D Schedule'!$AE$6:$AE$156,MATCH($J277,'4D Schedule'!$A$6:$A$156,0))</f>
        <v>46203</v>
      </c>
      <c r="M277" s="61" t="n">
        <f aca="false">INDEX('4D Schedule'!$AF$6:$AF$156,MATCH($J277,'4D Schedule'!$A$6:$A$156,0))</f>
        <v>46218</v>
      </c>
      <c r="N277" s="56" t="str">
        <f aca="false">INDEX('4D Schedule'!$AG$6:$AG$156,MATCH($J277,'4D Schedule'!$A$6:$A$156,0))</f>
        <v>Completed</v>
      </c>
      <c r="O277" s="55"/>
    </row>
    <row r="278" customFormat="false" ht="15" hidden="false" customHeight="false" outlineLevel="0" collapsed="false">
      <c r="A278" s="56" t="s">
        <v>1307</v>
      </c>
      <c r="B278" s="56" t="s">
        <v>368</v>
      </c>
      <c r="C278" s="55" t="s">
        <v>1300</v>
      </c>
      <c r="D278" s="56" t="s">
        <v>963</v>
      </c>
      <c r="E278" s="55" t="s">
        <v>819</v>
      </c>
      <c r="F278" s="25" t="s">
        <v>77</v>
      </c>
      <c r="G278" s="55" t="s">
        <v>404</v>
      </c>
      <c r="H278" s="56" t="s">
        <v>931</v>
      </c>
      <c r="I278" s="56" t="s">
        <v>58</v>
      </c>
      <c r="J278" s="56" t="s">
        <v>405</v>
      </c>
      <c r="K278" s="55" t="str">
        <f aca="false">INDEX('4D Schedule'!$C$6:$C$156,MATCH($J278,'4D Schedule'!$A$6:$A$156,0))</f>
        <v>Columns Lift-2 (EL +4.000 to +9.150) – Zone-2 (10 nos)</v>
      </c>
      <c r="L278" s="61" t="n">
        <f aca="false">INDEX('4D Schedule'!$AE$6:$AE$156,MATCH($J278,'4D Schedule'!$A$6:$A$156,0))</f>
        <v>46203</v>
      </c>
      <c r="M278" s="61" t="n">
        <f aca="false">INDEX('4D Schedule'!$AF$6:$AF$156,MATCH($J278,'4D Schedule'!$A$6:$A$156,0))</f>
        <v>46218</v>
      </c>
      <c r="N278" s="56" t="str">
        <f aca="false">INDEX('4D Schedule'!$AG$6:$AG$156,MATCH($J278,'4D Schedule'!$A$6:$A$156,0))</f>
        <v>Completed</v>
      </c>
      <c r="O278" s="55"/>
    </row>
    <row r="279" customFormat="false" ht="15" hidden="false" customHeight="false" outlineLevel="0" collapsed="false">
      <c r="A279" s="56" t="s">
        <v>1308</v>
      </c>
      <c r="B279" s="56" t="s">
        <v>368</v>
      </c>
      <c r="C279" s="55" t="s">
        <v>1302</v>
      </c>
      <c r="D279" s="56" t="s">
        <v>966</v>
      </c>
      <c r="E279" s="55" t="s">
        <v>865</v>
      </c>
      <c r="F279" s="25" t="s">
        <v>77</v>
      </c>
      <c r="G279" s="55" t="s">
        <v>404</v>
      </c>
      <c r="H279" s="56" t="s">
        <v>931</v>
      </c>
      <c r="I279" s="56" t="s">
        <v>58</v>
      </c>
      <c r="J279" s="56" t="s">
        <v>405</v>
      </c>
      <c r="K279" s="55" t="str">
        <f aca="false">INDEX('4D Schedule'!$C$6:$C$156,MATCH($J279,'4D Schedule'!$A$6:$A$156,0))</f>
        <v>Columns Lift-2 (EL +4.000 to +9.150) – Zone-2 (10 nos)</v>
      </c>
      <c r="L279" s="61" t="n">
        <f aca="false">INDEX('4D Schedule'!$AE$6:$AE$156,MATCH($J279,'4D Schedule'!$A$6:$A$156,0))</f>
        <v>46203</v>
      </c>
      <c r="M279" s="61" t="n">
        <f aca="false">INDEX('4D Schedule'!$AF$6:$AF$156,MATCH($J279,'4D Schedule'!$A$6:$A$156,0))</f>
        <v>46218</v>
      </c>
      <c r="N279" s="56" t="str">
        <f aca="false">INDEX('4D Schedule'!$AG$6:$AG$156,MATCH($J279,'4D Schedule'!$A$6:$A$156,0))</f>
        <v>Completed</v>
      </c>
      <c r="O279" s="55"/>
    </row>
    <row r="280" customFormat="false" ht="15" hidden="false" customHeight="false" outlineLevel="0" collapsed="false">
      <c r="A280" s="56" t="s">
        <v>1309</v>
      </c>
      <c r="B280" s="56" t="s">
        <v>368</v>
      </c>
      <c r="C280" s="55" t="s">
        <v>1280</v>
      </c>
      <c r="D280" s="56" t="s">
        <v>935</v>
      </c>
      <c r="E280" s="55" t="s">
        <v>754</v>
      </c>
      <c r="F280" s="25" t="s">
        <v>77</v>
      </c>
      <c r="G280" s="55" t="s">
        <v>404</v>
      </c>
      <c r="H280" s="56" t="s">
        <v>931</v>
      </c>
      <c r="I280" s="56" t="s">
        <v>58</v>
      </c>
      <c r="J280" s="56" t="s">
        <v>405</v>
      </c>
      <c r="K280" s="55" t="str">
        <f aca="false">INDEX('4D Schedule'!$C$6:$C$156,MATCH($J280,'4D Schedule'!$A$6:$A$156,0))</f>
        <v>Columns Lift-2 (EL +4.000 to +9.150) – Zone-2 (10 nos)</v>
      </c>
      <c r="L280" s="61" t="n">
        <f aca="false">INDEX('4D Schedule'!$AE$6:$AE$156,MATCH($J280,'4D Schedule'!$A$6:$A$156,0))</f>
        <v>46203</v>
      </c>
      <c r="M280" s="61" t="n">
        <f aca="false">INDEX('4D Schedule'!$AF$6:$AF$156,MATCH($J280,'4D Schedule'!$A$6:$A$156,0))</f>
        <v>46218</v>
      </c>
      <c r="N280" s="56" t="str">
        <f aca="false">INDEX('4D Schedule'!$AG$6:$AG$156,MATCH($J280,'4D Schedule'!$A$6:$A$156,0))</f>
        <v>Completed</v>
      </c>
      <c r="O280" s="55"/>
    </row>
    <row r="281" customFormat="false" ht="15" hidden="false" customHeight="false" outlineLevel="0" collapsed="false">
      <c r="A281" s="56" t="s">
        <v>1310</v>
      </c>
      <c r="B281" s="56" t="s">
        <v>368</v>
      </c>
      <c r="C281" s="55" t="s">
        <v>1278</v>
      </c>
      <c r="D281" s="56" t="s">
        <v>929</v>
      </c>
      <c r="E281" s="55" t="s">
        <v>776</v>
      </c>
      <c r="F281" s="25" t="s">
        <v>77</v>
      </c>
      <c r="G281" s="55" t="s">
        <v>404</v>
      </c>
      <c r="H281" s="56" t="s">
        <v>931</v>
      </c>
      <c r="I281" s="56" t="s">
        <v>58</v>
      </c>
      <c r="J281" s="56" t="s">
        <v>405</v>
      </c>
      <c r="K281" s="55" t="str">
        <f aca="false">INDEX('4D Schedule'!$C$6:$C$156,MATCH($J281,'4D Schedule'!$A$6:$A$156,0))</f>
        <v>Columns Lift-2 (EL +4.000 to +9.150) – Zone-2 (10 nos)</v>
      </c>
      <c r="L281" s="61" t="n">
        <f aca="false">INDEX('4D Schedule'!$AE$6:$AE$156,MATCH($J281,'4D Schedule'!$A$6:$A$156,0))</f>
        <v>46203</v>
      </c>
      <c r="M281" s="61" t="n">
        <f aca="false">INDEX('4D Schedule'!$AF$6:$AF$156,MATCH($J281,'4D Schedule'!$A$6:$A$156,0))</f>
        <v>46218</v>
      </c>
      <c r="N281" s="56" t="str">
        <f aca="false">INDEX('4D Schedule'!$AG$6:$AG$156,MATCH($J281,'4D Schedule'!$A$6:$A$156,0))</f>
        <v>Completed</v>
      </c>
      <c r="O281" s="55"/>
    </row>
    <row r="282" customFormat="false" ht="15" hidden="false" customHeight="false" outlineLevel="0" collapsed="false">
      <c r="A282" s="56" t="s">
        <v>1311</v>
      </c>
      <c r="B282" s="56" t="s">
        <v>368</v>
      </c>
      <c r="C282" s="55" t="s">
        <v>1278</v>
      </c>
      <c r="D282" s="56" t="s">
        <v>929</v>
      </c>
      <c r="E282" s="55" t="s">
        <v>798</v>
      </c>
      <c r="F282" s="25" t="s">
        <v>77</v>
      </c>
      <c r="G282" s="55" t="s">
        <v>404</v>
      </c>
      <c r="H282" s="56" t="s">
        <v>931</v>
      </c>
      <c r="I282" s="56" t="s">
        <v>58</v>
      </c>
      <c r="J282" s="56" t="s">
        <v>405</v>
      </c>
      <c r="K282" s="55" t="str">
        <f aca="false">INDEX('4D Schedule'!$C$6:$C$156,MATCH($J282,'4D Schedule'!$A$6:$A$156,0))</f>
        <v>Columns Lift-2 (EL +4.000 to +9.150) – Zone-2 (10 nos)</v>
      </c>
      <c r="L282" s="61" t="n">
        <f aca="false">INDEX('4D Schedule'!$AE$6:$AE$156,MATCH($J282,'4D Schedule'!$A$6:$A$156,0))</f>
        <v>46203</v>
      </c>
      <c r="M282" s="61" t="n">
        <f aca="false">INDEX('4D Schedule'!$AF$6:$AF$156,MATCH($J282,'4D Schedule'!$A$6:$A$156,0))</f>
        <v>46218</v>
      </c>
      <c r="N282" s="56" t="str">
        <f aca="false">INDEX('4D Schedule'!$AG$6:$AG$156,MATCH($J282,'4D Schedule'!$A$6:$A$156,0))</f>
        <v>Completed</v>
      </c>
      <c r="O282" s="55"/>
    </row>
    <row r="283" customFormat="false" ht="15" hidden="false" customHeight="false" outlineLevel="0" collapsed="false">
      <c r="A283" s="56" t="s">
        <v>1312</v>
      </c>
      <c r="B283" s="56" t="s">
        <v>368</v>
      </c>
      <c r="C283" s="55" t="s">
        <v>1300</v>
      </c>
      <c r="D283" s="56" t="s">
        <v>963</v>
      </c>
      <c r="E283" s="55" t="s">
        <v>824</v>
      </c>
      <c r="F283" s="25" t="s">
        <v>77</v>
      </c>
      <c r="G283" s="55" t="s">
        <v>404</v>
      </c>
      <c r="H283" s="56" t="s">
        <v>931</v>
      </c>
      <c r="I283" s="56" t="s">
        <v>58</v>
      </c>
      <c r="J283" s="56" t="s">
        <v>405</v>
      </c>
      <c r="K283" s="55" t="str">
        <f aca="false">INDEX('4D Schedule'!$C$6:$C$156,MATCH($J283,'4D Schedule'!$A$6:$A$156,0))</f>
        <v>Columns Lift-2 (EL +4.000 to +9.150) – Zone-2 (10 nos)</v>
      </c>
      <c r="L283" s="61" t="n">
        <f aca="false">INDEX('4D Schedule'!$AE$6:$AE$156,MATCH($J283,'4D Schedule'!$A$6:$A$156,0))</f>
        <v>46203</v>
      </c>
      <c r="M283" s="61" t="n">
        <f aca="false">INDEX('4D Schedule'!$AF$6:$AF$156,MATCH($J283,'4D Schedule'!$A$6:$A$156,0))</f>
        <v>46218</v>
      </c>
      <c r="N283" s="56" t="str">
        <f aca="false">INDEX('4D Schedule'!$AG$6:$AG$156,MATCH($J283,'4D Schedule'!$A$6:$A$156,0))</f>
        <v>Completed</v>
      </c>
      <c r="O283" s="55"/>
    </row>
    <row r="284" customFormat="false" ht="15" hidden="false" customHeight="false" outlineLevel="0" collapsed="false">
      <c r="A284" s="56" t="s">
        <v>1313</v>
      </c>
      <c r="B284" s="56" t="s">
        <v>368</v>
      </c>
      <c r="C284" s="55" t="s">
        <v>1302</v>
      </c>
      <c r="D284" s="56" t="s">
        <v>966</v>
      </c>
      <c r="E284" s="55" t="s">
        <v>870</v>
      </c>
      <c r="F284" s="25" t="s">
        <v>77</v>
      </c>
      <c r="G284" s="55" t="s">
        <v>404</v>
      </c>
      <c r="H284" s="56" t="s">
        <v>931</v>
      </c>
      <c r="I284" s="56" t="s">
        <v>58</v>
      </c>
      <c r="J284" s="56" t="s">
        <v>405</v>
      </c>
      <c r="K284" s="55" t="str">
        <f aca="false">INDEX('4D Schedule'!$C$6:$C$156,MATCH($J284,'4D Schedule'!$A$6:$A$156,0))</f>
        <v>Columns Lift-2 (EL +4.000 to +9.150) – Zone-2 (10 nos)</v>
      </c>
      <c r="L284" s="61" t="n">
        <f aca="false">INDEX('4D Schedule'!$AE$6:$AE$156,MATCH($J284,'4D Schedule'!$A$6:$A$156,0))</f>
        <v>46203</v>
      </c>
      <c r="M284" s="61" t="n">
        <f aca="false">INDEX('4D Schedule'!$AF$6:$AF$156,MATCH($J284,'4D Schedule'!$A$6:$A$156,0))</f>
        <v>46218</v>
      </c>
      <c r="N284" s="56" t="str">
        <f aca="false">INDEX('4D Schedule'!$AG$6:$AG$156,MATCH($J284,'4D Schedule'!$A$6:$A$156,0))</f>
        <v>Completed</v>
      </c>
      <c r="O284" s="55"/>
    </row>
    <row r="285" customFormat="false" ht="15" hidden="false" customHeight="false" outlineLevel="0" collapsed="false">
      <c r="A285" s="56" t="s">
        <v>1314</v>
      </c>
      <c r="B285" s="56" t="s">
        <v>368</v>
      </c>
      <c r="C285" s="55" t="s">
        <v>1285</v>
      </c>
      <c r="D285" s="56" t="s">
        <v>943</v>
      </c>
      <c r="E285" s="55" t="s">
        <v>834</v>
      </c>
      <c r="F285" s="25" t="s">
        <v>79</v>
      </c>
      <c r="G285" s="55" t="s">
        <v>404</v>
      </c>
      <c r="H285" s="56" t="s">
        <v>940</v>
      </c>
      <c r="I285" s="56" t="s">
        <v>58</v>
      </c>
      <c r="J285" s="56" t="s">
        <v>407</v>
      </c>
      <c r="K285" s="55" t="str">
        <f aca="false">INDEX('4D Schedule'!$C$6:$C$156,MATCH($J285,'4D Schedule'!$A$6:$A$156,0))</f>
        <v>Columns Lift-2 (EL +4.000 to +9.150) – Zone-3 (8 nos)</v>
      </c>
      <c r="L285" s="61" t="n">
        <f aca="false">INDEX('4D Schedule'!$AE$6:$AE$156,MATCH($J285,'4D Schedule'!$A$6:$A$156,0))</f>
        <v>46212</v>
      </c>
      <c r="M285" s="61" t="n">
        <f aca="false">INDEX('4D Schedule'!$AF$6:$AF$156,MATCH($J285,'4D Schedule'!$A$6:$A$156,0))</f>
        <v>46225</v>
      </c>
      <c r="N285" s="56" t="str">
        <f aca="false">INDEX('4D Schedule'!$AG$6:$AG$156,MATCH($J285,'4D Schedule'!$A$6:$A$156,0))</f>
        <v>Completed</v>
      </c>
      <c r="O285" s="55"/>
    </row>
    <row r="286" customFormat="false" ht="15" hidden="false" customHeight="false" outlineLevel="0" collapsed="false">
      <c r="A286" s="56" t="s">
        <v>1315</v>
      </c>
      <c r="B286" s="56" t="s">
        <v>368</v>
      </c>
      <c r="C286" s="55" t="s">
        <v>1285</v>
      </c>
      <c r="D286" s="56" t="s">
        <v>943</v>
      </c>
      <c r="E286" s="55" t="s">
        <v>875</v>
      </c>
      <c r="F286" s="25" t="s">
        <v>79</v>
      </c>
      <c r="G286" s="55" t="s">
        <v>404</v>
      </c>
      <c r="H286" s="56" t="s">
        <v>940</v>
      </c>
      <c r="I286" s="56" t="s">
        <v>58</v>
      </c>
      <c r="J286" s="56" t="s">
        <v>407</v>
      </c>
      <c r="K286" s="55" t="str">
        <f aca="false">INDEX('4D Schedule'!$C$6:$C$156,MATCH($J286,'4D Schedule'!$A$6:$A$156,0))</f>
        <v>Columns Lift-2 (EL +4.000 to +9.150) – Zone-3 (8 nos)</v>
      </c>
      <c r="L286" s="61" t="n">
        <f aca="false">INDEX('4D Schedule'!$AE$6:$AE$156,MATCH($J286,'4D Schedule'!$A$6:$A$156,0))</f>
        <v>46212</v>
      </c>
      <c r="M286" s="61" t="n">
        <f aca="false">INDEX('4D Schedule'!$AF$6:$AF$156,MATCH($J286,'4D Schedule'!$A$6:$A$156,0))</f>
        <v>46225</v>
      </c>
      <c r="N286" s="56" t="str">
        <f aca="false">INDEX('4D Schedule'!$AG$6:$AG$156,MATCH($J286,'4D Schedule'!$A$6:$A$156,0))</f>
        <v>Completed</v>
      </c>
      <c r="O286" s="55"/>
    </row>
    <row r="287" customFormat="false" ht="15" hidden="false" customHeight="false" outlineLevel="0" collapsed="false">
      <c r="A287" s="56" t="s">
        <v>1316</v>
      </c>
      <c r="B287" s="56" t="s">
        <v>368</v>
      </c>
      <c r="C287" s="55" t="s">
        <v>1280</v>
      </c>
      <c r="D287" s="56" t="s">
        <v>935</v>
      </c>
      <c r="E287" s="55" t="s">
        <v>759</v>
      </c>
      <c r="F287" s="25" t="s">
        <v>79</v>
      </c>
      <c r="G287" s="55" t="s">
        <v>404</v>
      </c>
      <c r="H287" s="56" t="s">
        <v>931</v>
      </c>
      <c r="I287" s="56" t="s">
        <v>58</v>
      </c>
      <c r="J287" s="56" t="s">
        <v>407</v>
      </c>
      <c r="K287" s="55" t="str">
        <f aca="false">INDEX('4D Schedule'!$C$6:$C$156,MATCH($J287,'4D Schedule'!$A$6:$A$156,0))</f>
        <v>Columns Lift-2 (EL +4.000 to +9.150) – Zone-3 (8 nos)</v>
      </c>
      <c r="L287" s="61" t="n">
        <f aca="false">INDEX('4D Schedule'!$AE$6:$AE$156,MATCH($J287,'4D Schedule'!$A$6:$A$156,0))</f>
        <v>46212</v>
      </c>
      <c r="M287" s="61" t="n">
        <f aca="false">INDEX('4D Schedule'!$AF$6:$AF$156,MATCH($J287,'4D Schedule'!$A$6:$A$156,0))</f>
        <v>46225</v>
      </c>
      <c r="N287" s="56" t="str">
        <f aca="false">INDEX('4D Schedule'!$AG$6:$AG$156,MATCH($J287,'4D Schedule'!$A$6:$A$156,0))</f>
        <v>Completed</v>
      </c>
      <c r="O287" s="55"/>
    </row>
    <row r="288" customFormat="false" ht="15" hidden="false" customHeight="false" outlineLevel="0" collapsed="false">
      <c r="A288" s="56" t="s">
        <v>1317</v>
      </c>
      <c r="B288" s="56" t="s">
        <v>368</v>
      </c>
      <c r="C288" s="55" t="s">
        <v>1280</v>
      </c>
      <c r="D288" s="56" t="s">
        <v>935</v>
      </c>
      <c r="E288" s="55" t="s">
        <v>781</v>
      </c>
      <c r="F288" s="25" t="s">
        <v>79</v>
      </c>
      <c r="G288" s="55" t="s">
        <v>404</v>
      </c>
      <c r="H288" s="56" t="s">
        <v>931</v>
      </c>
      <c r="I288" s="56" t="s">
        <v>58</v>
      </c>
      <c r="J288" s="56" t="s">
        <v>407</v>
      </c>
      <c r="K288" s="55" t="str">
        <f aca="false">INDEX('4D Schedule'!$C$6:$C$156,MATCH($J288,'4D Schedule'!$A$6:$A$156,0))</f>
        <v>Columns Lift-2 (EL +4.000 to +9.150) – Zone-3 (8 nos)</v>
      </c>
      <c r="L288" s="61" t="n">
        <f aca="false">INDEX('4D Schedule'!$AE$6:$AE$156,MATCH($J288,'4D Schedule'!$A$6:$A$156,0))</f>
        <v>46212</v>
      </c>
      <c r="M288" s="61" t="n">
        <f aca="false">INDEX('4D Schedule'!$AF$6:$AF$156,MATCH($J288,'4D Schedule'!$A$6:$A$156,0))</f>
        <v>46225</v>
      </c>
      <c r="N288" s="56" t="str">
        <f aca="false">INDEX('4D Schedule'!$AG$6:$AG$156,MATCH($J288,'4D Schedule'!$A$6:$A$156,0))</f>
        <v>Completed</v>
      </c>
      <c r="O288" s="55"/>
    </row>
    <row r="289" customFormat="false" ht="15" hidden="false" customHeight="false" outlineLevel="0" collapsed="false">
      <c r="A289" s="56" t="s">
        <v>1318</v>
      </c>
      <c r="B289" s="56" t="s">
        <v>368</v>
      </c>
      <c r="C289" s="55" t="s">
        <v>1280</v>
      </c>
      <c r="D289" s="56" t="s">
        <v>935</v>
      </c>
      <c r="E289" s="55" t="s">
        <v>801</v>
      </c>
      <c r="F289" s="25" t="s">
        <v>79</v>
      </c>
      <c r="G289" s="55" t="s">
        <v>404</v>
      </c>
      <c r="H289" s="56" t="s">
        <v>931</v>
      </c>
      <c r="I289" s="56" t="s">
        <v>58</v>
      </c>
      <c r="J289" s="56" t="s">
        <v>407</v>
      </c>
      <c r="K289" s="55" t="str">
        <f aca="false">INDEX('4D Schedule'!$C$6:$C$156,MATCH($J289,'4D Schedule'!$A$6:$A$156,0))</f>
        <v>Columns Lift-2 (EL +4.000 to +9.150) – Zone-3 (8 nos)</v>
      </c>
      <c r="L289" s="61" t="n">
        <f aca="false">INDEX('4D Schedule'!$AE$6:$AE$156,MATCH($J289,'4D Schedule'!$A$6:$A$156,0))</f>
        <v>46212</v>
      </c>
      <c r="M289" s="61" t="n">
        <f aca="false">INDEX('4D Schedule'!$AF$6:$AF$156,MATCH($J289,'4D Schedule'!$A$6:$A$156,0))</f>
        <v>46225</v>
      </c>
      <c r="N289" s="56" t="str">
        <f aca="false">INDEX('4D Schedule'!$AG$6:$AG$156,MATCH($J289,'4D Schedule'!$A$6:$A$156,0))</f>
        <v>Completed</v>
      </c>
      <c r="O289" s="55"/>
    </row>
    <row r="290" customFormat="false" ht="15" hidden="false" customHeight="false" outlineLevel="0" collapsed="false">
      <c r="A290" s="56" t="s">
        <v>1319</v>
      </c>
      <c r="B290" s="56" t="s">
        <v>368</v>
      </c>
      <c r="C290" s="55" t="s">
        <v>1320</v>
      </c>
      <c r="D290" s="56" t="s">
        <v>1039</v>
      </c>
      <c r="E290" s="55" t="s">
        <v>829</v>
      </c>
      <c r="F290" s="25" t="s">
        <v>79</v>
      </c>
      <c r="G290" s="55" t="s">
        <v>404</v>
      </c>
      <c r="H290" s="56" t="s">
        <v>940</v>
      </c>
      <c r="I290" s="56" t="s">
        <v>58</v>
      </c>
      <c r="J290" s="56" t="s">
        <v>407</v>
      </c>
      <c r="K290" s="55" t="str">
        <f aca="false">INDEX('4D Schedule'!$C$6:$C$156,MATCH($J290,'4D Schedule'!$A$6:$A$156,0))</f>
        <v>Columns Lift-2 (EL +4.000 to +9.150) – Zone-3 (8 nos)</v>
      </c>
      <c r="L290" s="61" t="n">
        <f aca="false">INDEX('4D Schedule'!$AE$6:$AE$156,MATCH($J290,'4D Schedule'!$A$6:$A$156,0))</f>
        <v>46212</v>
      </c>
      <c r="M290" s="61" t="n">
        <f aca="false">INDEX('4D Schedule'!$AF$6:$AF$156,MATCH($J290,'4D Schedule'!$A$6:$A$156,0))</f>
        <v>46225</v>
      </c>
      <c r="N290" s="56" t="str">
        <f aca="false">INDEX('4D Schedule'!$AG$6:$AG$156,MATCH($J290,'4D Schedule'!$A$6:$A$156,0))</f>
        <v>Completed</v>
      </c>
      <c r="O290" s="55"/>
    </row>
    <row r="291" customFormat="false" ht="15" hidden="false" customHeight="false" outlineLevel="0" collapsed="false">
      <c r="A291" s="56" t="s">
        <v>1321</v>
      </c>
      <c r="B291" s="56" t="s">
        <v>368</v>
      </c>
      <c r="C291" s="55" t="s">
        <v>1285</v>
      </c>
      <c r="D291" s="56" t="s">
        <v>943</v>
      </c>
      <c r="E291" s="55" t="s">
        <v>839</v>
      </c>
      <c r="F291" s="25" t="s">
        <v>79</v>
      </c>
      <c r="G291" s="55" t="s">
        <v>404</v>
      </c>
      <c r="H291" s="56" t="s">
        <v>940</v>
      </c>
      <c r="I291" s="56" t="s">
        <v>58</v>
      </c>
      <c r="J291" s="56" t="s">
        <v>407</v>
      </c>
      <c r="K291" s="55" t="str">
        <f aca="false">INDEX('4D Schedule'!$C$6:$C$156,MATCH($J291,'4D Schedule'!$A$6:$A$156,0))</f>
        <v>Columns Lift-2 (EL +4.000 to +9.150) – Zone-3 (8 nos)</v>
      </c>
      <c r="L291" s="61" t="n">
        <f aca="false">INDEX('4D Schedule'!$AE$6:$AE$156,MATCH($J291,'4D Schedule'!$A$6:$A$156,0))</f>
        <v>46212</v>
      </c>
      <c r="M291" s="61" t="n">
        <f aca="false">INDEX('4D Schedule'!$AF$6:$AF$156,MATCH($J291,'4D Schedule'!$A$6:$A$156,0))</f>
        <v>46225</v>
      </c>
      <c r="N291" s="56" t="str">
        <f aca="false">INDEX('4D Schedule'!$AG$6:$AG$156,MATCH($J291,'4D Schedule'!$A$6:$A$156,0))</f>
        <v>Completed</v>
      </c>
      <c r="O291" s="55"/>
    </row>
    <row r="292" customFormat="false" ht="15" hidden="false" customHeight="false" outlineLevel="0" collapsed="false">
      <c r="A292" s="56" t="s">
        <v>1322</v>
      </c>
      <c r="B292" s="56" t="s">
        <v>368</v>
      </c>
      <c r="C292" s="55" t="s">
        <v>1285</v>
      </c>
      <c r="D292" s="56" t="s">
        <v>943</v>
      </c>
      <c r="E292" s="55" t="s">
        <v>880</v>
      </c>
      <c r="F292" s="25" t="s">
        <v>79</v>
      </c>
      <c r="G292" s="55" t="s">
        <v>404</v>
      </c>
      <c r="H292" s="56" t="s">
        <v>940</v>
      </c>
      <c r="I292" s="56" t="s">
        <v>58</v>
      </c>
      <c r="J292" s="56" t="s">
        <v>407</v>
      </c>
      <c r="K292" s="55" t="str">
        <f aca="false">INDEX('4D Schedule'!$C$6:$C$156,MATCH($J292,'4D Schedule'!$A$6:$A$156,0))</f>
        <v>Columns Lift-2 (EL +4.000 to +9.150) – Zone-3 (8 nos)</v>
      </c>
      <c r="L292" s="61" t="n">
        <f aca="false">INDEX('4D Schedule'!$AE$6:$AE$156,MATCH($J292,'4D Schedule'!$A$6:$A$156,0))</f>
        <v>46212</v>
      </c>
      <c r="M292" s="61" t="n">
        <f aca="false">INDEX('4D Schedule'!$AF$6:$AF$156,MATCH($J292,'4D Schedule'!$A$6:$A$156,0))</f>
        <v>46225</v>
      </c>
      <c r="N292" s="56" t="str">
        <f aca="false">INDEX('4D Schedule'!$AG$6:$AG$156,MATCH($J292,'4D Schedule'!$A$6:$A$156,0))</f>
        <v>Completed</v>
      </c>
      <c r="O292" s="55"/>
    </row>
    <row r="293" customFormat="false" ht="22.35" hidden="false" customHeight="false" outlineLevel="0" collapsed="false">
      <c r="A293" s="56" t="s">
        <v>1323</v>
      </c>
      <c r="B293" s="56" t="s">
        <v>1187</v>
      </c>
      <c r="C293" s="55" t="s">
        <v>1324</v>
      </c>
      <c r="D293" s="56" t="s">
        <v>1325</v>
      </c>
      <c r="E293" s="55" t="s">
        <v>384</v>
      </c>
      <c r="F293" s="25" t="s">
        <v>75</v>
      </c>
      <c r="G293" s="55" t="s">
        <v>404</v>
      </c>
      <c r="H293" s="56" t="s">
        <v>1190</v>
      </c>
      <c r="I293" s="56" t="s">
        <v>66</v>
      </c>
      <c r="J293" s="56" t="s">
        <v>409</v>
      </c>
      <c r="K293" s="55" t="str">
        <f aca="false">INDEX('4D Schedule'!$C$6:$C$156,MATCH($J293,'4D Schedule'!$A$6:$A$156,0))</f>
        <v>Staircase ST-2 – flights FLT-4 to FLT-7, landings +5.350/+6.700/+7.900 up to +9.150</v>
      </c>
      <c r="L293" s="61" t="n">
        <f aca="false">INDEX('4D Schedule'!$AE$6:$AE$156,MATCH($J293,'4D Schedule'!$A$6:$A$156,0))</f>
        <v>46191</v>
      </c>
      <c r="M293" s="61" t="n">
        <f aca="false">INDEX('4D Schedule'!$AF$6:$AF$156,MATCH($J293,'4D Schedule'!$A$6:$A$156,0))</f>
        <v>46216</v>
      </c>
      <c r="N293" s="56" t="str">
        <f aca="false">INDEX('4D Schedule'!$AG$6:$AG$156,MATCH($J293,'4D Schedule'!$A$6:$A$156,0))</f>
        <v>Completed</v>
      </c>
      <c r="O293" s="55"/>
    </row>
    <row r="294" customFormat="false" ht="22.35" hidden="false" customHeight="false" outlineLevel="0" collapsed="false">
      <c r="A294" s="56" t="s">
        <v>1326</v>
      </c>
      <c r="B294" s="56" t="s">
        <v>1192</v>
      </c>
      <c r="C294" s="55" t="s">
        <v>1327</v>
      </c>
      <c r="D294" s="56" t="s">
        <v>1328</v>
      </c>
      <c r="E294" s="55" t="s">
        <v>384</v>
      </c>
      <c r="F294" s="25" t="s">
        <v>75</v>
      </c>
      <c r="G294" s="55" t="s">
        <v>404</v>
      </c>
      <c r="H294" s="56" t="s">
        <v>1195</v>
      </c>
      <c r="I294" s="56" t="s">
        <v>66</v>
      </c>
      <c r="J294" s="56" t="s">
        <v>409</v>
      </c>
      <c r="K294" s="55" t="str">
        <f aca="false">INDEX('4D Schedule'!$C$6:$C$156,MATCH($J294,'4D Schedule'!$A$6:$A$156,0))</f>
        <v>Staircase ST-2 – flights FLT-4 to FLT-7, landings +5.350/+6.700/+7.900 up to +9.150</v>
      </c>
      <c r="L294" s="61" t="n">
        <f aca="false">INDEX('4D Schedule'!$AE$6:$AE$156,MATCH($J294,'4D Schedule'!$A$6:$A$156,0))</f>
        <v>46191</v>
      </c>
      <c r="M294" s="61" t="n">
        <f aca="false">INDEX('4D Schedule'!$AF$6:$AF$156,MATCH($J294,'4D Schedule'!$A$6:$A$156,0))</f>
        <v>46216</v>
      </c>
      <c r="N294" s="56" t="str">
        <f aca="false">INDEX('4D Schedule'!$AG$6:$AG$156,MATCH($J294,'4D Schedule'!$A$6:$A$156,0))</f>
        <v>Completed</v>
      </c>
      <c r="O294" s="55"/>
    </row>
    <row r="295" customFormat="false" ht="22.35" hidden="false" customHeight="false" outlineLevel="0" collapsed="false">
      <c r="A295" s="56" t="s">
        <v>1329</v>
      </c>
      <c r="B295" s="56" t="s">
        <v>1197</v>
      </c>
      <c r="C295" s="55" t="s">
        <v>1330</v>
      </c>
      <c r="D295" s="56" t="s">
        <v>1199</v>
      </c>
      <c r="E295" s="55" t="s">
        <v>384</v>
      </c>
      <c r="F295" s="25" t="s">
        <v>75</v>
      </c>
      <c r="G295" s="55" t="s">
        <v>404</v>
      </c>
      <c r="H295" s="56" t="s">
        <v>1200</v>
      </c>
      <c r="I295" s="56" t="s">
        <v>66</v>
      </c>
      <c r="J295" s="56" t="s">
        <v>409</v>
      </c>
      <c r="K295" s="55" t="str">
        <f aca="false">INDEX('4D Schedule'!$C$6:$C$156,MATCH($J295,'4D Schedule'!$A$6:$A$156,0))</f>
        <v>Staircase ST-2 – flights FLT-4 to FLT-7, landings +5.350/+6.700/+7.900 up to +9.150</v>
      </c>
      <c r="L295" s="61" t="n">
        <f aca="false">INDEX('4D Schedule'!$AE$6:$AE$156,MATCH($J295,'4D Schedule'!$A$6:$A$156,0))</f>
        <v>46191</v>
      </c>
      <c r="M295" s="61" t="n">
        <f aca="false">INDEX('4D Schedule'!$AF$6:$AF$156,MATCH($J295,'4D Schedule'!$A$6:$A$156,0))</f>
        <v>46216</v>
      </c>
      <c r="N295" s="56" t="str">
        <f aca="false">INDEX('4D Schedule'!$AG$6:$AG$156,MATCH($J295,'4D Schedule'!$A$6:$A$156,0))</f>
        <v>Completed</v>
      </c>
      <c r="O295" s="55"/>
    </row>
    <row r="296" customFormat="false" ht="22.35" hidden="false" customHeight="false" outlineLevel="0" collapsed="false">
      <c r="A296" s="56" t="s">
        <v>1331</v>
      </c>
      <c r="B296" s="56" t="s">
        <v>1187</v>
      </c>
      <c r="C296" s="55" t="s">
        <v>1332</v>
      </c>
      <c r="D296" s="56" t="s">
        <v>1325</v>
      </c>
      <c r="E296" s="55" t="s">
        <v>401</v>
      </c>
      <c r="F296" s="25" t="s">
        <v>79</v>
      </c>
      <c r="G296" s="55" t="s">
        <v>404</v>
      </c>
      <c r="H296" s="56" t="s">
        <v>1190</v>
      </c>
      <c r="I296" s="56" t="s">
        <v>66</v>
      </c>
      <c r="J296" s="56" t="s">
        <v>412</v>
      </c>
      <c r="K296" s="55" t="str">
        <f aca="false">INDEX('4D Schedule'!$C$6:$C$156,MATCH($J296,'4D Schedule'!$A$6:$A$156,0))</f>
        <v>Staircase ST-1 – flights FLT-4 to FLT-7, landings +5.350/+6.700/+7.900 up to +9.150</v>
      </c>
      <c r="L296" s="61" t="n">
        <f aca="false">INDEX('4D Schedule'!$AE$6:$AE$156,MATCH($J296,'4D Schedule'!$A$6:$A$156,0))</f>
        <v>46212</v>
      </c>
      <c r="M296" s="61" t="n">
        <f aca="false">INDEX('4D Schedule'!$AF$6:$AF$156,MATCH($J296,'4D Schedule'!$A$6:$A$156,0))</f>
        <v>46237</v>
      </c>
      <c r="N296" s="56" t="str">
        <f aca="false">INDEX('4D Schedule'!$AG$6:$AG$156,MATCH($J296,'4D Schedule'!$A$6:$A$156,0))</f>
        <v>Completed</v>
      </c>
      <c r="O296" s="55"/>
    </row>
    <row r="297" customFormat="false" ht="22.35" hidden="false" customHeight="false" outlineLevel="0" collapsed="false">
      <c r="A297" s="56" t="s">
        <v>1333</v>
      </c>
      <c r="B297" s="56" t="s">
        <v>1192</v>
      </c>
      <c r="C297" s="55" t="s">
        <v>1334</v>
      </c>
      <c r="D297" s="56" t="s">
        <v>1328</v>
      </c>
      <c r="E297" s="55" t="s">
        <v>401</v>
      </c>
      <c r="F297" s="25" t="s">
        <v>79</v>
      </c>
      <c r="G297" s="55" t="s">
        <v>404</v>
      </c>
      <c r="H297" s="56" t="s">
        <v>1195</v>
      </c>
      <c r="I297" s="56" t="s">
        <v>66</v>
      </c>
      <c r="J297" s="56" t="s">
        <v>412</v>
      </c>
      <c r="K297" s="55" t="str">
        <f aca="false">INDEX('4D Schedule'!$C$6:$C$156,MATCH($J297,'4D Schedule'!$A$6:$A$156,0))</f>
        <v>Staircase ST-1 – flights FLT-4 to FLT-7, landings +5.350/+6.700/+7.900 up to +9.150</v>
      </c>
      <c r="L297" s="61" t="n">
        <f aca="false">INDEX('4D Schedule'!$AE$6:$AE$156,MATCH($J297,'4D Schedule'!$A$6:$A$156,0))</f>
        <v>46212</v>
      </c>
      <c r="M297" s="61" t="n">
        <f aca="false">INDEX('4D Schedule'!$AF$6:$AF$156,MATCH($J297,'4D Schedule'!$A$6:$A$156,0))</f>
        <v>46237</v>
      </c>
      <c r="N297" s="56" t="str">
        <f aca="false">INDEX('4D Schedule'!$AG$6:$AG$156,MATCH($J297,'4D Schedule'!$A$6:$A$156,0))</f>
        <v>Completed</v>
      </c>
      <c r="O297" s="55"/>
    </row>
    <row r="298" customFormat="false" ht="22.35" hidden="false" customHeight="false" outlineLevel="0" collapsed="false">
      <c r="A298" s="56" t="s">
        <v>1335</v>
      </c>
      <c r="B298" s="56" t="s">
        <v>1197</v>
      </c>
      <c r="C298" s="55" t="s">
        <v>1336</v>
      </c>
      <c r="D298" s="56" t="s">
        <v>1199</v>
      </c>
      <c r="E298" s="55" t="s">
        <v>401</v>
      </c>
      <c r="F298" s="25" t="s">
        <v>79</v>
      </c>
      <c r="G298" s="55" t="s">
        <v>404</v>
      </c>
      <c r="H298" s="56" t="s">
        <v>1200</v>
      </c>
      <c r="I298" s="56" t="s">
        <v>66</v>
      </c>
      <c r="J298" s="56" t="s">
        <v>412</v>
      </c>
      <c r="K298" s="55" t="str">
        <f aca="false">INDEX('4D Schedule'!$C$6:$C$156,MATCH($J298,'4D Schedule'!$A$6:$A$156,0))</f>
        <v>Staircase ST-1 – flights FLT-4 to FLT-7, landings +5.350/+6.700/+7.900 up to +9.150</v>
      </c>
      <c r="L298" s="61" t="n">
        <f aca="false">INDEX('4D Schedule'!$AE$6:$AE$156,MATCH($J298,'4D Schedule'!$A$6:$A$156,0))</f>
        <v>46212</v>
      </c>
      <c r="M298" s="61" t="n">
        <f aca="false">INDEX('4D Schedule'!$AF$6:$AF$156,MATCH($J298,'4D Schedule'!$A$6:$A$156,0))</f>
        <v>46237</v>
      </c>
      <c r="N298" s="56" t="str">
        <f aca="false">INDEX('4D Schedule'!$AG$6:$AG$156,MATCH($J298,'4D Schedule'!$A$6:$A$156,0))</f>
        <v>Completed</v>
      </c>
      <c r="O298" s="55"/>
    </row>
    <row r="299" customFormat="false" ht="22.35" hidden="false" customHeight="false" outlineLevel="0" collapsed="false">
      <c r="A299" s="56" t="s">
        <v>1337</v>
      </c>
      <c r="B299" s="56" t="s">
        <v>1338</v>
      </c>
      <c r="C299" s="55" t="s">
        <v>1339</v>
      </c>
      <c r="D299" s="56" t="s">
        <v>1340</v>
      </c>
      <c r="E299" s="55" t="s">
        <v>1341</v>
      </c>
      <c r="F299" s="25" t="s">
        <v>75</v>
      </c>
      <c r="G299" s="55" t="s">
        <v>416</v>
      </c>
      <c r="H299" s="56" t="s">
        <v>973</v>
      </c>
      <c r="I299" s="56" t="s">
        <v>64</v>
      </c>
      <c r="J299" s="56" t="s">
        <v>414</v>
      </c>
      <c r="K299" s="55" t="str">
        <f aca="false">INDEX('4D Schedule'!$C$6:$C$156,MATCH($J299,'4D Schedule'!$A$6:$A$156,0))</f>
        <v>Roof beams &amp; 150 thk slab (TOC EL +9.150) – Zone-1 (Grid 1–3, Row E–A)</v>
      </c>
      <c r="L299" s="61" t="n">
        <f aca="false">INDEX('4D Schedule'!$AE$6:$AE$156,MATCH($J299,'4D Schedule'!$A$6:$A$156,0))</f>
        <v>46212</v>
      </c>
      <c r="M299" s="61" t="n">
        <f aca="false">INDEX('4D Schedule'!$AF$6:$AF$156,MATCH($J299,'4D Schedule'!$A$6:$A$156,0))</f>
        <v>46246</v>
      </c>
      <c r="N299" s="56" t="str">
        <f aca="false">INDEX('4D Schedule'!$AG$6:$AG$156,MATCH($J299,'4D Schedule'!$A$6:$A$156,0))</f>
        <v>Completed</v>
      </c>
      <c r="O299" s="55"/>
    </row>
    <row r="300" customFormat="false" ht="22.35" hidden="false" customHeight="false" outlineLevel="0" collapsed="false">
      <c r="A300" s="56" t="s">
        <v>1342</v>
      </c>
      <c r="B300" s="56" t="s">
        <v>1338</v>
      </c>
      <c r="C300" s="55" t="s">
        <v>1343</v>
      </c>
      <c r="D300" s="56" t="s">
        <v>1344</v>
      </c>
      <c r="E300" s="55" t="s">
        <v>1205</v>
      </c>
      <c r="F300" s="25" t="s">
        <v>75</v>
      </c>
      <c r="G300" s="55" t="s">
        <v>416</v>
      </c>
      <c r="H300" s="56" t="s">
        <v>940</v>
      </c>
      <c r="I300" s="56" t="s">
        <v>64</v>
      </c>
      <c r="J300" s="56" t="s">
        <v>414</v>
      </c>
      <c r="K300" s="55" t="str">
        <f aca="false">INDEX('4D Schedule'!$C$6:$C$156,MATCH($J300,'4D Schedule'!$A$6:$A$156,0))</f>
        <v>Roof beams &amp; 150 thk slab (TOC EL +9.150) – Zone-1 (Grid 1–3, Row E–A)</v>
      </c>
      <c r="L300" s="61" t="n">
        <f aca="false">INDEX('4D Schedule'!$AE$6:$AE$156,MATCH($J300,'4D Schedule'!$A$6:$A$156,0))</f>
        <v>46212</v>
      </c>
      <c r="M300" s="61" t="n">
        <f aca="false">INDEX('4D Schedule'!$AF$6:$AF$156,MATCH($J300,'4D Schedule'!$A$6:$A$156,0))</f>
        <v>46246</v>
      </c>
      <c r="N300" s="56" t="str">
        <f aca="false">INDEX('4D Schedule'!$AG$6:$AG$156,MATCH($J300,'4D Schedule'!$A$6:$A$156,0))</f>
        <v>Completed</v>
      </c>
      <c r="O300" s="55"/>
    </row>
    <row r="301" customFormat="false" ht="22.35" hidden="false" customHeight="false" outlineLevel="0" collapsed="false">
      <c r="A301" s="56" t="s">
        <v>1345</v>
      </c>
      <c r="B301" s="56" t="s">
        <v>1338</v>
      </c>
      <c r="C301" s="55" t="s">
        <v>1346</v>
      </c>
      <c r="D301" s="56" t="s">
        <v>1347</v>
      </c>
      <c r="E301" s="55" t="s">
        <v>1348</v>
      </c>
      <c r="F301" s="25" t="s">
        <v>75</v>
      </c>
      <c r="G301" s="55" t="s">
        <v>416</v>
      </c>
      <c r="H301" s="56" t="s">
        <v>940</v>
      </c>
      <c r="I301" s="56" t="s">
        <v>64</v>
      </c>
      <c r="J301" s="56" t="s">
        <v>414</v>
      </c>
      <c r="K301" s="55" t="str">
        <f aca="false">INDEX('4D Schedule'!$C$6:$C$156,MATCH($J301,'4D Schedule'!$A$6:$A$156,0))</f>
        <v>Roof beams &amp; 150 thk slab (TOC EL +9.150) – Zone-1 (Grid 1–3, Row E–A)</v>
      </c>
      <c r="L301" s="61" t="n">
        <f aca="false">INDEX('4D Schedule'!$AE$6:$AE$156,MATCH($J301,'4D Schedule'!$A$6:$A$156,0))</f>
        <v>46212</v>
      </c>
      <c r="M301" s="61" t="n">
        <f aca="false">INDEX('4D Schedule'!$AF$6:$AF$156,MATCH($J301,'4D Schedule'!$A$6:$A$156,0))</f>
        <v>46246</v>
      </c>
      <c r="N301" s="56" t="str">
        <f aca="false">INDEX('4D Schedule'!$AG$6:$AG$156,MATCH($J301,'4D Schedule'!$A$6:$A$156,0))</f>
        <v>Completed</v>
      </c>
      <c r="O301" s="55"/>
    </row>
    <row r="302" customFormat="false" ht="22.35" hidden="false" customHeight="false" outlineLevel="0" collapsed="false">
      <c r="A302" s="56" t="s">
        <v>1349</v>
      </c>
      <c r="B302" s="56" t="s">
        <v>1338</v>
      </c>
      <c r="C302" s="55" t="s">
        <v>1350</v>
      </c>
      <c r="D302" s="56" t="s">
        <v>1351</v>
      </c>
      <c r="E302" s="55" t="s">
        <v>1352</v>
      </c>
      <c r="F302" s="25" t="s">
        <v>75</v>
      </c>
      <c r="G302" s="55" t="s">
        <v>416</v>
      </c>
      <c r="H302" s="56" t="s">
        <v>1353</v>
      </c>
      <c r="I302" s="56" t="s">
        <v>64</v>
      </c>
      <c r="J302" s="56" t="s">
        <v>414</v>
      </c>
      <c r="K302" s="55" t="str">
        <f aca="false">INDEX('4D Schedule'!$C$6:$C$156,MATCH($J302,'4D Schedule'!$A$6:$A$156,0))</f>
        <v>Roof beams &amp; 150 thk slab (TOC EL +9.150) – Zone-1 (Grid 1–3, Row E–A)</v>
      </c>
      <c r="L302" s="61" t="n">
        <f aca="false">INDEX('4D Schedule'!$AE$6:$AE$156,MATCH($J302,'4D Schedule'!$A$6:$A$156,0))</f>
        <v>46212</v>
      </c>
      <c r="M302" s="61" t="n">
        <f aca="false">INDEX('4D Schedule'!$AF$6:$AF$156,MATCH($J302,'4D Schedule'!$A$6:$A$156,0))</f>
        <v>46246</v>
      </c>
      <c r="N302" s="56" t="str">
        <f aca="false">INDEX('4D Schedule'!$AG$6:$AG$156,MATCH($J302,'4D Schedule'!$A$6:$A$156,0))</f>
        <v>Completed</v>
      </c>
      <c r="O302" s="55"/>
    </row>
    <row r="303" customFormat="false" ht="22.35" hidden="false" customHeight="false" outlineLevel="0" collapsed="false">
      <c r="A303" s="56" t="s">
        <v>1354</v>
      </c>
      <c r="B303" s="56" t="s">
        <v>1338</v>
      </c>
      <c r="C303" s="55" t="s">
        <v>1355</v>
      </c>
      <c r="D303" s="56" t="s">
        <v>1356</v>
      </c>
      <c r="E303" s="55" t="s">
        <v>1357</v>
      </c>
      <c r="F303" s="25" t="s">
        <v>75</v>
      </c>
      <c r="G303" s="55" t="s">
        <v>416</v>
      </c>
      <c r="H303" s="56" t="s">
        <v>940</v>
      </c>
      <c r="I303" s="56" t="s">
        <v>64</v>
      </c>
      <c r="J303" s="56" t="s">
        <v>414</v>
      </c>
      <c r="K303" s="55" t="str">
        <f aca="false">INDEX('4D Schedule'!$C$6:$C$156,MATCH($J303,'4D Schedule'!$A$6:$A$156,0))</f>
        <v>Roof beams &amp; 150 thk slab (TOC EL +9.150) – Zone-1 (Grid 1–3, Row E–A)</v>
      </c>
      <c r="L303" s="61" t="n">
        <f aca="false">INDEX('4D Schedule'!$AE$6:$AE$156,MATCH($J303,'4D Schedule'!$A$6:$A$156,0))</f>
        <v>46212</v>
      </c>
      <c r="M303" s="61" t="n">
        <f aca="false">INDEX('4D Schedule'!$AF$6:$AF$156,MATCH($J303,'4D Schedule'!$A$6:$A$156,0))</f>
        <v>46246</v>
      </c>
      <c r="N303" s="56" t="str">
        <f aca="false">INDEX('4D Schedule'!$AG$6:$AG$156,MATCH($J303,'4D Schedule'!$A$6:$A$156,0))</f>
        <v>Completed</v>
      </c>
      <c r="O303" s="55"/>
    </row>
    <row r="304" customFormat="false" ht="22.35" hidden="false" customHeight="false" outlineLevel="0" collapsed="false">
      <c r="A304" s="56" t="s">
        <v>1358</v>
      </c>
      <c r="B304" s="56" t="s">
        <v>1338</v>
      </c>
      <c r="C304" s="55" t="s">
        <v>1359</v>
      </c>
      <c r="D304" s="56" t="s">
        <v>1360</v>
      </c>
      <c r="E304" s="55" t="s">
        <v>1361</v>
      </c>
      <c r="F304" s="25" t="s">
        <v>75</v>
      </c>
      <c r="G304" s="55" t="s">
        <v>416</v>
      </c>
      <c r="H304" s="56" t="s">
        <v>940</v>
      </c>
      <c r="I304" s="56" t="s">
        <v>64</v>
      </c>
      <c r="J304" s="56" t="s">
        <v>414</v>
      </c>
      <c r="K304" s="55" t="str">
        <f aca="false">INDEX('4D Schedule'!$C$6:$C$156,MATCH($J304,'4D Schedule'!$A$6:$A$156,0))</f>
        <v>Roof beams &amp; 150 thk slab (TOC EL +9.150) – Zone-1 (Grid 1–3, Row E–A)</v>
      </c>
      <c r="L304" s="61" t="n">
        <f aca="false">INDEX('4D Schedule'!$AE$6:$AE$156,MATCH($J304,'4D Schedule'!$A$6:$A$156,0))</f>
        <v>46212</v>
      </c>
      <c r="M304" s="61" t="n">
        <f aca="false">INDEX('4D Schedule'!$AF$6:$AF$156,MATCH($J304,'4D Schedule'!$A$6:$A$156,0))</f>
        <v>46246</v>
      </c>
      <c r="N304" s="56" t="str">
        <f aca="false">INDEX('4D Schedule'!$AG$6:$AG$156,MATCH($J304,'4D Schedule'!$A$6:$A$156,0))</f>
        <v>Completed</v>
      </c>
      <c r="O304" s="55"/>
    </row>
    <row r="305" customFormat="false" ht="22.35" hidden="false" customHeight="false" outlineLevel="0" collapsed="false">
      <c r="A305" s="56" t="s">
        <v>1362</v>
      </c>
      <c r="B305" s="56" t="s">
        <v>1338</v>
      </c>
      <c r="C305" s="55" t="s">
        <v>1363</v>
      </c>
      <c r="D305" s="56" t="s">
        <v>1364</v>
      </c>
      <c r="E305" s="55" t="s">
        <v>1365</v>
      </c>
      <c r="F305" s="25" t="s">
        <v>75</v>
      </c>
      <c r="G305" s="55" t="s">
        <v>416</v>
      </c>
      <c r="H305" s="56" t="s">
        <v>940</v>
      </c>
      <c r="I305" s="56" t="s">
        <v>64</v>
      </c>
      <c r="J305" s="56" t="s">
        <v>414</v>
      </c>
      <c r="K305" s="55" t="str">
        <f aca="false">INDEX('4D Schedule'!$C$6:$C$156,MATCH($J305,'4D Schedule'!$A$6:$A$156,0))</f>
        <v>Roof beams &amp; 150 thk slab (TOC EL +9.150) – Zone-1 (Grid 1–3, Row E–A)</v>
      </c>
      <c r="L305" s="61" t="n">
        <f aca="false">INDEX('4D Schedule'!$AE$6:$AE$156,MATCH($J305,'4D Schedule'!$A$6:$A$156,0))</f>
        <v>46212</v>
      </c>
      <c r="M305" s="61" t="n">
        <f aca="false">INDEX('4D Schedule'!$AF$6:$AF$156,MATCH($J305,'4D Schedule'!$A$6:$A$156,0))</f>
        <v>46246</v>
      </c>
      <c r="N305" s="56" t="str">
        <f aca="false">INDEX('4D Schedule'!$AG$6:$AG$156,MATCH($J305,'4D Schedule'!$A$6:$A$156,0))</f>
        <v>Completed</v>
      </c>
      <c r="O305" s="55"/>
    </row>
    <row r="306" customFormat="false" ht="22.35" hidden="false" customHeight="false" outlineLevel="0" collapsed="false">
      <c r="A306" s="56" t="s">
        <v>1366</v>
      </c>
      <c r="B306" s="56" t="s">
        <v>1338</v>
      </c>
      <c r="C306" s="55" t="s">
        <v>1367</v>
      </c>
      <c r="D306" s="56" t="s">
        <v>1368</v>
      </c>
      <c r="E306" s="55" t="s">
        <v>1369</v>
      </c>
      <c r="F306" s="25" t="s">
        <v>75</v>
      </c>
      <c r="G306" s="55" t="s">
        <v>416</v>
      </c>
      <c r="H306" s="56" t="s">
        <v>940</v>
      </c>
      <c r="I306" s="56" t="s">
        <v>64</v>
      </c>
      <c r="J306" s="56" t="s">
        <v>414</v>
      </c>
      <c r="K306" s="55" t="str">
        <f aca="false">INDEX('4D Schedule'!$C$6:$C$156,MATCH($J306,'4D Schedule'!$A$6:$A$156,0))</f>
        <v>Roof beams &amp; 150 thk slab (TOC EL +9.150) – Zone-1 (Grid 1–3, Row E–A)</v>
      </c>
      <c r="L306" s="61" t="n">
        <f aca="false">INDEX('4D Schedule'!$AE$6:$AE$156,MATCH($J306,'4D Schedule'!$A$6:$A$156,0))</f>
        <v>46212</v>
      </c>
      <c r="M306" s="61" t="n">
        <f aca="false">INDEX('4D Schedule'!$AF$6:$AF$156,MATCH($J306,'4D Schedule'!$A$6:$A$156,0))</f>
        <v>46246</v>
      </c>
      <c r="N306" s="56" t="str">
        <f aca="false">INDEX('4D Schedule'!$AG$6:$AG$156,MATCH($J306,'4D Schedule'!$A$6:$A$156,0))</f>
        <v>Completed</v>
      </c>
      <c r="O306" s="55"/>
    </row>
    <row r="307" customFormat="false" ht="22.35" hidden="false" customHeight="false" outlineLevel="0" collapsed="false">
      <c r="A307" s="56" t="s">
        <v>1370</v>
      </c>
      <c r="B307" s="56" t="s">
        <v>1338</v>
      </c>
      <c r="C307" s="55" t="s">
        <v>1371</v>
      </c>
      <c r="D307" s="56" t="s">
        <v>1372</v>
      </c>
      <c r="E307" s="55" t="s">
        <v>1373</v>
      </c>
      <c r="F307" s="25" t="s">
        <v>75</v>
      </c>
      <c r="G307" s="55" t="s">
        <v>416</v>
      </c>
      <c r="H307" s="56" t="s">
        <v>940</v>
      </c>
      <c r="I307" s="56" t="s">
        <v>64</v>
      </c>
      <c r="J307" s="56" t="s">
        <v>414</v>
      </c>
      <c r="K307" s="55" t="str">
        <f aca="false">INDEX('4D Schedule'!$C$6:$C$156,MATCH($J307,'4D Schedule'!$A$6:$A$156,0))</f>
        <v>Roof beams &amp; 150 thk slab (TOC EL +9.150) – Zone-1 (Grid 1–3, Row E–A)</v>
      </c>
      <c r="L307" s="61" t="n">
        <f aca="false">INDEX('4D Schedule'!$AE$6:$AE$156,MATCH($J307,'4D Schedule'!$A$6:$A$156,0))</f>
        <v>46212</v>
      </c>
      <c r="M307" s="61" t="n">
        <f aca="false">INDEX('4D Schedule'!$AF$6:$AF$156,MATCH($J307,'4D Schedule'!$A$6:$A$156,0))</f>
        <v>46246</v>
      </c>
      <c r="N307" s="56" t="str">
        <f aca="false">INDEX('4D Schedule'!$AG$6:$AG$156,MATCH($J307,'4D Schedule'!$A$6:$A$156,0))</f>
        <v>Completed</v>
      </c>
      <c r="O307" s="55"/>
    </row>
    <row r="308" customFormat="false" ht="22.35" hidden="false" customHeight="false" outlineLevel="0" collapsed="false">
      <c r="A308" s="56" t="s">
        <v>1374</v>
      </c>
      <c r="B308" s="56" t="s">
        <v>1338</v>
      </c>
      <c r="C308" s="55" t="s">
        <v>1375</v>
      </c>
      <c r="D308" s="56" t="s">
        <v>1376</v>
      </c>
      <c r="E308" s="55" t="s">
        <v>1377</v>
      </c>
      <c r="F308" s="25" t="s">
        <v>75</v>
      </c>
      <c r="G308" s="55" t="s">
        <v>416</v>
      </c>
      <c r="H308" s="56" t="s">
        <v>1378</v>
      </c>
      <c r="I308" s="56" t="s">
        <v>64</v>
      </c>
      <c r="J308" s="56" t="s">
        <v>414</v>
      </c>
      <c r="K308" s="55" t="str">
        <f aca="false">INDEX('4D Schedule'!$C$6:$C$156,MATCH($J308,'4D Schedule'!$A$6:$A$156,0))</f>
        <v>Roof beams &amp; 150 thk slab (TOC EL +9.150) – Zone-1 (Grid 1–3, Row E–A)</v>
      </c>
      <c r="L308" s="61" t="n">
        <f aca="false">INDEX('4D Schedule'!$AE$6:$AE$156,MATCH($J308,'4D Schedule'!$A$6:$A$156,0))</f>
        <v>46212</v>
      </c>
      <c r="M308" s="61" t="n">
        <f aca="false">INDEX('4D Schedule'!$AF$6:$AF$156,MATCH($J308,'4D Schedule'!$A$6:$A$156,0))</f>
        <v>46246</v>
      </c>
      <c r="N308" s="56" t="str">
        <f aca="false">INDEX('4D Schedule'!$AG$6:$AG$156,MATCH($J308,'4D Schedule'!$A$6:$A$156,0))</f>
        <v>Completed</v>
      </c>
      <c r="O308" s="55"/>
    </row>
    <row r="309" customFormat="false" ht="22.35" hidden="false" customHeight="false" outlineLevel="0" collapsed="false">
      <c r="A309" s="56" t="s">
        <v>1379</v>
      </c>
      <c r="B309" s="56" t="s">
        <v>1380</v>
      </c>
      <c r="C309" s="55" t="s">
        <v>1381</v>
      </c>
      <c r="D309" s="56" t="s">
        <v>1382</v>
      </c>
      <c r="E309" s="55" t="s">
        <v>1383</v>
      </c>
      <c r="F309" s="25" t="s">
        <v>75</v>
      </c>
      <c r="G309" s="55" t="s">
        <v>416</v>
      </c>
      <c r="H309" s="56" t="s">
        <v>1195</v>
      </c>
      <c r="I309" s="56" t="s">
        <v>64</v>
      </c>
      <c r="J309" s="56" t="s">
        <v>414</v>
      </c>
      <c r="K309" s="55" t="str">
        <f aca="false">INDEX('4D Schedule'!$C$6:$C$156,MATCH($J309,'4D Schedule'!$A$6:$A$156,0))</f>
        <v>Roof beams &amp; 150 thk slab (TOC EL +9.150) – Zone-1 (Grid 1–3, Row E–A)</v>
      </c>
      <c r="L309" s="61" t="n">
        <f aca="false">INDEX('4D Schedule'!$AE$6:$AE$156,MATCH($J309,'4D Schedule'!$A$6:$A$156,0))</f>
        <v>46212</v>
      </c>
      <c r="M309" s="61" t="n">
        <f aca="false">INDEX('4D Schedule'!$AF$6:$AF$156,MATCH($J309,'4D Schedule'!$A$6:$A$156,0))</f>
        <v>46246</v>
      </c>
      <c r="N309" s="56" t="str">
        <f aca="false">INDEX('4D Schedule'!$AG$6:$AG$156,MATCH($J309,'4D Schedule'!$A$6:$A$156,0))</f>
        <v>Completed</v>
      </c>
      <c r="O309" s="55"/>
    </row>
    <row r="310" customFormat="false" ht="22.35" hidden="false" customHeight="false" outlineLevel="0" collapsed="false">
      <c r="A310" s="56" t="s">
        <v>1384</v>
      </c>
      <c r="B310" s="56" t="s">
        <v>1338</v>
      </c>
      <c r="C310" s="55" t="s">
        <v>1339</v>
      </c>
      <c r="D310" s="56" t="s">
        <v>1340</v>
      </c>
      <c r="E310" s="55" t="s">
        <v>1239</v>
      </c>
      <c r="F310" s="25" t="s">
        <v>77</v>
      </c>
      <c r="G310" s="55" t="s">
        <v>416</v>
      </c>
      <c r="H310" s="56" t="s">
        <v>973</v>
      </c>
      <c r="I310" s="56" t="s">
        <v>64</v>
      </c>
      <c r="J310" s="56" t="s">
        <v>419</v>
      </c>
      <c r="K310" s="55" t="str">
        <f aca="false">INDEX('4D Schedule'!$C$6:$C$156,MATCH($J310,'4D Schedule'!$A$6:$A$156,0))</f>
        <v>Roof beams &amp; 150 thk slab (TOC EL +9.150) – Zone-2 (Grid 3–5, Row E–A)</v>
      </c>
      <c r="L310" s="61" t="n">
        <f aca="false">INDEX('4D Schedule'!$AE$6:$AE$156,MATCH($J310,'4D Schedule'!$A$6:$A$156,0))</f>
        <v>46230</v>
      </c>
      <c r="M310" s="61" t="n">
        <f aca="false">INDEX('4D Schedule'!$AF$6:$AF$156,MATCH($J310,'4D Schedule'!$A$6:$A$156,0))</f>
        <v>46262</v>
      </c>
      <c r="N310" s="56" t="str">
        <f aca="false">INDEX('4D Schedule'!$AG$6:$AG$156,MATCH($J310,'4D Schedule'!$A$6:$A$156,0))</f>
        <v>Completed</v>
      </c>
      <c r="O310" s="55"/>
    </row>
    <row r="311" customFormat="false" ht="22.35" hidden="false" customHeight="false" outlineLevel="0" collapsed="false">
      <c r="A311" s="56" t="s">
        <v>1385</v>
      </c>
      <c r="B311" s="56" t="s">
        <v>1338</v>
      </c>
      <c r="C311" s="55" t="s">
        <v>1343</v>
      </c>
      <c r="D311" s="56" t="s">
        <v>1344</v>
      </c>
      <c r="E311" s="55" t="s">
        <v>1237</v>
      </c>
      <c r="F311" s="25" t="s">
        <v>77</v>
      </c>
      <c r="G311" s="55" t="s">
        <v>416</v>
      </c>
      <c r="H311" s="56" t="s">
        <v>940</v>
      </c>
      <c r="I311" s="56" t="s">
        <v>64</v>
      </c>
      <c r="J311" s="56" t="s">
        <v>419</v>
      </c>
      <c r="K311" s="55" t="str">
        <f aca="false">INDEX('4D Schedule'!$C$6:$C$156,MATCH($J311,'4D Schedule'!$A$6:$A$156,0))</f>
        <v>Roof beams &amp; 150 thk slab (TOC EL +9.150) – Zone-2 (Grid 3–5, Row E–A)</v>
      </c>
      <c r="L311" s="61" t="n">
        <f aca="false">INDEX('4D Schedule'!$AE$6:$AE$156,MATCH($J311,'4D Schedule'!$A$6:$A$156,0))</f>
        <v>46230</v>
      </c>
      <c r="M311" s="61" t="n">
        <f aca="false">INDEX('4D Schedule'!$AF$6:$AF$156,MATCH($J311,'4D Schedule'!$A$6:$A$156,0))</f>
        <v>46262</v>
      </c>
      <c r="N311" s="56" t="str">
        <f aca="false">INDEX('4D Schedule'!$AG$6:$AG$156,MATCH($J311,'4D Schedule'!$A$6:$A$156,0))</f>
        <v>Completed</v>
      </c>
      <c r="O311" s="55"/>
    </row>
    <row r="312" customFormat="false" ht="22.35" hidden="false" customHeight="false" outlineLevel="0" collapsed="false">
      <c r="A312" s="56" t="s">
        <v>1386</v>
      </c>
      <c r="B312" s="56" t="s">
        <v>1338</v>
      </c>
      <c r="C312" s="55" t="s">
        <v>1346</v>
      </c>
      <c r="D312" s="56" t="s">
        <v>1347</v>
      </c>
      <c r="E312" s="55" t="s">
        <v>1387</v>
      </c>
      <c r="F312" s="25" t="s">
        <v>77</v>
      </c>
      <c r="G312" s="55" t="s">
        <v>416</v>
      </c>
      <c r="H312" s="56" t="s">
        <v>940</v>
      </c>
      <c r="I312" s="56" t="s">
        <v>64</v>
      </c>
      <c r="J312" s="56" t="s">
        <v>419</v>
      </c>
      <c r="K312" s="55" t="str">
        <f aca="false">INDEX('4D Schedule'!$C$6:$C$156,MATCH($J312,'4D Schedule'!$A$6:$A$156,0))</f>
        <v>Roof beams &amp; 150 thk slab (TOC EL +9.150) – Zone-2 (Grid 3–5, Row E–A)</v>
      </c>
      <c r="L312" s="61" t="n">
        <f aca="false">INDEX('4D Schedule'!$AE$6:$AE$156,MATCH($J312,'4D Schedule'!$A$6:$A$156,0))</f>
        <v>46230</v>
      </c>
      <c r="M312" s="61" t="n">
        <f aca="false">INDEX('4D Schedule'!$AF$6:$AF$156,MATCH($J312,'4D Schedule'!$A$6:$A$156,0))</f>
        <v>46262</v>
      </c>
      <c r="N312" s="56" t="str">
        <f aca="false">INDEX('4D Schedule'!$AG$6:$AG$156,MATCH($J312,'4D Schedule'!$A$6:$A$156,0))</f>
        <v>Completed</v>
      </c>
      <c r="O312" s="55"/>
    </row>
    <row r="313" customFormat="false" ht="22.35" hidden="false" customHeight="false" outlineLevel="0" collapsed="false">
      <c r="A313" s="56" t="s">
        <v>1388</v>
      </c>
      <c r="B313" s="56" t="s">
        <v>1338</v>
      </c>
      <c r="C313" s="55" t="s">
        <v>1350</v>
      </c>
      <c r="D313" s="56" t="s">
        <v>1351</v>
      </c>
      <c r="E313" s="55" t="s">
        <v>1389</v>
      </c>
      <c r="F313" s="25" t="s">
        <v>77</v>
      </c>
      <c r="G313" s="55" t="s">
        <v>416</v>
      </c>
      <c r="H313" s="56" t="s">
        <v>1353</v>
      </c>
      <c r="I313" s="56" t="s">
        <v>64</v>
      </c>
      <c r="J313" s="56" t="s">
        <v>419</v>
      </c>
      <c r="K313" s="55" t="str">
        <f aca="false">INDEX('4D Schedule'!$C$6:$C$156,MATCH($J313,'4D Schedule'!$A$6:$A$156,0))</f>
        <v>Roof beams &amp; 150 thk slab (TOC EL +9.150) – Zone-2 (Grid 3–5, Row E–A)</v>
      </c>
      <c r="L313" s="61" t="n">
        <f aca="false">INDEX('4D Schedule'!$AE$6:$AE$156,MATCH($J313,'4D Schedule'!$A$6:$A$156,0))</f>
        <v>46230</v>
      </c>
      <c r="M313" s="61" t="n">
        <f aca="false">INDEX('4D Schedule'!$AF$6:$AF$156,MATCH($J313,'4D Schedule'!$A$6:$A$156,0))</f>
        <v>46262</v>
      </c>
      <c r="N313" s="56" t="str">
        <f aca="false">INDEX('4D Schedule'!$AG$6:$AG$156,MATCH($J313,'4D Schedule'!$A$6:$A$156,0))</f>
        <v>Completed</v>
      </c>
      <c r="O313" s="55"/>
    </row>
    <row r="314" customFormat="false" ht="22.35" hidden="false" customHeight="false" outlineLevel="0" collapsed="false">
      <c r="A314" s="56" t="s">
        <v>1390</v>
      </c>
      <c r="B314" s="56" t="s">
        <v>1338</v>
      </c>
      <c r="C314" s="55" t="s">
        <v>1355</v>
      </c>
      <c r="D314" s="56" t="s">
        <v>1356</v>
      </c>
      <c r="E314" s="55" t="s">
        <v>1391</v>
      </c>
      <c r="F314" s="25" t="s">
        <v>77</v>
      </c>
      <c r="G314" s="55" t="s">
        <v>416</v>
      </c>
      <c r="H314" s="56" t="s">
        <v>940</v>
      </c>
      <c r="I314" s="56" t="s">
        <v>64</v>
      </c>
      <c r="J314" s="56" t="s">
        <v>419</v>
      </c>
      <c r="K314" s="55" t="str">
        <f aca="false">INDEX('4D Schedule'!$C$6:$C$156,MATCH($J314,'4D Schedule'!$A$6:$A$156,0))</f>
        <v>Roof beams &amp; 150 thk slab (TOC EL +9.150) – Zone-2 (Grid 3–5, Row E–A)</v>
      </c>
      <c r="L314" s="61" t="n">
        <f aca="false">INDEX('4D Schedule'!$AE$6:$AE$156,MATCH($J314,'4D Schedule'!$A$6:$A$156,0))</f>
        <v>46230</v>
      </c>
      <c r="M314" s="61" t="n">
        <f aca="false">INDEX('4D Schedule'!$AF$6:$AF$156,MATCH($J314,'4D Schedule'!$A$6:$A$156,0))</f>
        <v>46262</v>
      </c>
      <c r="N314" s="56" t="str">
        <f aca="false">INDEX('4D Schedule'!$AG$6:$AG$156,MATCH($J314,'4D Schedule'!$A$6:$A$156,0))</f>
        <v>Completed</v>
      </c>
      <c r="O314" s="55"/>
    </row>
    <row r="315" customFormat="false" ht="22.35" hidden="false" customHeight="false" outlineLevel="0" collapsed="false">
      <c r="A315" s="56" t="s">
        <v>1392</v>
      </c>
      <c r="B315" s="56" t="s">
        <v>1338</v>
      </c>
      <c r="C315" s="55" t="s">
        <v>1363</v>
      </c>
      <c r="D315" s="56" t="s">
        <v>1364</v>
      </c>
      <c r="E315" s="55" t="s">
        <v>1393</v>
      </c>
      <c r="F315" s="25" t="s">
        <v>77</v>
      </c>
      <c r="G315" s="55" t="s">
        <v>416</v>
      </c>
      <c r="H315" s="56" t="s">
        <v>940</v>
      </c>
      <c r="I315" s="56" t="s">
        <v>64</v>
      </c>
      <c r="J315" s="56" t="s">
        <v>419</v>
      </c>
      <c r="K315" s="55" t="str">
        <f aca="false">INDEX('4D Schedule'!$C$6:$C$156,MATCH($J315,'4D Schedule'!$A$6:$A$156,0))</f>
        <v>Roof beams &amp; 150 thk slab (TOC EL +9.150) – Zone-2 (Grid 3–5, Row E–A)</v>
      </c>
      <c r="L315" s="61" t="n">
        <f aca="false">INDEX('4D Schedule'!$AE$6:$AE$156,MATCH($J315,'4D Schedule'!$A$6:$A$156,0))</f>
        <v>46230</v>
      </c>
      <c r="M315" s="61" t="n">
        <f aca="false">INDEX('4D Schedule'!$AF$6:$AF$156,MATCH($J315,'4D Schedule'!$A$6:$A$156,0))</f>
        <v>46262</v>
      </c>
      <c r="N315" s="56" t="str">
        <f aca="false">INDEX('4D Schedule'!$AG$6:$AG$156,MATCH($J315,'4D Schedule'!$A$6:$A$156,0))</f>
        <v>Completed</v>
      </c>
      <c r="O315" s="55"/>
    </row>
    <row r="316" customFormat="false" ht="22.35" hidden="false" customHeight="false" outlineLevel="0" collapsed="false">
      <c r="A316" s="56" t="s">
        <v>1394</v>
      </c>
      <c r="B316" s="56" t="s">
        <v>1338</v>
      </c>
      <c r="C316" s="55" t="s">
        <v>1367</v>
      </c>
      <c r="D316" s="56" t="s">
        <v>1368</v>
      </c>
      <c r="E316" s="55" t="s">
        <v>1395</v>
      </c>
      <c r="F316" s="25" t="s">
        <v>77</v>
      </c>
      <c r="G316" s="55" t="s">
        <v>416</v>
      </c>
      <c r="H316" s="56" t="s">
        <v>940</v>
      </c>
      <c r="I316" s="56" t="s">
        <v>64</v>
      </c>
      <c r="J316" s="56" t="s">
        <v>419</v>
      </c>
      <c r="K316" s="55" t="str">
        <f aca="false">INDEX('4D Schedule'!$C$6:$C$156,MATCH($J316,'4D Schedule'!$A$6:$A$156,0))</f>
        <v>Roof beams &amp; 150 thk slab (TOC EL +9.150) – Zone-2 (Grid 3–5, Row E–A)</v>
      </c>
      <c r="L316" s="61" t="n">
        <f aca="false">INDEX('4D Schedule'!$AE$6:$AE$156,MATCH($J316,'4D Schedule'!$A$6:$A$156,0))</f>
        <v>46230</v>
      </c>
      <c r="M316" s="61" t="n">
        <f aca="false">INDEX('4D Schedule'!$AF$6:$AF$156,MATCH($J316,'4D Schedule'!$A$6:$A$156,0))</f>
        <v>46262</v>
      </c>
      <c r="N316" s="56" t="str">
        <f aca="false">INDEX('4D Schedule'!$AG$6:$AG$156,MATCH($J316,'4D Schedule'!$A$6:$A$156,0))</f>
        <v>Completed</v>
      </c>
      <c r="O316" s="55"/>
    </row>
    <row r="317" customFormat="false" ht="22.35" hidden="false" customHeight="false" outlineLevel="0" collapsed="false">
      <c r="A317" s="56" t="s">
        <v>1396</v>
      </c>
      <c r="B317" s="56" t="s">
        <v>1338</v>
      </c>
      <c r="C317" s="55" t="s">
        <v>1397</v>
      </c>
      <c r="D317" s="56" t="s">
        <v>1398</v>
      </c>
      <c r="E317" s="55" t="s">
        <v>1373</v>
      </c>
      <c r="F317" s="25" t="s">
        <v>77</v>
      </c>
      <c r="G317" s="55" t="s">
        <v>416</v>
      </c>
      <c r="H317" s="56" t="s">
        <v>940</v>
      </c>
      <c r="I317" s="56" t="s">
        <v>64</v>
      </c>
      <c r="J317" s="56" t="s">
        <v>419</v>
      </c>
      <c r="K317" s="55" t="str">
        <f aca="false">INDEX('4D Schedule'!$C$6:$C$156,MATCH($J317,'4D Schedule'!$A$6:$A$156,0))</f>
        <v>Roof beams &amp; 150 thk slab (TOC EL +9.150) – Zone-2 (Grid 3–5, Row E–A)</v>
      </c>
      <c r="L317" s="61" t="n">
        <f aca="false">INDEX('4D Schedule'!$AE$6:$AE$156,MATCH($J317,'4D Schedule'!$A$6:$A$156,0))</f>
        <v>46230</v>
      </c>
      <c r="M317" s="61" t="n">
        <f aca="false">INDEX('4D Schedule'!$AF$6:$AF$156,MATCH($J317,'4D Schedule'!$A$6:$A$156,0))</f>
        <v>46262</v>
      </c>
      <c r="N317" s="56" t="str">
        <f aca="false">INDEX('4D Schedule'!$AG$6:$AG$156,MATCH($J317,'4D Schedule'!$A$6:$A$156,0))</f>
        <v>Completed</v>
      </c>
      <c r="O317" s="55"/>
    </row>
    <row r="318" customFormat="false" ht="22.35" hidden="false" customHeight="false" outlineLevel="0" collapsed="false">
      <c r="A318" s="56" t="s">
        <v>1399</v>
      </c>
      <c r="B318" s="56" t="s">
        <v>1380</v>
      </c>
      <c r="C318" s="55" t="s">
        <v>1381</v>
      </c>
      <c r="D318" s="56" t="s">
        <v>1382</v>
      </c>
      <c r="E318" s="55" t="s">
        <v>1400</v>
      </c>
      <c r="F318" s="25" t="s">
        <v>77</v>
      </c>
      <c r="G318" s="55" t="s">
        <v>416</v>
      </c>
      <c r="H318" s="56" t="s">
        <v>1195</v>
      </c>
      <c r="I318" s="56" t="s">
        <v>64</v>
      </c>
      <c r="J318" s="56" t="s">
        <v>419</v>
      </c>
      <c r="K318" s="55" t="str">
        <f aca="false">INDEX('4D Schedule'!$C$6:$C$156,MATCH($J318,'4D Schedule'!$A$6:$A$156,0))</f>
        <v>Roof beams &amp; 150 thk slab (TOC EL +9.150) – Zone-2 (Grid 3–5, Row E–A)</v>
      </c>
      <c r="L318" s="61" t="n">
        <f aca="false">INDEX('4D Schedule'!$AE$6:$AE$156,MATCH($J318,'4D Schedule'!$A$6:$A$156,0))</f>
        <v>46230</v>
      </c>
      <c r="M318" s="61" t="n">
        <f aca="false">INDEX('4D Schedule'!$AF$6:$AF$156,MATCH($J318,'4D Schedule'!$A$6:$A$156,0))</f>
        <v>46262</v>
      </c>
      <c r="N318" s="56" t="str">
        <f aca="false">INDEX('4D Schedule'!$AG$6:$AG$156,MATCH($J318,'4D Schedule'!$A$6:$A$156,0))</f>
        <v>Completed</v>
      </c>
      <c r="O318" s="55"/>
    </row>
    <row r="319" customFormat="false" ht="22.35" hidden="false" customHeight="false" outlineLevel="0" collapsed="false">
      <c r="A319" s="56" t="s">
        <v>1401</v>
      </c>
      <c r="B319" s="56" t="s">
        <v>1338</v>
      </c>
      <c r="C319" s="55" t="s">
        <v>1339</v>
      </c>
      <c r="D319" s="56" t="s">
        <v>1340</v>
      </c>
      <c r="E319" s="55" t="s">
        <v>1402</v>
      </c>
      <c r="F319" s="25" t="s">
        <v>79</v>
      </c>
      <c r="G319" s="55" t="s">
        <v>416</v>
      </c>
      <c r="H319" s="56" t="s">
        <v>973</v>
      </c>
      <c r="I319" s="56" t="s">
        <v>64</v>
      </c>
      <c r="J319" s="56" t="s">
        <v>422</v>
      </c>
      <c r="K319" s="55" t="str">
        <f aca="false">INDEX('4D Schedule'!$C$6:$C$156,MATCH($J319,'4D Schedule'!$A$6:$A$156,0))</f>
        <v>Roof beams &amp; 150 thk slab (TOC EL +9.150) – Zone-3 (Grid 5–6, Row E–A)</v>
      </c>
      <c r="L319" s="61" t="n">
        <f aca="false">INDEX('4D Schedule'!$AE$6:$AE$156,MATCH($J319,'4D Schedule'!$A$6:$A$156,0))</f>
        <v>46246</v>
      </c>
      <c r="M319" s="61" t="n">
        <f aca="false">INDEX('4D Schedule'!$AF$6:$AF$156,MATCH($J319,'4D Schedule'!$A$6:$A$156,0))</f>
        <v>46274</v>
      </c>
      <c r="N319" s="56" t="str">
        <f aca="false">INDEX('4D Schedule'!$AG$6:$AG$156,MATCH($J319,'4D Schedule'!$A$6:$A$156,0))</f>
        <v>Completed</v>
      </c>
      <c r="O319" s="55"/>
    </row>
    <row r="320" customFormat="false" ht="22.35" hidden="false" customHeight="false" outlineLevel="0" collapsed="false">
      <c r="A320" s="56" t="s">
        <v>1403</v>
      </c>
      <c r="B320" s="56" t="s">
        <v>1338</v>
      </c>
      <c r="C320" s="55" t="s">
        <v>1343</v>
      </c>
      <c r="D320" s="56" t="s">
        <v>1344</v>
      </c>
      <c r="E320" s="55" t="s">
        <v>1130</v>
      </c>
      <c r="F320" s="25" t="s">
        <v>79</v>
      </c>
      <c r="G320" s="55" t="s">
        <v>416</v>
      </c>
      <c r="H320" s="56" t="s">
        <v>940</v>
      </c>
      <c r="I320" s="56" t="s">
        <v>64</v>
      </c>
      <c r="J320" s="56" t="s">
        <v>422</v>
      </c>
      <c r="K320" s="55" t="str">
        <f aca="false">INDEX('4D Schedule'!$C$6:$C$156,MATCH($J320,'4D Schedule'!$A$6:$A$156,0))</f>
        <v>Roof beams &amp; 150 thk slab (TOC EL +9.150) – Zone-3 (Grid 5–6, Row E–A)</v>
      </c>
      <c r="L320" s="61" t="n">
        <f aca="false">INDEX('4D Schedule'!$AE$6:$AE$156,MATCH($J320,'4D Schedule'!$A$6:$A$156,0))</f>
        <v>46246</v>
      </c>
      <c r="M320" s="61" t="n">
        <f aca="false">INDEX('4D Schedule'!$AF$6:$AF$156,MATCH($J320,'4D Schedule'!$A$6:$A$156,0))</f>
        <v>46274</v>
      </c>
      <c r="N320" s="56" t="str">
        <f aca="false">INDEX('4D Schedule'!$AG$6:$AG$156,MATCH($J320,'4D Schedule'!$A$6:$A$156,0))</f>
        <v>Completed</v>
      </c>
      <c r="O320" s="55"/>
    </row>
    <row r="321" customFormat="false" ht="22.35" hidden="false" customHeight="false" outlineLevel="0" collapsed="false">
      <c r="A321" s="56" t="s">
        <v>1404</v>
      </c>
      <c r="B321" s="56" t="s">
        <v>1338</v>
      </c>
      <c r="C321" s="55" t="s">
        <v>1346</v>
      </c>
      <c r="D321" s="56" t="s">
        <v>1347</v>
      </c>
      <c r="E321" s="55" t="s">
        <v>1051</v>
      </c>
      <c r="F321" s="25" t="s">
        <v>79</v>
      </c>
      <c r="G321" s="55" t="s">
        <v>416</v>
      </c>
      <c r="H321" s="56" t="s">
        <v>940</v>
      </c>
      <c r="I321" s="56" t="s">
        <v>64</v>
      </c>
      <c r="J321" s="56" t="s">
        <v>422</v>
      </c>
      <c r="K321" s="55" t="str">
        <f aca="false">INDEX('4D Schedule'!$C$6:$C$156,MATCH($J321,'4D Schedule'!$A$6:$A$156,0))</f>
        <v>Roof beams &amp; 150 thk slab (TOC EL +9.150) – Zone-3 (Grid 5–6, Row E–A)</v>
      </c>
      <c r="L321" s="61" t="n">
        <f aca="false">INDEX('4D Schedule'!$AE$6:$AE$156,MATCH($J321,'4D Schedule'!$A$6:$A$156,0))</f>
        <v>46246</v>
      </c>
      <c r="M321" s="61" t="n">
        <f aca="false">INDEX('4D Schedule'!$AF$6:$AF$156,MATCH($J321,'4D Schedule'!$A$6:$A$156,0))</f>
        <v>46274</v>
      </c>
      <c r="N321" s="56" t="str">
        <f aca="false">INDEX('4D Schedule'!$AG$6:$AG$156,MATCH($J321,'4D Schedule'!$A$6:$A$156,0))</f>
        <v>Completed</v>
      </c>
      <c r="O321" s="55"/>
    </row>
    <row r="322" customFormat="false" ht="22.35" hidden="false" customHeight="false" outlineLevel="0" collapsed="false">
      <c r="A322" s="56" t="s">
        <v>1405</v>
      </c>
      <c r="B322" s="56" t="s">
        <v>1338</v>
      </c>
      <c r="C322" s="55" t="s">
        <v>1350</v>
      </c>
      <c r="D322" s="56" t="s">
        <v>1351</v>
      </c>
      <c r="E322" s="55" t="s">
        <v>1406</v>
      </c>
      <c r="F322" s="25" t="s">
        <v>79</v>
      </c>
      <c r="G322" s="55" t="s">
        <v>416</v>
      </c>
      <c r="H322" s="56" t="s">
        <v>1353</v>
      </c>
      <c r="I322" s="56" t="s">
        <v>64</v>
      </c>
      <c r="J322" s="56" t="s">
        <v>422</v>
      </c>
      <c r="K322" s="55" t="str">
        <f aca="false">INDEX('4D Schedule'!$C$6:$C$156,MATCH($J322,'4D Schedule'!$A$6:$A$156,0))</f>
        <v>Roof beams &amp; 150 thk slab (TOC EL +9.150) – Zone-3 (Grid 5–6, Row E–A)</v>
      </c>
      <c r="L322" s="61" t="n">
        <f aca="false">INDEX('4D Schedule'!$AE$6:$AE$156,MATCH($J322,'4D Schedule'!$A$6:$A$156,0))</f>
        <v>46246</v>
      </c>
      <c r="M322" s="61" t="n">
        <f aca="false">INDEX('4D Schedule'!$AF$6:$AF$156,MATCH($J322,'4D Schedule'!$A$6:$A$156,0))</f>
        <v>46274</v>
      </c>
      <c r="N322" s="56" t="str">
        <f aca="false">INDEX('4D Schedule'!$AG$6:$AG$156,MATCH($J322,'4D Schedule'!$A$6:$A$156,0))</f>
        <v>Completed</v>
      </c>
      <c r="O322" s="55"/>
    </row>
    <row r="323" customFormat="false" ht="22.35" hidden="false" customHeight="false" outlineLevel="0" collapsed="false">
      <c r="A323" s="56" t="s">
        <v>1407</v>
      </c>
      <c r="B323" s="56" t="s">
        <v>1338</v>
      </c>
      <c r="C323" s="55" t="s">
        <v>1355</v>
      </c>
      <c r="D323" s="56" t="s">
        <v>1356</v>
      </c>
      <c r="E323" s="55" t="s">
        <v>1055</v>
      </c>
      <c r="F323" s="25" t="s">
        <v>79</v>
      </c>
      <c r="G323" s="55" t="s">
        <v>416</v>
      </c>
      <c r="H323" s="56" t="s">
        <v>940</v>
      </c>
      <c r="I323" s="56" t="s">
        <v>64</v>
      </c>
      <c r="J323" s="56" t="s">
        <v>422</v>
      </c>
      <c r="K323" s="55" t="str">
        <f aca="false">INDEX('4D Schedule'!$C$6:$C$156,MATCH($J323,'4D Schedule'!$A$6:$A$156,0))</f>
        <v>Roof beams &amp; 150 thk slab (TOC EL +9.150) – Zone-3 (Grid 5–6, Row E–A)</v>
      </c>
      <c r="L323" s="61" t="n">
        <f aca="false">INDEX('4D Schedule'!$AE$6:$AE$156,MATCH($J323,'4D Schedule'!$A$6:$A$156,0))</f>
        <v>46246</v>
      </c>
      <c r="M323" s="61" t="n">
        <f aca="false">INDEX('4D Schedule'!$AF$6:$AF$156,MATCH($J323,'4D Schedule'!$A$6:$A$156,0))</f>
        <v>46274</v>
      </c>
      <c r="N323" s="56" t="str">
        <f aca="false">INDEX('4D Schedule'!$AG$6:$AG$156,MATCH($J323,'4D Schedule'!$A$6:$A$156,0))</f>
        <v>Completed</v>
      </c>
      <c r="O323" s="55"/>
    </row>
    <row r="324" customFormat="false" ht="22.35" hidden="false" customHeight="false" outlineLevel="0" collapsed="false">
      <c r="A324" s="56" t="s">
        <v>1408</v>
      </c>
      <c r="B324" s="56" t="s">
        <v>1338</v>
      </c>
      <c r="C324" s="55" t="s">
        <v>1367</v>
      </c>
      <c r="D324" s="56" t="s">
        <v>1368</v>
      </c>
      <c r="E324" s="55" t="s">
        <v>1409</v>
      </c>
      <c r="F324" s="25" t="s">
        <v>79</v>
      </c>
      <c r="G324" s="55" t="s">
        <v>416</v>
      </c>
      <c r="H324" s="56" t="s">
        <v>940</v>
      </c>
      <c r="I324" s="56" t="s">
        <v>64</v>
      </c>
      <c r="J324" s="56" t="s">
        <v>422</v>
      </c>
      <c r="K324" s="55" t="str">
        <f aca="false">INDEX('4D Schedule'!$C$6:$C$156,MATCH($J324,'4D Schedule'!$A$6:$A$156,0))</f>
        <v>Roof beams &amp; 150 thk slab (TOC EL +9.150) – Zone-3 (Grid 5–6, Row E–A)</v>
      </c>
      <c r="L324" s="61" t="n">
        <f aca="false">INDEX('4D Schedule'!$AE$6:$AE$156,MATCH($J324,'4D Schedule'!$A$6:$A$156,0))</f>
        <v>46246</v>
      </c>
      <c r="M324" s="61" t="n">
        <f aca="false">INDEX('4D Schedule'!$AF$6:$AF$156,MATCH($J324,'4D Schedule'!$A$6:$A$156,0))</f>
        <v>46274</v>
      </c>
      <c r="N324" s="56" t="str">
        <f aca="false">INDEX('4D Schedule'!$AG$6:$AG$156,MATCH($J324,'4D Schedule'!$A$6:$A$156,0))</f>
        <v>Completed</v>
      </c>
      <c r="O324" s="55"/>
    </row>
    <row r="325" customFormat="false" ht="22.35" hidden="false" customHeight="false" outlineLevel="0" collapsed="false">
      <c r="A325" s="56" t="s">
        <v>1410</v>
      </c>
      <c r="B325" s="56" t="s">
        <v>1338</v>
      </c>
      <c r="C325" s="55" t="s">
        <v>1411</v>
      </c>
      <c r="D325" s="56" t="s">
        <v>1412</v>
      </c>
      <c r="E325" s="55" t="s">
        <v>1413</v>
      </c>
      <c r="F325" s="25" t="s">
        <v>79</v>
      </c>
      <c r="G325" s="55" t="s">
        <v>416</v>
      </c>
      <c r="H325" s="56" t="s">
        <v>1414</v>
      </c>
      <c r="I325" s="56" t="s">
        <v>64</v>
      </c>
      <c r="J325" s="56" t="s">
        <v>422</v>
      </c>
      <c r="K325" s="55" t="str">
        <f aca="false">INDEX('4D Schedule'!$C$6:$C$156,MATCH($J325,'4D Schedule'!$A$6:$A$156,0))</f>
        <v>Roof beams &amp; 150 thk slab (TOC EL +9.150) – Zone-3 (Grid 5–6, Row E–A)</v>
      </c>
      <c r="L325" s="61" t="n">
        <f aca="false">INDEX('4D Schedule'!$AE$6:$AE$156,MATCH($J325,'4D Schedule'!$A$6:$A$156,0))</f>
        <v>46246</v>
      </c>
      <c r="M325" s="61" t="n">
        <f aca="false">INDEX('4D Schedule'!$AF$6:$AF$156,MATCH($J325,'4D Schedule'!$A$6:$A$156,0))</f>
        <v>46274</v>
      </c>
      <c r="N325" s="56" t="str">
        <f aca="false">INDEX('4D Schedule'!$AG$6:$AG$156,MATCH($J325,'4D Schedule'!$A$6:$A$156,0))</f>
        <v>Completed</v>
      </c>
      <c r="O325" s="55"/>
    </row>
    <row r="326" customFormat="false" ht="22.35" hidden="false" customHeight="false" outlineLevel="0" collapsed="false">
      <c r="A326" s="56" t="s">
        <v>1415</v>
      </c>
      <c r="B326" s="56" t="s">
        <v>1338</v>
      </c>
      <c r="C326" s="55" t="s">
        <v>1416</v>
      </c>
      <c r="D326" s="56" t="s">
        <v>1417</v>
      </c>
      <c r="E326" s="55" t="s">
        <v>1418</v>
      </c>
      <c r="F326" s="25" t="s">
        <v>79</v>
      </c>
      <c r="G326" s="55" t="s">
        <v>416</v>
      </c>
      <c r="H326" s="56" t="s">
        <v>1082</v>
      </c>
      <c r="I326" s="56" t="s">
        <v>64</v>
      </c>
      <c r="J326" s="56" t="s">
        <v>422</v>
      </c>
      <c r="K326" s="55" t="str">
        <f aca="false">INDEX('4D Schedule'!$C$6:$C$156,MATCH($J326,'4D Schedule'!$A$6:$A$156,0))</f>
        <v>Roof beams &amp; 150 thk slab (TOC EL +9.150) – Zone-3 (Grid 5–6, Row E–A)</v>
      </c>
      <c r="L326" s="61" t="n">
        <f aca="false">INDEX('4D Schedule'!$AE$6:$AE$156,MATCH($J326,'4D Schedule'!$A$6:$A$156,0))</f>
        <v>46246</v>
      </c>
      <c r="M326" s="61" t="n">
        <f aca="false">INDEX('4D Schedule'!$AF$6:$AF$156,MATCH($J326,'4D Schedule'!$A$6:$A$156,0))</f>
        <v>46274</v>
      </c>
      <c r="N326" s="56" t="str">
        <f aca="false">INDEX('4D Schedule'!$AG$6:$AG$156,MATCH($J326,'4D Schedule'!$A$6:$A$156,0))</f>
        <v>Completed</v>
      </c>
      <c r="O326" s="55"/>
    </row>
    <row r="327" customFormat="false" ht="22.35" hidden="false" customHeight="false" outlineLevel="0" collapsed="false">
      <c r="A327" s="56" t="s">
        <v>1419</v>
      </c>
      <c r="B327" s="56" t="s">
        <v>1380</v>
      </c>
      <c r="C327" s="55" t="s">
        <v>1381</v>
      </c>
      <c r="D327" s="56" t="s">
        <v>1382</v>
      </c>
      <c r="E327" s="55" t="s">
        <v>1420</v>
      </c>
      <c r="F327" s="25" t="s">
        <v>79</v>
      </c>
      <c r="G327" s="55" t="s">
        <v>416</v>
      </c>
      <c r="H327" s="56" t="s">
        <v>1195</v>
      </c>
      <c r="I327" s="56" t="s">
        <v>64</v>
      </c>
      <c r="J327" s="56" t="s">
        <v>422</v>
      </c>
      <c r="K327" s="55" t="str">
        <f aca="false">INDEX('4D Schedule'!$C$6:$C$156,MATCH($J327,'4D Schedule'!$A$6:$A$156,0))</f>
        <v>Roof beams &amp; 150 thk slab (TOC EL +9.150) – Zone-3 (Grid 5–6, Row E–A)</v>
      </c>
      <c r="L327" s="61" t="n">
        <f aca="false">INDEX('4D Schedule'!$AE$6:$AE$156,MATCH($J327,'4D Schedule'!$A$6:$A$156,0))</f>
        <v>46246</v>
      </c>
      <c r="M327" s="61" t="n">
        <f aca="false">INDEX('4D Schedule'!$AF$6:$AF$156,MATCH($J327,'4D Schedule'!$A$6:$A$156,0))</f>
        <v>46274</v>
      </c>
      <c r="N327" s="56" t="str">
        <f aca="false">INDEX('4D Schedule'!$AG$6:$AG$156,MATCH($J327,'4D Schedule'!$A$6:$A$156,0))</f>
        <v>Completed</v>
      </c>
      <c r="O327" s="55"/>
    </row>
    <row r="328" customFormat="false" ht="15" hidden="false" customHeight="false" outlineLevel="0" collapsed="false">
      <c r="A328" s="56" t="s">
        <v>1421</v>
      </c>
      <c r="B328" s="56" t="s">
        <v>368</v>
      </c>
      <c r="C328" s="55" t="s">
        <v>1422</v>
      </c>
      <c r="D328" s="56" t="s">
        <v>943</v>
      </c>
      <c r="E328" s="55" t="s">
        <v>842</v>
      </c>
      <c r="F328" s="25" t="s">
        <v>75</v>
      </c>
      <c r="G328" s="55" t="s">
        <v>428</v>
      </c>
      <c r="H328" s="56" t="s">
        <v>940</v>
      </c>
      <c r="I328" s="56" t="s">
        <v>58</v>
      </c>
      <c r="J328" s="56" t="s">
        <v>425</v>
      </c>
      <c r="K328" s="55" t="str">
        <f aca="false">INDEX('4D Schedule'!$C$6:$C$156,MATCH($J328,'4D Schedule'!$A$6:$A$156,0))</f>
        <v>Mumty columns (EL +9.150 to +12.150) – ST-2 (C1 ×4)</v>
      </c>
      <c r="L328" s="61" t="n">
        <f aca="false">INDEX('4D Schedule'!$AE$6:$AE$156,MATCH($J328,'4D Schedule'!$A$6:$A$156,0))</f>
        <v>46247</v>
      </c>
      <c r="M328" s="61" t="n">
        <f aca="false">INDEX('4D Schedule'!$AF$6:$AF$156,MATCH($J328,'4D Schedule'!$A$6:$A$156,0))</f>
        <v>46256</v>
      </c>
      <c r="N328" s="56" t="str">
        <f aca="false">INDEX('4D Schedule'!$AG$6:$AG$156,MATCH($J328,'4D Schedule'!$A$6:$A$156,0))</f>
        <v>Completed</v>
      </c>
      <c r="O328" s="55"/>
    </row>
    <row r="329" customFormat="false" ht="15" hidden="false" customHeight="false" outlineLevel="0" collapsed="false">
      <c r="A329" s="56" t="s">
        <v>1423</v>
      </c>
      <c r="B329" s="56" t="s">
        <v>368</v>
      </c>
      <c r="C329" s="55" t="s">
        <v>1422</v>
      </c>
      <c r="D329" s="56" t="s">
        <v>943</v>
      </c>
      <c r="E329" s="55" t="s">
        <v>852</v>
      </c>
      <c r="F329" s="25" t="s">
        <v>75</v>
      </c>
      <c r="G329" s="55" t="s">
        <v>428</v>
      </c>
      <c r="H329" s="56" t="s">
        <v>940</v>
      </c>
      <c r="I329" s="56" t="s">
        <v>58</v>
      </c>
      <c r="J329" s="56" t="s">
        <v>425</v>
      </c>
      <c r="K329" s="55" t="str">
        <f aca="false">INDEX('4D Schedule'!$C$6:$C$156,MATCH($J329,'4D Schedule'!$A$6:$A$156,0))</f>
        <v>Mumty columns (EL +9.150 to +12.150) – ST-2 (C1 ×4)</v>
      </c>
      <c r="L329" s="61" t="n">
        <f aca="false">INDEX('4D Schedule'!$AE$6:$AE$156,MATCH($J329,'4D Schedule'!$A$6:$A$156,0))</f>
        <v>46247</v>
      </c>
      <c r="M329" s="61" t="n">
        <f aca="false">INDEX('4D Schedule'!$AF$6:$AF$156,MATCH($J329,'4D Schedule'!$A$6:$A$156,0))</f>
        <v>46256</v>
      </c>
      <c r="N329" s="56" t="str">
        <f aca="false">INDEX('4D Schedule'!$AG$6:$AG$156,MATCH($J329,'4D Schedule'!$A$6:$A$156,0))</f>
        <v>Completed</v>
      </c>
      <c r="O329" s="55"/>
    </row>
    <row r="330" customFormat="false" ht="15" hidden="false" customHeight="false" outlineLevel="0" collapsed="false">
      <c r="A330" s="56" t="s">
        <v>1424</v>
      </c>
      <c r="B330" s="56" t="s">
        <v>368</v>
      </c>
      <c r="C330" s="55" t="s">
        <v>1422</v>
      </c>
      <c r="D330" s="56" t="s">
        <v>943</v>
      </c>
      <c r="E330" s="55" t="s">
        <v>847</v>
      </c>
      <c r="F330" s="25" t="s">
        <v>75</v>
      </c>
      <c r="G330" s="55" t="s">
        <v>428</v>
      </c>
      <c r="H330" s="56" t="s">
        <v>940</v>
      </c>
      <c r="I330" s="56" t="s">
        <v>58</v>
      </c>
      <c r="J330" s="56" t="s">
        <v>425</v>
      </c>
      <c r="K330" s="55" t="str">
        <f aca="false">INDEX('4D Schedule'!$C$6:$C$156,MATCH($J330,'4D Schedule'!$A$6:$A$156,0))</f>
        <v>Mumty columns (EL +9.150 to +12.150) – ST-2 (C1 ×4)</v>
      </c>
      <c r="L330" s="61" t="n">
        <f aca="false">INDEX('4D Schedule'!$AE$6:$AE$156,MATCH($J330,'4D Schedule'!$A$6:$A$156,0))</f>
        <v>46247</v>
      </c>
      <c r="M330" s="61" t="n">
        <f aca="false">INDEX('4D Schedule'!$AF$6:$AF$156,MATCH($J330,'4D Schedule'!$A$6:$A$156,0))</f>
        <v>46256</v>
      </c>
      <c r="N330" s="56" t="str">
        <f aca="false">INDEX('4D Schedule'!$AG$6:$AG$156,MATCH($J330,'4D Schedule'!$A$6:$A$156,0))</f>
        <v>Completed</v>
      </c>
      <c r="O330" s="55"/>
    </row>
    <row r="331" customFormat="false" ht="15" hidden="false" customHeight="false" outlineLevel="0" collapsed="false">
      <c r="A331" s="56" t="s">
        <v>1425</v>
      </c>
      <c r="B331" s="56" t="s">
        <v>368</v>
      </c>
      <c r="C331" s="55" t="s">
        <v>1422</v>
      </c>
      <c r="D331" s="56" t="s">
        <v>943</v>
      </c>
      <c r="E331" s="55" t="s">
        <v>855</v>
      </c>
      <c r="F331" s="25" t="s">
        <v>75</v>
      </c>
      <c r="G331" s="55" t="s">
        <v>428</v>
      </c>
      <c r="H331" s="56" t="s">
        <v>940</v>
      </c>
      <c r="I331" s="56" t="s">
        <v>58</v>
      </c>
      <c r="J331" s="56" t="s">
        <v>425</v>
      </c>
      <c r="K331" s="55" t="str">
        <f aca="false">INDEX('4D Schedule'!$C$6:$C$156,MATCH($J331,'4D Schedule'!$A$6:$A$156,0))</f>
        <v>Mumty columns (EL +9.150 to +12.150) – ST-2 (C1 ×4)</v>
      </c>
      <c r="L331" s="61" t="n">
        <f aca="false">INDEX('4D Schedule'!$AE$6:$AE$156,MATCH($J331,'4D Schedule'!$A$6:$A$156,0))</f>
        <v>46247</v>
      </c>
      <c r="M331" s="61" t="n">
        <f aca="false">INDEX('4D Schedule'!$AF$6:$AF$156,MATCH($J331,'4D Schedule'!$A$6:$A$156,0))</f>
        <v>46256</v>
      </c>
      <c r="N331" s="56" t="str">
        <f aca="false">INDEX('4D Schedule'!$AG$6:$AG$156,MATCH($J331,'4D Schedule'!$A$6:$A$156,0))</f>
        <v>Completed</v>
      </c>
      <c r="O331" s="55"/>
    </row>
    <row r="332" customFormat="false" ht="22.35" hidden="false" customHeight="false" outlineLevel="0" collapsed="false">
      <c r="A332" s="56" t="s">
        <v>1426</v>
      </c>
      <c r="B332" s="56" t="s">
        <v>1338</v>
      </c>
      <c r="C332" s="55" t="s">
        <v>1427</v>
      </c>
      <c r="D332" s="56" t="s">
        <v>1428</v>
      </c>
      <c r="E332" s="55" t="s">
        <v>384</v>
      </c>
      <c r="F332" s="25" t="s">
        <v>75</v>
      </c>
      <c r="G332" s="55" t="s">
        <v>432</v>
      </c>
      <c r="H332" s="56" t="s">
        <v>1429</v>
      </c>
      <c r="I332" s="56" t="s">
        <v>64</v>
      </c>
      <c r="J332" s="56" t="s">
        <v>430</v>
      </c>
      <c r="K332" s="55" t="str">
        <f aca="false">INDEX('4D Schedule'!$C$6:$C$156,MATCH($J332,'4D Schedule'!$A$6:$A$156,0))</f>
        <v>Mumty roof beams RB15/RB16 &amp; slab (TOC EL +12.150) – ST-2</v>
      </c>
      <c r="L332" s="61" t="n">
        <f aca="false">INDEX('4D Schedule'!$AE$6:$AE$156,MATCH($J332,'4D Schedule'!$A$6:$A$156,0))</f>
        <v>46258</v>
      </c>
      <c r="M332" s="61" t="n">
        <f aca="false">INDEX('4D Schedule'!$AF$6:$AF$156,MATCH($J332,'4D Schedule'!$A$6:$A$156,0))</f>
        <v>46270</v>
      </c>
      <c r="N332" s="56" t="str">
        <f aca="false">INDEX('4D Schedule'!$AG$6:$AG$156,MATCH($J332,'4D Schedule'!$A$6:$A$156,0))</f>
        <v>Completed</v>
      </c>
      <c r="O332" s="55"/>
    </row>
    <row r="333" customFormat="false" ht="22.35" hidden="false" customHeight="false" outlineLevel="0" collapsed="false">
      <c r="A333" s="56" t="s">
        <v>1430</v>
      </c>
      <c r="B333" s="56" t="s">
        <v>1380</v>
      </c>
      <c r="C333" s="55" t="s">
        <v>1431</v>
      </c>
      <c r="D333" s="56" t="s">
        <v>1432</v>
      </c>
      <c r="E333" s="55" t="s">
        <v>384</v>
      </c>
      <c r="F333" s="25" t="s">
        <v>75</v>
      </c>
      <c r="G333" s="55" t="s">
        <v>432</v>
      </c>
      <c r="H333" s="56" t="s">
        <v>1195</v>
      </c>
      <c r="I333" s="56" t="s">
        <v>64</v>
      </c>
      <c r="J333" s="56" t="s">
        <v>430</v>
      </c>
      <c r="K333" s="55" t="str">
        <f aca="false">INDEX('4D Schedule'!$C$6:$C$156,MATCH($J333,'4D Schedule'!$A$6:$A$156,0))</f>
        <v>Mumty roof beams RB15/RB16 &amp; slab (TOC EL +12.150) – ST-2</v>
      </c>
      <c r="L333" s="61" t="n">
        <f aca="false">INDEX('4D Schedule'!$AE$6:$AE$156,MATCH($J333,'4D Schedule'!$A$6:$A$156,0))</f>
        <v>46258</v>
      </c>
      <c r="M333" s="61" t="n">
        <f aca="false">INDEX('4D Schedule'!$AF$6:$AF$156,MATCH($J333,'4D Schedule'!$A$6:$A$156,0))</f>
        <v>46270</v>
      </c>
      <c r="N333" s="56" t="str">
        <f aca="false">INDEX('4D Schedule'!$AG$6:$AG$156,MATCH($J333,'4D Schedule'!$A$6:$A$156,0))</f>
        <v>Completed</v>
      </c>
      <c r="O333" s="55"/>
    </row>
    <row r="334" customFormat="false" ht="15" hidden="false" customHeight="false" outlineLevel="0" collapsed="false">
      <c r="A334" s="56" t="s">
        <v>1433</v>
      </c>
      <c r="B334" s="56" t="s">
        <v>368</v>
      </c>
      <c r="C334" s="55" t="s">
        <v>1422</v>
      </c>
      <c r="D334" s="56" t="s">
        <v>943</v>
      </c>
      <c r="E334" s="55" t="s">
        <v>834</v>
      </c>
      <c r="F334" s="25" t="s">
        <v>79</v>
      </c>
      <c r="G334" s="55" t="s">
        <v>428</v>
      </c>
      <c r="H334" s="56" t="s">
        <v>940</v>
      </c>
      <c r="I334" s="56" t="s">
        <v>58</v>
      </c>
      <c r="J334" s="56" t="s">
        <v>434</v>
      </c>
      <c r="K334" s="55" t="str">
        <f aca="false">INDEX('4D Schedule'!$C$6:$C$156,MATCH($J334,'4D Schedule'!$A$6:$A$156,0))</f>
        <v>Mumty columns (EL +9.150 to +12.150) – ST-1 (C1 ×4)</v>
      </c>
      <c r="L334" s="61" t="n">
        <f aca="false">INDEX('4D Schedule'!$AE$6:$AE$156,MATCH($J334,'4D Schedule'!$A$6:$A$156,0))</f>
        <v>46275</v>
      </c>
      <c r="M334" s="61" t="n">
        <f aca="false">INDEX('4D Schedule'!$AF$6:$AF$156,MATCH($J334,'4D Schedule'!$A$6:$A$156,0))</f>
        <v>46283</v>
      </c>
      <c r="N334" s="56" t="str">
        <f aca="false">INDEX('4D Schedule'!$AG$6:$AG$156,MATCH($J334,'4D Schedule'!$A$6:$A$156,0))</f>
        <v>Completed</v>
      </c>
      <c r="O334" s="55"/>
    </row>
    <row r="335" customFormat="false" ht="15" hidden="false" customHeight="false" outlineLevel="0" collapsed="false">
      <c r="A335" s="56" t="s">
        <v>1434</v>
      </c>
      <c r="B335" s="56" t="s">
        <v>368</v>
      </c>
      <c r="C335" s="55" t="s">
        <v>1422</v>
      </c>
      <c r="D335" s="56" t="s">
        <v>943</v>
      </c>
      <c r="E335" s="55" t="s">
        <v>875</v>
      </c>
      <c r="F335" s="25" t="s">
        <v>79</v>
      </c>
      <c r="G335" s="55" t="s">
        <v>428</v>
      </c>
      <c r="H335" s="56" t="s">
        <v>940</v>
      </c>
      <c r="I335" s="56" t="s">
        <v>58</v>
      </c>
      <c r="J335" s="56" t="s">
        <v>434</v>
      </c>
      <c r="K335" s="55" t="str">
        <f aca="false">INDEX('4D Schedule'!$C$6:$C$156,MATCH($J335,'4D Schedule'!$A$6:$A$156,0))</f>
        <v>Mumty columns (EL +9.150 to +12.150) – ST-1 (C1 ×4)</v>
      </c>
      <c r="L335" s="61" t="n">
        <f aca="false">INDEX('4D Schedule'!$AE$6:$AE$156,MATCH($J335,'4D Schedule'!$A$6:$A$156,0))</f>
        <v>46275</v>
      </c>
      <c r="M335" s="61" t="n">
        <f aca="false">INDEX('4D Schedule'!$AF$6:$AF$156,MATCH($J335,'4D Schedule'!$A$6:$A$156,0))</f>
        <v>46283</v>
      </c>
      <c r="N335" s="56" t="str">
        <f aca="false">INDEX('4D Schedule'!$AG$6:$AG$156,MATCH($J335,'4D Schedule'!$A$6:$A$156,0))</f>
        <v>Completed</v>
      </c>
      <c r="O335" s="55"/>
    </row>
    <row r="336" customFormat="false" ht="15" hidden="false" customHeight="false" outlineLevel="0" collapsed="false">
      <c r="A336" s="56" t="s">
        <v>1435</v>
      </c>
      <c r="B336" s="56" t="s">
        <v>368</v>
      </c>
      <c r="C336" s="55" t="s">
        <v>1422</v>
      </c>
      <c r="D336" s="56" t="s">
        <v>943</v>
      </c>
      <c r="E336" s="55" t="s">
        <v>839</v>
      </c>
      <c r="F336" s="25" t="s">
        <v>79</v>
      </c>
      <c r="G336" s="55" t="s">
        <v>428</v>
      </c>
      <c r="H336" s="56" t="s">
        <v>940</v>
      </c>
      <c r="I336" s="56" t="s">
        <v>58</v>
      </c>
      <c r="J336" s="56" t="s">
        <v>434</v>
      </c>
      <c r="K336" s="55" t="str">
        <f aca="false">INDEX('4D Schedule'!$C$6:$C$156,MATCH($J336,'4D Schedule'!$A$6:$A$156,0))</f>
        <v>Mumty columns (EL +9.150 to +12.150) – ST-1 (C1 ×4)</v>
      </c>
      <c r="L336" s="61" t="n">
        <f aca="false">INDEX('4D Schedule'!$AE$6:$AE$156,MATCH($J336,'4D Schedule'!$A$6:$A$156,0))</f>
        <v>46275</v>
      </c>
      <c r="M336" s="61" t="n">
        <f aca="false">INDEX('4D Schedule'!$AF$6:$AF$156,MATCH($J336,'4D Schedule'!$A$6:$A$156,0))</f>
        <v>46283</v>
      </c>
      <c r="N336" s="56" t="str">
        <f aca="false">INDEX('4D Schedule'!$AG$6:$AG$156,MATCH($J336,'4D Schedule'!$A$6:$A$156,0))</f>
        <v>Completed</v>
      </c>
      <c r="O336" s="55"/>
    </row>
    <row r="337" customFormat="false" ht="15" hidden="false" customHeight="false" outlineLevel="0" collapsed="false">
      <c r="A337" s="56" t="s">
        <v>1436</v>
      </c>
      <c r="B337" s="56" t="s">
        <v>368</v>
      </c>
      <c r="C337" s="55" t="s">
        <v>1422</v>
      </c>
      <c r="D337" s="56" t="s">
        <v>943</v>
      </c>
      <c r="E337" s="55" t="s">
        <v>880</v>
      </c>
      <c r="F337" s="25" t="s">
        <v>79</v>
      </c>
      <c r="G337" s="55" t="s">
        <v>428</v>
      </c>
      <c r="H337" s="56" t="s">
        <v>940</v>
      </c>
      <c r="I337" s="56" t="s">
        <v>58</v>
      </c>
      <c r="J337" s="56" t="s">
        <v>434</v>
      </c>
      <c r="K337" s="55" t="str">
        <f aca="false">INDEX('4D Schedule'!$C$6:$C$156,MATCH($J337,'4D Schedule'!$A$6:$A$156,0))</f>
        <v>Mumty columns (EL +9.150 to +12.150) – ST-1 (C1 ×4)</v>
      </c>
      <c r="L337" s="61" t="n">
        <f aca="false">INDEX('4D Schedule'!$AE$6:$AE$156,MATCH($J337,'4D Schedule'!$A$6:$A$156,0))</f>
        <v>46275</v>
      </c>
      <c r="M337" s="61" t="n">
        <f aca="false">INDEX('4D Schedule'!$AF$6:$AF$156,MATCH($J337,'4D Schedule'!$A$6:$A$156,0))</f>
        <v>46283</v>
      </c>
      <c r="N337" s="56" t="str">
        <f aca="false">INDEX('4D Schedule'!$AG$6:$AG$156,MATCH($J337,'4D Schedule'!$A$6:$A$156,0))</f>
        <v>Completed</v>
      </c>
      <c r="O337" s="55"/>
    </row>
    <row r="338" customFormat="false" ht="22.35" hidden="false" customHeight="false" outlineLevel="0" collapsed="false">
      <c r="A338" s="56" t="s">
        <v>1437</v>
      </c>
      <c r="B338" s="56" t="s">
        <v>1338</v>
      </c>
      <c r="C338" s="55" t="s">
        <v>1438</v>
      </c>
      <c r="D338" s="56" t="s">
        <v>1428</v>
      </c>
      <c r="E338" s="55" t="s">
        <v>401</v>
      </c>
      <c r="F338" s="25" t="s">
        <v>79</v>
      </c>
      <c r="G338" s="55" t="s">
        <v>432</v>
      </c>
      <c r="H338" s="56" t="s">
        <v>1429</v>
      </c>
      <c r="I338" s="56" t="s">
        <v>64</v>
      </c>
      <c r="J338" s="56" t="s">
        <v>437</v>
      </c>
      <c r="K338" s="55" t="str">
        <f aca="false">INDEX('4D Schedule'!$C$6:$C$156,MATCH($J338,'4D Schedule'!$A$6:$A$156,0))</f>
        <v>Mumty roof beams RB15/RB16 &amp; slab (TOC EL +12.150) – ST-1</v>
      </c>
      <c r="L338" s="61" t="n">
        <f aca="false">INDEX('4D Schedule'!$AE$6:$AE$156,MATCH($J338,'4D Schedule'!$A$6:$A$156,0))</f>
        <v>46284</v>
      </c>
      <c r="M338" s="61" t="n">
        <f aca="false">INDEX('4D Schedule'!$AF$6:$AF$156,MATCH($J338,'4D Schedule'!$A$6:$A$156,0))</f>
        <v>46298</v>
      </c>
      <c r="N338" s="56" t="str">
        <f aca="false">INDEX('4D Schedule'!$AG$6:$AG$156,MATCH($J338,'4D Schedule'!$A$6:$A$156,0))</f>
        <v>In Progress</v>
      </c>
      <c r="O338" s="55"/>
    </row>
    <row r="339" customFormat="false" ht="22.35" hidden="false" customHeight="false" outlineLevel="0" collapsed="false">
      <c r="A339" s="56" t="s">
        <v>1439</v>
      </c>
      <c r="B339" s="56" t="s">
        <v>1380</v>
      </c>
      <c r="C339" s="55" t="s">
        <v>1440</v>
      </c>
      <c r="D339" s="56" t="s">
        <v>1432</v>
      </c>
      <c r="E339" s="55" t="s">
        <v>401</v>
      </c>
      <c r="F339" s="25" t="s">
        <v>79</v>
      </c>
      <c r="G339" s="55" t="s">
        <v>432</v>
      </c>
      <c r="H339" s="56" t="s">
        <v>1195</v>
      </c>
      <c r="I339" s="56" t="s">
        <v>64</v>
      </c>
      <c r="J339" s="56" t="s">
        <v>437</v>
      </c>
      <c r="K339" s="55" t="str">
        <f aca="false">INDEX('4D Schedule'!$C$6:$C$156,MATCH($J339,'4D Schedule'!$A$6:$A$156,0))</f>
        <v>Mumty roof beams RB15/RB16 &amp; slab (TOC EL +12.150) – ST-1</v>
      </c>
      <c r="L339" s="61" t="n">
        <f aca="false">INDEX('4D Schedule'!$AE$6:$AE$156,MATCH($J339,'4D Schedule'!$A$6:$A$156,0))</f>
        <v>46284</v>
      </c>
      <c r="M339" s="61" t="n">
        <f aca="false">INDEX('4D Schedule'!$AF$6:$AF$156,MATCH($J339,'4D Schedule'!$A$6:$A$156,0))</f>
        <v>46298</v>
      </c>
      <c r="N339" s="56" t="str">
        <f aca="false">INDEX('4D Schedule'!$AG$6:$AG$156,MATCH($J339,'4D Schedule'!$A$6:$A$156,0))</f>
        <v>In Progress</v>
      </c>
      <c r="O339" s="55"/>
    </row>
    <row r="340" customFormat="false" ht="22.35" hidden="false" customHeight="false" outlineLevel="0" collapsed="false">
      <c r="A340" s="56" t="s">
        <v>1441</v>
      </c>
      <c r="B340" s="56" t="s">
        <v>1442</v>
      </c>
      <c r="C340" s="55" t="s">
        <v>1443</v>
      </c>
      <c r="D340" s="56" t="s">
        <v>1444</v>
      </c>
      <c r="E340" s="55" t="s">
        <v>1445</v>
      </c>
      <c r="F340" s="25" t="s">
        <v>443</v>
      </c>
      <c r="G340" s="55" t="s">
        <v>494</v>
      </c>
      <c r="H340" s="56" t="s">
        <v>1185</v>
      </c>
      <c r="I340" s="56" t="s">
        <v>70</v>
      </c>
      <c r="J340" s="56" t="s">
        <v>440</v>
      </c>
      <c r="K340" s="55" t="str">
        <f aca="false">INDEX('4D Schedule'!$C$6:$C$156,MATCH($J340,'4D Schedule'!$A$6:$A$156,0))</f>
        <v>Cable trench T1 (1500 deep) Row D–C, Grid 6→1 incl. cable pit at Grid 6</v>
      </c>
      <c r="L340" s="61" t="n">
        <f aca="false">INDEX('4D Schedule'!$AE$6:$AE$156,MATCH($J340,'4D Schedule'!$A$6:$A$156,0))</f>
        <v>46157</v>
      </c>
      <c r="M340" s="61" t="n">
        <f aca="false">INDEX('4D Schedule'!$AF$6:$AF$156,MATCH($J340,'4D Schedule'!$A$6:$A$156,0))</f>
        <v>46185</v>
      </c>
      <c r="N340" s="56" t="str">
        <f aca="false">INDEX('4D Schedule'!$AG$6:$AG$156,MATCH($J340,'4D Schedule'!$A$6:$A$156,0))</f>
        <v>Completed</v>
      </c>
      <c r="O340" s="55"/>
    </row>
    <row r="341" customFormat="false" ht="22.35" hidden="false" customHeight="false" outlineLevel="0" collapsed="false">
      <c r="A341" s="56" t="s">
        <v>1446</v>
      </c>
      <c r="B341" s="56" t="s">
        <v>452</v>
      </c>
      <c r="C341" s="55" t="s">
        <v>1447</v>
      </c>
      <c r="D341" s="56" t="s">
        <v>1448</v>
      </c>
      <c r="E341" s="55" t="s">
        <v>1449</v>
      </c>
      <c r="F341" s="25" t="s">
        <v>443</v>
      </c>
      <c r="G341" s="55" t="s">
        <v>451</v>
      </c>
      <c r="H341" s="56" t="s">
        <v>1450</v>
      </c>
      <c r="I341" s="56" t="s">
        <v>70</v>
      </c>
      <c r="J341" s="56" t="s">
        <v>440</v>
      </c>
      <c r="K341" s="55" t="str">
        <f aca="false">INDEX('4D Schedule'!$C$6:$C$156,MATCH($J341,'4D Schedule'!$A$6:$A$156,0))</f>
        <v>Cable trench T1 (1500 deep) Row D–C, Grid 6→1 incl. cable pit at Grid 6</v>
      </c>
      <c r="L341" s="61" t="n">
        <f aca="false">INDEX('4D Schedule'!$AE$6:$AE$156,MATCH($J341,'4D Schedule'!$A$6:$A$156,0))</f>
        <v>46157</v>
      </c>
      <c r="M341" s="61" t="n">
        <f aca="false">INDEX('4D Schedule'!$AF$6:$AF$156,MATCH($J341,'4D Schedule'!$A$6:$A$156,0))</f>
        <v>46185</v>
      </c>
      <c r="N341" s="56" t="str">
        <f aca="false">INDEX('4D Schedule'!$AG$6:$AG$156,MATCH($J341,'4D Schedule'!$A$6:$A$156,0))</f>
        <v>Completed</v>
      </c>
      <c r="O341" s="55"/>
    </row>
    <row r="342" customFormat="false" ht="15" hidden="false" customHeight="false" outlineLevel="0" collapsed="false">
      <c r="A342" s="56" t="s">
        <v>1451</v>
      </c>
      <c r="B342" s="56" t="s">
        <v>452</v>
      </c>
      <c r="C342" s="55" t="s">
        <v>1452</v>
      </c>
      <c r="D342" s="56" t="s">
        <v>453</v>
      </c>
      <c r="E342" s="55" t="s">
        <v>450</v>
      </c>
      <c r="F342" s="25" t="s">
        <v>443</v>
      </c>
      <c r="G342" s="55" t="s">
        <v>451</v>
      </c>
      <c r="H342" s="56" t="s">
        <v>1450</v>
      </c>
      <c r="I342" s="56" t="s">
        <v>70</v>
      </c>
      <c r="J342" s="56" t="s">
        <v>448</v>
      </c>
      <c r="K342" s="55" t="str">
        <f aca="false">INDEX('4D Schedule'!$C$6:$C$156,MATCH($J342,'4D Schedule'!$A$6:$A$156,0))</f>
        <v>Cable trench T2 (1500 deep) Row B–A, Grid 6→1</v>
      </c>
      <c r="L342" s="61" t="n">
        <f aca="false">INDEX('4D Schedule'!$AE$6:$AE$156,MATCH($J342,'4D Schedule'!$A$6:$A$156,0))</f>
        <v>46169</v>
      </c>
      <c r="M342" s="61" t="n">
        <f aca="false">INDEX('4D Schedule'!$AF$6:$AF$156,MATCH($J342,'4D Schedule'!$A$6:$A$156,0))</f>
        <v>46193</v>
      </c>
      <c r="N342" s="56" t="str">
        <f aca="false">INDEX('4D Schedule'!$AG$6:$AG$156,MATCH($J342,'4D Schedule'!$A$6:$A$156,0))</f>
        <v>Completed</v>
      </c>
      <c r="O342" s="55"/>
    </row>
    <row r="343" customFormat="false" ht="22.35" hidden="false" customHeight="false" outlineLevel="0" collapsed="false">
      <c r="A343" s="56" t="s">
        <v>1453</v>
      </c>
      <c r="B343" s="56" t="s">
        <v>458</v>
      </c>
      <c r="C343" s="55" t="s">
        <v>1454</v>
      </c>
      <c r="D343" s="56" t="s">
        <v>459</v>
      </c>
      <c r="E343" s="55" t="s">
        <v>456</v>
      </c>
      <c r="F343" s="25" t="s">
        <v>443</v>
      </c>
      <c r="G343" s="55" t="s">
        <v>457</v>
      </c>
      <c r="H343" s="56" t="s">
        <v>1195</v>
      </c>
      <c r="I343" s="56" t="s">
        <v>70</v>
      </c>
      <c r="J343" s="56" t="s">
        <v>454</v>
      </c>
      <c r="K343" s="55" t="str">
        <f aca="false">INDEX('4D Schedule'!$C$6:$C$156,MATCH($J343,'4D Schedule'!$A$6:$A$156,0))</f>
        <v>Grade slab 150 thk – Row E–D block (cable cellar, toilets, shift room, ante rooms)</v>
      </c>
      <c r="L343" s="61" t="n">
        <f aca="false">INDEX('4D Schedule'!$AE$6:$AE$156,MATCH($J343,'4D Schedule'!$A$6:$A$156,0))</f>
        <v>46224</v>
      </c>
      <c r="M343" s="61" t="n">
        <f aca="false">INDEX('4D Schedule'!$AF$6:$AF$156,MATCH($J343,'4D Schedule'!$A$6:$A$156,0))</f>
        <v>46237</v>
      </c>
      <c r="N343" s="56" t="str">
        <f aca="false">INDEX('4D Schedule'!$AG$6:$AG$156,MATCH($J343,'4D Schedule'!$A$6:$A$156,0))</f>
        <v>Completed</v>
      </c>
      <c r="O343" s="55"/>
    </row>
    <row r="344" customFormat="false" ht="15" hidden="false" customHeight="false" outlineLevel="0" collapsed="false">
      <c r="A344" s="56" t="s">
        <v>1455</v>
      </c>
      <c r="B344" s="56" t="s">
        <v>458</v>
      </c>
      <c r="C344" s="55" t="s">
        <v>1456</v>
      </c>
      <c r="D344" s="56" t="s">
        <v>464</v>
      </c>
      <c r="E344" s="55" t="s">
        <v>462</v>
      </c>
      <c r="F344" s="25" t="s">
        <v>443</v>
      </c>
      <c r="G344" s="55" t="s">
        <v>463</v>
      </c>
      <c r="H344" s="56" t="s">
        <v>1195</v>
      </c>
      <c r="I344" s="56" t="s">
        <v>70</v>
      </c>
      <c r="J344" s="56" t="s">
        <v>460</v>
      </c>
      <c r="K344" s="55" t="str">
        <f aca="false">INDEX('4D Schedule'!$C$6:$C$156,MATCH($J344,'4D Schedule'!$A$6:$A$156,0))</f>
        <v>Grade slab 150 thk – Row D–C strip (around trench T1)</v>
      </c>
      <c r="L344" s="61" t="n">
        <f aca="false">INDEX('4D Schedule'!$AE$6:$AE$156,MATCH($J344,'4D Schedule'!$A$6:$A$156,0))</f>
        <v>46230</v>
      </c>
      <c r="M344" s="61" t="n">
        <f aca="false">INDEX('4D Schedule'!$AF$6:$AF$156,MATCH($J344,'4D Schedule'!$A$6:$A$156,0))</f>
        <v>46240</v>
      </c>
      <c r="N344" s="56" t="str">
        <f aca="false">INDEX('4D Schedule'!$AG$6:$AG$156,MATCH($J344,'4D Schedule'!$A$6:$A$156,0))</f>
        <v>Completed</v>
      </c>
      <c r="O344" s="55"/>
    </row>
    <row r="345" customFormat="false" ht="15" hidden="false" customHeight="false" outlineLevel="0" collapsed="false">
      <c r="A345" s="56" t="s">
        <v>1457</v>
      </c>
      <c r="B345" s="56" t="s">
        <v>468</v>
      </c>
      <c r="C345" s="55" t="s">
        <v>1458</v>
      </c>
      <c r="D345" s="56" t="s">
        <v>1459</v>
      </c>
      <c r="E345" s="55" t="s">
        <v>1460</v>
      </c>
      <c r="F345" s="25" t="s">
        <v>443</v>
      </c>
      <c r="G345" s="55" t="s">
        <v>463</v>
      </c>
      <c r="H345" s="56" t="s">
        <v>1461</v>
      </c>
      <c r="I345" s="56" t="s">
        <v>72</v>
      </c>
      <c r="J345" s="56" t="s">
        <v>465</v>
      </c>
      <c r="K345" s="55" t="str">
        <f aca="false">INDEX('4D Schedule'!$C$6:$C$156,MATCH($J345,'4D Schedule'!$A$6:$A$156,0))</f>
        <v>Chiller foundations F1-01 &amp; F1-02 (Bays 1–2, 2–3)</v>
      </c>
      <c r="L345" s="61" t="n">
        <f aca="false">INDEX('4D Schedule'!$AE$6:$AE$156,MATCH($J345,'4D Schedule'!$A$6:$A$156,0))</f>
        <v>46298</v>
      </c>
      <c r="M345" s="61" t="n">
        <f aca="false">INDEX('4D Schedule'!$AF$6:$AF$156,MATCH($J345,'4D Schedule'!$A$6:$A$156,0))</f>
        <v>46319</v>
      </c>
      <c r="N345" s="56" t="str">
        <f aca="false">INDEX('4D Schedule'!$AG$6:$AG$156,MATCH($J345,'4D Schedule'!$A$6:$A$156,0))</f>
        <v>Not Started (Late)</v>
      </c>
      <c r="O345" s="55"/>
    </row>
    <row r="346" customFormat="false" ht="15" hidden="false" customHeight="false" outlineLevel="0" collapsed="false">
      <c r="A346" s="56" t="s">
        <v>1462</v>
      </c>
      <c r="B346" s="56" t="s">
        <v>468</v>
      </c>
      <c r="C346" s="55" t="s">
        <v>1458</v>
      </c>
      <c r="D346" s="56" t="s">
        <v>1463</v>
      </c>
      <c r="E346" s="55" t="s">
        <v>1464</v>
      </c>
      <c r="F346" s="25" t="s">
        <v>443</v>
      </c>
      <c r="G346" s="55" t="s">
        <v>463</v>
      </c>
      <c r="H346" s="56" t="s">
        <v>1461</v>
      </c>
      <c r="I346" s="56" t="s">
        <v>72</v>
      </c>
      <c r="J346" s="56" t="s">
        <v>465</v>
      </c>
      <c r="K346" s="55" t="str">
        <f aca="false">INDEX('4D Schedule'!$C$6:$C$156,MATCH($J346,'4D Schedule'!$A$6:$A$156,0))</f>
        <v>Chiller foundations F1-01 &amp; F1-02 (Bays 1–2, 2–3)</v>
      </c>
      <c r="L346" s="61" t="n">
        <f aca="false">INDEX('4D Schedule'!$AE$6:$AE$156,MATCH($J346,'4D Schedule'!$A$6:$A$156,0))</f>
        <v>46298</v>
      </c>
      <c r="M346" s="61" t="n">
        <f aca="false">INDEX('4D Schedule'!$AF$6:$AF$156,MATCH($J346,'4D Schedule'!$A$6:$A$156,0))</f>
        <v>46319</v>
      </c>
      <c r="N346" s="56" t="str">
        <f aca="false">INDEX('4D Schedule'!$AG$6:$AG$156,MATCH($J346,'4D Schedule'!$A$6:$A$156,0))</f>
        <v>Not Started (Late)</v>
      </c>
      <c r="O346" s="55"/>
    </row>
    <row r="347" customFormat="false" ht="15" hidden="false" customHeight="false" outlineLevel="0" collapsed="false">
      <c r="A347" s="56" t="s">
        <v>1465</v>
      </c>
      <c r="B347" s="56" t="s">
        <v>468</v>
      </c>
      <c r="C347" s="55" t="s">
        <v>1458</v>
      </c>
      <c r="D347" s="56" t="s">
        <v>1466</v>
      </c>
      <c r="E347" s="55" t="s">
        <v>1467</v>
      </c>
      <c r="F347" s="25" t="s">
        <v>443</v>
      </c>
      <c r="G347" s="55" t="s">
        <v>463</v>
      </c>
      <c r="H347" s="56" t="s">
        <v>1461</v>
      </c>
      <c r="I347" s="56" t="s">
        <v>72</v>
      </c>
      <c r="J347" s="56" t="s">
        <v>471</v>
      </c>
      <c r="K347" s="55" t="str">
        <f aca="false">INDEX('4D Schedule'!$C$6:$C$156,MATCH($J347,'4D Schedule'!$A$6:$A$156,0))</f>
        <v>Chiller foundations F1-03 &amp; F1-04 (Bays 3–4, 4–5)</v>
      </c>
      <c r="L347" s="61" t="n">
        <f aca="false">INDEX('4D Schedule'!$AE$6:$AE$156,MATCH($J347,'4D Schedule'!$A$6:$A$156,0))</f>
        <v>46304</v>
      </c>
      <c r="M347" s="61" t="n">
        <f aca="false">INDEX('4D Schedule'!$AF$6:$AF$156,MATCH($J347,'4D Schedule'!$A$6:$A$156,0))</f>
        <v>46325</v>
      </c>
      <c r="N347" s="56" t="str">
        <f aca="false">INDEX('4D Schedule'!$AG$6:$AG$156,MATCH($J347,'4D Schedule'!$A$6:$A$156,0))</f>
        <v>Not Started (Late)</v>
      </c>
      <c r="O347" s="55"/>
    </row>
    <row r="348" customFormat="false" ht="15" hidden="false" customHeight="false" outlineLevel="0" collapsed="false">
      <c r="A348" s="56" t="s">
        <v>1468</v>
      </c>
      <c r="B348" s="56" t="s">
        <v>468</v>
      </c>
      <c r="C348" s="55" t="s">
        <v>1458</v>
      </c>
      <c r="D348" s="56" t="s">
        <v>1469</v>
      </c>
      <c r="E348" s="55" t="s">
        <v>1470</v>
      </c>
      <c r="F348" s="25" t="s">
        <v>443</v>
      </c>
      <c r="G348" s="55" t="s">
        <v>463</v>
      </c>
      <c r="H348" s="56" t="s">
        <v>1461</v>
      </c>
      <c r="I348" s="56" t="s">
        <v>72</v>
      </c>
      <c r="J348" s="56" t="s">
        <v>471</v>
      </c>
      <c r="K348" s="55" t="str">
        <f aca="false">INDEX('4D Schedule'!$C$6:$C$156,MATCH($J348,'4D Schedule'!$A$6:$A$156,0))</f>
        <v>Chiller foundations F1-03 &amp; F1-04 (Bays 3–4, 4–5)</v>
      </c>
      <c r="L348" s="61" t="n">
        <f aca="false">INDEX('4D Schedule'!$AE$6:$AE$156,MATCH($J348,'4D Schedule'!$A$6:$A$156,0))</f>
        <v>46304</v>
      </c>
      <c r="M348" s="61" t="n">
        <f aca="false">INDEX('4D Schedule'!$AF$6:$AF$156,MATCH($J348,'4D Schedule'!$A$6:$A$156,0))</f>
        <v>46325</v>
      </c>
      <c r="N348" s="56" t="str">
        <f aca="false">INDEX('4D Schedule'!$AG$6:$AG$156,MATCH($J348,'4D Schedule'!$A$6:$A$156,0))</f>
        <v>Not Started (Late)</v>
      </c>
      <c r="O348" s="55"/>
    </row>
    <row r="349" customFormat="false" ht="15" hidden="false" customHeight="false" outlineLevel="0" collapsed="false">
      <c r="A349" s="56" t="s">
        <v>1471</v>
      </c>
      <c r="B349" s="56" t="s">
        <v>468</v>
      </c>
      <c r="C349" s="55" t="s">
        <v>1458</v>
      </c>
      <c r="D349" s="56" t="s">
        <v>478</v>
      </c>
      <c r="E349" s="55" t="s">
        <v>477</v>
      </c>
      <c r="F349" s="25" t="s">
        <v>443</v>
      </c>
      <c r="G349" s="55" t="s">
        <v>463</v>
      </c>
      <c r="H349" s="56" t="s">
        <v>1461</v>
      </c>
      <c r="I349" s="56" t="s">
        <v>72</v>
      </c>
      <c r="J349" s="56" t="s">
        <v>475</v>
      </c>
      <c r="K349" s="55" t="str">
        <f aca="false">INDEX('4D Schedule'!$C$6:$C$156,MATCH($J349,'4D Schedule'!$A$6:$A$156,0))</f>
        <v>Chiller foundation F1-05 (Bay 5–6)</v>
      </c>
      <c r="L349" s="61" t="n">
        <f aca="false">INDEX('4D Schedule'!$AE$6:$AE$156,MATCH($J349,'4D Schedule'!$A$6:$A$156,0))</f>
        <v>46310</v>
      </c>
      <c r="M349" s="61" t="n">
        <f aca="false">INDEX('4D Schedule'!$AF$6:$AF$156,MATCH($J349,'4D Schedule'!$A$6:$A$156,0))</f>
        <v>46324</v>
      </c>
      <c r="N349" s="56" t="str">
        <f aca="false">INDEX('4D Schedule'!$AG$6:$AG$156,MATCH($J349,'4D Schedule'!$A$6:$A$156,0))</f>
        <v>Not Started (Late)</v>
      </c>
      <c r="O349" s="55"/>
    </row>
    <row r="350" customFormat="false" ht="15" hidden="false" customHeight="false" outlineLevel="0" collapsed="false">
      <c r="A350" s="56" t="s">
        <v>1472</v>
      </c>
      <c r="B350" s="56" t="s">
        <v>468</v>
      </c>
      <c r="C350" s="55" t="s">
        <v>1473</v>
      </c>
      <c r="D350" s="56" t="s">
        <v>1474</v>
      </c>
      <c r="E350" s="55" t="s">
        <v>1475</v>
      </c>
      <c r="F350" s="25" t="s">
        <v>443</v>
      </c>
      <c r="G350" s="55" t="s">
        <v>463</v>
      </c>
      <c r="H350" s="56" t="s">
        <v>1476</v>
      </c>
      <c r="I350" s="56" t="s">
        <v>72</v>
      </c>
      <c r="J350" s="56" t="s">
        <v>479</v>
      </c>
      <c r="K350" s="55" t="str">
        <f aca="false">INDEX('4D Schedule'!$C$6:$C$156,MATCH($J350,'4D Schedule'!$A$6:$A$156,0))</f>
        <v>Pump foundations F2-01 to F2-04 (Bays 1–3)</v>
      </c>
      <c r="L350" s="61" t="n">
        <f aca="false">INDEX('4D Schedule'!$AE$6:$AE$156,MATCH($J350,'4D Schedule'!$A$6:$A$156,0))</f>
        <v>46304</v>
      </c>
      <c r="M350" s="61" t="n">
        <f aca="false">INDEX('4D Schedule'!$AF$6:$AF$156,MATCH($J350,'4D Schedule'!$A$6:$A$156,0))</f>
        <v>46316</v>
      </c>
      <c r="N350" s="56" t="str">
        <f aca="false">INDEX('4D Schedule'!$AG$6:$AG$156,MATCH($J350,'4D Schedule'!$A$6:$A$156,0))</f>
        <v>Not Started (Late)</v>
      </c>
      <c r="O350" s="55"/>
    </row>
    <row r="351" customFormat="false" ht="15" hidden="false" customHeight="false" outlineLevel="0" collapsed="false">
      <c r="A351" s="56" t="s">
        <v>1477</v>
      </c>
      <c r="B351" s="56" t="s">
        <v>468</v>
      </c>
      <c r="C351" s="55" t="s">
        <v>1473</v>
      </c>
      <c r="D351" s="56" t="s">
        <v>1478</v>
      </c>
      <c r="E351" s="55" t="s">
        <v>1475</v>
      </c>
      <c r="F351" s="25" t="s">
        <v>443</v>
      </c>
      <c r="G351" s="55" t="s">
        <v>463</v>
      </c>
      <c r="H351" s="56" t="s">
        <v>1476</v>
      </c>
      <c r="I351" s="56" t="s">
        <v>72</v>
      </c>
      <c r="J351" s="56" t="s">
        <v>479</v>
      </c>
      <c r="K351" s="55" t="str">
        <f aca="false">INDEX('4D Schedule'!$C$6:$C$156,MATCH($J351,'4D Schedule'!$A$6:$A$156,0))</f>
        <v>Pump foundations F2-01 to F2-04 (Bays 1–3)</v>
      </c>
      <c r="L351" s="61" t="n">
        <f aca="false">INDEX('4D Schedule'!$AE$6:$AE$156,MATCH($J351,'4D Schedule'!$A$6:$A$156,0))</f>
        <v>46304</v>
      </c>
      <c r="M351" s="61" t="n">
        <f aca="false">INDEX('4D Schedule'!$AF$6:$AF$156,MATCH($J351,'4D Schedule'!$A$6:$A$156,0))</f>
        <v>46316</v>
      </c>
      <c r="N351" s="56" t="str">
        <f aca="false">INDEX('4D Schedule'!$AG$6:$AG$156,MATCH($J351,'4D Schedule'!$A$6:$A$156,0))</f>
        <v>Not Started (Late)</v>
      </c>
      <c r="O351" s="55"/>
    </row>
    <row r="352" customFormat="false" ht="15" hidden="false" customHeight="false" outlineLevel="0" collapsed="false">
      <c r="A352" s="56" t="s">
        <v>1479</v>
      </c>
      <c r="B352" s="56" t="s">
        <v>468</v>
      </c>
      <c r="C352" s="55" t="s">
        <v>1473</v>
      </c>
      <c r="D352" s="56" t="s">
        <v>1480</v>
      </c>
      <c r="E352" s="55" t="s">
        <v>1481</v>
      </c>
      <c r="F352" s="25" t="s">
        <v>443</v>
      </c>
      <c r="G352" s="55" t="s">
        <v>463</v>
      </c>
      <c r="H352" s="56" t="s">
        <v>1476</v>
      </c>
      <c r="I352" s="56" t="s">
        <v>72</v>
      </c>
      <c r="J352" s="56" t="s">
        <v>479</v>
      </c>
      <c r="K352" s="55" t="str">
        <f aca="false">INDEX('4D Schedule'!$C$6:$C$156,MATCH($J352,'4D Schedule'!$A$6:$A$156,0))</f>
        <v>Pump foundations F2-01 to F2-04 (Bays 1–3)</v>
      </c>
      <c r="L352" s="61" t="n">
        <f aca="false">INDEX('4D Schedule'!$AE$6:$AE$156,MATCH($J352,'4D Schedule'!$A$6:$A$156,0))</f>
        <v>46304</v>
      </c>
      <c r="M352" s="61" t="n">
        <f aca="false">INDEX('4D Schedule'!$AF$6:$AF$156,MATCH($J352,'4D Schedule'!$A$6:$A$156,0))</f>
        <v>46316</v>
      </c>
      <c r="N352" s="56" t="str">
        <f aca="false">INDEX('4D Schedule'!$AG$6:$AG$156,MATCH($J352,'4D Schedule'!$A$6:$A$156,0))</f>
        <v>Not Started (Late)</v>
      </c>
      <c r="O352" s="55"/>
    </row>
    <row r="353" customFormat="false" ht="15" hidden="false" customHeight="false" outlineLevel="0" collapsed="false">
      <c r="A353" s="56" t="s">
        <v>1482</v>
      </c>
      <c r="B353" s="56" t="s">
        <v>468</v>
      </c>
      <c r="C353" s="55" t="s">
        <v>1473</v>
      </c>
      <c r="D353" s="56" t="s">
        <v>1483</v>
      </c>
      <c r="E353" s="55" t="s">
        <v>1481</v>
      </c>
      <c r="F353" s="25" t="s">
        <v>443</v>
      </c>
      <c r="G353" s="55" t="s">
        <v>463</v>
      </c>
      <c r="H353" s="56" t="s">
        <v>1476</v>
      </c>
      <c r="I353" s="56" t="s">
        <v>72</v>
      </c>
      <c r="J353" s="56" t="s">
        <v>479</v>
      </c>
      <c r="K353" s="55" t="str">
        <f aca="false">INDEX('4D Schedule'!$C$6:$C$156,MATCH($J353,'4D Schedule'!$A$6:$A$156,0))</f>
        <v>Pump foundations F2-01 to F2-04 (Bays 1–3)</v>
      </c>
      <c r="L353" s="61" t="n">
        <f aca="false">INDEX('4D Schedule'!$AE$6:$AE$156,MATCH($J353,'4D Schedule'!$A$6:$A$156,0))</f>
        <v>46304</v>
      </c>
      <c r="M353" s="61" t="n">
        <f aca="false">INDEX('4D Schedule'!$AF$6:$AF$156,MATCH($J353,'4D Schedule'!$A$6:$A$156,0))</f>
        <v>46316</v>
      </c>
      <c r="N353" s="56" t="str">
        <f aca="false">INDEX('4D Schedule'!$AG$6:$AG$156,MATCH($J353,'4D Schedule'!$A$6:$A$156,0))</f>
        <v>Not Started (Late)</v>
      </c>
      <c r="O353" s="55"/>
    </row>
    <row r="354" customFormat="false" ht="15" hidden="false" customHeight="false" outlineLevel="0" collapsed="false">
      <c r="A354" s="56" t="s">
        <v>1484</v>
      </c>
      <c r="B354" s="56" t="s">
        <v>468</v>
      </c>
      <c r="C354" s="55" t="s">
        <v>1473</v>
      </c>
      <c r="D354" s="56" t="s">
        <v>1485</v>
      </c>
      <c r="E354" s="55" t="s">
        <v>1486</v>
      </c>
      <c r="F354" s="25" t="s">
        <v>443</v>
      </c>
      <c r="G354" s="55" t="s">
        <v>463</v>
      </c>
      <c r="H354" s="56" t="s">
        <v>1476</v>
      </c>
      <c r="I354" s="56" t="s">
        <v>72</v>
      </c>
      <c r="J354" s="56" t="s">
        <v>483</v>
      </c>
      <c r="K354" s="55" t="str">
        <f aca="false">INDEX('4D Schedule'!$C$6:$C$156,MATCH($J354,'4D Schedule'!$A$6:$A$156,0))</f>
        <v>Pump foundations F2-05 to F2-08 (Bays 3–5)</v>
      </c>
      <c r="L354" s="61" t="n">
        <f aca="false">INDEX('4D Schedule'!$AE$6:$AE$156,MATCH($J354,'4D Schedule'!$A$6:$A$156,0))</f>
        <v>46310</v>
      </c>
      <c r="M354" s="61" t="n">
        <f aca="false">INDEX('4D Schedule'!$AF$6:$AF$156,MATCH($J354,'4D Schedule'!$A$6:$A$156,0))</f>
        <v>46322</v>
      </c>
      <c r="N354" s="56" t="str">
        <f aca="false">INDEX('4D Schedule'!$AG$6:$AG$156,MATCH($J354,'4D Schedule'!$A$6:$A$156,0))</f>
        <v>Not Started (Late)</v>
      </c>
      <c r="O354" s="55"/>
    </row>
    <row r="355" customFormat="false" ht="15" hidden="false" customHeight="false" outlineLevel="0" collapsed="false">
      <c r="A355" s="56" t="s">
        <v>1487</v>
      </c>
      <c r="B355" s="56" t="s">
        <v>468</v>
      </c>
      <c r="C355" s="55" t="s">
        <v>1473</v>
      </c>
      <c r="D355" s="56" t="s">
        <v>1488</v>
      </c>
      <c r="E355" s="55" t="s">
        <v>1486</v>
      </c>
      <c r="F355" s="25" t="s">
        <v>443</v>
      </c>
      <c r="G355" s="55" t="s">
        <v>463</v>
      </c>
      <c r="H355" s="56" t="s">
        <v>1476</v>
      </c>
      <c r="I355" s="56" t="s">
        <v>72</v>
      </c>
      <c r="J355" s="56" t="s">
        <v>483</v>
      </c>
      <c r="K355" s="55" t="str">
        <f aca="false">INDEX('4D Schedule'!$C$6:$C$156,MATCH($J355,'4D Schedule'!$A$6:$A$156,0))</f>
        <v>Pump foundations F2-05 to F2-08 (Bays 3–5)</v>
      </c>
      <c r="L355" s="61" t="n">
        <f aca="false">INDEX('4D Schedule'!$AE$6:$AE$156,MATCH($J355,'4D Schedule'!$A$6:$A$156,0))</f>
        <v>46310</v>
      </c>
      <c r="M355" s="61" t="n">
        <f aca="false">INDEX('4D Schedule'!$AF$6:$AF$156,MATCH($J355,'4D Schedule'!$A$6:$A$156,0))</f>
        <v>46322</v>
      </c>
      <c r="N355" s="56" t="str">
        <f aca="false">INDEX('4D Schedule'!$AG$6:$AG$156,MATCH($J355,'4D Schedule'!$A$6:$A$156,0))</f>
        <v>Not Started (Late)</v>
      </c>
      <c r="O355" s="55"/>
    </row>
    <row r="356" customFormat="false" ht="15" hidden="false" customHeight="false" outlineLevel="0" collapsed="false">
      <c r="A356" s="56" t="s">
        <v>1489</v>
      </c>
      <c r="B356" s="56" t="s">
        <v>468</v>
      </c>
      <c r="C356" s="55" t="s">
        <v>1473</v>
      </c>
      <c r="D356" s="56" t="s">
        <v>1490</v>
      </c>
      <c r="E356" s="55" t="s">
        <v>1491</v>
      </c>
      <c r="F356" s="25" t="s">
        <v>443</v>
      </c>
      <c r="G356" s="55" t="s">
        <v>463</v>
      </c>
      <c r="H356" s="56" t="s">
        <v>1476</v>
      </c>
      <c r="I356" s="56" t="s">
        <v>72</v>
      </c>
      <c r="J356" s="56" t="s">
        <v>483</v>
      </c>
      <c r="K356" s="55" t="str">
        <f aca="false">INDEX('4D Schedule'!$C$6:$C$156,MATCH($J356,'4D Schedule'!$A$6:$A$156,0))</f>
        <v>Pump foundations F2-05 to F2-08 (Bays 3–5)</v>
      </c>
      <c r="L356" s="61" t="n">
        <f aca="false">INDEX('4D Schedule'!$AE$6:$AE$156,MATCH($J356,'4D Schedule'!$A$6:$A$156,0))</f>
        <v>46310</v>
      </c>
      <c r="M356" s="61" t="n">
        <f aca="false">INDEX('4D Schedule'!$AF$6:$AF$156,MATCH($J356,'4D Schedule'!$A$6:$A$156,0))</f>
        <v>46322</v>
      </c>
      <c r="N356" s="56" t="str">
        <f aca="false">INDEX('4D Schedule'!$AG$6:$AG$156,MATCH($J356,'4D Schedule'!$A$6:$A$156,0))</f>
        <v>Not Started (Late)</v>
      </c>
      <c r="O356" s="55"/>
    </row>
    <row r="357" customFormat="false" ht="15" hidden="false" customHeight="false" outlineLevel="0" collapsed="false">
      <c r="A357" s="56" t="s">
        <v>1492</v>
      </c>
      <c r="B357" s="56" t="s">
        <v>468</v>
      </c>
      <c r="C357" s="55" t="s">
        <v>1473</v>
      </c>
      <c r="D357" s="56" t="s">
        <v>1493</v>
      </c>
      <c r="E357" s="55" t="s">
        <v>1491</v>
      </c>
      <c r="F357" s="25" t="s">
        <v>443</v>
      </c>
      <c r="G357" s="55" t="s">
        <v>463</v>
      </c>
      <c r="H357" s="56" t="s">
        <v>1476</v>
      </c>
      <c r="I357" s="56" t="s">
        <v>72</v>
      </c>
      <c r="J357" s="56" t="s">
        <v>483</v>
      </c>
      <c r="K357" s="55" t="str">
        <f aca="false">INDEX('4D Schedule'!$C$6:$C$156,MATCH($J357,'4D Schedule'!$A$6:$A$156,0))</f>
        <v>Pump foundations F2-05 to F2-08 (Bays 3–5)</v>
      </c>
      <c r="L357" s="61" t="n">
        <f aca="false">INDEX('4D Schedule'!$AE$6:$AE$156,MATCH($J357,'4D Schedule'!$A$6:$A$156,0))</f>
        <v>46310</v>
      </c>
      <c r="M357" s="61" t="n">
        <f aca="false">INDEX('4D Schedule'!$AF$6:$AF$156,MATCH($J357,'4D Schedule'!$A$6:$A$156,0))</f>
        <v>46322</v>
      </c>
      <c r="N357" s="56" t="str">
        <f aca="false">INDEX('4D Schedule'!$AG$6:$AG$156,MATCH($J357,'4D Schedule'!$A$6:$A$156,0))</f>
        <v>Not Started (Late)</v>
      </c>
      <c r="O357" s="55"/>
    </row>
    <row r="358" customFormat="false" ht="15" hidden="false" customHeight="false" outlineLevel="0" collapsed="false">
      <c r="A358" s="56" t="s">
        <v>1494</v>
      </c>
      <c r="B358" s="56" t="s">
        <v>468</v>
      </c>
      <c r="C358" s="55" t="s">
        <v>1473</v>
      </c>
      <c r="D358" s="56" t="s">
        <v>1495</v>
      </c>
      <c r="E358" s="55" t="s">
        <v>489</v>
      </c>
      <c r="F358" s="25" t="s">
        <v>443</v>
      </c>
      <c r="G358" s="55" t="s">
        <v>463</v>
      </c>
      <c r="H358" s="56" t="s">
        <v>1476</v>
      </c>
      <c r="I358" s="56" t="s">
        <v>72</v>
      </c>
      <c r="J358" s="56" t="s">
        <v>487</v>
      </c>
      <c r="K358" s="55" t="str">
        <f aca="false">INDEX('4D Schedule'!$C$6:$C$156,MATCH($J358,'4D Schedule'!$A$6:$A$156,0))</f>
        <v>Pump foundations F2-09 &amp; F2-10 (Bay 5–6)</v>
      </c>
      <c r="L358" s="61" t="n">
        <f aca="false">INDEX('4D Schedule'!$AE$6:$AE$156,MATCH($J358,'4D Schedule'!$A$6:$A$156,0))</f>
        <v>46316</v>
      </c>
      <c r="M358" s="61" t="n">
        <f aca="false">INDEX('4D Schedule'!$AF$6:$AF$156,MATCH($J358,'4D Schedule'!$A$6:$A$156,0))</f>
        <v>46322</v>
      </c>
      <c r="N358" s="56" t="str">
        <f aca="false">INDEX('4D Schedule'!$AG$6:$AG$156,MATCH($J358,'4D Schedule'!$A$6:$A$156,0))</f>
        <v>Not Started (Late)</v>
      </c>
      <c r="O358" s="55"/>
    </row>
    <row r="359" customFormat="false" ht="15" hidden="false" customHeight="false" outlineLevel="0" collapsed="false">
      <c r="A359" s="56" t="s">
        <v>1496</v>
      </c>
      <c r="B359" s="56" t="s">
        <v>468</v>
      </c>
      <c r="C359" s="55" t="s">
        <v>1473</v>
      </c>
      <c r="D359" s="56" t="s">
        <v>1497</v>
      </c>
      <c r="E359" s="55" t="s">
        <v>489</v>
      </c>
      <c r="F359" s="25" t="s">
        <v>443</v>
      </c>
      <c r="G359" s="55" t="s">
        <v>463</v>
      </c>
      <c r="H359" s="56" t="s">
        <v>1476</v>
      </c>
      <c r="I359" s="56" t="s">
        <v>72</v>
      </c>
      <c r="J359" s="56" t="s">
        <v>487</v>
      </c>
      <c r="K359" s="55" t="str">
        <f aca="false">INDEX('4D Schedule'!$C$6:$C$156,MATCH($J359,'4D Schedule'!$A$6:$A$156,0))</f>
        <v>Pump foundations F2-09 &amp; F2-10 (Bay 5–6)</v>
      </c>
      <c r="L359" s="61" t="n">
        <f aca="false">INDEX('4D Schedule'!$AE$6:$AE$156,MATCH($J359,'4D Schedule'!$A$6:$A$156,0))</f>
        <v>46316</v>
      </c>
      <c r="M359" s="61" t="n">
        <f aca="false">INDEX('4D Schedule'!$AF$6:$AF$156,MATCH($J359,'4D Schedule'!$A$6:$A$156,0))</f>
        <v>46322</v>
      </c>
      <c r="N359" s="56" t="str">
        <f aca="false">INDEX('4D Schedule'!$AG$6:$AG$156,MATCH($J359,'4D Schedule'!$A$6:$A$156,0))</f>
        <v>Not Started (Late)</v>
      </c>
      <c r="O359" s="55"/>
    </row>
    <row r="360" customFormat="false" ht="15" hidden="false" customHeight="false" outlineLevel="0" collapsed="false">
      <c r="A360" s="56" t="s">
        <v>1498</v>
      </c>
      <c r="B360" s="56" t="s">
        <v>452</v>
      </c>
      <c r="C360" s="55" t="s">
        <v>1499</v>
      </c>
      <c r="D360" s="56" t="s">
        <v>1500</v>
      </c>
      <c r="E360" s="55" t="s">
        <v>1501</v>
      </c>
      <c r="F360" s="25" t="s">
        <v>443</v>
      </c>
      <c r="G360" s="55" t="s">
        <v>494</v>
      </c>
      <c r="H360" s="56" t="s">
        <v>1502</v>
      </c>
      <c r="I360" s="56" t="s">
        <v>70</v>
      </c>
      <c r="J360" s="56" t="s">
        <v>491</v>
      </c>
      <c r="K360" s="55" t="str">
        <f aca="false">INDEX('4D Schedule'!$C$6:$C$156,MATCH($J360,'4D Schedule'!$A$6:$A$156,0))</f>
        <v>Cable slits (600 deep) between chiller foundations (5 nos)</v>
      </c>
      <c r="L360" s="61" t="n">
        <f aca="false">INDEX('4D Schedule'!$AE$6:$AE$156,MATCH($J360,'4D Schedule'!$A$6:$A$156,0))</f>
        <v>46326</v>
      </c>
      <c r="M360" s="61" t="n">
        <f aca="false">INDEX('4D Schedule'!$AF$6:$AF$156,MATCH($J360,'4D Schedule'!$A$6:$A$156,0))</f>
        <v>46335</v>
      </c>
      <c r="N360" s="56" t="str">
        <f aca="false">INDEX('4D Schedule'!$AG$6:$AG$156,MATCH($J360,'4D Schedule'!$A$6:$A$156,0))</f>
        <v>Not Started (Late)</v>
      </c>
      <c r="O360" s="55"/>
    </row>
    <row r="361" customFormat="false" ht="15" hidden="false" customHeight="false" outlineLevel="0" collapsed="false">
      <c r="A361" s="56" t="s">
        <v>1503</v>
      </c>
      <c r="B361" s="56" t="s">
        <v>452</v>
      </c>
      <c r="C361" s="55" t="s">
        <v>1499</v>
      </c>
      <c r="D361" s="56" t="s">
        <v>1504</v>
      </c>
      <c r="E361" s="55" t="s">
        <v>1505</v>
      </c>
      <c r="F361" s="25" t="s">
        <v>443</v>
      </c>
      <c r="G361" s="55" t="s">
        <v>494</v>
      </c>
      <c r="H361" s="56" t="s">
        <v>1502</v>
      </c>
      <c r="I361" s="56" t="s">
        <v>70</v>
      </c>
      <c r="J361" s="56" t="s">
        <v>491</v>
      </c>
      <c r="K361" s="55" t="str">
        <f aca="false">INDEX('4D Schedule'!$C$6:$C$156,MATCH($J361,'4D Schedule'!$A$6:$A$156,0))</f>
        <v>Cable slits (600 deep) between chiller foundations (5 nos)</v>
      </c>
      <c r="L361" s="61" t="n">
        <f aca="false">INDEX('4D Schedule'!$AE$6:$AE$156,MATCH($J361,'4D Schedule'!$A$6:$A$156,0))</f>
        <v>46326</v>
      </c>
      <c r="M361" s="61" t="n">
        <f aca="false">INDEX('4D Schedule'!$AF$6:$AF$156,MATCH($J361,'4D Schedule'!$A$6:$A$156,0))</f>
        <v>46335</v>
      </c>
      <c r="N361" s="56" t="str">
        <f aca="false">INDEX('4D Schedule'!$AG$6:$AG$156,MATCH($J361,'4D Schedule'!$A$6:$A$156,0))</f>
        <v>Not Started (Late)</v>
      </c>
      <c r="O361" s="55"/>
    </row>
    <row r="362" customFormat="false" ht="15" hidden="false" customHeight="false" outlineLevel="0" collapsed="false">
      <c r="A362" s="56" t="s">
        <v>1506</v>
      </c>
      <c r="B362" s="56" t="s">
        <v>452</v>
      </c>
      <c r="C362" s="55" t="s">
        <v>1499</v>
      </c>
      <c r="D362" s="56" t="s">
        <v>1507</v>
      </c>
      <c r="E362" s="55" t="s">
        <v>1508</v>
      </c>
      <c r="F362" s="25" t="s">
        <v>443</v>
      </c>
      <c r="G362" s="55" t="s">
        <v>494</v>
      </c>
      <c r="H362" s="56" t="s">
        <v>1502</v>
      </c>
      <c r="I362" s="56" t="s">
        <v>70</v>
      </c>
      <c r="J362" s="56" t="s">
        <v>491</v>
      </c>
      <c r="K362" s="55" t="str">
        <f aca="false">INDEX('4D Schedule'!$C$6:$C$156,MATCH($J362,'4D Schedule'!$A$6:$A$156,0))</f>
        <v>Cable slits (600 deep) between chiller foundations (5 nos)</v>
      </c>
      <c r="L362" s="61" t="n">
        <f aca="false">INDEX('4D Schedule'!$AE$6:$AE$156,MATCH($J362,'4D Schedule'!$A$6:$A$156,0))</f>
        <v>46326</v>
      </c>
      <c r="M362" s="61" t="n">
        <f aca="false">INDEX('4D Schedule'!$AF$6:$AF$156,MATCH($J362,'4D Schedule'!$A$6:$A$156,0))</f>
        <v>46335</v>
      </c>
      <c r="N362" s="56" t="str">
        <f aca="false">INDEX('4D Schedule'!$AG$6:$AG$156,MATCH($J362,'4D Schedule'!$A$6:$A$156,0))</f>
        <v>Not Started (Late)</v>
      </c>
      <c r="O362" s="55"/>
    </row>
    <row r="363" customFormat="false" ht="15" hidden="false" customHeight="false" outlineLevel="0" collapsed="false">
      <c r="A363" s="56" t="s">
        <v>1509</v>
      </c>
      <c r="B363" s="56" t="s">
        <v>452</v>
      </c>
      <c r="C363" s="55" t="s">
        <v>1499</v>
      </c>
      <c r="D363" s="56" t="s">
        <v>1510</v>
      </c>
      <c r="E363" s="55" t="s">
        <v>1511</v>
      </c>
      <c r="F363" s="25" t="s">
        <v>443</v>
      </c>
      <c r="G363" s="55" t="s">
        <v>494</v>
      </c>
      <c r="H363" s="56" t="s">
        <v>1502</v>
      </c>
      <c r="I363" s="56" t="s">
        <v>70</v>
      </c>
      <c r="J363" s="56" t="s">
        <v>491</v>
      </c>
      <c r="K363" s="55" t="str">
        <f aca="false">INDEX('4D Schedule'!$C$6:$C$156,MATCH($J363,'4D Schedule'!$A$6:$A$156,0))</f>
        <v>Cable slits (600 deep) between chiller foundations (5 nos)</v>
      </c>
      <c r="L363" s="61" t="n">
        <f aca="false">INDEX('4D Schedule'!$AE$6:$AE$156,MATCH($J363,'4D Schedule'!$A$6:$A$156,0))</f>
        <v>46326</v>
      </c>
      <c r="M363" s="61" t="n">
        <f aca="false">INDEX('4D Schedule'!$AF$6:$AF$156,MATCH($J363,'4D Schedule'!$A$6:$A$156,0))</f>
        <v>46335</v>
      </c>
      <c r="N363" s="56" t="str">
        <f aca="false">INDEX('4D Schedule'!$AG$6:$AG$156,MATCH($J363,'4D Schedule'!$A$6:$A$156,0))</f>
        <v>Not Started (Late)</v>
      </c>
      <c r="O363" s="55"/>
    </row>
    <row r="364" customFormat="false" ht="15" hidden="false" customHeight="false" outlineLevel="0" collapsed="false">
      <c r="A364" s="56" t="s">
        <v>1512</v>
      </c>
      <c r="B364" s="56" t="s">
        <v>452</v>
      </c>
      <c r="C364" s="55" t="s">
        <v>1499</v>
      </c>
      <c r="D364" s="56" t="s">
        <v>1513</v>
      </c>
      <c r="E364" s="55" t="s">
        <v>1514</v>
      </c>
      <c r="F364" s="25" t="s">
        <v>443</v>
      </c>
      <c r="G364" s="55" t="s">
        <v>494</v>
      </c>
      <c r="H364" s="56" t="s">
        <v>1502</v>
      </c>
      <c r="I364" s="56" t="s">
        <v>70</v>
      </c>
      <c r="J364" s="56" t="s">
        <v>491</v>
      </c>
      <c r="K364" s="55" t="str">
        <f aca="false">INDEX('4D Schedule'!$C$6:$C$156,MATCH($J364,'4D Schedule'!$A$6:$A$156,0))</f>
        <v>Cable slits (600 deep) between chiller foundations (5 nos)</v>
      </c>
      <c r="L364" s="61" t="n">
        <f aca="false">INDEX('4D Schedule'!$AE$6:$AE$156,MATCH($J364,'4D Schedule'!$A$6:$A$156,0))</f>
        <v>46326</v>
      </c>
      <c r="M364" s="61" t="n">
        <f aca="false">INDEX('4D Schedule'!$AF$6:$AF$156,MATCH($J364,'4D Schedule'!$A$6:$A$156,0))</f>
        <v>46335</v>
      </c>
      <c r="N364" s="56" t="str">
        <f aca="false">INDEX('4D Schedule'!$AG$6:$AG$156,MATCH($J364,'4D Schedule'!$A$6:$A$156,0))</f>
        <v>Not Started (Late)</v>
      </c>
      <c r="O364" s="55"/>
    </row>
    <row r="365" customFormat="false" ht="15" hidden="false" customHeight="false" outlineLevel="0" collapsed="false">
      <c r="A365" s="56" t="s">
        <v>1515</v>
      </c>
      <c r="B365" s="56" t="s">
        <v>458</v>
      </c>
      <c r="C365" s="55" t="s">
        <v>1516</v>
      </c>
      <c r="D365" s="56" t="s">
        <v>499</v>
      </c>
      <c r="E365" s="55" t="s">
        <v>498</v>
      </c>
      <c r="F365" s="25" t="s">
        <v>443</v>
      </c>
      <c r="G365" s="55" t="s">
        <v>463</v>
      </c>
      <c r="H365" s="56" t="s">
        <v>1195</v>
      </c>
      <c r="I365" s="56" t="s">
        <v>70</v>
      </c>
      <c r="J365" s="56" t="s">
        <v>496</v>
      </c>
      <c r="K365" s="55" t="str">
        <f aca="false">INDEX('4D Schedule'!$C$6:$C$156,MATCH($J365,'4D Schedule'!$A$6:$A$156,0))</f>
        <v>Grade slab 150 thk – Chiller room (Row C–B)</v>
      </c>
      <c r="L365" s="61" t="n">
        <f aca="false">INDEX('4D Schedule'!$AE$6:$AE$156,MATCH($J365,'4D Schedule'!$A$6:$A$156,0))</f>
        <v>46336</v>
      </c>
      <c r="M365" s="61" t="n">
        <f aca="false">INDEX('4D Schedule'!$AF$6:$AF$156,MATCH($J365,'4D Schedule'!$A$6:$A$156,0))</f>
        <v>46346</v>
      </c>
      <c r="N365" s="56" t="str">
        <f aca="false">INDEX('4D Schedule'!$AG$6:$AG$156,MATCH($J365,'4D Schedule'!$A$6:$A$156,0))</f>
        <v>Not Started (Late)</v>
      </c>
      <c r="O365" s="55"/>
    </row>
    <row r="366" customFormat="false" ht="22.35" hidden="false" customHeight="false" outlineLevel="0" collapsed="false">
      <c r="A366" s="56" t="s">
        <v>1517</v>
      </c>
      <c r="B366" s="56" t="s">
        <v>1518</v>
      </c>
      <c r="C366" s="55" t="s">
        <v>1519</v>
      </c>
      <c r="D366" s="56" t="s">
        <v>1520</v>
      </c>
      <c r="E366" s="55" t="s">
        <v>1521</v>
      </c>
      <c r="F366" s="25" t="s">
        <v>443</v>
      </c>
      <c r="G366" s="55" t="s">
        <v>509</v>
      </c>
      <c r="H366" s="56" t="s">
        <v>1522</v>
      </c>
      <c r="I366" s="56" t="s">
        <v>70</v>
      </c>
      <c r="J366" s="56" t="s">
        <v>500</v>
      </c>
      <c r="K366" s="55" t="str">
        <f aca="false">INDEX('4D Schedule'!$C$6:$C$156,MATCH($J366,'4D Schedule'!$A$6:$A$156,0))</f>
        <v>Grade slab 150 thk – Pump area (Row B–A) incl. 150×100 surface drain</v>
      </c>
      <c r="L366" s="61" t="n">
        <f aca="false">INDEX('4D Schedule'!$AE$6:$AE$156,MATCH($J366,'4D Schedule'!$A$6:$A$156,0))</f>
        <v>46339</v>
      </c>
      <c r="M366" s="61" t="n">
        <f aca="false">INDEX('4D Schedule'!$AF$6:$AF$156,MATCH($J366,'4D Schedule'!$A$6:$A$156,0))</f>
        <v>46351</v>
      </c>
      <c r="N366" s="56" t="str">
        <f aca="false">INDEX('4D Schedule'!$AG$6:$AG$156,MATCH($J366,'4D Schedule'!$A$6:$A$156,0))</f>
        <v>Not Started</v>
      </c>
      <c r="O366" s="55"/>
    </row>
    <row r="367" customFormat="false" ht="22.35" hidden="false" customHeight="false" outlineLevel="0" collapsed="false">
      <c r="A367" s="56" t="s">
        <v>1523</v>
      </c>
      <c r="B367" s="56" t="s">
        <v>458</v>
      </c>
      <c r="C367" s="55" t="s">
        <v>1524</v>
      </c>
      <c r="D367" s="56" t="s">
        <v>1525</v>
      </c>
      <c r="E367" s="55" t="s">
        <v>1526</v>
      </c>
      <c r="F367" s="25" t="s">
        <v>443</v>
      </c>
      <c r="G367" s="55" t="s">
        <v>463</v>
      </c>
      <c r="H367" s="56" t="s">
        <v>1195</v>
      </c>
      <c r="I367" s="56" t="s">
        <v>70</v>
      </c>
      <c r="J367" s="56" t="s">
        <v>500</v>
      </c>
      <c r="K367" s="55" t="str">
        <f aca="false">INDEX('4D Schedule'!$C$6:$C$156,MATCH($J367,'4D Schedule'!$A$6:$A$156,0))</f>
        <v>Grade slab 150 thk – Pump area (Row B–A) incl. 150×100 surface drain</v>
      </c>
      <c r="L367" s="61" t="n">
        <f aca="false">INDEX('4D Schedule'!$AE$6:$AE$156,MATCH($J367,'4D Schedule'!$A$6:$A$156,0))</f>
        <v>46339</v>
      </c>
      <c r="M367" s="61" t="n">
        <f aca="false">INDEX('4D Schedule'!$AF$6:$AF$156,MATCH($J367,'4D Schedule'!$A$6:$A$156,0))</f>
        <v>46351</v>
      </c>
      <c r="N367" s="56" t="str">
        <f aca="false">INDEX('4D Schedule'!$AG$6:$AG$156,MATCH($J367,'4D Schedule'!$A$6:$A$156,0))</f>
        <v>Not Started</v>
      </c>
      <c r="O367" s="55"/>
    </row>
    <row r="368" customFormat="false" ht="22.35" hidden="false" customHeight="false" outlineLevel="0" collapsed="false">
      <c r="A368" s="56" t="s">
        <v>1527</v>
      </c>
      <c r="B368" s="56" t="s">
        <v>510</v>
      </c>
      <c r="C368" s="55" t="s">
        <v>1528</v>
      </c>
      <c r="D368" s="56" t="s">
        <v>511</v>
      </c>
      <c r="E368" s="55" t="s">
        <v>508</v>
      </c>
      <c r="F368" s="25" t="s">
        <v>443</v>
      </c>
      <c r="G368" s="55" t="s">
        <v>509</v>
      </c>
      <c r="H368" s="56" t="s">
        <v>1529</v>
      </c>
      <c r="I368" s="56" t="s">
        <v>70</v>
      </c>
      <c r="J368" s="56" t="s">
        <v>506</v>
      </c>
      <c r="K368" s="55" t="str">
        <f aca="false">INDEX('4D Schedule'!$C$6:$C$156,MATCH($J368,'4D Schedule'!$A$6:$A$156,0))</f>
        <v>Precast covers – cable trenches, cable pit &amp; drain crossings (placement)</v>
      </c>
      <c r="L368" s="61" t="n">
        <f aca="false">INDEX('4D Schedule'!$AE$6:$AE$156,MATCH($J368,'4D Schedule'!$A$6:$A$156,0))</f>
        <v>46338</v>
      </c>
      <c r="M368" s="61" t="n">
        <f aca="false">INDEX('4D Schedule'!$AF$6:$AF$156,MATCH($J368,'4D Schedule'!$A$6:$A$156,0))</f>
        <v>46344</v>
      </c>
      <c r="N368" s="56" t="str">
        <f aca="false">INDEX('4D Schedule'!$AG$6:$AG$156,MATCH($J368,'4D Schedule'!$A$6:$A$156,0))</f>
        <v>Not Started</v>
      </c>
      <c r="O368" s="55"/>
    </row>
    <row r="369" customFormat="false" ht="22.35" hidden="false" customHeight="false" outlineLevel="0" collapsed="false">
      <c r="A369" s="56" t="s">
        <v>1530</v>
      </c>
      <c r="B369" s="56" t="s">
        <v>1531</v>
      </c>
      <c r="C369" s="55" t="s">
        <v>1532</v>
      </c>
      <c r="D369" s="56" t="s">
        <v>1533</v>
      </c>
      <c r="E369" s="55" t="s">
        <v>1534</v>
      </c>
      <c r="F369" s="25" t="s">
        <v>443</v>
      </c>
      <c r="G369" s="55" t="s">
        <v>1535</v>
      </c>
      <c r="H369" s="56" t="s">
        <v>1536</v>
      </c>
      <c r="I369" s="56" t="s">
        <v>70</v>
      </c>
      <c r="J369" s="56" t="s">
        <v>512</v>
      </c>
      <c r="K369" s="55" t="str">
        <f aca="false">INDEX('4D Schedule'!$C$6:$C$156,MATCH($J369,'4D Schedule'!$A$6:$A$156,0))</f>
        <v>Plinth protection, garland drain &amp; 100Ø PVC drain pipes (all round)</v>
      </c>
      <c r="L369" s="61" t="n">
        <f aca="false">INDEX('4D Schedule'!$AE$6:$AE$156,MATCH($J369,'4D Schedule'!$A$6:$A$156,0))</f>
        <v>46300</v>
      </c>
      <c r="M369" s="61" t="n">
        <f aca="false">INDEX('4D Schedule'!$AF$6:$AF$156,MATCH($J369,'4D Schedule'!$A$6:$A$156,0))</f>
        <v>46317</v>
      </c>
      <c r="N369" s="56" t="str">
        <f aca="false">INDEX('4D Schedule'!$AG$6:$AG$156,MATCH($J369,'4D Schedule'!$A$6:$A$156,0))</f>
        <v>Not Started (Late)</v>
      </c>
      <c r="O369" s="55"/>
    </row>
    <row r="370" customFormat="false" ht="22.35" hidden="false" customHeight="false" outlineLevel="0" collapsed="false">
      <c r="A370" s="56" t="s">
        <v>1537</v>
      </c>
      <c r="B370" s="56" t="s">
        <v>1538</v>
      </c>
      <c r="C370" s="55" t="s">
        <v>1539</v>
      </c>
      <c r="D370" s="56" t="s">
        <v>1540</v>
      </c>
      <c r="E370" s="55" t="s">
        <v>1541</v>
      </c>
      <c r="F370" s="25" t="s">
        <v>443</v>
      </c>
      <c r="G370" s="55" t="s">
        <v>1542</v>
      </c>
      <c r="H370" s="56" t="s">
        <v>1543</v>
      </c>
      <c r="I370" s="56" t="s">
        <v>70</v>
      </c>
      <c r="J370" s="56" t="s">
        <v>512</v>
      </c>
      <c r="K370" s="55" t="str">
        <f aca="false">INDEX('4D Schedule'!$C$6:$C$156,MATCH($J370,'4D Schedule'!$A$6:$A$156,0))</f>
        <v>Plinth protection, garland drain &amp; 100Ø PVC drain pipes (all round)</v>
      </c>
      <c r="L370" s="61" t="n">
        <f aca="false">INDEX('4D Schedule'!$AE$6:$AE$156,MATCH($J370,'4D Schedule'!$A$6:$A$156,0))</f>
        <v>46300</v>
      </c>
      <c r="M370" s="61" t="n">
        <f aca="false">INDEX('4D Schedule'!$AF$6:$AF$156,MATCH($J370,'4D Schedule'!$A$6:$A$156,0))</f>
        <v>46317</v>
      </c>
      <c r="N370" s="56" t="str">
        <f aca="false">INDEX('4D Schedule'!$AG$6:$AG$156,MATCH($J370,'4D Schedule'!$A$6:$A$156,0))</f>
        <v>Not Started (Late)</v>
      </c>
      <c r="O370" s="55"/>
    </row>
    <row r="371" customFormat="false" ht="22.35" hidden="false" customHeight="false" outlineLevel="0" collapsed="false">
      <c r="A371" s="56" t="s">
        <v>1544</v>
      </c>
      <c r="B371" s="56" t="s">
        <v>527</v>
      </c>
      <c r="C371" s="55" t="s">
        <v>1545</v>
      </c>
      <c r="D371" s="56" t="s">
        <v>528</v>
      </c>
      <c r="E371" s="55" t="s">
        <v>526</v>
      </c>
      <c r="F371" s="25" t="s">
        <v>75</v>
      </c>
      <c r="G371" s="55" t="s">
        <v>509</v>
      </c>
      <c r="H371" s="56" t="s">
        <v>1546</v>
      </c>
      <c r="I371" s="56" t="s">
        <v>529</v>
      </c>
      <c r="J371" s="56" t="s">
        <v>523</v>
      </c>
      <c r="K371" s="55" t="str">
        <f aca="false">INDEX('4D Schedule'!$C$6:$C$156,MATCH($J371,'4D Schedule'!$A$6:$A$156,0))</f>
        <v>Chiller CH-01 on F1-01 (Bay 1–2) – setting, levelling, alignment &amp; grouting</v>
      </c>
      <c r="L371" s="61" t="n">
        <f aca="false">INDEX('4D Schedule'!$AE$6:$AE$156,MATCH($J371,'4D Schedule'!$A$6:$A$156,0))</f>
        <v>46389</v>
      </c>
      <c r="M371" s="61" t="n">
        <f aca="false">INDEX('4D Schedule'!$AF$6:$AF$156,MATCH($J371,'4D Schedule'!$A$6:$A$156,0))</f>
        <v>46405</v>
      </c>
      <c r="N371" s="56" t="str">
        <f aca="false">INDEX('4D Schedule'!$AG$6:$AG$156,MATCH($J371,'4D Schedule'!$A$6:$A$156,0))</f>
        <v>Not Started</v>
      </c>
      <c r="O371" s="55" t="s">
        <v>1547</v>
      </c>
    </row>
    <row r="372" customFormat="false" ht="22.35" hidden="false" customHeight="false" outlineLevel="0" collapsed="false">
      <c r="A372" s="56" t="s">
        <v>1548</v>
      </c>
      <c r="B372" s="56" t="s">
        <v>527</v>
      </c>
      <c r="C372" s="55" t="s">
        <v>1545</v>
      </c>
      <c r="D372" s="56" t="s">
        <v>534</v>
      </c>
      <c r="E372" s="55" t="s">
        <v>533</v>
      </c>
      <c r="F372" s="25" t="s">
        <v>75</v>
      </c>
      <c r="G372" s="55" t="s">
        <v>509</v>
      </c>
      <c r="H372" s="56" t="s">
        <v>1546</v>
      </c>
      <c r="I372" s="56" t="s">
        <v>529</v>
      </c>
      <c r="J372" s="56" t="s">
        <v>531</v>
      </c>
      <c r="K372" s="55" t="str">
        <f aca="false">INDEX('4D Schedule'!$C$6:$C$156,MATCH($J372,'4D Schedule'!$A$6:$A$156,0))</f>
        <v>Chiller CH-02 on F1-02 (Bay 2–3) – setting, levelling, alignment &amp; grouting</v>
      </c>
      <c r="L372" s="61" t="n">
        <f aca="false">INDEX('4D Schedule'!$AE$6:$AE$156,MATCH($J372,'4D Schedule'!$A$6:$A$156,0))</f>
        <v>46399</v>
      </c>
      <c r="M372" s="61" t="n">
        <f aca="false">INDEX('4D Schedule'!$AF$6:$AF$156,MATCH($J372,'4D Schedule'!$A$6:$A$156,0))</f>
        <v>46415</v>
      </c>
      <c r="N372" s="56" t="str">
        <f aca="false">INDEX('4D Schedule'!$AG$6:$AG$156,MATCH($J372,'4D Schedule'!$A$6:$A$156,0))</f>
        <v>Not Started</v>
      </c>
      <c r="O372" s="55" t="s">
        <v>1547</v>
      </c>
    </row>
    <row r="373" customFormat="false" ht="22.35" hidden="false" customHeight="false" outlineLevel="0" collapsed="false">
      <c r="A373" s="56" t="s">
        <v>1549</v>
      </c>
      <c r="B373" s="56" t="s">
        <v>527</v>
      </c>
      <c r="C373" s="55" t="s">
        <v>1545</v>
      </c>
      <c r="D373" s="56" t="s">
        <v>538</v>
      </c>
      <c r="E373" s="55" t="s">
        <v>537</v>
      </c>
      <c r="F373" s="25" t="s">
        <v>77</v>
      </c>
      <c r="G373" s="55" t="s">
        <v>509</v>
      </c>
      <c r="H373" s="56" t="s">
        <v>1546</v>
      </c>
      <c r="I373" s="56" t="s">
        <v>529</v>
      </c>
      <c r="J373" s="56" t="s">
        <v>535</v>
      </c>
      <c r="K373" s="55" t="str">
        <f aca="false">INDEX('4D Schedule'!$C$6:$C$156,MATCH($J373,'4D Schedule'!$A$6:$A$156,0))</f>
        <v>Chiller CH-03 on F1-03 (Bay 3–4) – setting, levelling, alignment &amp; grouting</v>
      </c>
      <c r="L373" s="61" t="n">
        <f aca="false">INDEX('4D Schedule'!$AE$6:$AE$156,MATCH($J373,'4D Schedule'!$A$6:$A$156,0))</f>
        <v>46408</v>
      </c>
      <c r="M373" s="61" t="n">
        <f aca="false">INDEX('4D Schedule'!$AF$6:$AF$156,MATCH($J373,'4D Schedule'!$A$6:$A$156,0))</f>
        <v>46424</v>
      </c>
      <c r="N373" s="56" t="str">
        <f aca="false">INDEX('4D Schedule'!$AG$6:$AG$156,MATCH($J373,'4D Schedule'!$A$6:$A$156,0))</f>
        <v>Not Started</v>
      </c>
      <c r="O373" s="55" t="s">
        <v>1547</v>
      </c>
    </row>
    <row r="374" customFormat="false" ht="22.35" hidden="false" customHeight="false" outlineLevel="0" collapsed="false">
      <c r="A374" s="56" t="s">
        <v>1550</v>
      </c>
      <c r="B374" s="56" t="s">
        <v>527</v>
      </c>
      <c r="C374" s="55" t="s">
        <v>1545</v>
      </c>
      <c r="D374" s="56" t="s">
        <v>542</v>
      </c>
      <c r="E374" s="55" t="s">
        <v>541</v>
      </c>
      <c r="F374" s="25" t="s">
        <v>77</v>
      </c>
      <c r="G374" s="55" t="s">
        <v>509</v>
      </c>
      <c r="H374" s="56" t="s">
        <v>1546</v>
      </c>
      <c r="I374" s="56" t="s">
        <v>529</v>
      </c>
      <c r="J374" s="56" t="s">
        <v>539</v>
      </c>
      <c r="K374" s="55" t="str">
        <f aca="false">INDEX('4D Schedule'!$C$6:$C$156,MATCH($J374,'4D Schedule'!$A$6:$A$156,0))</f>
        <v>Chiller CH-04 on F1-04 (Bay 4–5) – setting, levelling, alignment &amp; grouting</v>
      </c>
      <c r="L374" s="61" t="n">
        <f aca="false">INDEX('4D Schedule'!$AE$6:$AE$156,MATCH($J374,'4D Schedule'!$A$6:$A$156,0))</f>
        <v>46419</v>
      </c>
      <c r="M374" s="61" t="n">
        <f aca="false">INDEX('4D Schedule'!$AF$6:$AF$156,MATCH($J374,'4D Schedule'!$A$6:$A$156,0))</f>
        <v>46434</v>
      </c>
      <c r="N374" s="56" t="str">
        <f aca="false">INDEX('4D Schedule'!$AG$6:$AG$156,MATCH($J374,'4D Schedule'!$A$6:$A$156,0))</f>
        <v>Not Started</v>
      </c>
      <c r="O374" s="55" t="s">
        <v>1547</v>
      </c>
    </row>
    <row r="375" customFormat="false" ht="22.35" hidden="false" customHeight="false" outlineLevel="0" collapsed="false">
      <c r="A375" s="56" t="s">
        <v>1551</v>
      </c>
      <c r="B375" s="56" t="s">
        <v>527</v>
      </c>
      <c r="C375" s="55" t="s">
        <v>1545</v>
      </c>
      <c r="D375" s="56" t="s">
        <v>546</v>
      </c>
      <c r="E375" s="55" t="s">
        <v>545</v>
      </c>
      <c r="F375" s="25" t="s">
        <v>79</v>
      </c>
      <c r="G375" s="55" t="s">
        <v>509</v>
      </c>
      <c r="H375" s="56" t="s">
        <v>1546</v>
      </c>
      <c r="I375" s="56" t="s">
        <v>529</v>
      </c>
      <c r="J375" s="56" t="s">
        <v>543</v>
      </c>
      <c r="K375" s="55" t="str">
        <f aca="false">INDEX('4D Schedule'!$C$6:$C$156,MATCH($J375,'4D Schedule'!$A$6:$A$156,0))</f>
        <v>Chiller CH-05 on F1-05 (Bay 5–6) – setting, levelling, alignment &amp; grouting</v>
      </c>
      <c r="L375" s="61" t="n">
        <f aca="false">INDEX('4D Schedule'!$AE$6:$AE$156,MATCH($J375,'4D Schedule'!$A$6:$A$156,0))</f>
        <v>46428</v>
      </c>
      <c r="M375" s="61" t="n">
        <f aca="false">INDEX('4D Schedule'!$AF$6:$AF$156,MATCH($J375,'4D Schedule'!$A$6:$A$156,0))</f>
        <v>46443</v>
      </c>
      <c r="N375" s="56" t="str">
        <f aca="false">INDEX('4D Schedule'!$AG$6:$AG$156,MATCH($J375,'4D Schedule'!$A$6:$A$156,0))</f>
        <v>Not Started</v>
      </c>
      <c r="O375" s="55" t="s">
        <v>1547</v>
      </c>
    </row>
    <row r="376" customFormat="false" ht="22.35" hidden="false" customHeight="false" outlineLevel="0" collapsed="false">
      <c r="A376" s="56" t="s">
        <v>1552</v>
      </c>
      <c r="B376" s="56" t="s">
        <v>551</v>
      </c>
      <c r="C376" s="55" t="s">
        <v>1553</v>
      </c>
      <c r="D376" s="56" t="s">
        <v>1554</v>
      </c>
      <c r="E376" s="55" t="s">
        <v>1555</v>
      </c>
      <c r="F376" s="25" t="s">
        <v>443</v>
      </c>
      <c r="G376" s="55" t="s">
        <v>1556</v>
      </c>
      <c r="H376" s="56" t="s">
        <v>1557</v>
      </c>
      <c r="I376" s="56" t="s">
        <v>64</v>
      </c>
      <c r="J376" s="56" t="s">
        <v>547</v>
      </c>
      <c r="K376" s="55" t="str">
        <f aca="false">INDEX('4D Schedule'!$C$6:$C$156,MATCH($J376,'4D Schedule'!$A$6:$A$156,0))</f>
        <v>Hoists – 2T chain pulley block on MR-1 &amp; 10T electric hoist on MR-2</v>
      </c>
      <c r="L376" s="61" t="n">
        <f aca="false">INDEX('4D Schedule'!$AE$6:$AE$156,MATCH($J376,'4D Schedule'!$A$6:$A$156,0))</f>
        <v>46389</v>
      </c>
      <c r="M376" s="61" t="n">
        <f aca="false">INDEX('4D Schedule'!$AF$6:$AF$156,MATCH($J376,'4D Schedule'!$A$6:$A$156,0))</f>
        <v>46394</v>
      </c>
      <c r="N376" s="56" t="str">
        <f aca="false">INDEX('4D Schedule'!$AG$6:$AG$156,MATCH($J376,'4D Schedule'!$A$6:$A$156,0))</f>
        <v>Not Started</v>
      </c>
      <c r="O376" s="55"/>
    </row>
    <row r="377" customFormat="false" ht="22.35" hidden="false" customHeight="false" outlineLevel="0" collapsed="false">
      <c r="A377" s="56" t="s">
        <v>1558</v>
      </c>
      <c r="B377" s="56" t="s">
        <v>551</v>
      </c>
      <c r="C377" s="55" t="s">
        <v>1559</v>
      </c>
      <c r="D377" s="56" t="s">
        <v>1560</v>
      </c>
      <c r="E377" s="55" t="s">
        <v>1561</v>
      </c>
      <c r="F377" s="25" t="s">
        <v>443</v>
      </c>
      <c r="G377" s="55" t="s">
        <v>1562</v>
      </c>
      <c r="H377" s="56" t="s">
        <v>1563</v>
      </c>
      <c r="I377" s="56" t="s">
        <v>64</v>
      </c>
      <c r="J377" s="56" t="s">
        <v>547</v>
      </c>
      <c r="K377" s="55" t="str">
        <f aca="false">INDEX('4D Schedule'!$C$6:$C$156,MATCH($J377,'4D Schedule'!$A$6:$A$156,0))</f>
        <v>Hoists – 2T chain pulley block on MR-1 &amp; 10T electric hoist on MR-2</v>
      </c>
      <c r="L377" s="61" t="n">
        <f aca="false">INDEX('4D Schedule'!$AE$6:$AE$156,MATCH($J377,'4D Schedule'!$A$6:$A$156,0))</f>
        <v>46389</v>
      </c>
      <c r="M377" s="61" t="n">
        <f aca="false">INDEX('4D Schedule'!$AF$6:$AF$156,MATCH($J377,'4D Schedule'!$A$6:$A$156,0))</f>
        <v>46394</v>
      </c>
      <c r="N377" s="56" t="str">
        <f aca="false">INDEX('4D Schedule'!$AG$6:$AG$156,MATCH($J377,'4D Schedule'!$A$6:$A$156,0))</f>
        <v>Not Started</v>
      </c>
      <c r="O377" s="55"/>
    </row>
    <row r="378" customFormat="false" ht="22.35" hidden="false" customHeight="false" outlineLevel="0" collapsed="false">
      <c r="A378" s="56" t="s">
        <v>1564</v>
      </c>
      <c r="B378" s="56" t="s">
        <v>527</v>
      </c>
      <c r="C378" s="55" t="s">
        <v>1565</v>
      </c>
      <c r="D378" s="56" t="s">
        <v>1566</v>
      </c>
      <c r="E378" s="55" t="s">
        <v>1567</v>
      </c>
      <c r="F378" s="25" t="s">
        <v>75</v>
      </c>
      <c r="G378" s="55" t="s">
        <v>509</v>
      </c>
      <c r="H378" s="56" t="s">
        <v>1546</v>
      </c>
      <c r="I378" s="56" t="s">
        <v>529</v>
      </c>
      <c r="J378" s="56" t="s">
        <v>554</v>
      </c>
      <c r="K378" s="55" t="str">
        <f aca="false">INDEX('4D Schedule'!$C$6:$C$156,MATCH($J378,'4D Schedule'!$A$6:$A$156,0))</f>
        <v>Pumps P-01 to P-04 on F2-01..04 (Bays 1–3) – setting, alignment &amp; grouting</v>
      </c>
      <c r="L378" s="61" t="n">
        <f aca="false">INDEX('4D Schedule'!$AE$6:$AE$156,MATCH($J378,'4D Schedule'!$A$6:$A$156,0))</f>
        <v>46401</v>
      </c>
      <c r="M378" s="61" t="n">
        <f aca="false">INDEX('4D Schedule'!$AF$6:$AF$156,MATCH($J378,'4D Schedule'!$A$6:$A$156,0))</f>
        <v>46415</v>
      </c>
      <c r="N378" s="56" t="str">
        <f aca="false">INDEX('4D Schedule'!$AG$6:$AG$156,MATCH($J378,'4D Schedule'!$A$6:$A$156,0))</f>
        <v>Not Started</v>
      </c>
      <c r="O378" s="55" t="s">
        <v>1547</v>
      </c>
    </row>
    <row r="379" customFormat="false" ht="22.35" hidden="false" customHeight="false" outlineLevel="0" collapsed="false">
      <c r="A379" s="56" t="s">
        <v>1568</v>
      </c>
      <c r="B379" s="56" t="s">
        <v>527</v>
      </c>
      <c r="C379" s="55" t="s">
        <v>1565</v>
      </c>
      <c r="D379" s="56" t="s">
        <v>1569</v>
      </c>
      <c r="E379" s="55" t="s">
        <v>1570</v>
      </c>
      <c r="F379" s="25" t="s">
        <v>75</v>
      </c>
      <c r="G379" s="55" t="s">
        <v>509</v>
      </c>
      <c r="H379" s="56" t="s">
        <v>1546</v>
      </c>
      <c r="I379" s="56" t="s">
        <v>529</v>
      </c>
      <c r="J379" s="56" t="s">
        <v>554</v>
      </c>
      <c r="K379" s="55" t="str">
        <f aca="false">INDEX('4D Schedule'!$C$6:$C$156,MATCH($J379,'4D Schedule'!$A$6:$A$156,0))</f>
        <v>Pumps P-01 to P-04 on F2-01..04 (Bays 1–3) – setting, alignment &amp; grouting</v>
      </c>
      <c r="L379" s="61" t="n">
        <f aca="false">INDEX('4D Schedule'!$AE$6:$AE$156,MATCH($J379,'4D Schedule'!$A$6:$A$156,0))</f>
        <v>46401</v>
      </c>
      <c r="M379" s="61" t="n">
        <f aca="false">INDEX('4D Schedule'!$AF$6:$AF$156,MATCH($J379,'4D Schedule'!$A$6:$A$156,0))</f>
        <v>46415</v>
      </c>
      <c r="N379" s="56" t="str">
        <f aca="false">INDEX('4D Schedule'!$AG$6:$AG$156,MATCH($J379,'4D Schedule'!$A$6:$A$156,0))</f>
        <v>Not Started</v>
      </c>
      <c r="O379" s="55" t="s">
        <v>1547</v>
      </c>
    </row>
    <row r="380" customFormat="false" ht="22.35" hidden="false" customHeight="false" outlineLevel="0" collapsed="false">
      <c r="A380" s="56" t="s">
        <v>1571</v>
      </c>
      <c r="B380" s="56" t="s">
        <v>527</v>
      </c>
      <c r="C380" s="55" t="s">
        <v>1565</v>
      </c>
      <c r="D380" s="56" t="s">
        <v>1572</v>
      </c>
      <c r="E380" s="55" t="s">
        <v>1573</v>
      </c>
      <c r="F380" s="25" t="s">
        <v>75</v>
      </c>
      <c r="G380" s="55" t="s">
        <v>509</v>
      </c>
      <c r="H380" s="56" t="s">
        <v>1546</v>
      </c>
      <c r="I380" s="56" t="s">
        <v>529</v>
      </c>
      <c r="J380" s="56" t="s">
        <v>554</v>
      </c>
      <c r="K380" s="55" t="str">
        <f aca="false">INDEX('4D Schedule'!$C$6:$C$156,MATCH($J380,'4D Schedule'!$A$6:$A$156,0))</f>
        <v>Pumps P-01 to P-04 on F2-01..04 (Bays 1–3) – setting, alignment &amp; grouting</v>
      </c>
      <c r="L380" s="61" t="n">
        <f aca="false">INDEX('4D Schedule'!$AE$6:$AE$156,MATCH($J380,'4D Schedule'!$A$6:$A$156,0))</f>
        <v>46401</v>
      </c>
      <c r="M380" s="61" t="n">
        <f aca="false">INDEX('4D Schedule'!$AF$6:$AF$156,MATCH($J380,'4D Schedule'!$A$6:$A$156,0))</f>
        <v>46415</v>
      </c>
      <c r="N380" s="56" t="str">
        <f aca="false">INDEX('4D Schedule'!$AG$6:$AG$156,MATCH($J380,'4D Schedule'!$A$6:$A$156,0))</f>
        <v>Not Started</v>
      </c>
      <c r="O380" s="55" t="s">
        <v>1547</v>
      </c>
    </row>
    <row r="381" customFormat="false" ht="22.35" hidden="false" customHeight="false" outlineLevel="0" collapsed="false">
      <c r="A381" s="56" t="s">
        <v>1574</v>
      </c>
      <c r="B381" s="56" t="s">
        <v>527</v>
      </c>
      <c r="C381" s="55" t="s">
        <v>1565</v>
      </c>
      <c r="D381" s="56" t="s">
        <v>1575</v>
      </c>
      <c r="E381" s="55" t="s">
        <v>1576</v>
      </c>
      <c r="F381" s="25" t="s">
        <v>75</v>
      </c>
      <c r="G381" s="55" t="s">
        <v>509</v>
      </c>
      <c r="H381" s="56" t="s">
        <v>1546</v>
      </c>
      <c r="I381" s="56" t="s">
        <v>529</v>
      </c>
      <c r="J381" s="56" t="s">
        <v>554</v>
      </c>
      <c r="K381" s="55" t="str">
        <f aca="false">INDEX('4D Schedule'!$C$6:$C$156,MATCH($J381,'4D Schedule'!$A$6:$A$156,0))</f>
        <v>Pumps P-01 to P-04 on F2-01..04 (Bays 1–3) – setting, alignment &amp; grouting</v>
      </c>
      <c r="L381" s="61" t="n">
        <f aca="false">INDEX('4D Schedule'!$AE$6:$AE$156,MATCH($J381,'4D Schedule'!$A$6:$A$156,0))</f>
        <v>46401</v>
      </c>
      <c r="M381" s="61" t="n">
        <f aca="false">INDEX('4D Schedule'!$AF$6:$AF$156,MATCH($J381,'4D Schedule'!$A$6:$A$156,0))</f>
        <v>46415</v>
      </c>
      <c r="N381" s="56" t="str">
        <f aca="false">INDEX('4D Schedule'!$AG$6:$AG$156,MATCH($J381,'4D Schedule'!$A$6:$A$156,0))</f>
        <v>Not Started</v>
      </c>
      <c r="O381" s="55" t="s">
        <v>1547</v>
      </c>
    </row>
    <row r="382" customFormat="false" ht="22.35" hidden="false" customHeight="false" outlineLevel="0" collapsed="false">
      <c r="A382" s="56" t="s">
        <v>1577</v>
      </c>
      <c r="B382" s="56" t="s">
        <v>527</v>
      </c>
      <c r="C382" s="55" t="s">
        <v>1565</v>
      </c>
      <c r="D382" s="56" t="s">
        <v>1578</v>
      </c>
      <c r="E382" s="55" t="s">
        <v>1579</v>
      </c>
      <c r="F382" s="25" t="s">
        <v>77</v>
      </c>
      <c r="G382" s="55" t="s">
        <v>509</v>
      </c>
      <c r="H382" s="56" t="s">
        <v>1546</v>
      </c>
      <c r="I382" s="56" t="s">
        <v>529</v>
      </c>
      <c r="J382" s="56" t="s">
        <v>558</v>
      </c>
      <c r="K382" s="55" t="str">
        <f aca="false">INDEX('4D Schedule'!$C$6:$C$156,MATCH($J382,'4D Schedule'!$A$6:$A$156,0))</f>
        <v>Pumps P-05 to P-08 on F2-05..08 (Bays 3–5) – setting, alignment &amp; grouting</v>
      </c>
      <c r="L382" s="61" t="n">
        <f aca="false">INDEX('4D Schedule'!$AE$6:$AE$156,MATCH($J382,'4D Schedule'!$A$6:$A$156,0))</f>
        <v>46410</v>
      </c>
      <c r="M382" s="61" t="n">
        <f aca="false">INDEX('4D Schedule'!$AF$6:$AF$156,MATCH($J382,'4D Schedule'!$A$6:$A$156,0))</f>
        <v>46424</v>
      </c>
      <c r="N382" s="56" t="str">
        <f aca="false">INDEX('4D Schedule'!$AG$6:$AG$156,MATCH($J382,'4D Schedule'!$A$6:$A$156,0))</f>
        <v>Not Started</v>
      </c>
      <c r="O382" s="55" t="s">
        <v>1547</v>
      </c>
    </row>
    <row r="383" customFormat="false" ht="22.35" hidden="false" customHeight="false" outlineLevel="0" collapsed="false">
      <c r="A383" s="56" t="s">
        <v>1580</v>
      </c>
      <c r="B383" s="56" t="s">
        <v>527</v>
      </c>
      <c r="C383" s="55" t="s">
        <v>1565</v>
      </c>
      <c r="D383" s="56" t="s">
        <v>1581</v>
      </c>
      <c r="E383" s="55" t="s">
        <v>1582</v>
      </c>
      <c r="F383" s="25" t="s">
        <v>77</v>
      </c>
      <c r="G383" s="55" t="s">
        <v>509</v>
      </c>
      <c r="H383" s="56" t="s">
        <v>1546</v>
      </c>
      <c r="I383" s="56" t="s">
        <v>529</v>
      </c>
      <c r="J383" s="56" t="s">
        <v>558</v>
      </c>
      <c r="K383" s="55" t="str">
        <f aca="false">INDEX('4D Schedule'!$C$6:$C$156,MATCH($J383,'4D Schedule'!$A$6:$A$156,0))</f>
        <v>Pumps P-05 to P-08 on F2-05..08 (Bays 3–5) – setting, alignment &amp; grouting</v>
      </c>
      <c r="L383" s="61" t="n">
        <f aca="false">INDEX('4D Schedule'!$AE$6:$AE$156,MATCH($J383,'4D Schedule'!$A$6:$A$156,0))</f>
        <v>46410</v>
      </c>
      <c r="M383" s="61" t="n">
        <f aca="false">INDEX('4D Schedule'!$AF$6:$AF$156,MATCH($J383,'4D Schedule'!$A$6:$A$156,0))</f>
        <v>46424</v>
      </c>
      <c r="N383" s="56" t="str">
        <f aca="false">INDEX('4D Schedule'!$AG$6:$AG$156,MATCH($J383,'4D Schedule'!$A$6:$A$156,0))</f>
        <v>Not Started</v>
      </c>
      <c r="O383" s="55" t="s">
        <v>1547</v>
      </c>
    </row>
    <row r="384" customFormat="false" ht="22.35" hidden="false" customHeight="false" outlineLevel="0" collapsed="false">
      <c r="A384" s="56" t="s">
        <v>1583</v>
      </c>
      <c r="B384" s="56" t="s">
        <v>527</v>
      </c>
      <c r="C384" s="55" t="s">
        <v>1565</v>
      </c>
      <c r="D384" s="56" t="s">
        <v>1584</v>
      </c>
      <c r="E384" s="55" t="s">
        <v>1585</v>
      </c>
      <c r="F384" s="25" t="s">
        <v>77</v>
      </c>
      <c r="G384" s="55" t="s">
        <v>509</v>
      </c>
      <c r="H384" s="56" t="s">
        <v>1546</v>
      </c>
      <c r="I384" s="56" t="s">
        <v>529</v>
      </c>
      <c r="J384" s="56" t="s">
        <v>558</v>
      </c>
      <c r="K384" s="55" t="str">
        <f aca="false">INDEX('4D Schedule'!$C$6:$C$156,MATCH($J384,'4D Schedule'!$A$6:$A$156,0))</f>
        <v>Pumps P-05 to P-08 on F2-05..08 (Bays 3–5) – setting, alignment &amp; grouting</v>
      </c>
      <c r="L384" s="61" t="n">
        <f aca="false">INDEX('4D Schedule'!$AE$6:$AE$156,MATCH($J384,'4D Schedule'!$A$6:$A$156,0))</f>
        <v>46410</v>
      </c>
      <c r="M384" s="61" t="n">
        <f aca="false">INDEX('4D Schedule'!$AF$6:$AF$156,MATCH($J384,'4D Schedule'!$A$6:$A$156,0))</f>
        <v>46424</v>
      </c>
      <c r="N384" s="56" t="str">
        <f aca="false">INDEX('4D Schedule'!$AG$6:$AG$156,MATCH($J384,'4D Schedule'!$A$6:$A$156,0))</f>
        <v>Not Started</v>
      </c>
      <c r="O384" s="55" t="s">
        <v>1547</v>
      </c>
    </row>
    <row r="385" customFormat="false" ht="22.35" hidden="false" customHeight="false" outlineLevel="0" collapsed="false">
      <c r="A385" s="56" t="s">
        <v>1586</v>
      </c>
      <c r="B385" s="56" t="s">
        <v>527</v>
      </c>
      <c r="C385" s="55" t="s">
        <v>1565</v>
      </c>
      <c r="D385" s="56" t="s">
        <v>1587</v>
      </c>
      <c r="E385" s="55" t="s">
        <v>1588</v>
      </c>
      <c r="F385" s="25" t="s">
        <v>77</v>
      </c>
      <c r="G385" s="55" t="s">
        <v>509</v>
      </c>
      <c r="H385" s="56" t="s">
        <v>1546</v>
      </c>
      <c r="I385" s="56" t="s">
        <v>529</v>
      </c>
      <c r="J385" s="56" t="s">
        <v>558</v>
      </c>
      <c r="K385" s="55" t="str">
        <f aca="false">INDEX('4D Schedule'!$C$6:$C$156,MATCH($J385,'4D Schedule'!$A$6:$A$156,0))</f>
        <v>Pumps P-05 to P-08 on F2-05..08 (Bays 3–5) – setting, alignment &amp; grouting</v>
      </c>
      <c r="L385" s="61" t="n">
        <f aca="false">INDEX('4D Schedule'!$AE$6:$AE$156,MATCH($J385,'4D Schedule'!$A$6:$A$156,0))</f>
        <v>46410</v>
      </c>
      <c r="M385" s="61" t="n">
        <f aca="false">INDEX('4D Schedule'!$AF$6:$AF$156,MATCH($J385,'4D Schedule'!$A$6:$A$156,0))</f>
        <v>46424</v>
      </c>
      <c r="N385" s="56" t="str">
        <f aca="false">INDEX('4D Schedule'!$AG$6:$AG$156,MATCH($J385,'4D Schedule'!$A$6:$A$156,0))</f>
        <v>Not Started</v>
      </c>
      <c r="O385" s="55" t="s">
        <v>1547</v>
      </c>
    </row>
    <row r="386" customFormat="false" ht="22.35" hidden="false" customHeight="false" outlineLevel="0" collapsed="false">
      <c r="A386" s="56" t="s">
        <v>1589</v>
      </c>
      <c r="B386" s="56" t="s">
        <v>527</v>
      </c>
      <c r="C386" s="55" t="s">
        <v>1565</v>
      </c>
      <c r="D386" s="56" t="s">
        <v>1590</v>
      </c>
      <c r="E386" s="55" t="s">
        <v>1591</v>
      </c>
      <c r="F386" s="25" t="s">
        <v>79</v>
      </c>
      <c r="G386" s="55" t="s">
        <v>509</v>
      </c>
      <c r="H386" s="56" t="s">
        <v>1546</v>
      </c>
      <c r="I386" s="56" t="s">
        <v>529</v>
      </c>
      <c r="J386" s="56" t="s">
        <v>562</v>
      </c>
      <c r="K386" s="55" t="str">
        <f aca="false">INDEX('4D Schedule'!$C$6:$C$156,MATCH($J386,'4D Schedule'!$A$6:$A$156,0))</f>
        <v>Pumps P-09 &amp; P-10 on F2-09..10 (Bay 5–6) – setting, alignment &amp; grouting</v>
      </c>
      <c r="L386" s="61" t="n">
        <f aca="false">INDEX('4D Schedule'!$AE$6:$AE$156,MATCH($J386,'4D Schedule'!$A$6:$A$156,0))</f>
        <v>46421</v>
      </c>
      <c r="M386" s="61" t="n">
        <f aca="false">INDEX('4D Schedule'!$AF$6:$AF$156,MATCH($J386,'4D Schedule'!$A$6:$A$156,0))</f>
        <v>46429</v>
      </c>
      <c r="N386" s="56" t="str">
        <f aca="false">INDEX('4D Schedule'!$AG$6:$AG$156,MATCH($J386,'4D Schedule'!$A$6:$A$156,0))</f>
        <v>Not Started</v>
      </c>
      <c r="O386" s="55" t="s">
        <v>1547</v>
      </c>
    </row>
    <row r="387" customFormat="false" ht="22.35" hidden="false" customHeight="false" outlineLevel="0" collapsed="false">
      <c r="A387" s="56" t="s">
        <v>1592</v>
      </c>
      <c r="B387" s="56" t="s">
        <v>527</v>
      </c>
      <c r="C387" s="55" t="s">
        <v>1565</v>
      </c>
      <c r="D387" s="56" t="s">
        <v>1593</v>
      </c>
      <c r="E387" s="55" t="s">
        <v>1594</v>
      </c>
      <c r="F387" s="25" t="s">
        <v>79</v>
      </c>
      <c r="G387" s="55" t="s">
        <v>509</v>
      </c>
      <c r="H387" s="56" t="s">
        <v>1546</v>
      </c>
      <c r="I387" s="56" t="s">
        <v>529</v>
      </c>
      <c r="J387" s="56" t="s">
        <v>562</v>
      </c>
      <c r="K387" s="55" t="str">
        <f aca="false">INDEX('4D Schedule'!$C$6:$C$156,MATCH($J387,'4D Schedule'!$A$6:$A$156,0))</f>
        <v>Pumps P-09 &amp; P-10 on F2-09..10 (Bay 5–6) – setting, alignment &amp; grouting</v>
      </c>
      <c r="L387" s="61" t="n">
        <f aca="false">INDEX('4D Schedule'!$AE$6:$AE$156,MATCH($J387,'4D Schedule'!$A$6:$A$156,0))</f>
        <v>46421</v>
      </c>
      <c r="M387" s="61" t="n">
        <f aca="false">INDEX('4D Schedule'!$AF$6:$AF$156,MATCH($J387,'4D Schedule'!$A$6:$A$156,0))</f>
        <v>46429</v>
      </c>
      <c r="N387" s="56" t="str">
        <f aca="false">INDEX('4D Schedule'!$AG$6:$AG$156,MATCH($J387,'4D Schedule'!$A$6:$A$156,0))</f>
        <v>Not Started</v>
      </c>
      <c r="O387" s="55" t="s">
        <v>1547</v>
      </c>
    </row>
    <row r="388" customFormat="false" ht="22.35" hidden="false" customHeight="false" outlineLevel="0" collapsed="false">
      <c r="A388" s="56" t="s">
        <v>1595</v>
      </c>
      <c r="B388" s="56" t="s">
        <v>527</v>
      </c>
      <c r="C388" s="55" t="s">
        <v>567</v>
      </c>
      <c r="D388" s="56" t="s">
        <v>570</v>
      </c>
      <c r="E388" s="55" t="s">
        <v>568</v>
      </c>
      <c r="F388" s="25" t="s">
        <v>443</v>
      </c>
      <c r="G388" s="55" t="s">
        <v>569</v>
      </c>
      <c r="H388" s="56"/>
      <c r="I388" s="56"/>
      <c r="J388" s="56" t="s">
        <v>566</v>
      </c>
      <c r="K388" s="55" t="str">
        <f aca="false">INDEX('4D Schedule'!$C$6:$C$156,MATCH($J388,'4D Schedule'!$A$6:$A$156,0))</f>
        <v>Final alignment, motor/drive coupling &amp; box-up of chillers and pumps</v>
      </c>
      <c r="L388" s="61" t="n">
        <f aca="false">INDEX('4D Schedule'!$AE$6:$AE$156,MATCH($J388,'4D Schedule'!$A$6:$A$156,0))</f>
        <v>46444</v>
      </c>
      <c r="M388" s="61" t="n">
        <f aca="false">INDEX('4D Schedule'!$AF$6:$AF$156,MATCH($J388,'4D Schedule'!$A$6:$A$156,0))</f>
        <v>46466</v>
      </c>
      <c r="N388" s="56" t="str">
        <f aca="false">INDEX('4D Schedule'!$AG$6:$AG$156,MATCH($J388,'4D Schedule'!$A$6:$A$156,0))</f>
        <v>Not Started</v>
      </c>
      <c r="O388" s="55" t="s">
        <v>883</v>
      </c>
    </row>
    <row r="389" customFormat="false" ht="22.35" hidden="false" customHeight="false" outlineLevel="0" collapsed="false">
      <c r="A389" s="56" t="s">
        <v>1596</v>
      </c>
      <c r="B389" s="56" t="s">
        <v>578</v>
      </c>
      <c r="C389" s="55" t="s">
        <v>574</v>
      </c>
      <c r="D389" s="56" t="s">
        <v>579</v>
      </c>
      <c r="E389" s="55" t="s">
        <v>576</v>
      </c>
      <c r="F389" s="25" t="s">
        <v>443</v>
      </c>
      <c r="G389" s="55" t="s">
        <v>577</v>
      </c>
      <c r="H389" s="56"/>
      <c r="I389" s="56"/>
      <c r="J389" s="56" t="s">
        <v>573</v>
      </c>
      <c r="K389" s="55" t="str">
        <f aca="false">INDEX('4D Schedule'!$C$6:$C$156,MATCH($J389,'4D Schedule'!$A$6:$A$156,0))</f>
        <v>Pipe supports &amp; sleepers – chiller hall</v>
      </c>
      <c r="L389" s="61" t="n">
        <f aca="false">INDEX('4D Schedule'!$AE$6:$AE$156,MATCH($J389,'4D Schedule'!$A$6:$A$156,0))</f>
        <v>46414</v>
      </c>
      <c r="M389" s="61" t="n">
        <f aca="false">INDEX('4D Schedule'!$AF$6:$AF$156,MATCH($J389,'4D Schedule'!$A$6:$A$156,0))</f>
        <v>46430</v>
      </c>
      <c r="N389" s="56" t="str">
        <f aca="false">INDEX('4D Schedule'!$AG$6:$AG$156,MATCH($J389,'4D Schedule'!$A$6:$A$156,0))</f>
        <v>Not Started</v>
      </c>
      <c r="O389" s="55" t="s">
        <v>883</v>
      </c>
    </row>
    <row r="390" customFormat="false" ht="22.35" hidden="false" customHeight="false" outlineLevel="0" collapsed="false">
      <c r="A390" s="56" t="s">
        <v>1597</v>
      </c>
      <c r="B390" s="56" t="s">
        <v>583</v>
      </c>
      <c r="C390" s="55" t="s">
        <v>581</v>
      </c>
      <c r="D390" s="56" t="s">
        <v>584</v>
      </c>
      <c r="E390" s="55" t="s">
        <v>576</v>
      </c>
      <c r="F390" s="25" t="s">
        <v>443</v>
      </c>
      <c r="G390" s="55" t="s">
        <v>582</v>
      </c>
      <c r="H390" s="56"/>
      <c r="I390" s="56"/>
      <c r="J390" s="56" t="s">
        <v>580</v>
      </c>
      <c r="K390" s="55" t="str">
        <f aca="false">INDEX('4D Schedule'!$C$6:$C$156,MATCH($J390,'4D Schedule'!$A$6:$A$156,0))</f>
        <v>CHW &amp; CW headers (supply / return) – fabrication &amp; erection</v>
      </c>
      <c r="L390" s="61" t="n">
        <f aca="false">INDEX('4D Schedule'!$AE$6:$AE$156,MATCH($J390,'4D Schedule'!$A$6:$A$156,0))</f>
        <v>46423</v>
      </c>
      <c r="M390" s="61" t="n">
        <f aca="false">INDEX('4D Schedule'!$AF$6:$AF$156,MATCH($J390,'4D Schedule'!$A$6:$A$156,0))</f>
        <v>46451</v>
      </c>
      <c r="N390" s="56" t="str">
        <f aca="false">INDEX('4D Schedule'!$AG$6:$AG$156,MATCH($J390,'4D Schedule'!$A$6:$A$156,0))</f>
        <v>Not Started</v>
      </c>
      <c r="O390" s="55" t="s">
        <v>883</v>
      </c>
    </row>
    <row r="391" customFormat="false" ht="22.35" hidden="false" customHeight="false" outlineLevel="0" collapsed="false">
      <c r="A391" s="56" t="s">
        <v>1598</v>
      </c>
      <c r="B391" s="56" t="s">
        <v>588</v>
      </c>
      <c r="C391" s="55" t="s">
        <v>586</v>
      </c>
      <c r="D391" s="56" t="s">
        <v>589</v>
      </c>
      <c r="E391" s="55" t="s">
        <v>587</v>
      </c>
      <c r="F391" s="25" t="s">
        <v>443</v>
      </c>
      <c r="G391" s="55" t="s">
        <v>577</v>
      </c>
      <c r="H391" s="56"/>
      <c r="I391" s="56"/>
      <c r="J391" s="56" t="s">
        <v>585</v>
      </c>
      <c r="K391" s="55" t="str">
        <f aca="false">INDEX('4D Schedule'!$C$6:$C$156,MATCH($J391,'4D Schedule'!$A$6:$A$156,0))</f>
        <v>Chiller hook-up piping CH-01..CH-05 incl. valves, strainers &amp; flexible connectors</v>
      </c>
      <c r="L391" s="61" t="n">
        <f aca="false">INDEX('4D Schedule'!$AE$6:$AE$156,MATCH($J391,'4D Schedule'!$A$6:$A$156,0))</f>
        <v>46444</v>
      </c>
      <c r="M391" s="61" t="n">
        <f aca="false">INDEX('4D Schedule'!$AF$6:$AF$156,MATCH($J391,'4D Schedule'!$A$6:$A$156,0))</f>
        <v>46469</v>
      </c>
      <c r="N391" s="56" t="str">
        <f aca="false">INDEX('4D Schedule'!$AG$6:$AG$156,MATCH($J391,'4D Schedule'!$A$6:$A$156,0))</f>
        <v>Not Started</v>
      </c>
      <c r="O391" s="55" t="s">
        <v>883</v>
      </c>
    </row>
    <row r="392" customFormat="false" ht="22.35" hidden="false" customHeight="false" outlineLevel="0" collapsed="false">
      <c r="A392" s="56" t="s">
        <v>1599</v>
      </c>
      <c r="B392" s="56" t="s">
        <v>588</v>
      </c>
      <c r="C392" s="55" t="s">
        <v>591</v>
      </c>
      <c r="D392" s="56" t="s">
        <v>594</v>
      </c>
      <c r="E392" s="55" t="s">
        <v>592</v>
      </c>
      <c r="F392" s="25" t="s">
        <v>443</v>
      </c>
      <c r="G392" s="55" t="s">
        <v>593</v>
      </c>
      <c r="H392" s="56"/>
      <c r="I392" s="56"/>
      <c r="J392" s="56" t="s">
        <v>590</v>
      </c>
      <c r="K392" s="55" t="str">
        <f aca="false">INDEX('4D Schedule'!$C$6:$C$156,MATCH($J392,'4D Schedule'!$A$6:$A$156,0))</f>
        <v>Pump suction / discharge hook-up P-01..P-10</v>
      </c>
      <c r="L392" s="61" t="n">
        <f aca="false">INDEX('4D Schedule'!$AE$6:$AE$156,MATCH($J392,'4D Schedule'!$A$6:$A$156,0))</f>
        <v>46437</v>
      </c>
      <c r="M392" s="61" t="n">
        <f aca="false">INDEX('4D Schedule'!$AF$6:$AF$156,MATCH($J392,'4D Schedule'!$A$6:$A$156,0))</f>
        <v>46458</v>
      </c>
      <c r="N392" s="56" t="str">
        <f aca="false">INDEX('4D Schedule'!$AG$6:$AG$156,MATCH($J392,'4D Schedule'!$A$6:$A$156,0))</f>
        <v>Not Started</v>
      </c>
      <c r="O392" s="55" t="s">
        <v>883</v>
      </c>
    </row>
    <row r="393" customFormat="false" ht="22.35" hidden="false" customHeight="false" outlineLevel="0" collapsed="false">
      <c r="A393" s="56" t="s">
        <v>1600</v>
      </c>
      <c r="B393" s="56" t="s">
        <v>597</v>
      </c>
      <c r="C393" s="55" t="s">
        <v>596</v>
      </c>
      <c r="D393" s="56" t="s">
        <v>598</v>
      </c>
      <c r="E393" s="55" t="s">
        <v>568</v>
      </c>
      <c r="F393" s="25" t="s">
        <v>443</v>
      </c>
      <c r="G393" s="55" t="s">
        <v>443</v>
      </c>
      <c r="H393" s="56"/>
      <c r="I393" s="56"/>
      <c r="J393" s="56" t="s">
        <v>595</v>
      </c>
      <c r="K393" s="55" t="str">
        <f aca="false">INDEX('4D Schedule'!$C$6:$C$156,MATCH($J393,'4D Schedule'!$A$6:$A$156,0))</f>
        <v>Hydro test, flushing &amp; reinstatement</v>
      </c>
      <c r="L393" s="61" t="n">
        <f aca="false">INDEX('4D Schedule'!$AE$6:$AE$156,MATCH($J393,'4D Schedule'!$A$6:$A$156,0))</f>
        <v>46470</v>
      </c>
      <c r="M393" s="61" t="n">
        <f aca="false">INDEX('4D Schedule'!$AF$6:$AF$156,MATCH($J393,'4D Schedule'!$A$6:$A$156,0))</f>
        <v>46485</v>
      </c>
      <c r="N393" s="56" t="str">
        <f aca="false">INDEX('4D Schedule'!$AG$6:$AG$156,MATCH($J393,'4D Schedule'!$A$6:$A$156,0))</f>
        <v>Not Started</v>
      </c>
      <c r="O393" s="55" t="s">
        <v>883</v>
      </c>
    </row>
    <row r="394" customFormat="false" ht="22.35" hidden="false" customHeight="false" outlineLevel="0" collapsed="false">
      <c r="A394" s="56" t="s">
        <v>1601</v>
      </c>
      <c r="B394" s="56" t="s">
        <v>606</v>
      </c>
      <c r="C394" s="55" t="s">
        <v>602</v>
      </c>
      <c r="D394" s="56" t="s">
        <v>607</v>
      </c>
      <c r="E394" s="55" t="s">
        <v>604</v>
      </c>
      <c r="F394" s="25" t="s">
        <v>443</v>
      </c>
      <c r="G394" s="55" t="s">
        <v>605</v>
      </c>
      <c r="H394" s="56"/>
      <c r="I394" s="56"/>
      <c r="J394" s="56" t="s">
        <v>601</v>
      </c>
      <c r="K394" s="55" t="str">
        <f aca="false">INDEX('4D Schedule'!$C$6:$C$156,MATCH($J394,'4D Schedule'!$A$6:$A$156,0))</f>
        <v>Cable trays &amp; supports – trenches T1/T2, cable pit &amp; cable cellar</v>
      </c>
      <c r="L394" s="61" t="n">
        <f aca="false">INDEX('4D Schedule'!$AE$6:$AE$156,MATCH($J394,'4D Schedule'!$A$6:$A$156,0))</f>
        <v>46420</v>
      </c>
      <c r="M394" s="61" t="n">
        <f aca="false">INDEX('4D Schedule'!$AF$6:$AF$156,MATCH($J394,'4D Schedule'!$A$6:$A$156,0))</f>
        <v>46442</v>
      </c>
      <c r="N394" s="56" t="str">
        <f aca="false">INDEX('4D Schedule'!$AG$6:$AG$156,MATCH($J394,'4D Schedule'!$A$6:$A$156,0))</f>
        <v>Not Started</v>
      </c>
      <c r="O394" s="55" t="s">
        <v>883</v>
      </c>
    </row>
    <row r="395" customFormat="false" ht="22.35" hidden="false" customHeight="false" outlineLevel="0" collapsed="false">
      <c r="A395" s="56" t="s">
        <v>1602</v>
      </c>
      <c r="B395" s="56" t="s">
        <v>606</v>
      </c>
      <c r="C395" s="55" t="s">
        <v>609</v>
      </c>
      <c r="D395" s="56" t="s">
        <v>607</v>
      </c>
      <c r="E395" s="55" t="s">
        <v>610</v>
      </c>
      <c r="F395" s="25" t="s">
        <v>443</v>
      </c>
      <c r="G395" s="55" t="s">
        <v>611</v>
      </c>
      <c r="H395" s="56"/>
      <c r="I395" s="56"/>
      <c r="J395" s="56" t="s">
        <v>608</v>
      </c>
      <c r="K395" s="55" t="str">
        <f aca="false">INDEX('4D Schedule'!$C$6:$C$156,MATCH($J395,'4D Schedule'!$A$6:$A$156,0))</f>
        <v>Cable trays &amp; supports – chiller hall, switchgear room &amp; first floor</v>
      </c>
      <c r="L395" s="61" t="n">
        <f aca="false">INDEX('4D Schedule'!$AE$6:$AE$156,MATCH($J395,'4D Schedule'!$A$6:$A$156,0))</f>
        <v>46429</v>
      </c>
      <c r="M395" s="61" t="n">
        <f aca="false">INDEX('4D Schedule'!$AF$6:$AF$156,MATCH($J395,'4D Schedule'!$A$6:$A$156,0))</f>
        <v>46451</v>
      </c>
      <c r="N395" s="56" t="str">
        <f aca="false">INDEX('4D Schedule'!$AG$6:$AG$156,MATCH($J395,'4D Schedule'!$A$6:$A$156,0))</f>
        <v>Not Started</v>
      </c>
      <c r="O395" s="55" t="s">
        <v>883</v>
      </c>
    </row>
    <row r="396" customFormat="false" ht="22.35" hidden="false" customHeight="false" outlineLevel="0" collapsed="false">
      <c r="A396" s="56" t="s">
        <v>1603</v>
      </c>
      <c r="B396" s="56" t="s">
        <v>615</v>
      </c>
      <c r="C396" s="55" t="s">
        <v>613</v>
      </c>
      <c r="D396" s="56" t="s">
        <v>616</v>
      </c>
      <c r="E396" s="55" t="s">
        <v>614</v>
      </c>
      <c r="F396" s="25" t="s">
        <v>443</v>
      </c>
      <c r="G396" s="55" t="s">
        <v>443</v>
      </c>
      <c r="H396" s="56"/>
      <c r="I396" s="56"/>
      <c r="J396" s="56" t="s">
        <v>612</v>
      </c>
      <c r="K396" s="55" t="str">
        <f aca="false">INDEX('4D Schedule'!$C$6:$C$156,MATCH($J396,'4D Schedule'!$A$6:$A$156,0))</f>
        <v>Cable laying, glanding &amp; termination (power &amp; control)</v>
      </c>
      <c r="L396" s="61" t="n">
        <f aca="false">INDEX('4D Schedule'!$AE$6:$AE$156,MATCH($J396,'4D Schedule'!$A$6:$A$156,0))</f>
        <v>46437</v>
      </c>
      <c r="M396" s="61" t="n">
        <f aca="false">INDEX('4D Schedule'!$AF$6:$AF$156,MATCH($J396,'4D Schedule'!$A$6:$A$156,0))</f>
        <v>46473</v>
      </c>
      <c r="N396" s="56" t="str">
        <f aca="false">INDEX('4D Schedule'!$AG$6:$AG$156,MATCH($J396,'4D Schedule'!$A$6:$A$156,0))</f>
        <v>Not Started</v>
      </c>
      <c r="O396" s="55" t="s">
        <v>883</v>
      </c>
    </row>
    <row r="397" customFormat="false" ht="22.35" hidden="false" customHeight="false" outlineLevel="0" collapsed="false">
      <c r="A397" s="56" t="s">
        <v>1604</v>
      </c>
      <c r="B397" s="56" t="s">
        <v>622</v>
      </c>
      <c r="C397" s="55" t="s">
        <v>620</v>
      </c>
      <c r="D397" s="56" t="s">
        <v>623</v>
      </c>
      <c r="E397" s="55" t="s">
        <v>621</v>
      </c>
      <c r="F397" s="25" t="s">
        <v>443</v>
      </c>
      <c r="G397" s="55" t="s">
        <v>443</v>
      </c>
      <c r="H397" s="56"/>
      <c r="I397" s="56"/>
      <c r="J397" s="56" t="s">
        <v>619</v>
      </c>
      <c r="K397" s="55" t="str">
        <f aca="false">INDEX('4D Schedule'!$C$6:$C$156,MATCH($J397,'4D Schedule'!$A$6:$A$156,0))</f>
        <v>Earthing &amp; lightning protection</v>
      </c>
      <c r="L397" s="61" t="n">
        <f aca="false">INDEX('4D Schedule'!$AE$6:$AE$156,MATCH($J397,'4D Schedule'!$A$6:$A$156,0))</f>
        <v>46437</v>
      </c>
      <c r="M397" s="61" t="n">
        <f aca="false">INDEX('4D Schedule'!$AF$6:$AF$156,MATCH($J397,'4D Schedule'!$A$6:$A$156,0))</f>
        <v>46454</v>
      </c>
      <c r="N397" s="56" t="str">
        <f aca="false">INDEX('4D Schedule'!$AG$6:$AG$156,MATCH($J397,'4D Schedule'!$A$6:$A$156,0))</f>
        <v>Not Started</v>
      </c>
      <c r="O397" s="55" t="s">
        <v>883</v>
      </c>
    </row>
    <row r="398" customFormat="false" ht="22.35" hidden="false" customHeight="false" outlineLevel="0" collapsed="false">
      <c r="A398" s="56" t="s">
        <v>1605</v>
      </c>
      <c r="B398" s="56" t="s">
        <v>626</v>
      </c>
      <c r="C398" s="55" t="s">
        <v>625</v>
      </c>
      <c r="D398" s="56" t="s">
        <v>627</v>
      </c>
      <c r="E398" s="55" t="s">
        <v>621</v>
      </c>
      <c r="F398" s="25" t="s">
        <v>443</v>
      </c>
      <c r="G398" s="55" t="s">
        <v>443</v>
      </c>
      <c r="H398" s="56"/>
      <c r="I398" s="56"/>
      <c r="J398" s="56" t="s">
        <v>624</v>
      </c>
      <c r="K398" s="55" t="str">
        <f aca="false">INDEX('4D Schedule'!$C$6:$C$156,MATCH($J398,'4D Schedule'!$A$6:$A$156,0))</f>
        <v>Lighting fixtures, JBs &amp; small power</v>
      </c>
      <c r="L398" s="61" t="n">
        <f aca="false">INDEX('4D Schedule'!$AE$6:$AE$156,MATCH($J398,'4D Schedule'!$A$6:$A$156,0))</f>
        <v>46443</v>
      </c>
      <c r="M398" s="61" t="n">
        <f aca="false">INDEX('4D Schedule'!$AF$6:$AF$156,MATCH($J398,'4D Schedule'!$A$6:$A$156,0))</f>
        <v>46491</v>
      </c>
      <c r="N398" s="56" t="str">
        <f aca="false">INDEX('4D Schedule'!$AG$6:$AG$156,MATCH($J398,'4D Schedule'!$A$6:$A$156,0))</f>
        <v>Not Started</v>
      </c>
      <c r="O398" s="55" t="s">
        <v>883</v>
      </c>
    </row>
    <row r="399" customFormat="false" ht="22.35" hidden="false" customHeight="false" outlineLevel="0" collapsed="false">
      <c r="A399" s="56" t="s">
        <v>1606</v>
      </c>
      <c r="B399" s="56" t="s">
        <v>632</v>
      </c>
      <c r="C399" s="55" t="s">
        <v>629</v>
      </c>
      <c r="D399" s="56" t="s">
        <v>633</v>
      </c>
      <c r="E399" s="55" t="s">
        <v>630</v>
      </c>
      <c r="F399" s="25" t="s">
        <v>443</v>
      </c>
      <c r="G399" s="55" t="s">
        <v>631</v>
      </c>
      <c r="H399" s="56"/>
      <c r="I399" s="56"/>
      <c r="J399" s="56" t="s">
        <v>628</v>
      </c>
      <c r="K399" s="55" t="str">
        <f aca="false">INDEX('4D Schedule'!$C$6:$C$156,MATCH($J399,'4D Schedule'!$A$6:$A$156,0))</f>
        <v>Switchgear room panels (6.6 kV SWBD, ESS6-PDB-1) – placement &amp; termination</v>
      </c>
      <c r="L399" s="61" t="n">
        <f aca="false">INDEX('4D Schedule'!$AE$6:$AE$156,MATCH($J399,'4D Schedule'!$A$6:$A$156,0))</f>
        <v>46437</v>
      </c>
      <c r="M399" s="61" t="n">
        <f aca="false">INDEX('4D Schedule'!$AF$6:$AF$156,MATCH($J399,'4D Schedule'!$A$6:$A$156,0))</f>
        <v>46461</v>
      </c>
      <c r="N399" s="56" t="str">
        <f aca="false">INDEX('4D Schedule'!$AG$6:$AG$156,MATCH($J399,'4D Schedule'!$A$6:$A$156,0))</f>
        <v>Not Started</v>
      </c>
      <c r="O399" s="55" t="s">
        <v>883</v>
      </c>
    </row>
    <row r="400" customFormat="false" ht="22.35" hidden="false" customHeight="false" outlineLevel="0" collapsed="false">
      <c r="A400" s="56" t="s">
        <v>1607</v>
      </c>
      <c r="B400" s="56" t="s">
        <v>639</v>
      </c>
      <c r="C400" s="55" t="s">
        <v>637</v>
      </c>
      <c r="D400" s="56" t="s">
        <v>640</v>
      </c>
      <c r="E400" s="55" t="s">
        <v>568</v>
      </c>
      <c r="F400" s="25" t="s">
        <v>443</v>
      </c>
      <c r="G400" s="55" t="s">
        <v>577</v>
      </c>
      <c r="H400" s="56"/>
      <c r="I400" s="56"/>
      <c r="J400" s="56" t="s">
        <v>636</v>
      </c>
      <c r="K400" s="55" t="str">
        <f aca="false">INDEX('4D Schedule'!$C$6:$C$156,MATCH($J400,'4D Schedule'!$A$6:$A$156,0))</f>
        <v>Field instruments installation (PT / TT / FT / flow switches)</v>
      </c>
      <c r="L400" s="61" t="n">
        <f aca="false">INDEX('4D Schedule'!$AE$6:$AE$156,MATCH($J400,'4D Schedule'!$A$6:$A$156,0))</f>
        <v>46456</v>
      </c>
      <c r="M400" s="61" t="n">
        <f aca="false">INDEX('4D Schedule'!$AF$6:$AF$156,MATCH($J400,'4D Schedule'!$A$6:$A$156,0))</f>
        <v>46485</v>
      </c>
      <c r="N400" s="56" t="str">
        <f aca="false">INDEX('4D Schedule'!$AG$6:$AG$156,MATCH($J400,'4D Schedule'!$A$6:$A$156,0))</f>
        <v>Not Started</v>
      </c>
      <c r="O400" s="55" t="s">
        <v>883</v>
      </c>
    </row>
    <row r="401" customFormat="false" ht="22.35" hidden="false" customHeight="false" outlineLevel="0" collapsed="false">
      <c r="A401" s="56" t="s">
        <v>1608</v>
      </c>
      <c r="B401" s="56" t="s">
        <v>643</v>
      </c>
      <c r="C401" s="55" t="s">
        <v>642</v>
      </c>
      <c r="D401" s="56" t="s">
        <v>644</v>
      </c>
      <c r="E401" s="55" t="s">
        <v>568</v>
      </c>
      <c r="F401" s="25" t="s">
        <v>443</v>
      </c>
      <c r="G401" s="55" t="s">
        <v>443</v>
      </c>
      <c r="H401" s="56"/>
      <c r="I401" s="56"/>
      <c r="J401" s="56" t="s">
        <v>641</v>
      </c>
      <c r="K401" s="55" t="str">
        <f aca="false">INDEX('4D Schedule'!$C$6:$C$156,MATCH($J401,'4D Schedule'!$A$6:$A$156,0))</f>
        <v>Instrument cabling, impulse tubing &amp; loop checks</v>
      </c>
      <c r="L401" s="61" t="n">
        <f aca="false">INDEX('4D Schedule'!$AE$6:$AE$156,MATCH($J401,'4D Schedule'!$A$6:$A$156,0))</f>
        <v>46469</v>
      </c>
      <c r="M401" s="61" t="n">
        <f aca="false">INDEX('4D Schedule'!$AF$6:$AF$156,MATCH($J401,'4D Schedule'!$A$6:$A$156,0))</f>
        <v>46510</v>
      </c>
      <c r="N401" s="56" t="str">
        <f aca="false">INDEX('4D Schedule'!$AG$6:$AG$156,MATCH($J401,'4D Schedule'!$A$6:$A$156,0))</f>
        <v>Not Started</v>
      </c>
      <c r="O401" s="55" t="s">
        <v>883</v>
      </c>
    </row>
    <row r="402" customFormat="false" ht="22.35" hidden="false" customHeight="false" outlineLevel="0" collapsed="false">
      <c r="A402" s="56" t="s">
        <v>1609</v>
      </c>
      <c r="B402" s="56" t="s">
        <v>658</v>
      </c>
      <c r="C402" s="55" t="s">
        <v>654</v>
      </c>
      <c r="D402" s="56" t="s">
        <v>659</v>
      </c>
      <c r="E402" s="55" t="s">
        <v>656</v>
      </c>
      <c r="F402" s="25" t="s">
        <v>443</v>
      </c>
      <c r="G402" s="55" t="s">
        <v>657</v>
      </c>
      <c r="H402" s="56"/>
      <c r="I402" s="56" t="s">
        <v>66</v>
      </c>
      <c r="J402" s="56" t="s">
        <v>653</v>
      </c>
      <c r="K402" s="55" t="str">
        <f aca="false">INDEX('4D Schedule'!$C$6:$C$156,MATCH($J402,'4D Schedule'!$A$6:$A$156,0))</f>
        <v>Brickwork 230 thk – GF Row E–D block up to lintel level</v>
      </c>
      <c r="L402" s="61" t="n">
        <f aca="false">INDEX('4D Schedule'!$AE$6:$AE$156,MATCH($J402,'4D Schedule'!$A$6:$A$156,0))</f>
        <v>46300</v>
      </c>
      <c r="M402" s="61" t="n">
        <f aca="false">INDEX('4D Schedule'!$AF$6:$AF$156,MATCH($J402,'4D Schedule'!$A$6:$A$156,0))</f>
        <v>46312</v>
      </c>
      <c r="N402" s="56" t="str">
        <f aca="false">INDEX('4D Schedule'!$AG$6:$AG$156,MATCH($J402,'4D Schedule'!$A$6:$A$156,0))</f>
        <v>Not Started</v>
      </c>
      <c r="O402" s="55" t="s">
        <v>883</v>
      </c>
    </row>
    <row r="403" customFormat="false" ht="22.35" hidden="false" customHeight="false" outlineLevel="0" collapsed="false">
      <c r="A403" s="56" t="s">
        <v>1610</v>
      </c>
      <c r="B403" s="56" t="s">
        <v>665</v>
      </c>
      <c r="C403" s="55" t="s">
        <v>662</v>
      </c>
      <c r="D403" s="56" t="s">
        <v>666</v>
      </c>
      <c r="E403" s="55" t="s">
        <v>663</v>
      </c>
      <c r="F403" s="25" t="s">
        <v>443</v>
      </c>
      <c r="G403" s="55" t="s">
        <v>664</v>
      </c>
      <c r="H403" s="56"/>
      <c r="I403" s="56" t="s">
        <v>68</v>
      </c>
      <c r="J403" s="56" t="s">
        <v>661</v>
      </c>
      <c r="K403" s="55" t="str">
        <f aca="false">INDEX('4D Schedule'!$C$6:$C$156,MATCH($J403,'4D Schedule'!$A$6:$A$156,0))</f>
        <v>Lintels &amp; chajjas – GF (LB1–LB6)</v>
      </c>
      <c r="L403" s="61" t="n">
        <f aca="false">INDEX('4D Schedule'!$AE$6:$AE$156,MATCH($J403,'4D Schedule'!$A$6:$A$156,0))</f>
        <v>46309</v>
      </c>
      <c r="M403" s="61" t="n">
        <f aca="false">INDEX('4D Schedule'!$AF$6:$AF$156,MATCH($J403,'4D Schedule'!$A$6:$A$156,0))</f>
        <v>46316</v>
      </c>
      <c r="N403" s="56" t="str">
        <f aca="false">INDEX('4D Schedule'!$AG$6:$AG$156,MATCH($J403,'4D Schedule'!$A$6:$A$156,0))</f>
        <v>Not Started</v>
      </c>
      <c r="O403" s="55" t="s">
        <v>883</v>
      </c>
    </row>
    <row r="404" customFormat="false" ht="22.35" hidden="false" customHeight="false" outlineLevel="0" collapsed="false">
      <c r="A404" s="56" t="s">
        <v>1611</v>
      </c>
      <c r="B404" s="56" t="s">
        <v>658</v>
      </c>
      <c r="C404" s="55" t="s">
        <v>668</v>
      </c>
      <c r="D404" s="56" t="s">
        <v>659</v>
      </c>
      <c r="E404" s="55" t="s">
        <v>656</v>
      </c>
      <c r="F404" s="25" t="s">
        <v>443</v>
      </c>
      <c r="G404" s="55" t="s">
        <v>669</v>
      </c>
      <c r="H404" s="56"/>
      <c r="I404" s="56" t="s">
        <v>66</v>
      </c>
      <c r="J404" s="56" t="s">
        <v>667</v>
      </c>
      <c r="K404" s="55" t="str">
        <f aca="false">INDEX('4D Schedule'!$C$6:$C$156,MATCH($J404,'4D Schedule'!$A$6:$A$156,0))</f>
        <v>Brickwork – GF above lintel up to first-floor soffit</v>
      </c>
      <c r="L404" s="61" t="n">
        <f aca="false">INDEX('4D Schedule'!$AE$6:$AE$156,MATCH($J404,'4D Schedule'!$A$6:$A$156,0))</f>
        <v>46317</v>
      </c>
      <c r="M404" s="61" t="n">
        <f aca="false">INDEX('4D Schedule'!$AF$6:$AF$156,MATCH($J404,'4D Schedule'!$A$6:$A$156,0))</f>
        <v>46325</v>
      </c>
      <c r="N404" s="56" t="str">
        <f aca="false">INDEX('4D Schedule'!$AG$6:$AG$156,MATCH($J404,'4D Schedule'!$A$6:$A$156,0))</f>
        <v>Not Started</v>
      </c>
      <c r="O404" s="55" t="s">
        <v>883</v>
      </c>
    </row>
    <row r="405" customFormat="false" ht="22.35" hidden="false" customHeight="false" outlineLevel="0" collapsed="false">
      <c r="A405" s="56" t="s">
        <v>1612</v>
      </c>
      <c r="B405" s="56" t="s">
        <v>658</v>
      </c>
      <c r="C405" s="55" t="s">
        <v>671</v>
      </c>
      <c r="D405" s="56" t="s">
        <v>674</v>
      </c>
      <c r="E405" s="55" t="s">
        <v>672</v>
      </c>
      <c r="F405" s="25" t="s">
        <v>443</v>
      </c>
      <c r="G405" s="55" t="s">
        <v>673</v>
      </c>
      <c r="H405" s="56"/>
      <c r="I405" s="56" t="s">
        <v>66</v>
      </c>
      <c r="J405" s="56" t="s">
        <v>670</v>
      </c>
      <c r="K405" s="55" t="str">
        <f aca="false">INDEX('4D Schedule'!$C$6:$C$156,MATCH($J405,'4D Schedule'!$A$6:$A$156,0))</f>
        <v>Brickwork – FF (switchgear, AC &amp; AHU rooms, ante rooms) up to lintel</v>
      </c>
      <c r="L405" s="61" t="n">
        <f aca="false">INDEX('4D Schedule'!$AE$6:$AE$156,MATCH($J405,'4D Schedule'!$A$6:$A$156,0))</f>
        <v>46322</v>
      </c>
      <c r="M405" s="61" t="n">
        <f aca="false">INDEX('4D Schedule'!$AF$6:$AF$156,MATCH($J405,'4D Schedule'!$A$6:$A$156,0))</f>
        <v>46332</v>
      </c>
      <c r="N405" s="56" t="str">
        <f aca="false">INDEX('4D Schedule'!$AG$6:$AG$156,MATCH($J405,'4D Schedule'!$A$6:$A$156,0))</f>
        <v>Not Started</v>
      </c>
      <c r="O405" s="55" t="s">
        <v>883</v>
      </c>
    </row>
    <row r="406" customFormat="false" ht="22.35" hidden="false" customHeight="false" outlineLevel="0" collapsed="false">
      <c r="A406" s="56" t="s">
        <v>1613</v>
      </c>
      <c r="B406" s="56" t="s">
        <v>665</v>
      </c>
      <c r="C406" s="55" t="s">
        <v>676</v>
      </c>
      <c r="D406" s="56" t="s">
        <v>679</v>
      </c>
      <c r="E406" s="55" t="s">
        <v>677</v>
      </c>
      <c r="F406" s="25" t="s">
        <v>443</v>
      </c>
      <c r="G406" s="55" t="s">
        <v>678</v>
      </c>
      <c r="H406" s="56"/>
      <c r="I406" s="56" t="s">
        <v>68</v>
      </c>
      <c r="J406" s="56" t="s">
        <v>675</v>
      </c>
      <c r="K406" s="55" t="str">
        <f aca="false">INDEX('4D Schedule'!$C$6:$C$156,MATCH($J406,'4D Schedule'!$A$6:$A$156,0))</f>
        <v>Lintels &amp; chajjas – FF (LB7–LB9B)</v>
      </c>
      <c r="L406" s="61" t="n">
        <f aca="false">INDEX('4D Schedule'!$AE$6:$AE$156,MATCH($J406,'4D Schedule'!$A$6:$A$156,0))</f>
        <v>46330</v>
      </c>
      <c r="M406" s="61" t="n">
        <f aca="false">INDEX('4D Schedule'!$AF$6:$AF$156,MATCH($J406,'4D Schedule'!$A$6:$A$156,0))</f>
        <v>46336</v>
      </c>
      <c r="N406" s="56" t="str">
        <f aca="false">INDEX('4D Schedule'!$AG$6:$AG$156,MATCH($J406,'4D Schedule'!$A$6:$A$156,0))</f>
        <v>Not Started</v>
      </c>
      <c r="O406" s="55" t="s">
        <v>883</v>
      </c>
    </row>
    <row r="407" customFormat="false" ht="32.8" hidden="false" customHeight="false" outlineLevel="0" collapsed="false">
      <c r="A407" s="56" t="s">
        <v>1614</v>
      </c>
      <c r="B407" s="56" t="s">
        <v>684</v>
      </c>
      <c r="C407" s="55" t="s">
        <v>681</v>
      </c>
      <c r="D407" s="56" t="s">
        <v>685</v>
      </c>
      <c r="E407" s="55" t="s">
        <v>682</v>
      </c>
      <c r="F407" s="25" t="s">
        <v>443</v>
      </c>
      <c r="G407" s="55" t="s">
        <v>683</v>
      </c>
      <c r="H407" s="56"/>
      <c r="I407" s="56" t="s">
        <v>68</v>
      </c>
      <c r="J407" s="56" t="s">
        <v>680</v>
      </c>
      <c r="K407" s="55" t="str">
        <f aca="false">INDEX('4D Schedule'!$C$6:$C$156,MATCH($J407,'4D Schedule'!$A$6:$A$156,0))</f>
        <v>Brickwork – chiller hall external walls (Row A, Grid 1 &amp; 6) incl. LB1A lintels &amp; monorail-door openings</v>
      </c>
      <c r="L407" s="61" t="n">
        <f aca="false">INDEX('4D Schedule'!$AE$6:$AE$156,MATCH($J407,'4D Schedule'!$A$6:$A$156,0))</f>
        <v>46307</v>
      </c>
      <c r="M407" s="61" t="n">
        <f aca="false">INDEX('4D Schedule'!$AF$6:$AF$156,MATCH($J407,'4D Schedule'!$A$6:$A$156,0))</f>
        <v>46330</v>
      </c>
      <c r="N407" s="56" t="str">
        <f aca="false">INDEX('4D Schedule'!$AG$6:$AG$156,MATCH($J407,'4D Schedule'!$A$6:$A$156,0))</f>
        <v>Not Started</v>
      </c>
      <c r="O407" s="55" t="s">
        <v>883</v>
      </c>
    </row>
    <row r="408" customFormat="false" ht="22.35" hidden="false" customHeight="false" outlineLevel="0" collapsed="false">
      <c r="A408" s="56" t="s">
        <v>1615</v>
      </c>
      <c r="B408" s="56" t="s">
        <v>690</v>
      </c>
      <c r="C408" s="55" t="s">
        <v>687</v>
      </c>
      <c r="D408" s="56" t="s">
        <v>691</v>
      </c>
      <c r="E408" s="55" t="s">
        <v>688</v>
      </c>
      <c r="F408" s="25" t="s">
        <v>443</v>
      </c>
      <c r="G408" s="55" t="s">
        <v>689</v>
      </c>
      <c r="H408" s="56"/>
      <c r="I408" s="56" t="s">
        <v>68</v>
      </c>
      <c r="J408" s="56" t="s">
        <v>686</v>
      </c>
      <c r="K408" s="55" t="str">
        <f aca="false">INDEX('4D Schedule'!$C$6:$C$156,MATCH($J408,'4D Schedule'!$A$6:$A$156,0))</f>
        <v>Mumty brickwork &amp; lintels LB10–LB12 – ST-1 &amp; ST-2</v>
      </c>
      <c r="L408" s="61" t="n">
        <f aca="false">INDEX('4D Schedule'!$AE$6:$AE$156,MATCH($J408,'4D Schedule'!$A$6:$A$156,0))</f>
        <v>46300</v>
      </c>
      <c r="M408" s="61" t="n">
        <f aca="false">INDEX('4D Schedule'!$AF$6:$AF$156,MATCH($J408,'4D Schedule'!$A$6:$A$156,0))</f>
        <v>46310</v>
      </c>
      <c r="N408" s="56" t="str">
        <f aca="false">INDEX('4D Schedule'!$AG$6:$AG$156,MATCH($J408,'4D Schedule'!$A$6:$A$156,0))</f>
        <v>Not Started</v>
      </c>
      <c r="O408" s="55" t="s">
        <v>883</v>
      </c>
    </row>
    <row r="409" customFormat="false" ht="22.35" hidden="false" customHeight="false" outlineLevel="0" collapsed="false">
      <c r="A409" s="56" t="s">
        <v>1616</v>
      </c>
      <c r="B409" s="56" t="s">
        <v>696</v>
      </c>
      <c r="C409" s="55" t="s">
        <v>693</v>
      </c>
      <c r="D409" s="56" t="s">
        <v>697</v>
      </c>
      <c r="E409" s="55" t="s">
        <v>694</v>
      </c>
      <c r="F409" s="25" t="s">
        <v>443</v>
      </c>
      <c r="G409" s="55" t="s">
        <v>695</v>
      </c>
      <c r="H409" s="56"/>
      <c r="I409" s="56" t="s">
        <v>64</v>
      </c>
      <c r="J409" s="56" t="s">
        <v>692</v>
      </c>
      <c r="K409" s="55" t="str">
        <f aca="false">INDEX('4D Schedule'!$C$6:$C$156,MATCH($J409,'4D Schedule'!$A$6:$A$156,0))</f>
        <v>Parapet wall, roof waterproofing, PCC wearing course &amp; rainwater pipes</v>
      </c>
      <c r="L409" s="61" t="n">
        <f aca="false">INDEX('4D Schedule'!$AE$6:$AE$156,MATCH($J409,'4D Schedule'!$A$6:$A$156,0))</f>
        <v>46303</v>
      </c>
      <c r="M409" s="61" t="n">
        <f aca="false">INDEX('4D Schedule'!$AF$6:$AF$156,MATCH($J409,'4D Schedule'!$A$6:$A$156,0))</f>
        <v>46321</v>
      </c>
      <c r="N409" s="56" t="str">
        <f aca="false">INDEX('4D Schedule'!$AG$6:$AG$156,MATCH($J409,'4D Schedule'!$A$6:$A$156,0))</f>
        <v>Not Started</v>
      </c>
      <c r="O409" s="55" t="s">
        <v>883</v>
      </c>
    </row>
    <row r="410" customFormat="false" ht="22.35" hidden="false" customHeight="false" outlineLevel="0" collapsed="false">
      <c r="A410" s="56" t="s">
        <v>1617</v>
      </c>
      <c r="B410" s="56" t="s">
        <v>700</v>
      </c>
      <c r="C410" s="55" t="s">
        <v>699</v>
      </c>
      <c r="D410" s="56" t="s">
        <v>701</v>
      </c>
      <c r="E410" s="55" t="s">
        <v>621</v>
      </c>
      <c r="F410" s="25" t="s">
        <v>443</v>
      </c>
      <c r="G410" s="55" t="s">
        <v>443</v>
      </c>
      <c r="H410" s="56"/>
      <c r="I410" s="56"/>
      <c r="J410" s="56" t="s">
        <v>698</v>
      </c>
      <c r="K410" s="55" t="str">
        <f aca="false">INDEX('4D Schedule'!$C$6:$C$156,MATCH($J410,'4D Schedule'!$A$6:$A$156,0))</f>
        <v>Plastering – internal &amp; external</v>
      </c>
      <c r="L410" s="61" t="n">
        <f aca="false">INDEX('4D Schedule'!$AE$6:$AE$156,MATCH($J410,'4D Schedule'!$A$6:$A$156,0))</f>
        <v>46337</v>
      </c>
      <c r="M410" s="61" t="n">
        <f aca="false">INDEX('4D Schedule'!$AF$6:$AF$156,MATCH($J410,'4D Schedule'!$A$6:$A$156,0))</f>
        <v>46365</v>
      </c>
      <c r="N410" s="56" t="str">
        <f aca="false">INDEX('4D Schedule'!$AG$6:$AG$156,MATCH($J410,'4D Schedule'!$A$6:$A$156,0))</f>
        <v>Not Started</v>
      </c>
      <c r="O410" s="55" t="s">
        <v>883</v>
      </c>
    </row>
    <row r="411" customFormat="false" ht="22.35" hidden="false" customHeight="false" outlineLevel="0" collapsed="false">
      <c r="A411" s="56" t="s">
        <v>1618</v>
      </c>
      <c r="B411" s="56" t="s">
        <v>705</v>
      </c>
      <c r="C411" s="55" t="s">
        <v>703</v>
      </c>
      <c r="D411" s="56" t="s">
        <v>706</v>
      </c>
      <c r="E411" s="55" t="s">
        <v>621</v>
      </c>
      <c r="F411" s="25" t="s">
        <v>443</v>
      </c>
      <c r="G411" s="55" t="s">
        <v>704</v>
      </c>
      <c r="H411" s="56"/>
      <c r="I411" s="56"/>
      <c r="J411" s="56" t="s">
        <v>702</v>
      </c>
      <c r="K411" s="55" t="str">
        <f aca="false">INDEX('4D Schedule'!$C$6:$C$156,MATCH($J411,'4D Schedule'!$A$6:$A$156,0))</f>
        <v>Flooring &amp; floor finishes (GF rooms, FF, staircases)</v>
      </c>
      <c r="L411" s="61" t="n">
        <f aca="false">INDEX('4D Schedule'!$AE$6:$AE$156,MATCH($J411,'4D Schedule'!$A$6:$A$156,0))</f>
        <v>46352</v>
      </c>
      <c r="M411" s="61" t="n">
        <f aca="false">INDEX('4D Schedule'!$AF$6:$AF$156,MATCH($J411,'4D Schedule'!$A$6:$A$156,0))</f>
        <v>46368</v>
      </c>
      <c r="N411" s="56" t="str">
        <f aca="false">INDEX('4D Schedule'!$AG$6:$AG$156,MATCH($J411,'4D Schedule'!$A$6:$A$156,0))</f>
        <v>Not Started</v>
      </c>
      <c r="O411" s="55" t="s">
        <v>883</v>
      </c>
    </row>
    <row r="412" customFormat="false" ht="22.35" hidden="false" customHeight="false" outlineLevel="0" collapsed="false">
      <c r="A412" s="56" t="s">
        <v>1619</v>
      </c>
      <c r="B412" s="56" t="s">
        <v>709</v>
      </c>
      <c r="C412" s="55" t="s">
        <v>708</v>
      </c>
      <c r="D412" s="56" t="s">
        <v>710</v>
      </c>
      <c r="E412" s="55" t="s">
        <v>621</v>
      </c>
      <c r="F412" s="25" t="s">
        <v>443</v>
      </c>
      <c r="G412" s="55" t="s">
        <v>443</v>
      </c>
      <c r="H412" s="56"/>
      <c r="I412" s="56"/>
      <c r="J412" s="56" t="s">
        <v>707</v>
      </c>
      <c r="K412" s="55" t="str">
        <f aca="false">INDEX('4D Schedule'!$C$6:$C$156,MATCH($J412,'4D Schedule'!$A$6:$A$156,0))</f>
        <v>Doors, windows, rolling shutters &amp; monorail doors</v>
      </c>
      <c r="L412" s="61" t="n">
        <f aca="false">INDEX('4D Schedule'!$AE$6:$AE$156,MATCH($J412,'4D Schedule'!$A$6:$A$156,0))</f>
        <v>46354</v>
      </c>
      <c r="M412" s="61" t="n">
        <f aca="false">INDEX('4D Schedule'!$AF$6:$AF$156,MATCH($J412,'4D Schedule'!$A$6:$A$156,0))</f>
        <v>46371</v>
      </c>
      <c r="N412" s="56" t="str">
        <f aca="false">INDEX('4D Schedule'!$AG$6:$AG$156,MATCH($J412,'4D Schedule'!$A$6:$A$156,0))</f>
        <v>Not Started</v>
      </c>
      <c r="O412" s="55" t="s">
        <v>883</v>
      </c>
    </row>
    <row r="413" customFormat="false" ht="22.35" hidden="false" customHeight="false" outlineLevel="0" collapsed="false">
      <c r="A413" s="56" t="s">
        <v>1620</v>
      </c>
      <c r="B413" s="56" t="s">
        <v>700</v>
      </c>
      <c r="C413" s="55" t="s">
        <v>712</v>
      </c>
      <c r="D413" s="56" t="s">
        <v>713</v>
      </c>
      <c r="E413" s="55" t="s">
        <v>621</v>
      </c>
      <c r="F413" s="25" t="s">
        <v>443</v>
      </c>
      <c r="G413" s="55" t="s">
        <v>443</v>
      </c>
      <c r="H413" s="56"/>
      <c r="I413" s="56"/>
      <c r="J413" s="56" t="s">
        <v>711</v>
      </c>
      <c r="K413" s="55" t="str">
        <f aca="false">INDEX('4D Schedule'!$C$6:$C$156,MATCH($J413,'4D Schedule'!$A$6:$A$156,0))</f>
        <v>Painting – internal &amp; external</v>
      </c>
      <c r="L413" s="61" t="n">
        <f aca="false">INDEX('4D Schedule'!$AE$6:$AE$156,MATCH($J413,'4D Schedule'!$A$6:$A$156,0))</f>
        <v>46366</v>
      </c>
      <c r="M413" s="61" t="n">
        <f aca="false">INDEX('4D Schedule'!$AF$6:$AF$156,MATCH($J413,'4D Schedule'!$A$6:$A$156,0))</f>
        <v>46391</v>
      </c>
      <c r="N413" s="56" t="str">
        <f aca="false">INDEX('4D Schedule'!$AG$6:$AG$156,MATCH($J413,'4D Schedule'!$A$6:$A$156,0))</f>
        <v>Not Started</v>
      </c>
      <c r="O413" s="55" t="s">
        <v>883</v>
      </c>
    </row>
    <row r="414" customFormat="false" ht="22.35" hidden="false" customHeight="false" outlineLevel="0" collapsed="false">
      <c r="A414" s="56" t="s">
        <v>1621</v>
      </c>
      <c r="B414" s="56" t="s">
        <v>720</v>
      </c>
      <c r="C414" s="55" t="s">
        <v>1622</v>
      </c>
      <c r="D414" s="56" t="s">
        <v>1555</v>
      </c>
      <c r="E414" s="55" t="s">
        <v>1623</v>
      </c>
      <c r="F414" s="25" t="s">
        <v>443</v>
      </c>
      <c r="G414" s="55" t="s">
        <v>1624</v>
      </c>
      <c r="H414" s="56" t="s">
        <v>1625</v>
      </c>
      <c r="I414" s="56" t="s">
        <v>64</v>
      </c>
      <c r="J414" s="56" t="s">
        <v>553</v>
      </c>
      <c r="K414" s="55" t="str">
        <f aca="false">INDEX('4D Schedule'!$C$6:$C$156,MATCH($J414,'4D Schedule'!$A$6:$A$156,0))</f>
        <v>Monorail beams MR-1 (NPB 300×150, B.O.MR +8.100) &amp; MR-2 (NPB 500×200, B.O.MR +7.900) incl. end stoppers</v>
      </c>
      <c r="L414" s="61" t="n">
        <f aca="false">INDEX('4D Schedule'!$AE$6:$AE$156,MATCH($J414,'4D Schedule'!$A$6:$A$156,0))</f>
        <v>46328</v>
      </c>
      <c r="M414" s="61" t="n">
        <f aca="false">INDEX('4D Schedule'!$AF$6:$AF$156,MATCH($J414,'4D Schedule'!$A$6:$A$156,0))</f>
        <v>46338</v>
      </c>
      <c r="N414" s="56" t="str">
        <f aca="false">INDEX('4D Schedule'!$AG$6:$AG$156,MATCH($J414,'4D Schedule'!$A$6:$A$156,0))</f>
        <v>Not Started</v>
      </c>
      <c r="O414" s="55"/>
    </row>
    <row r="415" customFormat="false" ht="22.35" hidden="false" customHeight="false" outlineLevel="0" collapsed="false">
      <c r="A415" s="56" t="s">
        <v>1626</v>
      </c>
      <c r="B415" s="56" t="s">
        <v>720</v>
      </c>
      <c r="C415" s="55" t="s">
        <v>1627</v>
      </c>
      <c r="D415" s="56" t="s">
        <v>1561</v>
      </c>
      <c r="E415" s="55" t="s">
        <v>1628</v>
      </c>
      <c r="F415" s="25" t="s">
        <v>443</v>
      </c>
      <c r="G415" s="55" t="s">
        <v>1629</v>
      </c>
      <c r="H415" s="56" t="s">
        <v>1630</v>
      </c>
      <c r="I415" s="56" t="s">
        <v>64</v>
      </c>
      <c r="J415" s="56" t="s">
        <v>553</v>
      </c>
      <c r="K415" s="55" t="str">
        <f aca="false">INDEX('4D Schedule'!$C$6:$C$156,MATCH($J415,'4D Schedule'!$A$6:$A$156,0))</f>
        <v>Monorail beams MR-1 (NPB 300×150, B.O.MR +8.100) &amp; MR-2 (NPB 500×200, B.O.MR +7.900) incl. end stoppers</v>
      </c>
      <c r="L415" s="61" t="n">
        <f aca="false">INDEX('4D Schedule'!$AE$6:$AE$156,MATCH($J415,'4D Schedule'!$A$6:$A$156,0))</f>
        <v>46328</v>
      </c>
      <c r="M415" s="61" t="n">
        <f aca="false">INDEX('4D Schedule'!$AF$6:$AF$156,MATCH($J415,'4D Schedule'!$A$6:$A$156,0))</f>
        <v>46338</v>
      </c>
      <c r="N415" s="56" t="str">
        <f aca="false">INDEX('4D Schedule'!$AG$6:$AG$156,MATCH($J415,'4D Schedule'!$A$6:$A$156,0))</f>
        <v>Not Started</v>
      </c>
      <c r="O415" s="55"/>
    </row>
    <row r="416" customFormat="false" ht="32.8" hidden="false" customHeight="false" outlineLevel="0" collapsed="false">
      <c r="A416" s="56" t="s">
        <v>1631</v>
      </c>
      <c r="B416" s="56" t="s">
        <v>726</v>
      </c>
      <c r="C416" s="55" t="s">
        <v>723</v>
      </c>
      <c r="D416" s="56" t="s">
        <v>727</v>
      </c>
      <c r="E416" s="55" t="s">
        <v>724</v>
      </c>
      <c r="F416" s="25" t="s">
        <v>443</v>
      </c>
      <c r="G416" s="55" t="s">
        <v>725</v>
      </c>
      <c r="H416" s="56"/>
      <c r="I416" s="56" t="s">
        <v>62</v>
      </c>
      <c r="J416" s="56" t="s">
        <v>722</v>
      </c>
      <c r="K416" s="55" t="str">
        <f aca="false">INDEX('4D Schedule'!$C$6:$C$156,MATCH($J416,'4D Schedule'!$A$6:$A$156,0))</f>
        <v>Handrails – staircases ST-1/ST-2 &amp; removable handrails at FF openings / platforms</v>
      </c>
      <c r="L416" s="61" t="n">
        <f aca="false">INDEX('4D Schedule'!$AE$6:$AE$156,MATCH($J416,'4D Schedule'!$A$6:$A$156,0))</f>
        <v>46343</v>
      </c>
      <c r="M416" s="61" t="n">
        <f aca="false">INDEX('4D Schedule'!$AF$6:$AF$156,MATCH($J416,'4D Schedule'!$A$6:$A$156,0))</f>
        <v>46353</v>
      </c>
      <c r="N416" s="56" t="str">
        <f aca="false">INDEX('4D Schedule'!$AG$6:$AG$156,MATCH($J416,'4D Schedule'!$A$6:$A$156,0))</f>
        <v>Not Started</v>
      </c>
      <c r="O416" s="55" t="s">
        <v>883</v>
      </c>
    </row>
  </sheetData>
  <autoFilter ref="A5:O416"/>
  <conditionalFormatting sqref="N6:N416">
    <cfRule type="expression" priority="2" aboveAverage="0" equalAverage="0" bottom="0" percent="0" rank="0" text="" dxfId="16">
      <formula>N6="Completed"</formula>
    </cfRule>
    <cfRule type="expression" priority="3" aboveAverage="0" equalAverage="0" bottom="0" percent="0" rank="0" text="" dxfId="17">
      <formula>N6="In Progress"</formula>
    </cfRule>
    <cfRule type="expression" priority="4" aboveAverage="0" equalAverage="0" bottom="0" percent="0" rank="0" text="" dxfId="18">
      <formula>N6="Not Started (Late)"</formula>
    </cfRule>
  </conditionalFormatting>
  <printOptions headings="false" gridLines="false" gridLinesSet="true" horizontalCentered="false" verticalCentered="false"/>
  <pageMargins left="0.3" right="0.3" top="0.4" bottom="0.4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&amp;A –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5"/>
    <col collapsed="false" customWidth="true" hidden="false" outlineLevel="0" max="3" min="3" style="0" width="11"/>
    <col collapsed="false" customWidth="true" hidden="false" outlineLevel="0" max="9" min="4" style="0" width="12"/>
    <col collapsed="false" customWidth="true" hidden="false" outlineLevel="0" max="10" min="10" style="0" width="9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22"/>
    <col collapsed="false" customWidth="true" hidden="false" outlineLevel="0" max="14" min="14" style="0" width="14"/>
    <col collapsed="false" customWidth="true" hidden="false" outlineLevel="0" max="15" min="15" style="0" width="8"/>
    <col collapsed="false" customWidth="true" hidden="false" outlineLevel="0" max="16" min="16" style="0" width="26"/>
  </cols>
  <sheetData>
    <row r="1" customFormat="false" ht="32.8" hidden="false" customHeight="false" outlineLevel="0" collapsed="false">
      <c r="A1" s="20" t="s">
        <v>1632</v>
      </c>
      <c r="B1" s="20" t="s">
        <v>1633</v>
      </c>
      <c r="C1" s="20" t="s">
        <v>1634</v>
      </c>
      <c r="D1" s="20" t="s">
        <v>1635</v>
      </c>
      <c r="E1" s="20" t="s">
        <v>1636</v>
      </c>
      <c r="F1" s="20" t="s">
        <v>147</v>
      </c>
      <c r="G1" s="20" t="s">
        <v>1637</v>
      </c>
      <c r="H1" s="20" t="s">
        <v>1638</v>
      </c>
      <c r="I1" s="20" t="s">
        <v>1639</v>
      </c>
      <c r="J1" s="20" t="s">
        <v>149</v>
      </c>
      <c r="K1" s="20" t="s">
        <v>153</v>
      </c>
      <c r="L1" s="20" t="s">
        <v>1640</v>
      </c>
      <c r="M1" s="20" t="s">
        <v>1641</v>
      </c>
      <c r="N1" s="20" t="s">
        <v>124</v>
      </c>
      <c r="O1" s="20" t="s">
        <v>125</v>
      </c>
      <c r="P1" s="20" t="s">
        <v>1642</v>
      </c>
    </row>
    <row r="2" customFormat="false" ht="15" hidden="false" customHeight="false" outlineLevel="0" collapsed="false">
      <c r="A2" s="3" t="str">
        <f aca="false">'4D Schedule'!$A$9</f>
        <v>CHP-MS-010</v>
      </c>
      <c r="B2" s="3" t="str">
        <f aca="false">'4D Schedule'!$C$9</f>
        <v>Basic drawings / technical specification inputs received</v>
      </c>
      <c r="C2" s="3" t="str">
        <f aca="false">IF('4D Schedule'!$L$9="Milestone","Construct",'4D Schedule'!$L$9)</f>
        <v>Construct</v>
      </c>
      <c r="D2" s="65" t="n">
        <f aca="false">'4D Schedule'!$AE$9</f>
        <v>45950</v>
      </c>
      <c r="E2" s="65" t="n">
        <f aca="false">'4D Schedule'!$AF$9</f>
        <v>45950</v>
      </c>
      <c r="F2" s="65" t="n">
        <f aca="false">IF('4D Schedule'!$AA$9="","",'4D Schedule'!$AA$9)</f>
        <v>45950</v>
      </c>
      <c r="G2" s="65" t="n">
        <f aca="false">IF('4D Schedule'!$AB$9="","",'4D Schedule'!$AB$9)</f>
        <v>45950</v>
      </c>
      <c r="H2" s="65" t="n">
        <f aca="false">'4D Schedule'!$Y$9</f>
        <v>46042</v>
      </c>
      <c r="I2" s="65" t="n">
        <f aca="false">'4D Schedule'!$Z$9</f>
        <v>46042</v>
      </c>
      <c r="J2" s="66" t="n">
        <f aca="false">'4D Schedule'!$AC$9</f>
        <v>1</v>
      </c>
      <c r="K2" s="3" t="str">
        <f aca="false">'4D Schedule'!$AG$9</f>
        <v>Completed</v>
      </c>
      <c r="L2" s="3" t="str">
        <f aca="false">IF('4D Schedule'!$K$9="","",'4D Schedule'!$K$9)</f>
        <v/>
      </c>
      <c r="M2" s="3" t="str">
        <f aca="false">IF('4D Schedule'!$N$9="","",'4D Schedule'!$N$9)</f>
        <v>JSW USL-BE-CHI-1000</v>
      </c>
      <c r="N2" s="3" t="str">
        <f aca="false">'4D Schedule'!$D$9</f>
        <v>Milestone</v>
      </c>
      <c r="O2" s="3" t="str">
        <f aca="false">IF('4D Schedule'!$E$9="","",'4D Schedule'!$E$9)</f>
        <v/>
      </c>
      <c r="P2" s="3" t="str">
        <f aca="false">IF('4D Schedule'!$G$9="","",'4D Schedule'!$G$9)</f>
        <v/>
      </c>
    </row>
    <row r="3" customFormat="false" ht="15" hidden="false" customHeight="false" outlineLevel="0" collapsed="false">
      <c r="A3" s="3" t="str">
        <f aca="false">'4D Schedule'!$A$11</f>
        <v>CHP-ENG-010</v>
      </c>
      <c r="B3" s="3" t="str">
        <f aca="false">'4D Schedule'!$C$11</f>
        <v>Pile layout &amp; detail drawing (19530-001) – design &amp; preparation</v>
      </c>
      <c r="C3" s="3" t="str">
        <f aca="false">IF('4D Schedule'!$L$11="Milestone","Construct",'4D Schedule'!$L$11)</f>
        <v>Construct</v>
      </c>
      <c r="D3" s="65" t="n">
        <f aca="false">'4D Schedule'!$AE$11</f>
        <v>45990</v>
      </c>
      <c r="E3" s="65" t="n">
        <f aca="false">'4D Schedule'!$AF$11</f>
        <v>46006</v>
      </c>
      <c r="F3" s="65" t="n">
        <f aca="false">IF('4D Schedule'!$AA$11="","",'4D Schedule'!$AA$11)</f>
        <v>45990</v>
      </c>
      <c r="G3" s="65" t="n">
        <f aca="false">IF('4D Schedule'!$AB$11="","",'4D Schedule'!$AB$11)</f>
        <v>46006</v>
      </c>
      <c r="H3" s="65" t="n">
        <f aca="false">'4D Schedule'!$Y$11</f>
        <v>46060</v>
      </c>
      <c r="I3" s="65" t="n">
        <f aca="false">'4D Schedule'!$Z$11</f>
        <v>46076</v>
      </c>
      <c r="J3" s="66" t="n">
        <f aca="false">'4D Schedule'!$AC$11</f>
        <v>1</v>
      </c>
      <c r="K3" s="3" t="str">
        <f aca="false">'4D Schedule'!$AG$11</f>
        <v>Completed</v>
      </c>
      <c r="L3" s="3" t="str">
        <f aca="false">IF('4D Schedule'!$K$11="","",'4D Schedule'!$K$11)</f>
        <v/>
      </c>
      <c r="M3" s="3" t="str">
        <f aca="false">IF('4D Schedule'!$N$11="","",'4D Schedule'!$N$11)</f>
        <v>JSW USL-DE-CHI-1000</v>
      </c>
      <c r="N3" s="3" t="str">
        <f aca="false">'4D Schedule'!$D$11</f>
        <v>Engineering</v>
      </c>
      <c r="O3" s="3" t="str">
        <f aca="false">IF('4D Schedule'!$E$11="","",'4D Schedule'!$E$11)</f>
        <v/>
      </c>
      <c r="P3" s="3" t="str">
        <f aca="false">IF('4D Schedule'!$G$11="","",'4D Schedule'!$G$11)</f>
        <v/>
      </c>
    </row>
    <row r="4" customFormat="false" ht="15" hidden="false" customHeight="false" outlineLevel="0" collapsed="false">
      <c r="A4" s="3" t="str">
        <f aca="false">'4D Schedule'!$A$12</f>
        <v>CHP-ENG-020</v>
      </c>
      <c r="B4" s="3" t="str">
        <f aca="false">'4D Schedule'!$C$12</f>
        <v>Pile drawing – review, client approval &amp; IFC issue</v>
      </c>
      <c r="C4" s="3" t="str">
        <f aca="false">IF('4D Schedule'!$L$12="Milestone","Construct",'4D Schedule'!$L$12)</f>
        <v>Construct</v>
      </c>
      <c r="D4" s="65" t="n">
        <f aca="false">'4D Schedule'!$AE$12</f>
        <v>46007</v>
      </c>
      <c r="E4" s="65" t="n">
        <f aca="false">'4D Schedule'!$AF$12</f>
        <v>46013</v>
      </c>
      <c r="F4" s="65" t="n">
        <f aca="false">IF('4D Schedule'!$AA$12="","",'4D Schedule'!$AA$12)</f>
        <v>46007</v>
      </c>
      <c r="G4" s="65" t="n">
        <f aca="false">IF('4D Schedule'!$AB$12="","",'4D Schedule'!$AB$12)</f>
        <v>46013</v>
      </c>
      <c r="H4" s="65" t="n">
        <f aca="false">'4D Schedule'!$Y$12</f>
        <v>46077</v>
      </c>
      <c r="I4" s="65" t="n">
        <f aca="false">'4D Schedule'!$Z$12</f>
        <v>46083</v>
      </c>
      <c r="J4" s="66" t="n">
        <f aca="false">'4D Schedule'!$AC$12</f>
        <v>1</v>
      </c>
      <c r="K4" s="3" t="str">
        <f aca="false">'4D Schedule'!$AG$12</f>
        <v>Completed</v>
      </c>
      <c r="L4" s="3" t="str">
        <f aca="false">IF('4D Schedule'!$K$12="","",'4D Schedule'!$K$12)</f>
        <v/>
      </c>
      <c r="M4" s="3" t="str">
        <f aca="false">IF('4D Schedule'!$N$12="","",'4D Schedule'!$N$12)</f>
        <v>JSW USL-DE-CHI-1000</v>
      </c>
      <c r="N4" s="3" t="str">
        <f aca="false">'4D Schedule'!$D$12</f>
        <v>Engineering</v>
      </c>
      <c r="O4" s="3" t="str">
        <f aca="false">IF('4D Schedule'!$E$12="","",'4D Schedule'!$E$12)</f>
        <v/>
      </c>
      <c r="P4" s="3" t="str">
        <f aca="false">IF('4D Schedule'!$G$12="","",'4D Schedule'!$G$12)</f>
        <v/>
      </c>
    </row>
    <row r="5" customFormat="false" ht="15" hidden="false" customHeight="false" outlineLevel="0" collapsed="false">
      <c r="A5" s="3" t="str">
        <f aca="false">'4D Schedule'!$A$13</f>
        <v>CHP-MS-020</v>
      </c>
      <c r="B5" s="3" t="str">
        <f aca="false">'4D Schedule'!$C$13</f>
        <v>Pile drawings released (IFC)</v>
      </c>
      <c r="C5" s="3" t="str">
        <f aca="false">IF('4D Schedule'!$L$13="Milestone","Construct",'4D Schedule'!$L$13)</f>
        <v>Construct</v>
      </c>
      <c r="D5" s="65" t="n">
        <f aca="false">'4D Schedule'!$AE$13</f>
        <v>46013</v>
      </c>
      <c r="E5" s="65" t="n">
        <f aca="false">'4D Schedule'!$AF$13</f>
        <v>46013</v>
      </c>
      <c r="F5" s="65" t="n">
        <f aca="false">IF('4D Schedule'!$AA$13="","",'4D Schedule'!$AA$13)</f>
        <v>46013</v>
      </c>
      <c r="G5" s="65" t="n">
        <f aca="false">IF('4D Schedule'!$AB$13="","",'4D Schedule'!$AB$13)</f>
        <v>46013</v>
      </c>
      <c r="H5" s="65" t="n">
        <f aca="false">'4D Schedule'!$Y$13</f>
        <v>46083</v>
      </c>
      <c r="I5" s="65" t="n">
        <f aca="false">'4D Schedule'!$Z$13</f>
        <v>46083</v>
      </c>
      <c r="J5" s="66" t="n">
        <f aca="false">'4D Schedule'!$AC$13</f>
        <v>1</v>
      </c>
      <c r="K5" s="3" t="str">
        <f aca="false">'4D Schedule'!$AG$13</f>
        <v>Completed</v>
      </c>
      <c r="L5" s="3" t="str">
        <f aca="false">IF('4D Schedule'!$K$13="","",'4D Schedule'!$K$13)</f>
        <v/>
      </c>
      <c r="M5" s="3" t="str">
        <f aca="false">IF('4D Schedule'!$N$13="","",'4D Schedule'!$N$13)</f>
        <v>JSW USL-DE-CHI-1000</v>
      </c>
      <c r="N5" s="3" t="str">
        <f aca="false">'4D Schedule'!$D$13</f>
        <v>Milestone</v>
      </c>
      <c r="O5" s="3" t="str">
        <f aca="false">IF('4D Schedule'!$E$13="","",'4D Schedule'!$E$13)</f>
        <v/>
      </c>
      <c r="P5" s="3" t="str">
        <f aca="false">IF('4D Schedule'!$G$13="","",'4D Schedule'!$G$13)</f>
        <v/>
      </c>
    </row>
    <row r="6" customFormat="false" ht="15" hidden="false" customHeight="false" outlineLevel="0" collapsed="false">
      <c r="A6" s="3" t="str">
        <f aca="false">'4D Schedule'!$A$15</f>
        <v>CHP-ENG-030</v>
      </c>
      <c r="B6" s="3" t="str">
        <f aca="false">'4D Schedule'!$C$15</f>
        <v>Civil GA &amp; RC drawings 19531-001 … 008 – preparation &amp; checking</v>
      </c>
      <c r="C6" s="3" t="str">
        <f aca="false">IF('4D Schedule'!$L$15="Milestone","Construct",'4D Schedule'!$L$15)</f>
        <v>Construct</v>
      </c>
      <c r="D6" s="65" t="n">
        <f aca="false">'4D Schedule'!$AE$15</f>
        <v>46014</v>
      </c>
      <c r="E6" s="65" t="n">
        <f aca="false">'4D Schedule'!$AF$15</f>
        <v>46022</v>
      </c>
      <c r="F6" s="65" t="n">
        <f aca="false">IF('4D Schedule'!$AA$15="","",'4D Schedule'!$AA$15)</f>
        <v>46014</v>
      </c>
      <c r="G6" s="65" t="n">
        <f aca="false">IF('4D Schedule'!$AB$15="","",'4D Schedule'!$AB$15)</f>
        <v>46022</v>
      </c>
      <c r="H6" s="65" t="n">
        <f aca="false">'4D Schedule'!$Y$15</f>
        <v>46042</v>
      </c>
      <c r="I6" s="65" t="n">
        <f aca="false">'4D Schedule'!$Z$15</f>
        <v>46063</v>
      </c>
      <c r="J6" s="66" t="n">
        <f aca="false">'4D Schedule'!$AC$15</f>
        <v>1</v>
      </c>
      <c r="K6" s="3" t="str">
        <f aca="false">'4D Schedule'!$AG$15</f>
        <v>Completed</v>
      </c>
      <c r="L6" s="3" t="str">
        <f aca="false">IF('4D Schedule'!$K$15="","",'4D Schedule'!$K$15)</f>
        <v/>
      </c>
      <c r="M6" s="3" t="str">
        <f aca="false">IF('4D Schedule'!$N$15="","",'4D Schedule'!$N$15)</f>
        <v>JSW USL-DE-CHI-1010</v>
      </c>
      <c r="N6" s="3" t="str">
        <f aca="false">'4D Schedule'!$D$15</f>
        <v>Engineering</v>
      </c>
      <c r="O6" s="3" t="str">
        <f aca="false">IF('4D Schedule'!$E$15="","",'4D Schedule'!$E$15)</f>
        <v/>
      </c>
      <c r="P6" s="3" t="str">
        <f aca="false">IF('4D Schedule'!$G$15="","",'4D Schedule'!$G$15)</f>
        <v/>
      </c>
    </row>
    <row r="7" customFormat="false" ht="15" hidden="false" customHeight="false" outlineLevel="0" collapsed="false">
      <c r="A7" s="3" t="str">
        <f aca="false">'4D Schedule'!$A$16</f>
        <v>CHP-ENG-040</v>
      </c>
      <c r="B7" s="3" t="str">
        <f aca="false">'4D Schedule'!$C$16</f>
        <v>Civil drawings – client review &amp; IFC release</v>
      </c>
      <c r="C7" s="3" t="str">
        <f aca="false">IF('4D Schedule'!$L$16="Milestone","Construct",'4D Schedule'!$L$16)</f>
        <v>Construct</v>
      </c>
      <c r="D7" s="65" t="n">
        <f aca="false">'4D Schedule'!$AE$16</f>
        <v>46024</v>
      </c>
      <c r="E7" s="65" t="n">
        <f aca="false">'4D Schedule'!$AF$16</f>
        <v>46029</v>
      </c>
      <c r="F7" s="65" t="n">
        <f aca="false">IF('4D Schedule'!$AA$16="","",'4D Schedule'!$AA$16)</f>
        <v>46024</v>
      </c>
      <c r="G7" s="65" t="n">
        <f aca="false">IF('4D Schedule'!$AB$16="","",'4D Schedule'!$AB$16)</f>
        <v>46029</v>
      </c>
      <c r="H7" s="65" t="n">
        <f aca="false">'4D Schedule'!$Y$16</f>
        <v>46064</v>
      </c>
      <c r="I7" s="65" t="n">
        <f aca="false">'4D Schedule'!$Z$16</f>
        <v>46077</v>
      </c>
      <c r="J7" s="66" t="n">
        <f aca="false">'4D Schedule'!$AC$16</f>
        <v>1</v>
      </c>
      <c r="K7" s="3" t="str">
        <f aca="false">'4D Schedule'!$AG$16</f>
        <v>Completed</v>
      </c>
      <c r="L7" s="3" t="str">
        <f aca="false">IF('4D Schedule'!$K$16="","",'4D Schedule'!$K$16)</f>
        <v/>
      </c>
      <c r="M7" s="3" t="str">
        <f aca="false">IF('4D Schedule'!$N$16="","",'4D Schedule'!$N$16)</f>
        <v>JSW USL-DE-CHI-1010</v>
      </c>
      <c r="N7" s="3" t="str">
        <f aca="false">'4D Schedule'!$D$16</f>
        <v>Engineering</v>
      </c>
      <c r="O7" s="3" t="str">
        <f aca="false">IF('4D Schedule'!$E$16="","",'4D Schedule'!$E$16)</f>
        <v/>
      </c>
      <c r="P7" s="3" t="str">
        <f aca="false">IF('4D Schedule'!$G$16="","",'4D Schedule'!$G$16)</f>
        <v/>
      </c>
    </row>
    <row r="8" customFormat="false" ht="15" hidden="false" customHeight="false" outlineLevel="0" collapsed="false">
      <c r="A8" s="3" t="str">
        <f aca="false">'4D Schedule'!$A$17</f>
        <v>CHP-MS-030</v>
      </c>
      <c r="B8" s="3" t="str">
        <f aca="false">'4D Schedule'!$C$17</f>
        <v>Civil drawings released (IFC)</v>
      </c>
      <c r="C8" s="3" t="str">
        <f aca="false">IF('4D Schedule'!$L$17="Milestone","Construct",'4D Schedule'!$L$17)</f>
        <v>Construct</v>
      </c>
      <c r="D8" s="65" t="n">
        <f aca="false">'4D Schedule'!$AE$17</f>
        <v>46029</v>
      </c>
      <c r="E8" s="65" t="n">
        <f aca="false">'4D Schedule'!$AF$17</f>
        <v>46029</v>
      </c>
      <c r="F8" s="65" t="n">
        <f aca="false">IF('4D Schedule'!$AA$17="","",'4D Schedule'!$AA$17)</f>
        <v>46029</v>
      </c>
      <c r="G8" s="65" t="n">
        <f aca="false">IF('4D Schedule'!$AB$17="","",'4D Schedule'!$AB$17)</f>
        <v>46029</v>
      </c>
      <c r="H8" s="65" t="n">
        <f aca="false">'4D Schedule'!$Y$17</f>
        <v>46077</v>
      </c>
      <c r="I8" s="65" t="n">
        <f aca="false">'4D Schedule'!$Z$17</f>
        <v>46077</v>
      </c>
      <c r="J8" s="66" t="n">
        <f aca="false">'4D Schedule'!$AC$17</f>
        <v>1</v>
      </c>
      <c r="K8" s="3" t="str">
        <f aca="false">'4D Schedule'!$AG$17</f>
        <v>Completed</v>
      </c>
      <c r="L8" s="3" t="str">
        <f aca="false">IF('4D Schedule'!$K$17="","",'4D Schedule'!$K$17)</f>
        <v/>
      </c>
      <c r="M8" s="3" t="str">
        <f aca="false">IF('4D Schedule'!$N$17="","",'4D Schedule'!$N$17)</f>
        <v>JSW USL-DE-CHI-1010</v>
      </c>
      <c r="N8" s="3" t="str">
        <f aca="false">'4D Schedule'!$D$17</f>
        <v>Milestone</v>
      </c>
      <c r="O8" s="3" t="str">
        <f aca="false">IF('4D Schedule'!$E$17="","",'4D Schedule'!$E$17)</f>
        <v/>
      </c>
      <c r="P8" s="3" t="str">
        <f aca="false">IF('4D Schedule'!$G$17="","",'4D Schedule'!$G$17)</f>
        <v/>
      </c>
    </row>
    <row r="9" customFormat="false" ht="15" hidden="false" customHeight="false" outlineLevel="0" collapsed="false">
      <c r="A9" s="3" t="str">
        <f aca="false">'4D Schedule'!$A$19</f>
        <v>CHP-ENG-050</v>
      </c>
      <c r="B9" s="3" t="str">
        <f aca="false">'4D Schedule'!$C$19</f>
        <v>Vendor GA drawings (centrifugal chillers &amp; pumps) – receipt &amp; review</v>
      </c>
      <c r="C9" s="3" t="str">
        <f aca="false">IF('4D Schedule'!$L$19="Milestone","Construct",'4D Schedule'!$L$19)</f>
        <v>Construct</v>
      </c>
      <c r="D9" s="65" t="n">
        <f aca="false">'4D Schedule'!$AE$19</f>
        <v>46265</v>
      </c>
      <c r="E9" s="65" t="n">
        <f aca="false">'4D Schedule'!$AF$19</f>
        <v>46279</v>
      </c>
      <c r="F9" s="65" t="n">
        <f aca="false">IF('4D Schedule'!$AA$19="","",'4D Schedule'!$AA$19)</f>
        <v>46265</v>
      </c>
      <c r="G9" s="65" t="n">
        <f aca="false">IF('4D Schedule'!$AB$19="","",'4D Schedule'!$AB$19)</f>
        <v>46279</v>
      </c>
      <c r="H9" s="65" t="n">
        <f aca="false">'4D Schedule'!$Y$19</f>
        <v>46265</v>
      </c>
      <c r="I9" s="65" t="n">
        <f aca="false">'4D Schedule'!$Z$19</f>
        <v>46288</v>
      </c>
      <c r="J9" s="66" t="n">
        <f aca="false">'4D Schedule'!$AC$19</f>
        <v>1</v>
      </c>
      <c r="K9" s="3" t="str">
        <f aca="false">'4D Schedule'!$AG$19</f>
        <v>Completed</v>
      </c>
      <c r="L9" s="3" t="str">
        <f aca="false">IF('4D Schedule'!$K$19="","",'4D Schedule'!$K$19)</f>
        <v/>
      </c>
      <c r="M9" s="3" t="str">
        <f aca="false">IF('4D Schedule'!$N$19="","",'4D Schedule'!$N$19)</f>
        <v>JSW USL-DE-CHI-1020</v>
      </c>
      <c r="N9" s="3" t="str">
        <f aca="false">'4D Schedule'!$D$19</f>
        <v>Engineering</v>
      </c>
      <c r="O9" s="3" t="str">
        <f aca="false">IF('4D Schedule'!$E$19="","",'4D Schedule'!$E$19)</f>
        <v/>
      </c>
      <c r="P9" s="3" t="str">
        <f aca="false">IF('4D Schedule'!$G$19="","",'4D Schedule'!$G$19)</f>
        <v/>
      </c>
    </row>
    <row r="10" customFormat="false" ht="15" hidden="false" customHeight="false" outlineLevel="0" collapsed="false">
      <c r="A10" s="3" t="str">
        <f aca="false">'4D Schedule'!$A$20</f>
        <v>CHP-ENG-060</v>
      </c>
      <c r="B10" s="3" t="str">
        <f aca="false">'4D Schedule'!$C$20</f>
        <v>Equipment layout &amp; foundation loading data – approval &amp; release</v>
      </c>
      <c r="C10" s="3" t="str">
        <f aca="false">IF('4D Schedule'!$L$20="Milestone","Construct",'4D Schedule'!$L$20)</f>
        <v>Construct</v>
      </c>
      <c r="D10" s="65" t="n">
        <f aca="false">'4D Schedule'!$AE$20</f>
        <v>46280</v>
      </c>
      <c r="E10" s="65" t="n">
        <f aca="false">'4D Schedule'!$AF$20</f>
        <v>46289</v>
      </c>
      <c r="F10" s="65" t="n">
        <f aca="false">IF('4D Schedule'!$AA$20="","",'4D Schedule'!$AA$20)</f>
        <v>46280</v>
      </c>
      <c r="G10" s="65" t="n">
        <f aca="false">IF('4D Schedule'!$AB$20="","",'4D Schedule'!$AB$20)</f>
        <v>46289</v>
      </c>
      <c r="H10" s="65" t="n">
        <f aca="false">'4D Schedule'!$Y$20</f>
        <v>46289</v>
      </c>
      <c r="I10" s="65" t="n">
        <f aca="false">'4D Schedule'!$Z$20</f>
        <v>46305</v>
      </c>
      <c r="J10" s="66" t="n">
        <f aca="false">'4D Schedule'!$AC$20</f>
        <v>1</v>
      </c>
      <c r="K10" s="3" t="str">
        <f aca="false">'4D Schedule'!$AG$20</f>
        <v>Completed</v>
      </c>
      <c r="L10" s="3" t="str">
        <f aca="false">IF('4D Schedule'!$K$20="","",'4D Schedule'!$K$20)</f>
        <v/>
      </c>
      <c r="M10" s="3" t="str">
        <f aca="false">IF('4D Schedule'!$N$20="","",'4D Schedule'!$N$20)</f>
        <v>JSW USL-DE-CHI-1020</v>
      </c>
      <c r="N10" s="3" t="str">
        <f aca="false">'4D Schedule'!$D$20</f>
        <v>Engineering</v>
      </c>
      <c r="O10" s="3" t="str">
        <f aca="false">IF('4D Schedule'!$E$20="","",'4D Schedule'!$E$20)</f>
        <v/>
      </c>
      <c r="P10" s="3" t="str">
        <f aca="false">IF('4D Schedule'!$G$20="","",'4D Schedule'!$G$20)</f>
        <v/>
      </c>
    </row>
    <row r="11" customFormat="false" ht="15" hidden="false" customHeight="false" outlineLevel="0" collapsed="false">
      <c r="A11" s="3" t="str">
        <f aca="false">'4D Schedule'!$A$21</f>
        <v>CHP-MS-040</v>
      </c>
      <c r="B11" s="3" t="str">
        <f aca="false">'4D Schedule'!$C$21</f>
        <v>Equipment drawings released – HOLD on chiller / pump foundations F1 &amp; F2 lifted</v>
      </c>
      <c r="C11" s="3" t="str">
        <f aca="false">IF('4D Schedule'!$L$21="Milestone","Construct",'4D Schedule'!$L$21)</f>
        <v>Construct</v>
      </c>
      <c r="D11" s="65" t="n">
        <f aca="false">'4D Schedule'!$AE$21</f>
        <v>46289</v>
      </c>
      <c r="E11" s="65" t="n">
        <f aca="false">'4D Schedule'!$AF$21</f>
        <v>46289</v>
      </c>
      <c r="F11" s="65" t="n">
        <f aca="false">IF('4D Schedule'!$AA$21="","",'4D Schedule'!$AA$21)</f>
        <v>46289</v>
      </c>
      <c r="G11" s="65" t="n">
        <f aca="false">IF('4D Schedule'!$AB$21="","",'4D Schedule'!$AB$21)</f>
        <v>46289</v>
      </c>
      <c r="H11" s="65" t="n">
        <f aca="false">'4D Schedule'!$Y$21</f>
        <v>46305</v>
      </c>
      <c r="I11" s="65" t="n">
        <f aca="false">'4D Schedule'!$Z$21</f>
        <v>46305</v>
      </c>
      <c r="J11" s="66" t="n">
        <f aca="false">'4D Schedule'!$AC$21</f>
        <v>1</v>
      </c>
      <c r="K11" s="3" t="str">
        <f aca="false">'4D Schedule'!$AG$21</f>
        <v>Completed</v>
      </c>
      <c r="L11" s="3" t="str">
        <f aca="false">IF('4D Schedule'!$K$21="","",'4D Schedule'!$K$21)</f>
        <v/>
      </c>
      <c r="M11" s="3" t="str">
        <f aca="false">IF('4D Schedule'!$N$21="","",'4D Schedule'!$N$21)</f>
        <v>JSW USL-DE-CHI-1020</v>
      </c>
      <c r="N11" s="3" t="str">
        <f aca="false">'4D Schedule'!$D$21</f>
        <v>Milestone</v>
      </c>
      <c r="O11" s="3" t="str">
        <f aca="false">IF('4D Schedule'!$E$21="","",'4D Schedule'!$E$21)</f>
        <v/>
      </c>
      <c r="P11" s="3" t="str">
        <f aca="false">IF('4D Schedule'!$G$21="","",'4D Schedule'!$G$21)</f>
        <v/>
      </c>
    </row>
    <row r="12" customFormat="false" ht="15" hidden="false" customHeight="false" outlineLevel="0" collapsed="false">
      <c r="A12" s="3" t="str">
        <f aca="false">'4D Schedule'!$A$23</f>
        <v>CHP-ENG-070</v>
      </c>
      <c r="B12" s="3" t="str">
        <f aca="false">'4D Schedule'!$C$23</f>
        <v>Piping GA, isometric &amp; pipe-support drawings – preparation</v>
      </c>
      <c r="C12" s="3" t="str">
        <f aca="false">IF('4D Schedule'!$L$23="Milestone","Construct",'4D Schedule'!$L$23)</f>
        <v>Construct</v>
      </c>
      <c r="D12" s="65" t="n">
        <f aca="false">'4D Schedule'!$AE$23</f>
        <v>46298</v>
      </c>
      <c r="E12" s="65" t="n">
        <f aca="false">'4D Schedule'!$AF$23</f>
        <v>46333</v>
      </c>
      <c r="F12" s="65" t="str">
        <f aca="false">IF('4D Schedule'!$AA$23="","",'4D Schedule'!$AA$23)</f>
        <v/>
      </c>
      <c r="G12" s="65" t="str">
        <f aca="false">IF('4D Schedule'!$AB$23="","",'4D Schedule'!$AB$23)</f>
        <v/>
      </c>
      <c r="H12" s="65" t="n">
        <f aca="false">'4D Schedule'!$Y$23</f>
        <v>46307</v>
      </c>
      <c r="I12" s="65" t="n">
        <f aca="false">'4D Schedule'!$Z$23</f>
        <v>46346</v>
      </c>
      <c r="J12" s="66" t="n">
        <f aca="false">'4D Schedule'!$AC$23</f>
        <v>0</v>
      </c>
      <c r="K12" s="3" t="str">
        <f aca="false">'4D Schedule'!$AG$23</f>
        <v>Not Started</v>
      </c>
      <c r="L12" s="3" t="str">
        <f aca="false">IF('4D Schedule'!$K$23="","",'4D Schedule'!$K$23)</f>
        <v/>
      </c>
      <c r="M12" s="3" t="str">
        <f aca="false">IF('4D Schedule'!$N$23="","",'4D Schedule'!$N$23)</f>
        <v>JSW USL-DE-CHI-1030</v>
      </c>
      <c r="N12" s="3" t="str">
        <f aca="false">'4D Schedule'!$D$23</f>
        <v>Engineering</v>
      </c>
      <c r="O12" s="3" t="str">
        <f aca="false">IF('4D Schedule'!$E$23="","",'4D Schedule'!$E$23)</f>
        <v/>
      </c>
      <c r="P12" s="3" t="str">
        <f aca="false">IF('4D Schedule'!$G$23="","",'4D Schedule'!$G$23)</f>
        <v/>
      </c>
    </row>
    <row r="13" customFormat="false" ht="15" hidden="false" customHeight="false" outlineLevel="0" collapsed="false">
      <c r="A13" s="3" t="str">
        <f aca="false">'4D Schedule'!$A$24</f>
        <v>CHP-ENG-080</v>
      </c>
      <c r="B13" s="3" t="str">
        <f aca="false">'4D Schedule'!$C$24</f>
        <v>Piping drawings – review, comments &amp; IFC release</v>
      </c>
      <c r="C13" s="3" t="str">
        <f aca="false">IF('4D Schedule'!$L$24="Milestone","Construct",'4D Schedule'!$L$24)</f>
        <v>Construct</v>
      </c>
      <c r="D13" s="65" t="n">
        <f aca="false">'4D Schedule'!$AE$24</f>
        <v>46335</v>
      </c>
      <c r="E13" s="65" t="n">
        <f aca="false">'4D Schedule'!$AF$24</f>
        <v>46345</v>
      </c>
      <c r="F13" s="65" t="str">
        <f aca="false">IF('4D Schedule'!$AA$24="","",'4D Schedule'!$AA$24)</f>
        <v/>
      </c>
      <c r="G13" s="65" t="str">
        <f aca="false">IF('4D Schedule'!$AB$24="","",'4D Schedule'!$AB$24)</f>
        <v/>
      </c>
      <c r="H13" s="65" t="n">
        <f aca="false">'4D Schedule'!$Y$24</f>
        <v>46347</v>
      </c>
      <c r="I13" s="65" t="n">
        <f aca="false">'4D Schedule'!$Z$24</f>
        <v>46359</v>
      </c>
      <c r="J13" s="66" t="n">
        <f aca="false">'4D Schedule'!$AC$24</f>
        <v>0</v>
      </c>
      <c r="K13" s="3" t="str">
        <f aca="false">'4D Schedule'!$AG$24</f>
        <v>Not Started</v>
      </c>
      <c r="L13" s="3" t="str">
        <f aca="false">IF('4D Schedule'!$K$24="","",'4D Schedule'!$K$24)</f>
        <v/>
      </c>
      <c r="M13" s="3" t="str">
        <f aca="false">IF('4D Schedule'!$N$24="","",'4D Schedule'!$N$24)</f>
        <v>JSW USL-DE-CHI-1030</v>
      </c>
      <c r="N13" s="3" t="str">
        <f aca="false">'4D Schedule'!$D$24</f>
        <v>Engineering</v>
      </c>
      <c r="O13" s="3" t="str">
        <f aca="false">IF('4D Schedule'!$E$24="","",'4D Schedule'!$E$24)</f>
        <v/>
      </c>
      <c r="P13" s="3" t="str">
        <f aca="false">IF('4D Schedule'!$G$24="","",'4D Schedule'!$G$24)</f>
        <v/>
      </c>
    </row>
    <row r="14" customFormat="false" ht="15" hidden="false" customHeight="false" outlineLevel="0" collapsed="false">
      <c r="A14" s="3" t="str">
        <f aca="false">'4D Schedule'!$A$25</f>
        <v>CHP-MS-050</v>
      </c>
      <c r="B14" s="3" t="str">
        <f aca="false">'4D Schedule'!$C$25</f>
        <v>Piping drawings released (IFC)</v>
      </c>
      <c r="C14" s="3" t="str">
        <f aca="false">IF('4D Schedule'!$L$25="Milestone","Construct",'4D Schedule'!$L$25)</f>
        <v>Construct</v>
      </c>
      <c r="D14" s="65" t="n">
        <f aca="false">'4D Schedule'!$AE$25</f>
        <v>46345</v>
      </c>
      <c r="E14" s="65" t="n">
        <f aca="false">'4D Schedule'!$AF$25</f>
        <v>46345</v>
      </c>
      <c r="F14" s="65" t="str">
        <f aca="false">IF('4D Schedule'!$AA$25="","",'4D Schedule'!$AA$25)</f>
        <v/>
      </c>
      <c r="G14" s="65" t="str">
        <f aca="false">IF('4D Schedule'!$AB$25="","",'4D Schedule'!$AB$25)</f>
        <v/>
      </c>
      <c r="H14" s="65" t="n">
        <f aca="false">'4D Schedule'!$Y$25</f>
        <v>46359</v>
      </c>
      <c r="I14" s="65" t="n">
        <f aca="false">'4D Schedule'!$Z$25</f>
        <v>46359</v>
      </c>
      <c r="J14" s="66" t="n">
        <f aca="false">'4D Schedule'!$AC$25</f>
        <v>0</v>
      </c>
      <c r="K14" s="3" t="str">
        <f aca="false">'4D Schedule'!$AG$25</f>
        <v>Not Started</v>
      </c>
      <c r="L14" s="3" t="str">
        <f aca="false">IF('4D Schedule'!$K$25="","",'4D Schedule'!$K$25)</f>
        <v/>
      </c>
      <c r="M14" s="3" t="str">
        <f aca="false">IF('4D Schedule'!$N$25="","",'4D Schedule'!$N$25)</f>
        <v>JSW USL-DE-CHI-1030</v>
      </c>
      <c r="N14" s="3" t="str">
        <f aca="false">'4D Schedule'!$D$25</f>
        <v>Milestone</v>
      </c>
      <c r="O14" s="3" t="str">
        <f aca="false">IF('4D Schedule'!$E$25="","",'4D Schedule'!$E$25)</f>
        <v/>
      </c>
      <c r="P14" s="3" t="str">
        <f aca="false">IF('4D Schedule'!$G$25="","",'4D Schedule'!$G$25)</f>
        <v/>
      </c>
    </row>
    <row r="15" customFormat="false" ht="15" hidden="false" customHeight="false" outlineLevel="0" collapsed="false">
      <c r="A15" s="3" t="str">
        <f aca="false">'4D Schedule'!$A$27</f>
        <v>CHP-ENG-090</v>
      </c>
      <c r="B15" s="3" t="str">
        <f aca="false">'4D Schedule'!$C$27</f>
        <v>E&amp;I layouts (cable routing, lighting, earthing, instrument locations) – preparation</v>
      </c>
      <c r="C15" s="3" t="str">
        <f aca="false">IF('4D Schedule'!$L$27="Milestone","Construct",'4D Schedule'!$L$27)</f>
        <v>Construct</v>
      </c>
      <c r="D15" s="65" t="n">
        <f aca="false">'4D Schedule'!$AE$27</f>
        <v>46296</v>
      </c>
      <c r="E15" s="65" t="n">
        <f aca="false">'4D Schedule'!$AF$27</f>
        <v>46321</v>
      </c>
      <c r="F15" s="65" t="n">
        <f aca="false">IF('4D Schedule'!$AA$27="","",'4D Schedule'!$AA$27)</f>
        <v>46296</v>
      </c>
      <c r="G15" s="65" t="str">
        <f aca="false">IF('4D Schedule'!$AB$27="","",'4D Schedule'!$AB$27)</f>
        <v/>
      </c>
      <c r="H15" s="65" t="n">
        <f aca="false">'4D Schedule'!$Y$27</f>
        <v>46360</v>
      </c>
      <c r="I15" s="65" t="n">
        <f aca="false">'4D Schedule'!$Z$27</f>
        <v>46371</v>
      </c>
      <c r="J15" s="66" t="n">
        <f aca="false">'4D Schedule'!$AC$27</f>
        <v>0.38</v>
      </c>
      <c r="K15" s="3" t="str">
        <f aca="false">'4D Schedule'!$AG$27</f>
        <v>In Progress</v>
      </c>
      <c r="L15" s="3" t="str">
        <f aca="false">IF('4D Schedule'!$K$27="","",'4D Schedule'!$K$27)</f>
        <v/>
      </c>
      <c r="M15" s="3" t="str">
        <f aca="false">IF('4D Schedule'!$N$27="","",'4D Schedule'!$N$27)</f>
        <v>JSW USL-DE-CHI-1040</v>
      </c>
      <c r="N15" s="3" t="str">
        <f aca="false">'4D Schedule'!$D$27</f>
        <v>Engineering</v>
      </c>
      <c r="O15" s="3" t="str">
        <f aca="false">IF('4D Schedule'!$E$27="","",'4D Schedule'!$E$27)</f>
        <v/>
      </c>
      <c r="P15" s="3" t="str">
        <f aca="false">IF('4D Schedule'!$G$27="","",'4D Schedule'!$G$27)</f>
        <v/>
      </c>
    </row>
    <row r="16" customFormat="false" ht="15" hidden="false" customHeight="false" outlineLevel="0" collapsed="false">
      <c r="A16" s="3" t="str">
        <f aca="false">'4D Schedule'!$A$28</f>
        <v>CHP-ENG-100</v>
      </c>
      <c r="B16" s="3" t="str">
        <f aca="false">'4D Schedule'!$C$28</f>
        <v>E&amp;I drawings – coordination with piping drawings, review &amp; IFC release</v>
      </c>
      <c r="C16" s="3" t="str">
        <f aca="false">IF('4D Schedule'!$L$28="Milestone","Construct",'4D Schedule'!$L$28)</f>
        <v>Construct</v>
      </c>
      <c r="D16" s="65" t="n">
        <f aca="false">'4D Schedule'!$AE$28</f>
        <v>46346</v>
      </c>
      <c r="E16" s="65" t="n">
        <f aca="false">'4D Schedule'!$AF$28</f>
        <v>46367</v>
      </c>
      <c r="F16" s="65" t="str">
        <f aca="false">IF('4D Schedule'!$AA$28="","",'4D Schedule'!$AA$28)</f>
        <v/>
      </c>
      <c r="G16" s="65" t="str">
        <f aca="false">IF('4D Schedule'!$AB$28="","",'4D Schedule'!$AB$28)</f>
        <v/>
      </c>
      <c r="H16" s="65" t="n">
        <f aca="false">'4D Schedule'!$Y$28</f>
        <v>46386</v>
      </c>
      <c r="I16" s="65" t="n">
        <f aca="false">'4D Schedule'!$Z$28</f>
        <v>46396</v>
      </c>
      <c r="J16" s="66" t="n">
        <f aca="false">'4D Schedule'!$AC$28</f>
        <v>0</v>
      </c>
      <c r="K16" s="3" t="str">
        <f aca="false">'4D Schedule'!$AG$28</f>
        <v>Not Started</v>
      </c>
      <c r="L16" s="3" t="str">
        <f aca="false">IF('4D Schedule'!$K$28="","",'4D Schedule'!$K$28)</f>
        <v/>
      </c>
      <c r="M16" s="3" t="str">
        <f aca="false">IF('4D Schedule'!$N$28="","",'4D Schedule'!$N$28)</f>
        <v>JSW USL-DE-CHI-1040</v>
      </c>
      <c r="N16" s="3" t="str">
        <f aca="false">'4D Schedule'!$D$28</f>
        <v>Engineering</v>
      </c>
      <c r="O16" s="3" t="str">
        <f aca="false">IF('4D Schedule'!$E$28="","",'4D Schedule'!$E$28)</f>
        <v/>
      </c>
      <c r="P16" s="3" t="str">
        <f aca="false">IF('4D Schedule'!$G$28="","",'4D Schedule'!$G$28)</f>
        <v/>
      </c>
    </row>
    <row r="17" customFormat="false" ht="15" hidden="false" customHeight="false" outlineLevel="0" collapsed="false">
      <c r="A17" s="3" t="str">
        <f aca="false">'4D Schedule'!$A$29</f>
        <v>CHP-MS-060</v>
      </c>
      <c r="B17" s="3" t="str">
        <f aca="false">'4D Schedule'!$C$29</f>
        <v>E&amp;I drawings released (IFC)</v>
      </c>
      <c r="C17" s="3" t="str">
        <f aca="false">IF('4D Schedule'!$L$29="Milestone","Construct",'4D Schedule'!$L$29)</f>
        <v>Construct</v>
      </c>
      <c r="D17" s="65" t="n">
        <f aca="false">'4D Schedule'!$AE$29</f>
        <v>46367</v>
      </c>
      <c r="E17" s="65" t="n">
        <f aca="false">'4D Schedule'!$AF$29</f>
        <v>46367</v>
      </c>
      <c r="F17" s="65" t="str">
        <f aca="false">IF('4D Schedule'!$AA$29="","",'4D Schedule'!$AA$29)</f>
        <v/>
      </c>
      <c r="G17" s="65" t="str">
        <f aca="false">IF('4D Schedule'!$AB$29="","",'4D Schedule'!$AB$29)</f>
        <v/>
      </c>
      <c r="H17" s="65" t="n">
        <f aca="false">'4D Schedule'!$Y$29</f>
        <v>46396</v>
      </c>
      <c r="I17" s="65" t="n">
        <f aca="false">'4D Schedule'!$Z$29</f>
        <v>46396</v>
      </c>
      <c r="J17" s="66" t="n">
        <f aca="false">'4D Schedule'!$AC$29</f>
        <v>0</v>
      </c>
      <c r="K17" s="3" t="str">
        <f aca="false">'4D Schedule'!$AG$29</f>
        <v>Not Started</v>
      </c>
      <c r="L17" s="3" t="str">
        <f aca="false">IF('4D Schedule'!$K$29="","",'4D Schedule'!$K$29)</f>
        <v/>
      </c>
      <c r="M17" s="3" t="str">
        <f aca="false">IF('4D Schedule'!$N$29="","",'4D Schedule'!$N$29)</f>
        <v>JSW USL-DE-CHI-1040</v>
      </c>
      <c r="N17" s="3" t="str">
        <f aca="false">'4D Schedule'!$D$29</f>
        <v>Milestone</v>
      </c>
      <c r="O17" s="3" t="str">
        <f aca="false">IF('4D Schedule'!$E$29="","",'4D Schedule'!$E$29)</f>
        <v/>
      </c>
      <c r="P17" s="3" t="str">
        <f aca="false">IF('4D Schedule'!$G$29="","",'4D Schedule'!$G$29)</f>
        <v/>
      </c>
    </row>
    <row r="18" customFormat="false" ht="15" hidden="false" customHeight="false" outlineLevel="0" collapsed="false">
      <c r="A18" s="3" t="str">
        <f aca="false">'4D Schedule'!$A$32</f>
        <v>CHP-PRC-010</v>
      </c>
      <c r="B18" s="3" t="str">
        <f aca="false">'4D Schedule'!$C$32</f>
        <v>Centrifugal chillers – PR, RFQ, bids &amp; technical evaluation</v>
      </c>
      <c r="C18" s="3" t="str">
        <f aca="false">IF('4D Schedule'!$L$32="Milestone","Construct",'4D Schedule'!$L$32)</f>
        <v>Construct</v>
      </c>
      <c r="D18" s="65" t="n">
        <f aca="false">'4D Schedule'!$AE$32</f>
        <v>46056</v>
      </c>
      <c r="E18" s="65" t="n">
        <f aca="false">'4D Schedule'!$AF$32</f>
        <v>46125</v>
      </c>
      <c r="F18" s="65" t="n">
        <f aca="false">IF('4D Schedule'!$AA$32="","",'4D Schedule'!$AA$32)</f>
        <v>46056</v>
      </c>
      <c r="G18" s="65" t="n">
        <f aca="false">IF('4D Schedule'!$AB$32="","",'4D Schedule'!$AB$32)</f>
        <v>46125</v>
      </c>
      <c r="H18" s="65" t="n">
        <f aca="false">'4D Schedule'!$Y$32</f>
        <v>46081</v>
      </c>
      <c r="I18" s="65" t="n">
        <f aca="false">'4D Schedule'!$Z$32</f>
        <v>46128</v>
      </c>
      <c r="J18" s="66" t="n">
        <f aca="false">'4D Schedule'!$AC$32</f>
        <v>1</v>
      </c>
      <c r="K18" s="3" t="str">
        <f aca="false">'4D Schedule'!$AG$32</f>
        <v>Completed</v>
      </c>
      <c r="L18" s="3" t="str">
        <f aca="false">IF('4D Schedule'!$K$32="","",'4D Schedule'!$K$32)</f>
        <v/>
      </c>
      <c r="M18" s="3" t="str">
        <f aca="false">IF('4D Schedule'!$N$32="","",'4D Schedule'!$N$32)</f>
        <v>JSW USL-PR-2440</v>
      </c>
      <c r="N18" s="3" t="str">
        <f aca="false">'4D Schedule'!$D$32</f>
        <v>Procurement</v>
      </c>
      <c r="O18" s="3" t="str">
        <f aca="false">IF('4D Schedule'!$E$32="","",'4D Schedule'!$E$32)</f>
        <v/>
      </c>
      <c r="P18" s="3" t="str">
        <f aca="false">IF('4D Schedule'!$G$32="","",'4D Schedule'!$G$32)</f>
        <v/>
      </c>
    </row>
    <row r="19" customFormat="false" ht="15" hidden="false" customHeight="false" outlineLevel="0" collapsed="false">
      <c r="A19" s="3" t="str">
        <f aca="false">'4D Schedule'!$A$33</f>
        <v>CHP-PRC-020</v>
      </c>
      <c r="B19" s="3" t="str">
        <f aca="false">'4D Schedule'!$C$33</f>
        <v>Centrifugal chillers – commercial negotiation &amp; PO placement</v>
      </c>
      <c r="C19" s="3" t="str">
        <f aca="false">IF('4D Schedule'!$L$33="Milestone","Construct",'4D Schedule'!$L$33)</f>
        <v>Construct</v>
      </c>
      <c r="D19" s="65" t="n">
        <f aca="false">'4D Schedule'!$AE$33</f>
        <v>46126</v>
      </c>
      <c r="E19" s="65" t="n">
        <f aca="false">'4D Schedule'!$AF$33</f>
        <v>46162</v>
      </c>
      <c r="F19" s="65" t="n">
        <f aca="false">IF('4D Schedule'!$AA$33="","",'4D Schedule'!$AA$33)</f>
        <v>46126</v>
      </c>
      <c r="G19" s="65" t="n">
        <f aca="false">IF('4D Schedule'!$AB$33="","",'4D Schedule'!$AB$33)</f>
        <v>46162</v>
      </c>
      <c r="H19" s="65" t="n">
        <f aca="false">'4D Schedule'!$Y$33</f>
        <v>46129</v>
      </c>
      <c r="I19" s="65" t="n">
        <f aca="false">'4D Schedule'!$Z$33</f>
        <v>46154</v>
      </c>
      <c r="J19" s="66" t="n">
        <f aca="false">'4D Schedule'!$AC$33</f>
        <v>1</v>
      </c>
      <c r="K19" s="3" t="str">
        <f aca="false">'4D Schedule'!$AG$33</f>
        <v>Completed</v>
      </c>
      <c r="L19" s="3" t="str">
        <f aca="false">IF('4D Schedule'!$K$33="","",'4D Schedule'!$K$33)</f>
        <v/>
      </c>
      <c r="M19" s="3" t="str">
        <f aca="false">IF('4D Schedule'!$N$33="","",'4D Schedule'!$N$33)</f>
        <v>JSW USL-PR-2440</v>
      </c>
      <c r="N19" s="3" t="str">
        <f aca="false">'4D Schedule'!$D$33</f>
        <v>Procurement</v>
      </c>
      <c r="O19" s="3" t="str">
        <f aca="false">IF('4D Schedule'!$E$33="","",'4D Schedule'!$E$33)</f>
        <v/>
      </c>
      <c r="P19" s="3" t="str">
        <f aca="false">IF('4D Schedule'!$G$33="","",'4D Schedule'!$G$33)</f>
        <v/>
      </c>
    </row>
    <row r="20" customFormat="false" ht="15" hidden="false" customHeight="false" outlineLevel="0" collapsed="false">
      <c r="A20" s="3" t="str">
        <f aca="false">'4D Schedule'!$A$34</f>
        <v>CHP-PRC-030</v>
      </c>
      <c r="B20" s="3" t="str">
        <f aca="false">'4D Schedule'!$C$34</f>
        <v>PO placed – centrifugal chillers</v>
      </c>
      <c r="C20" s="3" t="str">
        <f aca="false">IF('4D Schedule'!$L$34="Milestone","Construct",'4D Schedule'!$L$34)</f>
        <v>Construct</v>
      </c>
      <c r="D20" s="65" t="n">
        <f aca="false">'4D Schedule'!$AE$34</f>
        <v>46162</v>
      </c>
      <c r="E20" s="65" t="n">
        <f aca="false">'4D Schedule'!$AF$34</f>
        <v>46162</v>
      </c>
      <c r="F20" s="65" t="n">
        <f aca="false">IF('4D Schedule'!$AA$34="","",'4D Schedule'!$AA$34)</f>
        <v>46162</v>
      </c>
      <c r="G20" s="65" t="n">
        <f aca="false">IF('4D Schedule'!$AB$34="","",'4D Schedule'!$AB$34)</f>
        <v>46162</v>
      </c>
      <c r="H20" s="65" t="n">
        <f aca="false">'4D Schedule'!$Y$34</f>
        <v>46154</v>
      </c>
      <c r="I20" s="65" t="n">
        <f aca="false">'4D Schedule'!$Z$34</f>
        <v>46154</v>
      </c>
      <c r="J20" s="66" t="n">
        <f aca="false">'4D Schedule'!$AC$34</f>
        <v>1</v>
      </c>
      <c r="K20" s="3" t="str">
        <f aca="false">'4D Schedule'!$AG$34</f>
        <v>Completed</v>
      </c>
      <c r="L20" s="3" t="str">
        <f aca="false">IF('4D Schedule'!$K$34="","",'4D Schedule'!$K$34)</f>
        <v/>
      </c>
      <c r="M20" s="3" t="str">
        <f aca="false">IF('4D Schedule'!$N$34="","",'4D Schedule'!$N$34)</f>
        <v>JSW USL-PR-2440</v>
      </c>
      <c r="N20" s="3" t="str">
        <f aca="false">'4D Schedule'!$D$34</f>
        <v>Procurement</v>
      </c>
      <c r="O20" s="3" t="str">
        <f aca="false">IF('4D Schedule'!$E$34="","",'4D Schedule'!$E$34)</f>
        <v/>
      </c>
      <c r="P20" s="3" t="str">
        <f aca="false">IF('4D Schedule'!$G$34="","",'4D Schedule'!$G$34)</f>
        <v/>
      </c>
    </row>
    <row r="21" customFormat="false" ht="15" hidden="false" customHeight="false" outlineLevel="0" collapsed="false">
      <c r="A21" s="3" t="str">
        <f aca="false">'4D Schedule'!$A$36</f>
        <v>CHP-PRC-040</v>
      </c>
      <c r="B21" s="3" t="str">
        <f aca="false">'4D Schedule'!$C$36</f>
        <v>Centrifugal chillers – manufacturing</v>
      </c>
      <c r="C21" s="3" t="str">
        <f aca="false">IF('4D Schedule'!$L$36="Milestone","Construct",'4D Schedule'!$L$36)</f>
        <v>Construct</v>
      </c>
      <c r="D21" s="65" t="n">
        <f aca="false">'4D Schedule'!$AE$36</f>
        <v>46164</v>
      </c>
      <c r="E21" s="65" t="n">
        <f aca="false">'4D Schedule'!$AF$36</f>
        <v>46359</v>
      </c>
      <c r="F21" s="65" t="n">
        <f aca="false">IF('4D Schedule'!$AA$36="","",'4D Schedule'!$AA$36)</f>
        <v>46164</v>
      </c>
      <c r="G21" s="65" t="str">
        <f aca="false">IF('4D Schedule'!$AB$36="","",'4D Schedule'!$AB$36)</f>
        <v/>
      </c>
      <c r="H21" s="65" t="n">
        <f aca="false">'4D Schedule'!$Y$36</f>
        <v>46203</v>
      </c>
      <c r="I21" s="65" t="n">
        <f aca="false">'4D Schedule'!$Z$36</f>
        <v>46359</v>
      </c>
      <c r="J21" s="66" t="n">
        <f aca="false">'4D Schedule'!$AC$36</f>
        <v>0.6848</v>
      </c>
      <c r="K21" s="3" t="str">
        <f aca="false">'4D Schedule'!$AG$36</f>
        <v>In Progress</v>
      </c>
      <c r="L21" s="3" t="str">
        <f aca="false">IF('4D Schedule'!$K$36="","",'4D Schedule'!$K$36)</f>
        <v/>
      </c>
      <c r="M21" s="3" t="str">
        <f aca="false">IF('4D Schedule'!$N$36="","",'4D Schedule'!$N$36)</f>
        <v>JSW USL-PR-2450</v>
      </c>
      <c r="N21" s="3" t="str">
        <f aca="false">'4D Schedule'!$D$36</f>
        <v>Procurement</v>
      </c>
      <c r="O21" s="3" t="str">
        <f aca="false">IF('4D Schedule'!$E$36="","",'4D Schedule'!$E$36)</f>
        <v/>
      </c>
      <c r="P21" s="3" t="str">
        <f aca="false">IF('4D Schedule'!$G$36="","",'4D Schedule'!$G$36)</f>
        <v/>
      </c>
    </row>
    <row r="22" customFormat="false" ht="15" hidden="false" customHeight="false" outlineLevel="0" collapsed="false">
      <c r="A22" s="3" t="str">
        <f aca="false">'4D Schedule'!$A$37</f>
        <v>CHP-PRC-050</v>
      </c>
      <c r="B22" s="3" t="str">
        <f aca="false">'4D Schedule'!$C$37</f>
        <v>Centrifugal chillers – stage inspection &amp; FAT</v>
      </c>
      <c r="C22" s="3" t="str">
        <f aca="false">IF('4D Schedule'!$L$37="Milestone","Construct",'4D Schedule'!$L$37)</f>
        <v>Construct</v>
      </c>
      <c r="D22" s="65" t="n">
        <f aca="false">'4D Schedule'!$AE$37</f>
        <v>46360</v>
      </c>
      <c r="E22" s="65" t="n">
        <f aca="false">'4D Schedule'!$AF$37</f>
        <v>46368</v>
      </c>
      <c r="F22" s="65" t="str">
        <f aca="false">IF('4D Schedule'!$AA$37="","",'4D Schedule'!$AA$37)</f>
        <v/>
      </c>
      <c r="G22" s="65" t="str">
        <f aca="false">IF('4D Schedule'!$AB$37="","",'4D Schedule'!$AB$37)</f>
        <v/>
      </c>
      <c r="H22" s="65" t="n">
        <f aca="false">'4D Schedule'!$Y$37</f>
        <v>46360</v>
      </c>
      <c r="I22" s="65" t="n">
        <f aca="false">'4D Schedule'!$Z$37</f>
        <v>46366</v>
      </c>
      <c r="J22" s="66" t="n">
        <f aca="false">'4D Schedule'!$AC$37</f>
        <v>0</v>
      </c>
      <c r="K22" s="3" t="str">
        <f aca="false">'4D Schedule'!$AG$37</f>
        <v>Not Started</v>
      </c>
      <c r="L22" s="3" t="str">
        <f aca="false">IF('4D Schedule'!$K$37="","",'4D Schedule'!$K$37)</f>
        <v/>
      </c>
      <c r="M22" s="3" t="str">
        <f aca="false">IF('4D Schedule'!$N$37="","",'4D Schedule'!$N$37)</f>
        <v>JSW USL-PR-2450</v>
      </c>
      <c r="N22" s="3" t="str">
        <f aca="false">'4D Schedule'!$D$37</f>
        <v>Procurement</v>
      </c>
      <c r="O22" s="3" t="str">
        <f aca="false">IF('4D Schedule'!$E$37="","",'4D Schedule'!$E$37)</f>
        <v/>
      </c>
      <c r="P22" s="3" t="str">
        <f aca="false">IF('4D Schedule'!$G$37="","",'4D Schedule'!$G$37)</f>
        <v/>
      </c>
    </row>
    <row r="23" customFormat="false" ht="15" hidden="false" customHeight="false" outlineLevel="0" collapsed="false">
      <c r="A23" s="3" t="str">
        <f aca="false">'4D Schedule'!$A$38</f>
        <v>CHP-PRC-060</v>
      </c>
      <c r="B23" s="3" t="str">
        <f aca="false">'4D Schedule'!$C$38</f>
        <v>Centrifugal chillers – dispatch &amp; transit to site</v>
      </c>
      <c r="C23" s="3" t="str">
        <f aca="false">IF('4D Schedule'!$L$38="Milestone","Construct",'4D Schedule'!$L$38)</f>
        <v>Construct</v>
      </c>
      <c r="D23" s="65" t="n">
        <f aca="false">'4D Schedule'!$AE$38</f>
        <v>46370</v>
      </c>
      <c r="E23" s="65" t="n">
        <f aca="false">'4D Schedule'!$AF$38</f>
        <v>46387</v>
      </c>
      <c r="F23" s="65" t="str">
        <f aca="false">IF('4D Schedule'!$AA$38="","",'4D Schedule'!$AA$38)</f>
        <v/>
      </c>
      <c r="G23" s="65" t="str">
        <f aca="false">IF('4D Schedule'!$AB$38="","",'4D Schedule'!$AB$38)</f>
        <v/>
      </c>
      <c r="H23" s="65" t="n">
        <f aca="false">'4D Schedule'!$Y$38</f>
        <v>46367</v>
      </c>
      <c r="I23" s="65" t="n">
        <f aca="false">'4D Schedule'!$Z$38</f>
        <v>46380</v>
      </c>
      <c r="J23" s="66" t="n">
        <f aca="false">'4D Schedule'!$AC$38</f>
        <v>0</v>
      </c>
      <c r="K23" s="3" t="str">
        <f aca="false">'4D Schedule'!$AG$38</f>
        <v>Not Started</v>
      </c>
      <c r="L23" s="3" t="str">
        <f aca="false">IF('4D Schedule'!$K$38="","",'4D Schedule'!$K$38)</f>
        <v/>
      </c>
      <c r="M23" s="3" t="str">
        <f aca="false">IF('4D Schedule'!$N$38="","",'4D Schedule'!$N$38)</f>
        <v>JSW USL-PR-2450</v>
      </c>
      <c r="N23" s="3" t="str">
        <f aca="false">'4D Schedule'!$D$38</f>
        <v>Procurement</v>
      </c>
      <c r="O23" s="3" t="str">
        <f aca="false">IF('4D Schedule'!$E$38="","",'4D Schedule'!$E$38)</f>
        <v/>
      </c>
      <c r="P23" s="3" t="str">
        <f aca="false">IF('4D Schedule'!$G$38="","",'4D Schedule'!$G$38)</f>
        <v/>
      </c>
    </row>
    <row r="24" customFormat="false" ht="15" hidden="false" customHeight="false" outlineLevel="0" collapsed="false">
      <c r="A24" s="3" t="str">
        <f aca="false">'4D Schedule'!$A$39</f>
        <v>CHP-MS-070</v>
      </c>
      <c r="B24" s="3" t="str">
        <f aca="false">'4D Schedule'!$C$39</f>
        <v>Centrifugal chillers delivered at site</v>
      </c>
      <c r="C24" s="3" t="str">
        <f aca="false">IF('4D Schedule'!$L$39="Milestone","Construct",'4D Schedule'!$L$39)</f>
        <v>Construct</v>
      </c>
      <c r="D24" s="65" t="n">
        <f aca="false">'4D Schedule'!$AE$39</f>
        <v>46387</v>
      </c>
      <c r="E24" s="65" t="n">
        <f aca="false">'4D Schedule'!$AF$39</f>
        <v>46387</v>
      </c>
      <c r="F24" s="65" t="str">
        <f aca="false">IF('4D Schedule'!$AA$39="","",'4D Schedule'!$AA$39)</f>
        <v/>
      </c>
      <c r="G24" s="65" t="str">
        <f aca="false">IF('4D Schedule'!$AB$39="","",'4D Schedule'!$AB$39)</f>
        <v/>
      </c>
      <c r="H24" s="65" t="n">
        <f aca="false">'4D Schedule'!$Y$39</f>
        <v>46380</v>
      </c>
      <c r="I24" s="65" t="n">
        <f aca="false">'4D Schedule'!$Z$39</f>
        <v>46380</v>
      </c>
      <c r="J24" s="66" t="n">
        <f aca="false">'4D Schedule'!$AC$39</f>
        <v>0</v>
      </c>
      <c r="K24" s="3" t="str">
        <f aca="false">'4D Schedule'!$AG$39</f>
        <v>Not Started</v>
      </c>
      <c r="L24" s="3" t="str">
        <f aca="false">IF('4D Schedule'!$K$39="","",'4D Schedule'!$K$39)</f>
        <v/>
      </c>
      <c r="M24" s="3" t="str">
        <f aca="false">IF('4D Schedule'!$N$39="","",'4D Schedule'!$N$39)</f>
        <v>JSW USL-PR-2450</v>
      </c>
      <c r="N24" s="3" t="str">
        <f aca="false">'4D Schedule'!$D$39</f>
        <v>Milestone</v>
      </c>
      <c r="O24" s="3" t="str">
        <f aca="false">IF('4D Schedule'!$E$39="","",'4D Schedule'!$E$39)</f>
        <v/>
      </c>
      <c r="P24" s="3" t="str">
        <f aca="false">IF('4D Schedule'!$G$39="","",'4D Schedule'!$G$39)</f>
        <v/>
      </c>
    </row>
    <row r="25" customFormat="false" ht="15" hidden="false" customHeight="false" outlineLevel="0" collapsed="false">
      <c r="A25" s="3" t="str">
        <f aca="false">'4D Schedule'!$A$41</f>
        <v>CHP-PRC-070</v>
      </c>
      <c r="B25" s="3" t="str">
        <f aca="false">'4D Schedule'!$C$41</f>
        <v>Pumps – PR, RFQ, bids &amp; technical evaluation</v>
      </c>
      <c r="C25" s="3" t="str">
        <f aca="false">IF('4D Schedule'!$L$41="Milestone","Construct",'4D Schedule'!$L$41)</f>
        <v>Construct</v>
      </c>
      <c r="D25" s="65" t="n">
        <f aca="false">'4D Schedule'!$AE$41</f>
        <v>46056</v>
      </c>
      <c r="E25" s="65" t="n">
        <f aca="false">'4D Schedule'!$AF$41</f>
        <v>46111</v>
      </c>
      <c r="F25" s="65" t="n">
        <f aca="false">IF('4D Schedule'!$AA$41="","",'4D Schedule'!$AA$41)</f>
        <v>46056</v>
      </c>
      <c r="G25" s="65" t="n">
        <f aca="false">IF('4D Schedule'!$AB$41="","",'4D Schedule'!$AB$41)</f>
        <v>46111</v>
      </c>
      <c r="H25" s="65" t="n">
        <f aca="false">'4D Schedule'!$Y$41</f>
        <v>46081</v>
      </c>
      <c r="I25" s="65" t="n">
        <f aca="false">'4D Schedule'!$Z$41</f>
        <v>46128</v>
      </c>
      <c r="J25" s="66" t="n">
        <f aca="false">'4D Schedule'!$AC$41</f>
        <v>1</v>
      </c>
      <c r="K25" s="3" t="str">
        <f aca="false">'4D Schedule'!$AG$41</f>
        <v>Completed</v>
      </c>
      <c r="L25" s="3" t="str">
        <f aca="false">IF('4D Schedule'!$K$41="","",'4D Schedule'!$K$41)</f>
        <v/>
      </c>
      <c r="M25" s="3" t="str">
        <f aca="false">IF('4D Schedule'!$N$41="","",'4D Schedule'!$N$41)</f>
        <v>JSW USL-PR-2460</v>
      </c>
      <c r="N25" s="3" t="str">
        <f aca="false">'4D Schedule'!$D$41</f>
        <v>Procurement</v>
      </c>
      <c r="O25" s="3" t="str">
        <f aca="false">IF('4D Schedule'!$E$41="","",'4D Schedule'!$E$41)</f>
        <v/>
      </c>
      <c r="P25" s="3" t="str">
        <f aca="false">IF('4D Schedule'!$G$41="","",'4D Schedule'!$G$41)</f>
        <v/>
      </c>
    </row>
    <row r="26" customFormat="false" ht="15" hidden="false" customHeight="false" outlineLevel="0" collapsed="false">
      <c r="A26" s="3" t="str">
        <f aca="false">'4D Schedule'!$A$42</f>
        <v>CHP-PRC-080</v>
      </c>
      <c r="B26" s="3" t="str">
        <f aca="false">'4D Schedule'!$C$42</f>
        <v>Pumps – commercial negotiation &amp; PO placement</v>
      </c>
      <c r="C26" s="3" t="str">
        <f aca="false">IF('4D Schedule'!$L$42="Milestone","Construct",'4D Schedule'!$L$42)</f>
        <v>Construct</v>
      </c>
      <c r="D26" s="65" t="n">
        <f aca="false">'4D Schedule'!$AE$42</f>
        <v>46112</v>
      </c>
      <c r="E26" s="65" t="n">
        <f aca="false">'4D Schedule'!$AF$42</f>
        <v>46139</v>
      </c>
      <c r="F26" s="65" t="n">
        <f aca="false">IF('4D Schedule'!$AA$42="","",'4D Schedule'!$AA$42)</f>
        <v>46112</v>
      </c>
      <c r="G26" s="65" t="n">
        <f aca="false">IF('4D Schedule'!$AB$42="","",'4D Schedule'!$AB$42)</f>
        <v>46139</v>
      </c>
      <c r="H26" s="65" t="n">
        <f aca="false">'4D Schedule'!$Y$42</f>
        <v>46129</v>
      </c>
      <c r="I26" s="65" t="n">
        <f aca="false">'4D Schedule'!$Z$42</f>
        <v>46154</v>
      </c>
      <c r="J26" s="66" t="n">
        <f aca="false">'4D Schedule'!$AC$42</f>
        <v>1</v>
      </c>
      <c r="K26" s="3" t="str">
        <f aca="false">'4D Schedule'!$AG$42</f>
        <v>Completed</v>
      </c>
      <c r="L26" s="3" t="str">
        <f aca="false">IF('4D Schedule'!$K$42="","",'4D Schedule'!$K$42)</f>
        <v/>
      </c>
      <c r="M26" s="3" t="str">
        <f aca="false">IF('4D Schedule'!$N$42="","",'4D Schedule'!$N$42)</f>
        <v>JSW USL-PR-2460</v>
      </c>
      <c r="N26" s="3" t="str">
        <f aca="false">'4D Schedule'!$D$42</f>
        <v>Procurement</v>
      </c>
      <c r="O26" s="3" t="str">
        <f aca="false">IF('4D Schedule'!$E$42="","",'4D Schedule'!$E$42)</f>
        <v/>
      </c>
      <c r="P26" s="3" t="str">
        <f aca="false">IF('4D Schedule'!$G$42="","",'4D Schedule'!$G$42)</f>
        <v/>
      </c>
    </row>
    <row r="27" customFormat="false" ht="15" hidden="false" customHeight="false" outlineLevel="0" collapsed="false">
      <c r="A27" s="3" t="str">
        <f aca="false">'4D Schedule'!$A$43</f>
        <v>CHP-PRC-090</v>
      </c>
      <c r="B27" s="3" t="str">
        <f aca="false">'4D Schedule'!$C$43</f>
        <v>PO placed – pumps</v>
      </c>
      <c r="C27" s="3" t="str">
        <f aca="false">IF('4D Schedule'!$L$43="Milestone","Construct",'4D Schedule'!$L$43)</f>
        <v>Construct</v>
      </c>
      <c r="D27" s="65" t="n">
        <f aca="false">'4D Schedule'!$AE$43</f>
        <v>46139</v>
      </c>
      <c r="E27" s="65" t="n">
        <f aca="false">'4D Schedule'!$AF$43</f>
        <v>46139</v>
      </c>
      <c r="F27" s="65" t="n">
        <f aca="false">IF('4D Schedule'!$AA$43="","",'4D Schedule'!$AA$43)</f>
        <v>46139</v>
      </c>
      <c r="G27" s="65" t="n">
        <f aca="false">IF('4D Schedule'!$AB$43="","",'4D Schedule'!$AB$43)</f>
        <v>46139</v>
      </c>
      <c r="H27" s="65" t="n">
        <f aca="false">'4D Schedule'!$Y$43</f>
        <v>46154</v>
      </c>
      <c r="I27" s="65" t="n">
        <f aca="false">'4D Schedule'!$Z$43</f>
        <v>46154</v>
      </c>
      <c r="J27" s="66" t="n">
        <f aca="false">'4D Schedule'!$AC$43</f>
        <v>1</v>
      </c>
      <c r="K27" s="3" t="str">
        <f aca="false">'4D Schedule'!$AG$43</f>
        <v>Completed</v>
      </c>
      <c r="L27" s="3" t="str">
        <f aca="false">IF('4D Schedule'!$K$43="","",'4D Schedule'!$K$43)</f>
        <v/>
      </c>
      <c r="M27" s="3" t="str">
        <f aca="false">IF('4D Schedule'!$N$43="","",'4D Schedule'!$N$43)</f>
        <v>JSW USL-PR-2460</v>
      </c>
      <c r="N27" s="3" t="str">
        <f aca="false">'4D Schedule'!$D$43</f>
        <v>Procurement</v>
      </c>
      <c r="O27" s="3" t="str">
        <f aca="false">IF('4D Schedule'!$E$43="","",'4D Schedule'!$E$43)</f>
        <v/>
      </c>
      <c r="P27" s="3" t="str">
        <f aca="false">IF('4D Schedule'!$G$43="","",'4D Schedule'!$G$43)</f>
        <v/>
      </c>
    </row>
    <row r="28" customFormat="false" ht="15" hidden="false" customHeight="false" outlineLevel="0" collapsed="false">
      <c r="A28" s="3" t="str">
        <f aca="false">'4D Schedule'!$A$45</f>
        <v>CHP-PRC-100</v>
      </c>
      <c r="B28" s="3" t="str">
        <f aca="false">'4D Schedule'!$C$45</f>
        <v>Pumps – manufacturing</v>
      </c>
      <c r="C28" s="3" t="str">
        <f aca="false">IF('4D Schedule'!$L$45="Milestone","Construct",'4D Schedule'!$L$45)</f>
        <v>Construct</v>
      </c>
      <c r="D28" s="65" t="n">
        <f aca="false">'4D Schedule'!$AE$45</f>
        <v>46141</v>
      </c>
      <c r="E28" s="65" t="n">
        <f aca="false">'4D Schedule'!$AF$45</f>
        <v>46363</v>
      </c>
      <c r="F28" s="65" t="n">
        <f aca="false">IF('4D Schedule'!$AA$45="","",'4D Schedule'!$AA$45)</f>
        <v>46141</v>
      </c>
      <c r="G28" s="65" t="str">
        <f aca="false">IF('4D Schedule'!$AB$45="","",'4D Schedule'!$AB$45)</f>
        <v/>
      </c>
      <c r="H28" s="65" t="n">
        <f aca="false">'4D Schedule'!$Y$45</f>
        <v>46142</v>
      </c>
      <c r="I28" s="65" t="n">
        <f aca="false">'4D Schedule'!$Z$45</f>
        <v>46269</v>
      </c>
      <c r="J28" s="66" t="n">
        <f aca="false">'4D Schedule'!$AC$45</f>
        <v>0.7059</v>
      </c>
      <c r="K28" s="3" t="str">
        <f aca="false">'4D Schedule'!$AG$45</f>
        <v>In Progress</v>
      </c>
      <c r="L28" s="3" t="str">
        <f aca="false">IF('4D Schedule'!$K$45="","",'4D Schedule'!$K$45)</f>
        <v/>
      </c>
      <c r="M28" s="3" t="str">
        <f aca="false">IF('4D Schedule'!$N$45="","",'4D Schedule'!$N$45)</f>
        <v>JSW USL-PR-2470</v>
      </c>
      <c r="N28" s="3" t="str">
        <f aca="false">'4D Schedule'!$D$45</f>
        <v>Procurement</v>
      </c>
      <c r="O28" s="3" t="str">
        <f aca="false">IF('4D Schedule'!$E$45="","",'4D Schedule'!$E$45)</f>
        <v/>
      </c>
      <c r="P28" s="3" t="str">
        <f aca="false">IF('4D Schedule'!$G$45="","",'4D Schedule'!$G$45)</f>
        <v/>
      </c>
    </row>
    <row r="29" customFormat="false" ht="15" hidden="false" customHeight="false" outlineLevel="0" collapsed="false">
      <c r="A29" s="3" t="str">
        <f aca="false">'4D Schedule'!$A$46</f>
        <v>CHP-PRC-110</v>
      </c>
      <c r="B29" s="3" t="str">
        <f aca="false">'4D Schedule'!$C$46</f>
        <v>Pumps – inspection &amp; performance test</v>
      </c>
      <c r="C29" s="3" t="str">
        <f aca="false">IF('4D Schedule'!$L$46="Milestone","Construct",'4D Schedule'!$L$46)</f>
        <v>Construct</v>
      </c>
      <c r="D29" s="65" t="n">
        <f aca="false">'4D Schedule'!$AE$46</f>
        <v>46364</v>
      </c>
      <c r="E29" s="65" t="n">
        <f aca="false">'4D Schedule'!$AF$46</f>
        <v>46370</v>
      </c>
      <c r="F29" s="65" t="str">
        <f aca="false">IF('4D Schedule'!$AA$46="","",'4D Schedule'!$AA$46)</f>
        <v/>
      </c>
      <c r="G29" s="65" t="str">
        <f aca="false">IF('4D Schedule'!$AB$46="","",'4D Schedule'!$AB$46)</f>
        <v/>
      </c>
      <c r="H29" s="65" t="n">
        <f aca="false">'4D Schedule'!$Y$46</f>
        <v>46270</v>
      </c>
      <c r="I29" s="65" t="n">
        <f aca="false">'4D Schedule'!$Z$46</f>
        <v>46274</v>
      </c>
      <c r="J29" s="66" t="n">
        <f aca="false">'4D Schedule'!$AC$46</f>
        <v>0</v>
      </c>
      <c r="K29" s="3" t="str">
        <f aca="false">'4D Schedule'!$AG$46</f>
        <v>Not Started (Late)</v>
      </c>
      <c r="L29" s="3" t="str">
        <f aca="false">IF('4D Schedule'!$K$46="","",'4D Schedule'!$K$46)</f>
        <v/>
      </c>
      <c r="M29" s="3" t="str">
        <f aca="false">IF('4D Schedule'!$N$46="","",'4D Schedule'!$N$46)</f>
        <v>JSW USL-PR-2470</v>
      </c>
      <c r="N29" s="3" t="str">
        <f aca="false">'4D Schedule'!$D$46</f>
        <v>Procurement</v>
      </c>
      <c r="O29" s="3" t="str">
        <f aca="false">IF('4D Schedule'!$E$46="","",'4D Schedule'!$E$46)</f>
        <v/>
      </c>
      <c r="P29" s="3" t="str">
        <f aca="false">IF('4D Schedule'!$G$46="","",'4D Schedule'!$G$46)</f>
        <v/>
      </c>
    </row>
    <row r="30" customFormat="false" ht="15" hidden="false" customHeight="false" outlineLevel="0" collapsed="false">
      <c r="A30" s="3" t="str">
        <f aca="false">'4D Schedule'!$A$47</f>
        <v>CHP-PRC-120</v>
      </c>
      <c r="B30" s="3" t="str">
        <f aca="false">'4D Schedule'!$C$47</f>
        <v>Pumps – dispatch &amp; transit to site</v>
      </c>
      <c r="C30" s="3" t="str">
        <f aca="false">IF('4D Schedule'!$L$47="Milestone","Construct",'4D Schedule'!$L$47)</f>
        <v>Construct</v>
      </c>
      <c r="D30" s="65" t="n">
        <f aca="false">'4D Schedule'!$AE$47</f>
        <v>46371</v>
      </c>
      <c r="E30" s="65" t="n">
        <f aca="false">'4D Schedule'!$AF$47</f>
        <v>46387</v>
      </c>
      <c r="F30" s="65" t="str">
        <f aca="false">IF('4D Schedule'!$AA$47="","",'4D Schedule'!$AA$47)</f>
        <v/>
      </c>
      <c r="G30" s="65" t="str">
        <f aca="false">IF('4D Schedule'!$AB$47="","",'4D Schedule'!$AB$47)</f>
        <v/>
      </c>
      <c r="H30" s="65" t="n">
        <f aca="false">'4D Schedule'!$Y$47</f>
        <v>46275</v>
      </c>
      <c r="I30" s="65" t="n">
        <f aca="false">'4D Schedule'!$Z$47</f>
        <v>46283</v>
      </c>
      <c r="J30" s="66" t="n">
        <f aca="false">'4D Schedule'!$AC$47</f>
        <v>0</v>
      </c>
      <c r="K30" s="3" t="str">
        <f aca="false">'4D Schedule'!$AG$47</f>
        <v>Not Started (Late)</v>
      </c>
      <c r="L30" s="3" t="str">
        <f aca="false">IF('4D Schedule'!$K$47="","",'4D Schedule'!$K$47)</f>
        <v/>
      </c>
      <c r="M30" s="3" t="str">
        <f aca="false">IF('4D Schedule'!$N$47="","",'4D Schedule'!$N$47)</f>
        <v>JSW USL-PR-2470</v>
      </c>
      <c r="N30" s="3" t="str">
        <f aca="false">'4D Schedule'!$D$47</f>
        <v>Procurement</v>
      </c>
      <c r="O30" s="3" t="str">
        <f aca="false">IF('4D Schedule'!$E$47="","",'4D Schedule'!$E$47)</f>
        <v/>
      </c>
      <c r="P30" s="3" t="str">
        <f aca="false">IF('4D Schedule'!$G$47="","",'4D Schedule'!$G$47)</f>
        <v/>
      </c>
    </row>
    <row r="31" customFormat="false" ht="15" hidden="false" customHeight="false" outlineLevel="0" collapsed="false">
      <c r="A31" s="3" t="str">
        <f aca="false">'4D Schedule'!$A$48</f>
        <v>CHP-MS-080</v>
      </c>
      <c r="B31" s="3" t="str">
        <f aca="false">'4D Schedule'!$C$48</f>
        <v>Pumps delivered at site</v>
      </c>
      <c r="C31" s="3" t="str">
        <f aca="false">IF('4D Schedule'!$L$48="Milestone","Construct",'4D Schedule'!$L$48)</f>
        <v>Construct</v>
      </c>
      <c r="D31" s="65" t="n">
        <f aca="false">'4D Schedule'!$AE$48</f>
        <v>46387</v>
      </c>
      <c r="E31" s="65" t="n">
        <f aca="false">'4D Schedule'!$AF$48</f>
        <v>46387</v>
      </c>
      <c r="F31" s="65" t="str">
        <f aca="false">IF('4D Schedule'!$AA$48="","",'4D Schedule'!$AA$48)</f>
        <v/>
      </c>
      <c r="G31" s="65" t="str">
        <f aca="false">IF('4D Schedule'!$AB$48="","",'4D Schedule'!$AB$48)</f>
        <v/>
      </c>
      <c r="H31" s="65" t="n">
        <f aca="false">'4D Schedule'!$Y$48</f>
        <v>46283</v>
      </c>
      <c r="I31" s="65" t="n">
        <f aca="false">'4D Schedule'!$Z$48</f>
        <v>46283</v>
      </c>
      <c r="J31" s="66" t="n">
        <f aca="false">'4D Schedule'!$AC$48</f>
        <v>0</v>
      </c>
      <c r="K31" s="3" t="str">
        <f aca="false">'4D Schedule'!$AG$48</f>
        <v>Not Started (Late)</v>
      </c>
      <c r="L31" s="3" t="str">
        <f aca="false">IF('4D Schedule'!$K$48="","",'4D Schedule'!$K$48)</f>
        <v/>
      </c>
      <c r="M31" s="3" t="str">
        <f aca="false">IF('4D Schedule'!$N$48="","",'4D Schedule'!$N$48)</f>
        <v>JSW USL-PR-2470</v>
      </c>
      <c r="N31" s="3" t="str">
        <f aca="false">'4D Schedule'!$D$48</f>
        <v>Milestone</v>
      </c>
      <c r="O31" s="3" t="str">
        <f aca="false">IF('4D Schedule'!$E$48="","",'4D Schedule'!$E$48)</f>
        <v/>
      </c>
      <c r="P31" s="3" t="str">
        <f aca="false">IF('4D Schedule'!$G$48="","",'4D Schedule'!$G$48)</f>
        <v/>
      </c>
    </row>
    <row r="32" customFormat="false" ht="15" hidden="false" customHeight="false" outlineLevel="0" collapsed="false">
      <c r="A32" s="3" t="str">
        <f aca="false">'4D Schedule'!$A$51</f>
        <v>CHP-PIL-010</v>
      </c>
      <c r="B32" s="3" t="str">
        <f aca="false">'4D Schedule'!$C$51</f>
        <v>Piles Row A (P1–P7)</v>
      </c>
      <c r="C32" s="3" t="str">
        <f aca="false">IF('4D Schedule'!$L$51="Milestone","Construct",'4D Schedule'!$L$51)</f>
        <v>Construct</v>
      </c>
      <c r="D32" s="65" t="n">
        <f aca="false">'4D Schedule'!$AE$51</f>
        <v>46008</v>
      </c>
      <c r="E32" s="65" t="n">
        <f aca="false">'4D Schedule'!$AF$51</f>
        <v>46011</v>
      </c>
      <c r="F32" s="65" t="n">
        <f aca="false">IF('4D Schedule'!$AA$51="","",'4D Schedule'!$AA$51)</f>
        <v>46008</v>
      </c>
      <c r="G32" s="65" t="n">
        <f aca="false">IF('4D Schedule'!$AB$51="","",'4D Schedule'!$AB$51)</f>
        <v>46011</v>
      </c>
      <c r="H32" s="65" t="n">
        <f aca="false">'4D Schedule'!$Y$51</f>
        <v>46042</v>
      </c>
      <c r="I32" s="65" t="n">
        <f aca="false">'4D Schedule'!$Z$51</f>
        <v>46045</v>
      </c>
      <c r="J32" s="66" t="n">
        <f aca="false">'4D Schedule'!$AC$51</f>
        <v>1</v>
      </c>
      <c r="K32" s="3" t="str">
        <f aca="false">'4D Schedule'!$AG$51</f>
        <v>Completed</v>
      </c>
      <c r="L32" s="3" t="str">
        <f aca="false">IF('4D Schedule'!$K$51="","",'4D Schedule'!$K$51)</f>
        <v>CHP-PIL-010</v>
      </c>
      <c r="M32" s="3" t="str">
        <f aca="false">IF('4D Schedule'!$N$51="","",'4D Schedule'!$N$51)</f>
        <v>JSW USL-CON-CHI-1000</v>
      </c>
      <c r="N32" s="3" t="str">
        <f aca="false">'4D Schedule'!$D$51</f>
        <v>Piling</v>
      </c>
      <c r="O32" s="3" t="str">
        <f aca="false">IF('4D Schedule'!$E$51="","",'4D Schedule'!$E$51)</f>
        <v>Row A</v>
      </c>
      <c r="P32" s="3" t="str">
        <f aca="false">IF('4D Schedule'!$G$51="","",'4D Schedule'!$G$51)</f>
        <v>Cut-off EL(-)2.425 ; L = 26 m</v>
      </c>
    </row>
    <row r="33" customFormat="false" ht="15" hidden="false" customHeight="false" outlineLevel="0" collapsed="false">
      <c r="A33" s="3" t="str">
        <f aca="false">'4D Schedule'!$A$52</f>
        <v>CHP-PIL-020</v>
      </c>
      <c r="B33" s="3" t="str">
        <f aca="false">'4D Schedule'!$C$52</f>
        <v>Piles Row B (P8–P16)</v>
      </c>
      <c r="C33" s="3" t="str">
        <f aca="false">IF('4D Schedule'!$L$52="Milestone","Construct",'4D Schedule'!$L$52)</f>
        <v>Construct</v>
      </c>
      <c r="D33" s="65" t="n">
        <f aca="false">'4D Schedule'!$AE$52</f>
        <v>46013</v>
      </c>
      <c r="E33" s="65" t="n">
        <f aca="false">'4D Schedule'!$AF$52</f>
        <v>46018</v>
      </c>
      <c r="F33" s="65" t="n">
        <f aca="false">IF('4D Schedule'!$AA$52="","",'4D Schedule'!$AA$52)</f>
        <v>46013</v>
      </c>
      <c r="G33" s="65" t="n">
        <f aca="false">IF('4D Schedule'!$AB$52="","",'4D Schedule'!$AB$52)</f>
        <v>46018</v>
      </c>
      <c r="H33" s="65" t="n">
        <f aca="false">'4D Schedule'!$Y$52</f>
        <v>46046</v>
      </c>
      <c r="I33" s="65" t="n">
        <f aca="false">'4D Schedule'!$Z$52</f>
        <v>46053</v>
      </c>
      <c r="J33" s="66" t="n">
        <f aca="false">'4D Schedule'!$AC$52</f>
        <v>1</v>
      </c>
      <c r="K33" s="3" t="str">
        <f aca="false">'4D Schedule'!$AG$52</f>
        <v>Completed</v>
      </c>
      <c r="L33" s="3" t="str">
        <f aca="false">IF('4D Schedule'!$K$52="","",'4D Schedule'!$K$52)</f>
        <v>CHP-PIL-020</v>
      </c>
      <c r="M33" s="3" t="str">
        <f aca="false">IF('4D Schedule'!$N$52="","",'4D Schedule'!$N$52)</f>
        <v>JSW USL-CON-CHI-1000</v>
      </c>
      <c r="N33" s="3" t="str">
        <f aca="false">'4D Schedule'!$D$52</f>
        <v>Piling</v>
      </c>
      <c r="O33" s="3" t="str">
        <f aca="false">IF('4D Schedule'!$E$52="","",'4D Schedule'!$E$52)</f>
        <v>Row B</v>
      </c>
      <c r="P33" s="3" t="str">
        <f aca="false">IF('4D Schedule'!$G$52="","",'4D Schedule'!$G$52)</f>
        <v>Cut-off EL(-)2.425 ; L = 26 m</v>
      </c>
    </row>
    <row r="34" customFormat="false" ht="15" hidden="false" customHeight="false" outlineLevel="0" collapsed="false">
      <c r="A34" s="3" t="str">
        <f aca="false">'4D Schedule'!$A$53</f>
        <v>CHP-PIL-030</v>
      </c>
      <c r="B34" s="3" t="str">
        <f aca="false">'4D Schedule'!$C$53</f>
        <v>Piles Row C (P17–P22)</v>
      </c>
      <c r="C34" s="3" t="str">
        <f aca="false">IF('4D Schedule'!$L$53="Milestone","Construct",'4D Schedule'!$L$53)</f>
        <v>Construct</v>
      </c>
      <c r="D34" s="65" t="n">
        <f aca="false">'4D Schedule'!$AE$53</f>
        <v>46020</v>
      </c>
      <c r="E34" s="65" t="n">
        <f aca="false">'4D Schedule'!$AF$53</f>
        <v>46022</v>
      </c>
      <c r="F34" s="65" t="n">
        <f aca="false">IF('4D Schedule'!$AA$53="","",'4D Schedule'!$AA$53)</f>
        <v>46020</v>
      </c>
      <c r="G34" s="65" t="n">
        <f aca="false">IF('4D Schedule'!$AB$53="","",'4D Schedule'!$AB$53)</f>
        <v>46022</v>
      </c>
      <c r="H34" s="65" t="n">
        <f aca="false">'4D Schedule'!$Y$53</f>
        <v>46055</v>
      </c>
      <c r="I34" s="65" t="n">
        <f aca="false">'4D Schedule'!$Z$53</f>
        <v>46057</v>
      </c>
      <c r="J34" s="66" t="n">
        <f aca="false">'4D Schedule'!$AC$53</f>
        <v>1</v>
      </c>
      <c r="K34" s="3" t="str">
        <f aca="false">'4D Schedule'!$AG$53</f>
        <v>Completed</v>
      </c>
      <c r="L34" s="3" t="str">
        <f aca="false">IF('4D Schedule'!$K$53="","",'4D Schedule'!$K$53)</f>
        <v>CHP-PIL-030</v>
      </c>
      <c r="M34" s="3" t="str">
        <f aca="false">IF('4D Schedule'!$N$53="","",'4D Schedule'!$N$53)</f>
        <v>JSW USL-CON-CHI-1000</v>
      </c>
      <c r="N34" s="3" t="str">
        <f aca="false">'4D Schedule'!$D$53</f>
        <v>Piling</v>
      </c>
      <c r="O34" s="3" t="str">
        <f aca="false">IF('4D Schedule'!$E$53="","",'4D Schedule'!$E$53)</f>
        <v>Row C</v>
      </c>
      <c r="P34" s="3" t="str">
        <f aca="false">IF('4D Schedule'!$G$53="","",'4D Schedule'!$G$53)</f>
        <v>Cut-off EL(-)2.425 ; L = 26 m</v>
      </c>
    </row>
    <row r="35" customFormat="false" ht="15" hidden="false" customHeight="false" outlineLevel="0" collapsed="false">
      <c r="A35" s="3" t="str">
        <f aca="false">'4D Schedule'!$A$54</f>
        <v>CHP-PIL-040</v>
      </c>
      <c r="B35" s="3" t="str">
        <f aca="false">'4D Schedule'!$C$54</f>
        <v>Piles Row D (P23–P34)</v>
      </c>
      <c r="C35" s="3" t="str">
        <f aca="false">IF('4D Schedule'!$L$54="Milestone","Construct",'4D Schedule'!$L$54)</f>
        <v>Construct</v>
      </c>
      <c r="D35" s="65" t="n">
        <f aca="false">'4D Schedule'!$AE$54</f>
        <v>46024</v>
      </c>
      <c r="E35" s="65" t="n">
        <f aca="false">'4D Schedule'!$AF$54</f>
        <v>46030</v>
      </c>
      <c r="F35" s="65" t="n">
        <f aca="false">IF('4D Schedule'!$AA$54="","",'4D Schedule'!$AA$54)</f>
        <v>46024</v>
      </c>
      <c r="G35" s="65" t="n">
        <f aca="false">IF('4D Schedule'!$AB$54="","",'4D Schedule'!$AB$54)</f>
        <v>46030</v>
      </c>
      <c r="H35" s="65" t="n">
        <f aca="false">'4D Schedule'!$Y$54</f>
        <v>46058</v>
      </c>
      <c r="I35" s="65" t="n">
        <f aca="false">'4D Schedule'!$Z$54</f>
        <v>46065</v>
      </c>
      <c r="J35" s="66" t="n">
        <f aca="false">'4D Schedule'!$AC$54</f>
        <v>1</v>
      </c>
      <c r="K35" s="3" t="str">
        <f aca="false">'4D Schedule'!$AG$54</f>
        <v>Completed</v>
      </c>
      <c r="L35" s="3" t="str">
        <f aca="false">IF('4D Schedule'!$K$54="","",'4D Schedule'!$K$54)</f>
        <v>CHP-PIL-040</v>
      </c>
      <c r="M35" s="3" t="str">
        <f aca="false">IF('4D Schedule'!$N$54="","",'4D Schedule'!$N$54)</f>
        <v>JSW USL-CON-CHI-1000</v>
      </c>
      <c r="N35" s="3" t="str">
        <f aca="false">'4D Schedule'!$D$54</f>
        <v>Piling</v>
      </c>
      <c r="O35" s="3" t="str">
        <f aca="false">IF('4D Schedule'!$E$54="","",'4D Schedule'!$E$54)</f>
        <v>Row D</v>
      </c>
      <c r="P35" s="3" t="str">
        <f aca="false">IF('4D Schedule'!$G$54="","",'4D Schedule'!$G$54)</f>
        <v>Cut-off EL(-)2.425 ; L = 26 m</v>
      </c>
    </row>
    <row r="36" customFormat="false" ht="15" hidden="false" customHeight="false" outlineLevel="0" collapsed="false">
      <c r="A36" s="3" t="str">
        <f aca="false">'4D Schedule'!$A$55</f>
        <v>CHP-PIL-050</v>
      </c>
      <c r="B36" s="3" t="str">
        <f aca="false">'4D Schedule'!$C$55</f>
        <v>Piles Rows D.1 &amp; D.2 (P35–P41)</v>
      </c>
      <c r="C36" s="3" t="str">
        <f aca="false">IF('4D Schedule'!$L$55="Milestone","Construct",'4D Schedule'!$L$55)</f>
        <v>Construct</v>
      </c>
      <c r="D36" s="65" t="n">
        <f aca="false">'4D Schedule'!$AE$55</f>
        <v>46031</v>
      </c>
      <c r="E36" s="65" t="n">
        <f aca="false">'4D Schedule'!$AF$55</f>
        <v>46035</v>
      </c>
      <c r="F36" s="65" t="n">
        <f aca="false">IF('4D Schedule'!$AA$55="","",'4D Schedule'!$AA$55)</f>
        <v>46031</v>
      </c>
      <c r="G36" s="65" t="n">
        <f aca="false">IF('4D Schedule'!$AB$55="","",'4D Schedule'!$AB$55)</f>
        <v>46035</v>
      </c>
      <c r="H36" s="65" t="n">
        <f aca="false">'4D Schedule'!$Y$55</f>
        <v>46066</v>
      </c>
      <c r="I36" s="65" t="n">
        <f aca="false">'4D Schedule'!$Z$55</f>
        <v>46070</v>
      </c>
      <c r="J36" s="66" t="n">
        <f aca="false">'4D Schedule'!$AC$55</f>
        <v>1</v>
      </c>
      <c r="K36" s="3" t="str">
        <f aca="false">'4D Schedule'!$AG$55</f>
        <v>Completed</v>
      </c>
      <c r="L36" s="3" t="str">
        <f aca="false">IF('4D Schedule'!$K$55="","",'4D Schedule'!$K$55)</f>
        <v>CHP-PIL-050</v>
      </c>
      <c r="M36" s="3" t="str">
        <f aca="false">IF('4D Schedule'!$N$55="","",'4D Schedule'!$N$55)</f>
        <v>JSW USL-CON-CHI-1000</v>
      </c>
      <c r="N36" s="3" t="str">
        <f aca="false">'4D Schedule'!$D$55</f>
        <v>Piling</v>
      </c>
      <c r="O36" s="3" t="str">
        <f aca="false">IF('4D Schedule'!$E$55="","",'4D Schedule'!$E$55)</f>
        <v>Row D.1/D.2</v>
      </c>
      <c r="P36" s="3" t="str">
        <f aca="false">IF('4D Schedule'!$G$55="","",'4D Schedule'!$G$55)</f>
        <v>Cut-off EL(-)2.425 ; L = 26 m</v>
      </c>
    </row>
    <row r="37" customFormat="false" ht="15" hidden="false" customHeight="false" outlineLevel="0" collapsed="false">
      <c r="A37" s="3" t="str">
        <f aca="false">'4D Schedule'!$A$56</f>
        <v>CHP-PIL-060</v>
      </c>
      <c r="B37" s="3" t="str">
        <f aca="false">'4D Schedule'!$C$56</f>
        <v>Piles Row E (P42–P53)</v>
      </c>
      <c r="C37" s="3" t="str">
        <f aca="false">IF('4D Schedule'!$L$56="Milestone","Construct",'4D Schedule'!$L$56)</f>
        <v>Construct</v>
      </c>
      <c r="D37" s="65" t="n">
        <f aca="false">'4D Schedule'!$AE$56</f>
        <v>46036</v>
      </c>
      <c r="E37" s="65" t="n">
        <f aca="false">'4D Schedule'!$AF$56</f>
        <v>46041</v>
      </c>
      <c r="F37" s="65" t="n">
        <f aca="false">IF('4D Schedule'!$AA$56="","",'4D Schedule'!$AA$56)</f>
        <v>46036</v>
      </c>
      <c r="G37" s="65" t="n">
        <f aca="false">IF('4D Schedule'!$AB$56="","",'4D Schedule'!$AB$56)</f>
        <v>46041</v>
      </c>
      <c r="H37" s="65" t="n">
        <f aca="false">'4D Schedule'!$Y$56</f>
        <v>46071</v>
      </c>
      <c r="I37" s="65" t="n">
        <f aca="false">'4D Schedule'!$Z$56</f>
        <v>46077</v>
      </c>
      <c r="J37" s="66" t="n">
        <f aca="false">'4D Schedule'!$AC$56</f>
        <v>1</v>
      </c>
      <c r="K37" s="3" t="str">
        <f aca="false">'4D Schedule'!$AG$56</f>
        <v>Completed</v>
      </c>
      <c r="L37" s="3" t="str">
        <f aca="false">IF('4D Schedule'!$K$56="","",'4D Schedule'!$K$56)</f>
        <v>CHP-PIL-060</v>
      </c>
      <c r="M37" s="3" t="str">
        <f aca="false">IF('4D Schedule'!$N$56="","",'4D Schedule'!$N$56)</f>
        <v>JSW USL-CON-CHI-1000</v>
      </c>
      <c r="N37" s="3" t="str">
        <f aca="false">'4D Schedule'!$D$56</f>
        <v>Piling</v>
      </c>
      <c r="O37" s="3" t="str">
        <f aca="false">IF('4D Schedule'!$E$56="","",'4D Schedule'!$E$56)</f>
        <v>Row E</v>
      </c>
      <c r="P37" s="3" t="str">
        <f aca="false">IF('4D Schedule'!$G$56="","",'4D Schedule'!$G$56)</f>
        <v>Cut-off EL(-)2.425 ; L = 26 m</v>
      </c>
    </row>
    <row r="38" customFormat="false" ht="15" hidden="false" customHeight="false" outlineLevel="0" collapsed="false">
      <c r="A38" s="3" t="str">
        <f aca="false">'4D Schedule'!$A$58</f>
        <v>CHP-EXC-010</v>
      </c>
      <c r="B38" s="3" t="str">
        <f aca="false">'4D Schedule'!$C$58</f>
        <v>Excavation, pile chipping &amp; PCC prep – Zone-1 (Grid 1–3)</v>
      </c>
      <c r="C38" s="3" t="str">
        <f aca="false">IF('4D Schedule'!$L$58="Milestone","Construct",'4D Schedule'!$L$58)</f>
        <v>Demolish</v>
      </c>
      <c r="D38" s="65" t="n">
        <f aca="false">'4D Schedule'!$AE$58</f>
        <v>46071</v>
      </c>
      <c r="E38" s="65" t="n">
        <f aca="false">'4D Schedule'!$AF$58</f>
        <v>46088</v>
      </c>
      <c r="F38" s="65" t="n">
        <f aca="false">IF('4D Schedule'!$AA$58="","",'4D Schedule'!$AA$58)</f>
        <v>46071</v>
      </c>
      <c r="G38" s="65" t="n">
        <f aca="false">IF('4D Schedule'!$AB$58="","",'4D Schedule'!$AB$58)</f>
        <v>46088</v>
      </c>
      <c r="H38" s="65" t="n">
        <f aca="false">'4D Schedule'!$Y$58</f>
        <v>46112</v>
      </c>
      <c r="I38" s="65" t="n">
        <f aca="false">'4D Schedule'!$Z$58</f>
        <v>46142</v>
      </c>
      <c r="J38" s="66" t="n">
        <f aca="false">'4D Schedule'!$AC$58</f>
        <v>1</v>
      </c>
      <c r="K38" s="3" t="str">
        <f aca="false">'4D Schedule'!$AG$58</f>
        <v>Completed</v>
      </c>
      <c r="L38" s="3" t="str">
        <f aca="false">IF('4D Schedule'!$K$58="","",'4D Schedule'!$K$58)</f>
        <v>CHP-EXC-010</v>
      </c>
      <c r="M38" s="3" t="str">
        <f aca="false">IF('4D Schedule'!$N$58="","",'4D Schedule'!$N$58)</f>
        <v>JSW USL-CON-CHI-1010</v>
      </c>
      <c r="N38" s="3" t="str">
        <f aca="false">'4D Schedule'!$D$58</f>
        <v>Excavation</v>
      </c>
      <c r="O38" s="3" t="str">
        <f aca="false">IF('4D Schedule'!$E$58="","",'4D Schedule'!$E$58)</f>
        <v>Z1</v>
      </c>
      <c r="P38" s="3" t="str">
        <f aca="false">IF('4D Schedule'!$G$58="","",'4D Schedule'!$G$58)</f>
        <v>FGL EL(-)0.500 to EL(-)2.575 (incl. PCC)</v>
      </c>
    </row>
    <row r="39" customFormat="false" ht="15" hidden="false" customHeight="false" outlineLevel="0" collapsed="false">
      <c r="A39" s="3" t="str">
        <f aca="false">'4D Schedule'!$A$59</f>
        <v>CHP-EXC-020</v>
      </c>
      <c r="B39" s="3" t="str">
        <f aca="false">'4D Schedule'!$C$59</f>
        <v>Excavation, pile chipping &amp; PCC prep – Zone-2 (Grid 3–5)</v>
      </c>
      <c r="C39" s="3" t="str">
        <f aca="false">IF('4D Schedule'!$L$59="Milestone","Construct",'4D Schedule'!$L$59)</f>
        <v>Demolish</v>
      </c>
      <c r="D39" s="65" t="n">
        <f aca="false">'4D Schedule'!$AE$59</f>
        <v>46086</v>
      </c>
      <c r="E39" s="65" t="n">
        <f aca="false">'4D Schedule'!$AF$59</f>
        <v>46099</v>
      </c>
      <c r="F39" s="65" t="n">
        <f aca="false">IF('4D Schedule'!$AA$59="","",'4D Schedule'!$AA$59)</f>
        <v>46086</v>
      </c>
      <c r="G39" s="65" t="n">
        <f aca="false">IF('4D Schedule'!$AB$59="","",'4D Schedule'!$AB$59)</f>
        <v>46099</v>
      </c>
      <c r="H39" s="65" t="n">
        <f aca="false">'4D Schedule'!$Y$59</f>
        <v>46137</v>
      </c>
      <c r="I39" s="65" t="n">
        <f aca="false">'4D Schedule'!$Z$59</f>
        <v>46163</v>
      </c>
      <c r="J39" s="66" t="n">
        <f aca="false">'4D Schedule'!$AC$59</f>
        <v>1</v>
      </c>
      <c r="K39" s="3" t="str">
        <f aca="false">'4D Schedule'!$AG$59</f>
        <v>Completed</v>
      </c>
      <c r="L39" s="3" t="str">
        <f aca="false">IF('4D Schedule'!$K$59="","",'4D Schedule'!$K$59)</f>
        <v>CHP-EXC-020</v>
      </c>
      <c r="M39" s="3" t="str">
        <f aca="false">IF('4D Schedule'!$N$59="","",'4D Schedule'!$N$59)</f>
        <v>JSW USL-CON-CHI-1010</v>
      </c>
      <c r="N39" s="3" t="str">
        <f aca="false">'4D Schedule'!$D$59</f>
        <v>Excavation</v>
      </c>
      <c r="O39" s="3" t="str">
        <f aca="false">IF('4D Schedule'!$E$59="","",'4D Schedule'!$E$59)</f>
        <v>Z2</v>
      </c>
      <c r="P39" s="3" t="str">
        <f aca="false">IF('4D Schedule'!$G$59="","",'4D Schedule'!$G$59)</f>
        <v>FGL EL(-)0.500 to EL(-)2.575 (incl. PCC)</v>
      </c>
    </row>
    <row r="40" customFormat="false" ht="15" hidden="false" customHeight="false" outlineLevel="0" collapsed="false">
      <c r="A40" s="3" t="str">
        <f aca="false">'4D Schedule'!$A$60</f>
        <v>CHP-EXC-030</v>
      </c>
      <c r="B40" s="3" t="str">
        <f aca="false">'4D Schedule'!$C$60</f>
        <v>Excavation, pile chipping &amp; PCC prep – Zone-3 (Grid 5–6)</v>
      </c>
      <c r="C40" s="3" t="str">
        <f aca="false">IF('4D Schedule'!$L$60="Milestone","Construct",'4D Schedule'!$L$60)</f>
        <v>Demolish</v>
      </c>
      <c r="D40" s="65" t="n">
        <f aca="false">'4D Schedule'!$AE$60</f>
        <v>46097</v>
      </c>
      <c r="E40" s="65" t="n">
        <f aca="false">'4D Schedule'!$AF$60</f>
        <v>46111</v>
      </c>
      <c r="F40" s="65" t="n">
        <f aca="false">IF('4D Schedule'!$AA$60="","",'4D Schedule'!$AA$60)</f>
        <v>46097</v>
      </c>
      <c r="G40" s="65" t="n">
        <f aca="false">IF('4D Schedule'!$AB$60="","",'4D Schedule'!$AB$60)</f>
        <v>46111</v>
      </c>
      <c r="H40" s="65" t="n">
        <f aca="false">'4D Schedule'!$Y$60</f>
        <v>46157</v>
      </c>
      <c r="I40" s="65" t="n">
        <f aca="false">'4D Schedule'!$Z$60</f>
        <v>46182</v>
      </c>
      <c r="J40" s="66" t="n">
        <f aca="false">'4D Schedule'!$AC$60</f>
        <v>1</v>
      </c>
      <c r="K40" s="3" t="str">
        <f aca="false">'4D Schedule'!$AG$60</f>
        <v>Completed</v>
      </c>
      <c r="L40" s="3" t="str">
        <f aca="false">IF('4D Schedule'!$K$60="","",'4D Schedule'!$K$60)</f>
        <v>CHP-EXC-030</v>
      </c>
      <c r="M40" s="3" t="str">
        <f aca="false">IF('4D Schedule'!$N$60="","",'4D Schedule'!$N$60)</f>
        <v>JSW USL-CON-CHI-1010</v>
      </c>
      <c r="N40" s="3" t="str">
        <f aca="false">'4D Schedule'!$D$60</f>
        <v>Excavation</v>
      </c>
      <c r="O40" s="3" t="str">
        <f aca="false">IF('4D Schedule'!$E$60="","",'4D Schedule'!$E$60)</f>
        <v>Z3</v>
      </c>
      <c r="P40" s="3" t="str">
        <f aca="false">IF('4D Schedule'!$G$60="","",'4D Schedule'!$G$60)</f>
        <v>FGL EL(-)0.500 to EL(-)2.575 (incl. PCC)</v>
      </c>
    </row>
    <row r="41" customFormat="false" ht="15" hidden="false" customHeight="false" outlineLevel="0" collapsed="false">
      <c r="A41" s="3" t="str">
        <f aca="false">'4D Schedule'!$A$62</f>
        <v>CHP-SUB-010</v>
      </c>
      <c r="B41" s="3" t="str">
        <f aca="false">'4D Schedule'!$C$62</f>
        <v>PCC (M7.5) &amp; pile caps – Zone-1 (17 nos: PC1 ×9, PC2 ×8)</v>
      </c>
      <c r="C41" s="3" t="str">
        <f aca="false">IF('4D Schedule'!$L$62="Milestone","Construct",'4D Schedule'!$L$62)</f>
        <v>Construct</v>
      </c>
      <c r="D41" s="65" t="n">
        <f aca="false">'4D Schedule'!$AE$62</f>
        <v>46089</v>
      </c>
      <c r="E41" s="65" t="n">
        <f aca="false">'4D Schedule'!$AF$62</f>
        <v>46106</v>
      </c>
      <c r="F41" s="65" t="n">
        <f aca="false">IF('4D Schedule'!$AA$62="","",'4D Schedule'!$AA$62)</f>
        <v>46089</v>
      </c>
      <c r="G41" s="65" t="n">
        <f aca="false">IF('4D Schedule'!$AB$62="","",'4D Schedule'!$AB$62)</f>
        <v>46106</v>
      </c>
      <c r="H41" s="65" t="n">
        <f aca="false">'4D Schedule'!$Y$62</f>
        <v>46129</v>
      </c>
      <c r="I41" s="65" t="n">
        <f aca="false">'4D Schedule'!$Z$62</f>
        <v>46140</v>
      </c>
      <c r="J41" s="66" t="n">
        <f aca="false">'4D Schedule'!$AC$62</f>
        <v>1</v>
      </c>
      <c r="K41" s="3" t="str">
        <f aca="false">'4D Schedule'!$AG$62</f>
        <v>Completed</v>
      </c>
      <c r="L41" s="3" t="str">
        <f aca="false">IF('4D Schedule'!$K$62="","",'4D Schedule'!$K$62)</f>
        <v>CHP-SUB-010</v>
      </c>
      <c r="M41" s="3" t="str">
        <f aca="false">IF('4D Schedule'!$N$62="","",'4D Schedule'!$N$62)</f>
        <v>JSW USL-CON-CHI-1020</v>
      </c>
      <c r="N41" s="3" t="str">
        <f aca="false">'4D Schedule'!$D$62</f>
        <v>Substructure</v>
      </c>
      <c r="O41" s="3" t="str">
        <f aca="false">IF('4D Schedule'!$E$62="","",'4D Schedule'!$E$62)</f>
        <v>Z1</v>
      </c>
      <c r="P41" s="3" t="str">
        <f aca="false">IF('4D Schedule'!$G$62="","",'4D Schedule'!$G$62)</f>
        <v>B.O.C EL(-)2.500 (75 PCC M7.5 below)</v>
      </c>
    </row>
    <row r="42" customFormat="false" ht="15" hidden="false" customHeight="false" outlineLevel="0" collapsed="false">
      <c r="A42" s="3" t="str">
        <f aca="false">'4D Schedule'!$A$63</f>
        <v>CHP-SUB-020</v>
      </c>
      <c r="B42" s="3" t="str">
        <f aca="false">'4D Schedule'!$C$63</f>
        <v>PCC (M7.5) &amp; pile caps – Zone-2 (10 nos: PC1 ×4, PC2 ×6)</v>
      </c>
      <c r="C42" s="3" t="str">
        <f aca="false">IF('4D Schedule'!$L$63="Milestone","Construct",'4D Schedule'!$L$63)</f>
        <v>Construct</v>
      </c>
      <c r="D42" s="65" t="n">
        <f aca="false">'4D Schedule'!$AE$63</f>
        <v>46100</v>
      </c>
      <c r="E42" s="65" t="n">
        <f aca="false">'4D Schedule'!$AF$63</f>
        <v>46112</v>
      </c>
      <c r="F42" s="65" t="n">
        <f aca="false">IF('4D Schedule'!$AA$63="","",'4D Schedule'!$AA$63)</f>
        <v>46100</v>
      </c>
      <c r="G42" s="65" t="n">
        <f aca="false">IF('4D Schedule'!$AB$63="","",'4D Schedule'!$AB$63)</f>
        <v>46112</v>
      </c>
      <c r="H42" s="65" t="n">
        <f aca="false">'4D Schedule'!$Y$63</f>
        <v>46136</v>
      </c>
      <c r="I42" s="65" t="n">
        <f aca="false">'4D Schedule'!$Z$63</f>
        <v>46144</v>
      </c>
      <c r="J42" s="66" t="n">
        <f aca="false">'4D Schedule'!$AC$63</f>
        <v>1</v>
      </c>
      <c r="K42" s="3" t="str">
        <f aca="false">'4D Schedule'!$AG$63</f>
        <v>Completed</v>
      </c>
      <c r="L42" s="3" t="str">
        <f aca="false">IF('4D Schedule'!$K$63="","",'4D Schedule'!$K$63)</f>
        <v>CHP-SUB-020</v>
      </c>
      <c r="M42" s="3" t="str">
        <f aca="false">IF('4D Schedule'!$N$63="","",'4D Schedule'!$N$63)</f>
        <v>JSW USL-CON-CHI-1020</v>
      </c>
      <c r="N42" s="3" t="str">
        <f aca="false">'4D Schedule'!$D$63</f>
        <v>Substructure</v>
      </c>
      <c r="O42" s="3" t="str">
        <f aca="false">IF('4D Schedule'!$E$63="","",'4D Schedule'!$E$63)</f>
        <v>Z2</v>
      </c>
      <c r="P42" s="3" t="str">
        <f aca="false">IF('4D Schedule'!$G$63="","",'4D Schedule'!$G$63)</f>
        <v>B.O.C EL(-)2.500 (75 PCC M7.5 below)</v>
      </c>
    </row>
    <row r="43" customFormat="false" ht="15" hidden="false" customHeight="false" outlineLevel="0" collapsed="false">
      <c r="A43" s="3" t="str">
        <f aca="false">'4D Schedule'!$A$64</f>
        <v>CHP-SUB-030</v>
      </c>
      <c r="B43" s="3" t="str">
        <f aca="false">'4D Schedule'!$C$64</f>
        <v>PCC (M7.5) &amp; pile caps – Zone-3 (8 nos: PC1 ×4, PC2 ×4)</v>
      </c>
      <c r="C43" s="3" t="str">
        <f aca="false">IF('4D Schedule'!$L$64="Milestone","Construct",'4D Schedule'!$L$64)</f>
        <v>Construct</v>
      </c>
      <c r="D43" s="65" t="n">
        <f aca="false">'4D Schedule'!$AE$64</f>
        <v>46112</v>
      </c>
      <c r="E43" s="65" t="n">
        <f aca="false">'4D Schedule'!$AF$64</f>
        <v>46120</v>
      </c>
      <c r="F43" s="65" t="n">
        <f aca="false">IF('4D Schedule'!$AA$64="","",'4D Schedule'!$AA$64)</f>
        <v>46112</v>
      </c>
      <c r="G43" s="65" t="n">
        <f aca="false">IF('4D Schedule'!$AB$64="","",'4D Schedule'!$AB$64)</f>
        <v>46120</v>
      </c>
      <c r="H43" s="65" t="n">
        <f aca="false">'4D Schedule'!$Y$64</f>
        <v>46144</v>
      </c>
      <c r="I43" s="65" t="n">
        <f aca="false">'4D Schedule'!$Z$64</f>
        <v>46150</v>
      </c>
      <c r="J43" s="66" t="n">
        <f aca="false">'4D Schedule'!$AC$64</f>
        <v>1</v>
      </c>
      <c r="K43" s="3" t="str">
        <f aca="false">'4D Schedule'!$AG$64</f>
        <v>Completed</v>
      </c>
      <c r="L43" s="3" t="str">
        <f aca="false">IF('4D Schedule'!$K$64="","",'4D Schedule'!$K$64)</f>
        <v>CHP-SUB-030</v>
      </c>
      <c r="M43" s="3" t="str">
        <f aca="false">IF('4D Schedule'!$N$64="","",'4D Schedule'!$N$64)</f>
        <v>JSW USL-CON-CHI-1020</v>
      </c>
      <c r="N43" s="3" t="str">
        <f aca="false">'4D Schedule'!$D$64</f>
        <v>Substructure</v>
      </c>
      <c r="O43" s="3" t="str">
        <f aca="false">IF('4D Schedule'!$E$64="","",'4D Schedule'!$E$64)</f>
        <v>Z3</v>
      </c>
      <c r="P43" s="3" t="str">
        <f aca="false">IF('4D Schedule'!$G$64="","",'4D Schedule'!$G$64)</f>
        <v>B.O.C EL(-)2.500 (75 PCC M7.5 below)</v>
      </c>
    </row>
    <row r="44" customFormat="false" ht="15" hidden="false" customHeight="false" outlineLevel="0" collapsed="false">
      <c r="A44" s="3" t="str">
        <f aca="false">'4D Schedule'!$A$65</f>
        <v>CHP-SUB-040</v>
      </c>
      <c r="B44" s="3" t="str">
        <f aca="false">'4D Schedule'!$C$65</f>
        <v>Pile cap beams PCB1/PCB2/PCB3 &amp; column pedestals (B.O.C -2.500 to -0.300) – Zone-1</v>
      </c>
      <c r="C44" s="3" t="str">
        <f aca="false">IF('4D Schedule'!$L$65="Milestone","Construct",'4D Schedule'!$L$65)</f>
        <v>Construct</v>
      </c>
      <c r="D44" s="65" t="n">
        <f aca="false">'4D Schedule'!$AE$65</f>
        <v>46107</v>
      </c>
      <c r="E44" s="65" t="n">
        <f aca="false">'4D Schedule'!$AF$65</f>
        <v>46123</v>
      </c>
      <c r="F44" s="65" t="n">
        <f aca="false">IF('4D Schedule'!$AA$65="","",'4D Schedule'!$AA$65)</f>
        <v>46107</v>
      </c>
      <c r="G44" s="65" t="n">
        <f aca="false">IF('4D Schedule'!$AB$65="","",'4D Schedule'!$AB$65)</f>
        <v>46123</v>
      </c>
      <c r="H44" s="65" t="n">
        <f aca="false">'4D Schedule'!$Y$65</f>
        <v>46141</v>
      </c>
      <c r="I44" s="65" t="n">
        <f aca="false">'4D Schedule'!$Z$65</f>
        <v>46153</v>
      </c>
      <c r="J44" s="66" t="n">
        <f aca="false">'4D Schedule'!$AC$65</f>
        <v>1</v>
      </c>
      <c r="K44" s="3" t="str">
        <f aca="false">'4D Schedule'!$AG$65</f>
        <v>Completed</v>
      </c>
      <c r="L44" s="3" t="str">
        <f aca="false">IF('4D Schedule'!$K$65="","",'4D Schedule'!$K$65)</f>
        <v>CHP-SUB-040</v>
      </c>
      <c r="M44" s="3" t="str">
        <f aca="false">IF('4D Schedule'!$N$65="","",'4D Schedule'!$N$65)</f>
        <v>JSW USL-CON-CHI-1020</v>
      </c>
      <c r="N44" s="3" t="str">
        <f aca="false">'4D Schedule'!$D$65</f>
        <v>Substructure</v>
      </c>
      <c r="O44" s="3" t="str">
        <f aca="false">IF('4D Schedule'!$E$65="","",'4D Schedule'!$E$65)</f>
        <v>Z1</v>
      </c>
      <c r="P44" s="3" t="str">
        <f aca="false">IF('4D Schedule'!$G$65="","",'4D Schedule'!$G$65)</f>
        <v>EL(-)2.500 to EL(-)0.300 / Top of PCB3 to EL(-)0.300 / B/O PCB EL(-)2.400</v>
      </c>
    </row>
    <row r="45" customFormat="false" ht="15" hidden="false" customHeight="false" outlineLevel="0" collapsed="false">
      <c r="A45" s="3" t="str">
        <f aca="false">'4D Schedule'!$A$66</f>
        <v>CHP-SUB-050</v>
      </c>
      <c r="B45" s="3" t="str">
        <f aca="false">'4D Schedule'!$C$66</f>
        <v>Pile cap beams PCB1/PCB2 &amp; column pedestals – Zone-2</v>
      </c>
      <c r="C45" s="3" t="str">
        <f aca="false">IF('4D Schedule'!$L$66="Milestone","Construct",'4D Schedule'!$L$66)</f>
        <v>Construct</v>
      </c>
      <c r="D45" s="65" t="n">
        <f aca="false">'4D Schedule'!$AE$66</f>
        <v>46116</v>
      </c>
      <c r="E45" s="65" t="n">
        <f aca="false">'4D Schedule'!$AF$66</f>
        <v>46129</v>
      </c>
      <c r="F45" s="65" t="n">
        <f aca="false">IF('4D Schedule'!$AA$66="","",'4D Schedule'!$AA$66)</f>
        <v>46116</v>
      </c>
      <c r="G45" s="65" t="n">
        <f aca="false">IF('4D Schedule'!$AB$66="","",'4D Schedule'!$AB$66)</f>
        <v>46129</v>
      </c>
      <c r="H45" s="65" t="n">
        <f aca="false">'4D Schedule'!$Y$66</f>
        <v>46148</v>
      </c>
      <c r="I45" s="65" t="n">
        <f aca="false">'4D Schedule'!$Z$66</f>
        <v>46156</v>
      </c>
      <c r="J45" s="66" t="n">
        <f aca="false">'4D Schedule'!$AC$66</f>
        <v>1</v>
      </c>
      <c r="K45" s="3" t="str">
        <f aca="false">'4D Schedule'!$AG$66</f>
        <v>Completed</v>
      </c>
      <c r="L45" s="3" t="str">
        <f aca="false">IF('4D Schedule'!$K$66="","",'4D Schedule'!$K$66)</f>
        <v>CHP-SUB-050</v>
      </c>
      <c r="M45" s="3" t="str">
        <f aca="false">IF('4D Schedule'!$N$66="","",'4D Schedule'!$N$66)</f>
        <v>JSW USL-CON-CHI-1020</v>
      </c>
      <c r="N45" s="3" t="str">
        <f aca="false">'4D Schedule'!$D$66</f>
        <v>Substructure</v>
      </c>
      <c r="O45" s="3" t="str">
        <f aca="false">IF('4D Schedule'!$E$66="","",'4D Schedule'!$E$66)</f>
        <v>Z2</v>
      </c>
      <c r="P45" s="3" t="str">
        <f aca="false">IF('4D Schedule'!$G$66="","",'4D Schedule'!$G$66)</f>
        <v>EL(-)2.500 to EL(-)0.300 / B/O PCB EL(-)2.400</v>
      </c>
    </row>
    <row r="46" customFormat="false" ht="15" hidden="false" customHeight="false" outlineLevel="0" collapsed="false">
      <c r="A46" s="3" t="str">
        <f aca="false">'4D Schedule'!$A$67</f>
        <v>CHP-SUB-060</v>
      </c>
      <c r="B46" s="3" t="str">
        <f aca="false">'4D Schedule'!$C$67</f>
        <v>Pile cap beams PCB1/PCB2 &amp; column pedestals – Zone-3</v>
      </c>
      <c r="C46" s="3" t="str">
        <f aca="false">IF('4D Schedule'!$L$67="Milestone","Construct",'4D Schedule'!$L$67)</f>
        <v>Construct</v>
      </c>
      <c r="D46" s="65" t="n">
        <f aca="false">'4D Schedule'!$AE$67</f>
        <v>46123</v>
      </c>
      <c r="E46" s="65" t="n">
        <f aca="false">'4D Schedule'!$AF$67</f>
        <v>46134</v>
      </c>
      <c r="F46" s="65" t="n">
        <f aca="false">IF('4D Schedule'!$AA$67="","",'4D Schedule'!$AA$67)</f>
        <v>46123</v>
      </c>
      <c r="G46" s="65" t="n">
        <f aca="false">IF('4D Schedule'!$AB$67="","",'4D Schedule'!$AB$67)</f>
        <v>46134</v>
      </c>
      <c r="H46" s="65" t="n">
        <f aca="false">'4D Schedule'!$Y$67</f>
        <v>46153</v>
      </c>
      <c r="I46" s="65" t="n">
        <f aca="false">'4D Schedule'!$Z$67</f>
        <v>46160</v>
      </c>
      <c r="J46" s="66" t="n">
        <f aca="false">'4D Schedule'!$AC$67</f>
        <v>1</v>
      </c>
      <c r="K46" s="3" t="str">
        <f aca="false">'4D Schedule'!$AG$67</f>
        <v>Completed</v>
      </c>
      <c r="L46" s="3" t="str">
        <f aca="false">IF('4D Schedule'!$K$67="","",'4D Schedule'!$K$67)</f>
        <v>CHP-SUB-060</v>
      </c>
      <c r="M46" s="3" t="str">
        <f aca="false">IF('4D Schedule'!$N$67="","",'4D Schedule'!$N$67)</f>
        <v>JSW USL-CON-CHI-1020</v>
      </c>
      <c r="N46" s="3" t="str">
        <f aca="false">'4D Schedule'!$D$67</f>
        <v>Substructure</v>
      </c>
      <c r="O46" s="3" t="str">
        <f aca="false">IF('4D Schedule'!$E$67="","",'4D Schedule'!$E$67)</f>
        <v>Z3</v>
      </c>
      <c r="P46" s="3" t="str">
        <f aca="false">IF('4D Schedule'!$G$67="","",'4D Schedule'!$G$67)</f>
        <v>EL(-)2.500 to EL(-)0.300 / B/O PCB EL(-)2.400</v>
      </c>
    </row>
    <row r="47" customFormat="false" ht="15" hidden="false" customHeight="false" outlineLevel="0" collapsed="false">
      <c r="A47" s="3" t="str">
        <f aca="false">'4D Schedule'!$A$68</f>
        <v>CHP-SUB-070</v>
      </c>
      <c r="B47" s="3" t="str">
        <f aca="false">'4D Schedule'!$C$68</f>
        <v>Backfilling &amp; compaction up to plinth level – Zone-1</v>
      </c>
      <c r="C47" s="3" t="str">
        <f aca="false">IF('4D Schedule'!$L$68="Milestone","Construct",'4D Schedule'!$L$68)</f>
        <v>Construct</v>
      </c>
      <c r="D47" s="65" t="n">
        <f aca="false">'4D Schedule'!$AE$68</f>
        <v>46125</v>
      </c>
      <c r="E47" s="65" t="n">
        <f aca="false">'4D Schedule'!$AF$68</f>
        <v>46130</v>
      </c>
      <c r="F47" s="65" t="n">
        <f aca="false">IF('4D Schedule'!$AA$68="","",'4D Schedule'!$AA$68)</f>
        <v>46125</v>
      </c>
      <c r="G47" s="65" t="n">
        <f aca="false">IF('4D Schedule'!$AB$68="","",'4D Schedule'!$AB$68)</f>
        <v>46130</v>
      </c>
      <c r="H47" s="65" t="n">
        <f aca="false">'4D Schedule'!$Y$68</f>
        <v>46154</v>
      </c>
      <c r="I47" s="65" t="n">
        <f aca="false">'4D Schedule'!$Z$68</f>
        <v>46157</v>
      </c>
      <c r="J47" s="66" t="n">
        <f aca="false">'4D Schedule'!$AC$68</f>
        <v>1</v>
      </c>
      <c r="K47" s="3" t="str">
        <f aca="false">'4D Schedule'!$AG$68</f>
        <v>Completed</v>
      </c>
      <c r="L47" s="3" t="str">
        <f aca="false">IF('4D Schedule'!$K$68="","",'4D Schedule'!$K$68)</f>
        <v>CHP-SUB-070</v>
      </c>
      <c r="M47" s="3" t="str">
        <f aca="false">IF('4D Schedule'!$N$68="","",'4D Schedule'!$N$68)</f>
        <v>JSW USL-CON-CHI-1020</v>
      </c>
      <c r="N47" s="3" t="str">
        <f aca="false">'4D Schedule'!$D$68</f>
        <v>Substructure</v>
      </c>
      <c r="O47" s="3" t="str">
        <f aca="false">IF('4D Schedule'!$E$68="","",'4D Schedule'!$E$68)</f>
        <v>Z1</v>
      </c>
      <c r="P47" s="3" t="str">
        <f aca="false">IF('4D Schedule'!$G$68="","",'4D Schedule'!$G$68)</f>
        <v>EL(-)2.500 to EL(-)0.500</v>
      </c>
    </row>
    <row r="48" customFormat="false" ht="15" hidden="false" customHeight="false" outlineLevel="0" collapsed="false">
      <c r="A48" s="3" t="str">
        <f aca="false">'4D Schedule'!$A$69</f>
        <v>CHP-SUB-080</v>
      </c>
      <c r="B48" s="3" t="str">
        <f aca="false">'4D Schedule'!$C$69</f>
        <v>Backfilling &amp; compaction up to plinth level – Zone-2</v>
      </c>
      <c r="C48" s="3" t="str">
        <f aca="false">IF('4D Schedule'!$L$69="Milestone","Construct",'4D Schedule'!$L$69)</f>
        <v>Construct</v>
      </c>
      <c r="D48" s="65" t="n">
        <f aca="false">'4D Schedule'!$AE$69</f>
        <v>46132</v>
      </c>
      <c r="E48" s="65" t="n">
        <f aca="false">'4D Schedule'!$AF$69</f>
        <v>46136</v>
      </c>
      <c r="F48" s="65" t="n">
        <f aca="false">IF('4D Schedule'!$AA$69="","",'4D Schedule'!$AA$69)</f>
        <v>46132</v>
      </c>
      <c r="G48" s="65" t="n">
        <f aca="false">IF('4D Schedule'!$AB$69="","",'4D Schedule'!$AB$69)</f>
        <v>46136</v>
      </c>
      <c r="H48" s="65" t="n">
        <f aca="false">'4D Schedule'!$Y$69</f>
        <v>46158</v>
      </c>
      <c r="I48" s="65" t="n">
        <f aca="false">'4D Schedule'!$Z$69</f>
        <v>46161</v>
      </c>
      <c r="J48" s="66" t="n">
        <f aca="false">'4D Schedule'!$AC$69</f>
        <v>1</v>
      </c>
      <c r="K48" s="3" t="str">
        <f aca="false">'4D Schedule'!$AG$69</f>
        <v>Completed</v>
      </c>
      <c r="L48" s="3" t="str">
        <f aca="false">IF('4D Schedule'!$K$69="","",'4D Schedule'!$K$69)</f>
        <v>CHP-SUB-080</v>
      </c>
      <c r="M48" s="3" t="str">
        <f aca="false">IF('4D Schedule'!$N$69="","",'4D Schedule'!$N$69)</f>
        <v>JSW USL-CON-CHI-1020</v>
      </c>
      <c r="N48" s="3" t="str">
        <f aca="false">'4D Schedule'!$D$69</f>
        <v>Substructure</v>
      </c>
      <c r="O48" s="3" t="str">
        <f aca="false">IF('4D Schedule'!$E$69="","",'4D Schedule'!$E$69)</f>
        <v>Z2</v>
      </c>
      <c r="P48" s="3" t="str">
        <f aca="false">IF('4D Schedule'!$G$69="","",'4D Schedule'!$G$69)</f>
        <v>EL(-)2.500 to EL(-)0.500</v>
      </c>
    </row>
    <row r="49" customFormat="false" ht="15" hidden="false" customHeight="false" outlineLevel="0" collapsed="false">
      <c r="A49" s="3" t="str">
        <f aca="false">'4D Schedule'!$A$70</f>
        <v>CHP-SUB-090</v>
      </c>
      <c r="B49" s="3" t="str">
        <f aca="false">'4D Schedule'!$C$70</f>
        <v>Backfilling &amp; compaction up to plinth level – Zone-3</v>
      </c>
      <c r="C49" s="3" t="str">
        <f aca="false">IF('4D Schedule'!$L$70="Milestone","Construct",'4D Schedule'!$L$70)</f>
        <v>Construct</v>
      </c>
      <c r="D49" s="65" t="n">
        <f aca="false">'4D Schedule'!$AE$70</f>
        <v>46137</v>
      </c>
      <c r="E49" s="65" t="n">
        <f aca="false">'4D Schedule'!$AF$70</f>
        <v>46142</v>
      </c>
      <c r="F49" s="65" t="n">
        <f aca="false">IF('4D Schedule'!$AA$70="","",'4D Schedule'!$AA$70)</f>
        <v>46137</v>
      </c>
      <c r="G49" s="65" t="n">
        <f aca="false">IF('4D Schedule'!$AB$70="","",'4D Schedule'!$AB$70)</f>
        <v>46142</v>
      </c>
      <c r="H49" s="65" t="n">
        <f aca="false">'4D Schedule'!$Y$70</f>
        <v>46162</v>
      </c>
      <c r="I49" s="65" t="n">
        <f aca="false">'4D Schedule'!$Z$70</f>
        <v>46165</v>
      </c>
      <c r="J49" s="66" t="n">
        <f aca="false">'4D Schedule'!$AC$70</f>
        <v>1</v>
      </c>
      <c r="K49" s="3" t="str">
        <f aca="false">'4D Schedule'!$AG$70</f>
        <v>Completed</v>
      </c>
      <c r="L49" s="3" t="str">
        <f aca="false">IF('4D Schedule'!$K$70="","",'4D Schedule'!$K$70)</f>
        <v>CHP-SUB-090</v>
      </c>
      <c r="M49" s="3" t="str">
        <f aca="false">IF('4D Schedule'!$N$70="","",'4D Schedule'!$N$70)</f>
        <v>JSW USL-CON-CHI-1020</v>
      </c>
      <c r="N49" s="3" t="str">
        <f aca="false">'4D Schedule'!$D$70</f>
        <v>Substructure</v>
      </c>
      <c r="O49" s="3" t="str">
        <f aca="false">IF('4D Schedule'!$E$70="","",'4D Schedule'!$E$70)</f>
        <v>Z3</v>
      </c>
      <c r="P49" s="3" t="str">
        <f aca="false">IF('4D Schedule'!$G$70="","",'4D Schedule'!$G$70)</f>
        <v>EL(-)2.500 to EL(-)0.500</v>
      </c>
    </row>
    <row r="50" customFormat="false" ht="15" hidden="false" customHeight="false" outlineLevel="0" collapsed="false">
      <c r="A50" s="3" t="str">
        <f aca="false">'4D Schedule'!$A$71</f>
        <v>CHP-SUB-100</v>
      </c>
      <c r="B50" s="3" t="str">
        <f aca="false">'4D Schedule'!$C$71</f>
        <v>Plinth beams PB (TOB EL(-)0.300) – Zone-1</v>
      </c>
      <c r="C50" s="3" t="str">
        <f aca="false">IF('4D Schedule'!$L$71="Milestone","Construct",'4D Schedule'!$L$71)</f>
        <v>Construct</v>
      </c>
      <c r="D50" s="65" t="n">
        <f aca="false">'4D Schedule'!$AE$71</f>
        <v>46132</v>
      </c>
      <c r="E50" s="65" t="n">
        <f aca="false">'4D Schedule'!$AF$71</f>
        <v>46146</v>
      </c>
      <c r="F50" s="65" t="n">
        <f aca="false">IF('4D Schedule'!$AA$71="","",'4D Schedule'!$AA$71)</f>
        <v>46132</v>
      </c>
      <c r="G50" s="65" t="n">
        <f aca="false">IF('4D Schedule'!$AB$71="","",'4D Schedule'!$AB$71)</f>
        <v>46146</v>
      </c>
      <c r="H50" s="65" t="n">
        <f aca="false">'4D Schedule'!$Y$71</f>
        <v>46158</v>
      </c>
      <c r="I50" s="65" t="n">
        <f aca="false">'4D Schedule'!$Z$71</f>
        <v>46167</v>
      </c>
      <c r="J50" s="66" t="n">
        <f aca="false">'4D Schedule'!$AC$71</f>
        <v>1</v>
      </c>
      <c r="K50" s="3" t="str">
        <f aca="false">'4D Schedule'!$AG$71</f>
        <v>Completed</v>
      </c>
      <c r="L50" s="3" t="str">
        <f aca="false">IF('4D Schedule'!$K$71="","",'4D Schedule'!$K$71)</f>
        <v>CHP-SUB-100</v>
      </c>
      <c r="M50" s="3" t="str">
        <f aca="false">IF('4D Schedule'!$N$71="","",'4D Schedule'!$N$71)</f>
        <v>JSW USL-CON-CHI-1020</v>
      </c>
      <c r="N50" s="3" t="str">
        <f aca="false">'4D Schedule'!$D$71</f>
        <v>Substructure</v>
      </c>
      <c r="O50" s="3" t="str">
        <f aca="false">IF('4D Schedule'!$E$71="","",'4D Schedule'!$E$71)</f>
        <v>Z1</v>
      </c>
      <c r="P50" s="3" t="str">
        <f aca="false">IF('4D Schedule'!$G$71="","",'4D Schedule'!$G$71)</f>
        <v>T.O.B EL(-)0.300</v>
      </c>
    </row>
    <row r="51" customFormat="false" ht="15" hidden="false" customHeight="false" outlineLevel="0" collapsed="false">
      <c r="A51" s="3" t="str">
        <f aca="false">'4D Schedule'!$A$72</f>
        <v>CHP-SUB-110</v>
      </c>
      <c r="B51" s="3" t="str">
        <f aca="false">'4D Schedule'!$C$72</f>
        <v>Plinth beams PB (TOB EL(-)0.300) – Zone-2</v>
      </c>
      <c r="C51" s="3" t="str">
        <f aca="false">IF('4D Schedule'!$L$72="Milestone","Construct",'4D Schedule'!$L$72)</f>
        <v>Construct</v>
      </c>
      <c r="D51" s="65" t="n">
        <f aca="false">'4D Schedule'!$AE$72</f>
        <v>46139</v>
      </c>
      <c r="E51" s="65" t="n">
        <f aca="false">'4D Schedule'!$AF$72</f>
        <v>46150</v>
      </c>
      <c r="F51" s="65" t="n">
        <f aca="false">IF('4D Schedule'!$AA$72="","",'4D Schedule'!$AA$72)</f>
        <v>46139</v>
      </c>
      <c r="G51" s="65" t="n">
        <f aca="false">IF('4D Schedule'!$AB$72="","",'4D Schedule'!$AB$72)</f>
        <v>46150</v>
      </c>
      <c r="H51" s="65" t="n">
        <f aca="false">'4D Schedule'!$Y$72</f>
        <v>46163</v>
      </c>
      <c r="I51" s="65" t="n">
        <f aca="false">'4D Schedule'!$Z$72</f>
        <v>46170</v>
      </c>
      <c r="J51" s="66" t="n">
        <f aca="false">'4D Schedule'!$AC$72</f>
        <v>1</v>
      </c>
      <c r="K51" s="3" t="str">
        <f aca="false">'4D Schedule'!$AG$72</f>
        <v>Completed</v>
      </c>
      <c r="L51" s="3" t="str">
        <f aca="false">IF('4D Schedule'!$K$72="","",'4D Schedule'!$K$72)</f>
        <v>CHP-SUB-110</v>
      </c>
      <c r="M51" s="3" t="str">
        <f aca="false">IF('4D Schedule'!$N$72="","",'4D Schedule'!$N$72)</f>
        <v>JSW USL-CON-CHI-1020</v>
      </c>
      <c r="N51" s="3" t="str">
        <f aca="false">'4D Schedule'!$D$72</f>
        <v>Substructure</v>
      </c>
      <c r="O51" s="3" t="str">
        <f aca="false">IF('4D Schedule'!$E$72="","",'4D Schedule'!$E$72)</f>
        <v>Z2</v>
      </c>
      <c r="P51" s="3" t="str">
        <f aca="false">IF('4D Schedule'!$G$72="","",'4D Schedule'!$G$72)</f>
        <v>T.O.B EL(-)0.300</v>
      </c>
    </row>
    <row r="52" customFormat="false" ht="15" hidden="false" customHeight="false" outlineLevel="0" collapsed="false">
      <c r="A52" s="3" t="str">
        <f aca="false">'4D Schedule'!$A$73</f>
        <v>CHP-SUB-120</v>
      </c>
      <c r="B52" s="3" t="str">
        <f aca="false">'4D Schedule'!$C$73</f>
        <v>Plinth beams PB (TOB EL(-)0.300) – Zone-3</v>
      </c>
      <c r="C52" s="3" t="str">
        <f aca="false">IF('4D Schedule'!$L$73="Milestone","Construct",'4D Schedule'!$L$73)</f>
        <v>Construct</v>
      </c>
      <c r="D52" s="65" t="n">
        <f aca="false">'4D Schedule'!$AE$73</f>
        <v>46146</v>
      </c>
      <c r="E52" s="65" t="n">
        <f aca="false">'4D Schedule'!$AF$73</f>
        <v>46156</v>
      </c>
      <c r="F52" s="65" t="n">
        <f aca="false">IF('4D Schedule'!$AA$73="","",'4D Schedule'!$AA$73)</f>
        <v>46146</v>
      </c>
      <c r="G52" s="65" t="n">
        <f aca="false">IF('4D Schedule'!$AB$73="","",'4D Schedule'!$AB$73)</f>
        <v>46156</v>
      </c>
      <c r="H52" s="65" t="n">
        <f aca="false">'4D Schedule'!$Y$73</f>
        <v>46167</v>
      </c>
      <c r="I52" s="65" t="n">
        <f aca="false">'4D Schedule'!$Z$73</f>
        <v>46174</v>
      </c>
      <c r="J52" s="66" t="n">
        <f aca="false">'4D Schedule'!$AC$73</f>
        <v>1</v>
      </c>
      <c r="K52" s="3" t="str">
        <f aca="false">'4D Schedule'!$AG$73</f>
        <v>Completed</v>
      </c>
      <c r="L52" s="3" t="str">
        <f aca="false">IF('4D Schedule'!$K$73="","",'4D Schedule'!$K$73)</f>
        <v>CHP-SUB-120</v>
      </c>
      <c r="M52" s="3" t="str">
        <f aca="false">IF('4D Schedule'!$N$73="","",'4D Schedule'!$N$73)</f>
        <v>JSW USL-CON-CHI-1020</v>
      </c>
      <c r="N52" s="3" t="str">
        <f aca="false">'4D Schedule'!$D$73</f>
        <v>Substructure</v>
      </c>
      <c r="O52" s="3" t="str">
        <f aca="false">IF('4D Schedule'!$E$73="","",'4D Schedule'!$E$73)</f>
        <v>Z3</v>
      </c>
      <c r="P52" s="3" t="str">
        <f aca="false">IF('4D Schedule'!$G$73="","",'4D Schedule'!$G$73)</f>
        <v>T.O.B EL(-)0.300</v>
      </c>
    </row>
    <row r="53" customFormat="false" ht="15" hidden="false" customHeight="false" outlineLevel="0" collapsed="false">
      <c r="A53" s="3" t="str">
        <f aca="false">'4D Schedule'!$A$74</f>
        <v>CHP-SUP-010</v>
      </c>
      <c r="B53" s="3" t="str">
        <f aca="false">'4D Schedule'!$C$74</f>
        <v>Columns Lift-1 (EL -0.300 to +4.000) – Zone-1 (18 nos incl. SC1)</v>
      </c>
      <c r="C53" s="3" t="str">
        <f aca="false">IF('4D Schedule'!$L$74="Milestone","Construct",'4D Schedule'!$L$74)</f>
        <v>Construct</v>
      </c>
      <c r="D53" s="65" t="n">
        <f aca="false">'4D Schedule'!$AE$74</f>
        <v>46147</v>
      </c>
      <c r="E53" s="65" t="n">
        <f aca="false">'4D Schedule'!$AF$74</f>
        <v>46162</v>
      </c>
      <c r="F53" s="65" t="n">
        <f aca="false">IF('4D Schedule'!$AA$74="","",'4D Schedule'!$AA$74)</f>
        <v>46147</v>
      </c>
      <c r="G53" s="65" t="n">
        <f aca="false">IF('4D Schedule'!$AB$74="","",'4D Schedule'!$AB$74)</f>
        <v>46162</v>
      </c>
      <c r="H53" s="65" t="n">
        <f aca="false">'4D Schedule'!$Y$74</f>
        <v>46168</v>
      </c>
      <c r="I53" s="65" t="n">
        <f aca="false">'4D Schedule'!$Z$74</f>
        <v>46178</v>
      </c>
      <c r="J53" s="66" t="n">
        <f aca="false">'4D Schedule'!$AC$74</f>
        <v>1</v>
      </c>
      <c r="K53" s="3" t="str">
        <f aca="false">'4D Schedule'!$AG$74</f>
        <v>Completed</v>
      </c>
      <c r="L53" s="3" t="str">
        <f aca="false">IF('4D Schedule'!$K$74="","",'4D Schedule'!$K$74)</f>
        <v>CHP-SUP-010</v>
      </c>
      <c r="M53" s="3" t="str">
        <f aca="false">IF('4D Schedule'!$N$74="","",'4D Schedule'!$N$74)</f>
        <v>JSW USL-CON-CHI-1020</v>
      </c>
      <c r="N53" s="3" t="str">
        <f aca="false">'4D Schedule'!$D$74</f>
        <v>Superstructure</v>
      </c>
      <c r="O53" s="3" t="str">
        <f aca="false">IF('4D Schedule'!$E$74="","",'4D Schedule'!$E$74)</f>
        <v>Z1</v>
      </c>
      <c r="P53" s="3" t="str">
        <f aca="false">IF('4D Schedule'!$G$74="","",'4D Schedule'!$G$74)</f>
        <v>EL(-)0.300 to EL(+)4.000</v>
      </c>
    </row>
    <row r="54" customFormat="false" ht="15" hidden="false" customHeight="false" outlineLevel="0" collapsed="false">
      <c r="A54" s="3" t="str">
        <f aca="false">'4D Schedule'!$A$75</f>
        <v>CHP-SUP-020</v>
      </c>
      <c r="B54" s="3" t="str">
        <f aca="false">'4D Schedule'!$C$75</f>
        <v>Columns Lift-1 (EL -0.300 to +4.000) – Zone-2 (10 nos)</v>
      </c>
      <c r="C54" s="3" t="str">
        <f aca="false">IF('4D Schedule'!$L$75="Milestone","Construct",'4D Schedule'!$L$75)</f>
        <v>Construct</v>
      </c>
      <c r="D54" s="65" t="n">
        <f aca="false">'4D Schedule'!$AE$75</f>
        <v>46155</v>
      </c>
      <c r="E54" s="65" t="n">
        <f aca="false">'4D Schedule'!$AF$75</f>
        <v>46165</v>
      </c>
      <c r="F54" s="65" t="n">
        <f aca="false">IF('4D Schedule'!$AA$75="","",'4D Schedule'!$AA$75)</f>
        <v>46155</v>
      </c>
      <c r="G54" s="65" t="n">
        <f aca="false">IF('4D Schedule'!$AB$75="","",'4D Schedule'!$AB$75)</f>
        <v>46165</v>
      </c>
      <c r="H54" s="65" t="n">
        <f aca="false">'4D Schedule'!$Y$75</f>
        <v>46174</v>
      </c>
      <c r="I54" s="65" t="n">
        <f aca="false">'4D Schedule'!$Z$75</f>
        <v>46181</v>
      </c>
      <c r="J54" s="66" t="n">
        <f aca="false">'4D Schedule'!$AC$75</f>
        <v>1</v>
      </c>
      <c r="K54" s="3" t="str">
        <f aca="false">'4D Schedule'!$AG$75</f>
        <v>Completed</v>
      </c>
      <c r="L54" s="3" t="str">
        <f aca="false">IF('4D Schedule'!$K$75="","",'4D Schedule'!$K$75)</f>
        <v>CHP-SUP-020</v>
      </c>
      <c r="M54" s="3" t="str">
        <f aca="false">IF('4D Schedule'!$N$75="","",'4D Schedule'!$N$75)</f>
        <v>JSW USL-CON-CHI-1020</v>
      </c>
      <c r="N54" s="3" t="str">
        <f aca="false">'4D Schedule'!$D$75</f>
        <v>Superstructure</v>
      </c>
      <c r="O54" s="3" t="str">
        <f aca="false">IF('4D Schedule'!$E$75="","",'4D Schedule'!$E$75)</f>
        <v>Z2</v>
      </c>
      <c r="P54" s="3" t="str">
        <f aca="false">IF('4D Schedule'!$G$75="","",'4D Schedule'!$G$75)</f>
        <v>EL(-)0.300 to EL(+)4.000</v>
      </c>
    </row>
    <row r="55" customFormat="false" ht="15" hidden="false" customHeight="false" outlineLevel="0" collapsed="false">
      <c r="A55" s="3" t="str">
        <f aca="false">'4D Schedule'!$A$76</f>
        <v>CHP-SUP-030</v>
      </c>
      <c r="B55" s="3" t="str">
        <f aca="false">'4D Schedule'!$C$76</f>
        <v>Columns Lift-1 (EL -0.300 to +4.000) – Zone-3 (8 nos)</v>
      </c>
      <c r="C55" s="3" t="str">
        <f aca="false">IF('4D Schedule'!$L$76="Milestone","Construct",'4D Schedule'!$L$76)</f>
        <v>Construct</v>
      </c>
      <c r="D55" s="65" t="n">
        <f aca="false">'4D Schedule'!$AE$76</f>
        <v>46161</v>
      </c>
      <c r="E55" s="65" t="n">
        <f aca="false">'4D Schedule'!$AF$76</f>
        <v>46169</v>
      </c>
      <c r="F55" s="65" t="n">
        <f aca="false">IF('4D Schedule'!$AA$76="","",'4D Schedule'!$AA$76)</f>
        <v>46161</v>
      </c>
      <c r="G55" s="65" t="n">
        <f aca="false">IF('4D Schedule'!$AB$76="","",'4D Schedule'!$AB$76)</f>
        <v>46169</v>
      </c>
      <c r="H55" s="65" t="n">
        <f aca="false">'4D Schedule'!$Y$76</f>
        <v>46177</v>
      </c>
      <c r="I55" s="65" t="n">
        <f aca="false">'4D Schedule'!$Z$76</f>
        <v>46183</v>
      </c>
      <c r="J55" s="66" t="n">
        <f aca="false">'4D Schedule'!$AC$76</f>
        <v>1</v>
      </c>
      <c r="K55" s="3" t="str">
        <f aca="false">'4D Schedule'!$AG$76</f>
        <v>Completed</v>
      </c>
      <c r="L55" s="3" t="str">
        <f aca="false">IF('4D Schedule'!$K$76="","",'4D Schedule'!$K$76)</f>
        <v>CHP-SUP-030</v>
      </c>
      <c r="M55" s="3" t="str">
        <f aca="false">IF('4D Schedule'!$N$76="","",'4D Schedule'!$N$76)</f>
        <v>JSW USL-CON-CHI-1020</v>
      </c>
      <c r="N55" s="3" t="str">
        <f aca="false">'4D Schedule'!$D$76</f>
        <v>Superstructure</v>
      </c>
      <c r="O55" s="3" t="str">
        <f aca="false">IF('4D Schedule'!$E$76="","",'4D Schedule'!$E$76)</f>
        <v>Z3</v>
      </c>
      <c r="P55" s="3" t="str">
        <f aca="false">IF('4D Schedule'!$G$76="","",'4D Schedule'!$G$76)</f>
        <v>EL(-)0.300 to EL(+)4.000</v>
      </c>
    </row>
    <row r="56" customFormat="false" ht="15" hidden="false" customHeight="false" outlineLevel="0" collapsed="false">
      <c r="A56" s="3" t="str">
        <f aca="false">'4D Schedule'!$A$77</f>
        <v>CHP-SUP-040</v>
      </c>
      <c r="B56" s="3" t="str">
        <f aca="false">'4D Schedule'!$C$77</f>
        <v>Tie beam TB1 (TOB EL +2.100) at Grid 1</v>
      </c>
      <c r="C56" s="3" t="str">
        <f aca="false">IF('4D Schedule'!$L$77="Milestone","Construct",'4D Schedule'!$L$77)</f>
        <v>Construct</v>
      </c>
      <c r="D56" s="65" t="n">
        <f aca="false">'4D Schedule'!$AE$77</f>
        <v>46154</v>
      </c>
      <c r="E56" s="65" t="n">
        <f aca="false">'4D Schedule'!$AF$77</f>
        <v>46158</v>
      </c>
      <c r="F56" s="65" t="n">
        <f aca="false">IF('4D Schedule'!$AA$77="","",'4D Schedule'!$AA$77)</f>
        <v>46154</v>
      </c>
      <c r="G56" s="65" t="n">
        <f aca="false">IF('4D Schedule'!$AB$77="","",'4D Schedule'!$AB$77)</f>
        <v>46158</v>
      </c>
      <c r="H56" s="65" t="n">
        <f aca="false">'4D Schedule'!$Y$77</f>
        <v>46172</v>
      </c>
      <c r="I56" s="65" t="n">
        <f aca="false">'4D Schedule'!$Z$77</f>
        <v>46176</v>
      </c>
      <c r="J56" s="66" t="n">
        <f aca="false">'4D Schedule'!$AC$77</f>
        <v>1</v>
      </c>
      <c r="K56" s="3" t="str">
        <f aca="false">'4D Schedule'!$AG$77</f>
        <v>Completed</v>
      </c>
      <c r="L56" s="3" t="str">
        <f aca="false">IF('4D Schedule'!$K$77="","",'4D Schedule'!$K$77)</f>
        <v>CHP-SUP-040</v>
      </c>
      <c r="M56" s="3" t="str">
        <f aca="false">IF('4D Schedule'!$N$77="","",'4D Schedule'!$N$77)</f>
        <v>JSW USL-CON-CHI-1020</v>
      </c>
      <c r="N56" s="3" t="str">
        <f aca="false">'4D Schedule'!$D$77</f>
        <v>Superstructure</v>
      </c>
      <c r="O56" s="3" t="str">
        <f aca="false">IF('4D Schedule'!$E$77="","",'4D Schedule'!$E$77)</f>
        <v>Z1</v>
      </c>
      <c r="P56" s="3" t="str">
        <f aca="false">IF('4D Schedule'!$G$77="","",'4D Schedule'!$G$77)</f>
        <v>EL(+)2.100 TOB</v>
      </c>
    </row>
    <row r="57" customFormat="false" ht="15" hidden="false" customHeight="false" outlineLevel="0" collapsed="false">
      <c r="A57" s="3" t="str">
        <f aca="false">'4D Schedule'!$A$78</f>
        <v>CHP-SUP-050</v>
      </c>
      <c r="B57" s="3" t="str">
        <f aca="false">'4D Schedule'!$C$78</f>
        <v>Staircase ST-2 – flights FLT-1 to FLT-3, landings +1.300/+2.650 up to +4.000</v>
      </c>
      <c r="C57" s="3" t="str">
        <f aca="false">IF('4D Schedule'!$L$78="Milestone","Construct",'4D Schedule'!$L$78)</f>
        <v>Construct</v>
      </c>
      <c r="D57" s="65" t="n">
        <f aca="false">'4D Schedule'!$AE$78</f>
        <v>46163</v>
      </c>
      <c r="E57" s="65" t="n">
        <f aca="false">'4D Schedule'!$AF$78</f>
        <v>46179</v>
      </c>
      <c r="F57" s="65" t="n">
        <f aca="false">IF('4D Schedule'!$AA$78="","",'4D Schedule'!$AA$78)</f>
        <v>46163</v>
      </c>
      <c r="G57" s="65" t="n">
        <f aca="false">IF('4D Schedule'!$AB$78="","",'4D Schedule'!$AB$78)</f>
        <v>46179</v>
      </c>
      <c r="H57" s="65" t="n">
        <f aca="false">'4D Schedule'!$Y$78</f>
        <v>46179</v>
      </c>
      <c r="I57" s="65" t="n">
        <f aca="false">'4D Schedule'!$Z$78</f>
        <v>46190</v>
      </c>
      <c r="J57" s="66" t="n">
        <f aca="false">'4D Schedule'!$AC$78</f>
        <v>1</v>
      </c>
      <c r="K57" s="3" t="str">
        <f aca="false">'4D Schedule'!$AG$78</f>
        <v>Completed</v>
      </c>
      <c r="L57" s="3" t="str">
        <f aca="false">IF('4D Schedule'!$K$78="","",'4D Schedule'!$K$78)</f>
        <v>CHP-SUP-050</v>
      </c>
      <c r="M57" s="3" t="str">
        <f aca="false">IF('4D Schedule'!$N$78="","",'4D Schedule'!$N$78)</f>
        <v>JSW USL-CON-CHI-1020</v>
      </c>
      <c r="N57" s="3" t="str">
        <f aca="false">'4D Schedule'!$D$78</f>
        <v>Superstructure</v>
      </c>
      <c r="O57" s="3" t="str">
        <f aca="false">IF('4D Schedule'!$E$78="","",'4D Schedule'!$E$78)</f>
        <v>Z1</v>
      </c>
      <c r="P57" s="3" t="str">
        <f aca="false">IF('4D Schedule'!$G$78="","",'4D Schedule'!$G$78)</f>
        <v>EL(-)0.050 to EL(+)4.000</v>
      </c>
    </row>
    <row r="58" customFormat="false" ht="15" hidden="false" customHeight="false" outlineLevel="0" collapsed="false">
      <c r="A58" s="3" t="str">
        <f aca="false">'4D Schedule'!$A$79</f>
        <v>CHP-SUP-060</v>
      </c>
      <c r="B58" s="3" t="str">
        <f aca="false">'4D Schedule'!$C$79</f>
        <v>First floor beams &amp; 150 thk slab (TOC EL +4.000) – Zone-1 (Grid 1–3, Row E–D)</v>
      </c>
      <c r="C58" s="3" t="str">
        <f aca="false">IF('4D Schedule'!$L$79="Milestone","Construct",'4D Schedule'!$L$79)</f>
        <v>Construct</v>
      </c>
      <c r="D58" s="65" t="n">
        <f aca="false">'4D Schedule'!$AE$79</f>
        <v>46163</v>
      </c>
      <c r="E58" s="65" t="n">
        <f aca="false">'4D Schedule'!$AF$79</f>
        <v>46190</v>
      </c>
      <c r="F58" s="65" t="n">
        <f aca="false">IF('4D Schedule'!$AA$79="","",'4D Schedule'!$AA$79)</f>
        <v>46163</v>
      </c>
      <c r="G58" s="65" t="n">
        <f aca="false">IF('4D Schedule'!$AB$79="","",'4D Schedule'!$AB$79)</f>
        <v>46190</v>
      </c>
      <c r="H58" s="65" t="n">
        <f aca="false">'4D Schedule'!$Y$79</f>
        <v>46179</v>
      </c>
      <c r="I58" s="65" t="n">
        <f aca="false">'4D Schedule'!$Z$79</f>
        <v>46197</v>
      </c>
      <c r="J58" s="66" t="n">
        <f aca="false">'4D Schedule'!$AC$79</f>
        <v>1</v>
      </c>
      <c r="K58" s="3" t="str">
        <f aca="false">'4D Schedule'!$AG$79</f>
        <v>Completed</v>
      </c>
      <c r="L58" s="3" t="str">
        <f aca="false">IF('4D Schedule'!$K$79="","",'4D Schedule'!$K$79)</f>
        <v>CHP-SUP-060</v>
      </c>
      <c r="M58" s="3" t="str">
        <f aca="false">IF('4D Schedule'!$N$79="","",'4D Schedule'!$N$79)</f>
        <v>JSW USL-CON-CHI-1020</v>
      </c>
      <c r="N58" s="3" t="str">
        <f aca="false">'4D Schedule'!$D$79</f>
        <v>Superstructure</v>
      </c>
      <c r="O58" s="3" t="str">
        <f aca="false">IF('4D Schedule'!$E$79="","",'4D Schedule'!$E$79)</f>
        <v>Z1</v>
      </c>
      <c r="P58" s="3" t="str">
        <f aca="false">IF('4D Schedule'!$G$79="","",'4D Schedule'!$G$79)</f>
        <v>T.O.C EL(+)4.000</v>
      </c>
    </row>
    <row r="59" customFormat="false" ht="15" hidden="false" customHeight="false" outlineLevel="0" collapsed="false">
      <c r="A59" s="3" t="str">
        <f aca="false">'4D Schedule'!$A$80</f>
        <v>CHP-SUP-070</v>
      </c>
      <c r="B59" s="3" t="str">
        <f aca="false">'4D Schedule'!$C$80</f>
        <v>First floor beams &amp; 150 thk slab (TOC EL +4.000) – Zone-2 (Grid 3–5, Row E–D)</v>
      </c>
      <c r="C59" s="3" t="str">
        <f aca="false">IF('4D Schedule'!$L$80="Milestone","Construct",'4D Schedule'!$L$80)</f>
        <v>Construct</v>
      </c>
      <c r="D59" s="65" t="n">
        <f aca="false">'4D Schedule'!$AE$80</f>
        <v>46177</v>
      </c>
      <c r="E59" s="65" t="n">
        <f aca="false">'4D Schedule'!$AF$80</f>
        <v>46202</v>
      </c>
      <c r="F59" s="65" t="n">
        <f aca="false">IF('4D Schedule'!$AA$80="","",'4D Schedule'!$AA$80)</f>
        <v>46177</v>
      </c>
      <c r="G59" s="65" t="n">
        <f aca="false">IF('4D Schedule'!$AB$80="","",'4D Schedule'!$AB$80)</f>
        <v>46202</v>
      </c>
      <c r="H59" s="65" t="n">
        <f aca="false">'4D Schedule'!$Y$80</f>
        <v>46189</v>
      </c>
      <c r="I59" s="65" t="n">
        <f aca="false">'4D Schedule'!$Z$80</f>
        <v>46205</v>
      </c>
      <c r="J59" s="66" t="n">
        <f aca="false">'4D Schedule'!$AC$80</f>
        <v>1</v>
      </c>
      <c r="K59" s="3" t="str">
        <f aca="false">'4D Schedule'!$AG$80</f>
        <v>Completed</v>
      </c>
      <c r="L59" s="3" t="str">
        <f aca="false">IF('4D Schedule'!$K$80="","",'4D Schedule'!$K$80)</f>
        <v>CHP-SUP-070</v>
      </c>
      <c r="M59" s="3" t="str">
        <f aca="false">IF('4D Schedule'!$N$80="","",'4D Schedule'!$N$80)</f>
        <v>JSW USL-CON-CHI-1020</v>
      </c>
      <c r="N59" s="3" t="str">
        <f aca="false">'4D Schedule'!$D$80</f>
        <v>Superstructure</v>
      </c>
      <c r="O59" s="3" t="str">
        <f aca="false">IF('4D Schedule'!$E$80="","",'4D Schedule'!$E$80)</f>
        <v>Z2</v>
      </c>
      <c r="P59" s="3" t="str">
        <f aca="false">IF('4D Schedule'!$G$80="","",'4D Schedule'!$G$80)</f>
        <v>T.O.C EL(+)4.000</v>
      </c>
    </row>
    <row r="60" customFormat="false" ht="15" hidden="false" customHeight="false" outlineLevel="0" collapsed="false">
      <c r="A60" s="3" t="str">
        <f aca="false">'4D Schedule'!$A$81</f>
        <v>CHP-SUP-080</v>
      </c>
      <c r="B60" s="3" t="str">
        <f aca="false">'4D Schedule'!$C$81</f>
        <v>First floor beams &amp; 150 thk slab (TOC EL +4.000) – Zone-3 (Grid 5–6, Row E–D)</v>
      </c>
      <c r="C60" s="3" t="str">
        <f aca="false">IF('4D Schedule'!$L$81="Milestone","Construct",'4D Schedule'!$L$81)</f>
        <v>Construct</v>
      </c>
      <c r="D60" s="65" t="n">
        <f aca="false">'4D Schedule'!$AE$81</f>
        <v>46189</v>
      </c>
      <c r="E60" s="65" t="n">
        <f aca="false">'4D Schedule'!$AF$81</f>
        <v>46211</v>
      </c>
      <c r="F60" s="65" t="n">
        <f aca="false">IF('4D Schedule'!$AA$81="","",'4D Schedule'!$AA$81)</f>
        <v>46189</v>
      </c>
      <c r="G60" s="65" t="n">
        <f aca="false">IF('4D Schedule'!$AB$81="","",'4D Schedule'!$AB$81)</f>
        <v>46211</v>
      </c>
      <c r="H60" s="65" t="n">
        <f aca="false">'4D Schedule'!$Y$81</f>
        <v>46197</v>
      </c>
      <c r="I60" s="65" t="n">
        <f aca="false">'4D Schedule'!$Z$81</f>
        <v>46211</v>
      </c>
      <c r="J60" s="66" t="n">
        <f aca="false">'4D Schedule'!$AC$81</f>
        <v>1</v>
      </c>
      <c r="K60" s="3" t="str">
        <f aca="false">'4D Schedule'!$AG$81</f>
        <v>Completed</v>
      </c>
      <c r="L60" s="3" t="str">
        <f aca="false">IF('4D Schedule'!$K$81="","",'4D Schedule'!$K$81)</f>
        <v>CHP-SUP-080</v>
      </c>
      <c r="M60" s="3" t="str">
        <f aca="false">IF('4D Schedule'!$N$81="","",'4D Schedule'!$N$81)</f>
        <v>JSW USL-CON-CHI-1020</v>
      </c>
      <c r="N60" s="3" t="str">
        <f aca="false">'4D Schedule'!$D$81</f>
        <v>Superstructure</v>
      </c>
      <c r="O60" s="3" t="str">
        <f aca="false">IF('4D Schedule'!$E$81="","",'4D Schedule'!$E$81)</f>
        <v>Z3</v>
      </c>
      <c r="P60" s="3" t="str">
        <f aca="false">IF('4D Schedule'!$G$81="","",'4D Schedule'!$G$81)</f>
        <v>T.O.C EL(+)4.000</v>
      </c>
    </row>
    <row r="61" customFormat="false" ht="15" hidden="false" customHeight="false" outlineLevel="0" collapsed="false">
      <c r="A61" s="3" t="str">
        <f aca="false">'4D Schedule'!$A$82</f>
        <v>CHP-SUP-090</v>
      </c>
      <c r="B61" s="3" t="str">
        <f aca="false">'4D Schedule'!$C$82</f>
        <v>Staircase ST-1 – flights FLT-1 to FLT-3, landings +1.300/+2.650 up to +4.000</v>
      </c>
      <c r="C61" s="3" t="str">
        <f aca="false">IF('4D Schedule'!$L$82="Milestone","Construct",'4D Schedule'!$L$82)</f>
        <v>Construct</v>
      </c>
      <c r="D61" s="65" t="n">
        <f aca="false">'4D Schedule'!$AE$82</f>
        <v>46170</v>
      </c>
      <c r="E61" s="65" t="n">
        <f aca="false">'4D Schedule'!$AF$82</f>
        <v>46186</v>
      </c>
      <c r="F61" s="65" t="n">
        <f aca="false">IF('4D Schedule'!$AA$82="","",'4D Schedule'!$AA$82)</f>
        <v>46170</v>
      </c>
      <c r="G61" s="65" t="n">
        <f aca="false">IF('4D Schedule'!$AB$82="","",'4D Schedule'!$AB$82)</f>
        <v>46186</v>
      </c>
      <c r="H61" s="65" t="n">
        <f aca="false">'4D Schedule'!$Y$82</f>
        <v>46184</v>
      </c>
      <c r="I61" s="65" t="n">
        <f aca="false">'4D Schedule'!$Z$82</f>
        <v>46195</v>
      </c>
      <c r="J61" s="66" t="n">
        <f aca="false">'4D Schedule'!$AC$82</f>
        <v>1</v>
      </c>
      <c r="K61" s="3" t="str">
        <f aca="false">'4D Schedule'!$AG$82</f>
        <v>Completed</v>
      </c>
      <c r="L61" s="3" t="str">
        <f aca="false">IF('4D Schedule'!$K$82="","",'4D Schedule'!$K$82)</f>
        <v>CHP-SUP-090</v>
      </c>
      <c r="M61" s="3" t="str">
        <f aca="false">IF('4D Schedule'!$N$82="","",'4D Schedule'!$N$82)</f>
        <v>JSW USL-CON-CHI-1020</v>
      </c>
      <c r="N61" s="3" t="str">
        <f aca="false">'4D Schedule'!$D$82</f>
        <v>Superstructure</v>
      </c>
      <c r="O61" s="3" t="str">
        <f aca="false">IF('4D Schedule'!$E$82="","",'4D Schedule'!$E$82)</f>
        <v>Z3</v>
      </c>
      <c r="P61" s="3" t="str">
        <f aca="false">IF('4D Schedule'!$G$82="","",'4D Schedule'!$G$82)</f>
        <v>EL(-)0.050 to EL(+)4.000</v>
      </c>
    </row>
    <row r="62" customFormat="false" ht="15" hidden="false" customHeight="false" outlineLevel="0" collapsed="false">
      <c r="A62" s="3" t="str">
        <f aca="false">'4D Schedule'!$A$83</f>
        <v>CHP-SUP-100</v>
      </c>
      <c r="B62" s="3" t="str">
        <f aca="false">'4D Schedule'!$C$83</f>
        <v>Columns Lift-2 (EL +4.000 to +9.150) – Zone-1 (18 nos incl. SC1)</v>
      </c>
      <c r="C62" s="3" t="str">
        <f aca="false">IF('4D Schedule'!$L$83="Milestone","Construct",'4D Schedule'!$L$83)</f>
        <v>Construct</v>
      </c>
      <c r="D62" s="65" t="n">
        <f aca="false">'4D Schedule'!$AE$83</f>
        <v>46191</v>
      </c>
      <c r="E62" s="65" t="n">
        <f aca="false">'4D Schedule'!$AF$83</f>
        <v>46211</v>
      </c>
      <c r="F62" s="65" t="n">
        <f aca="false">IF('4D Schedule'!$AA$83="","",'4D Schedule'!$AA$83)</f>
        <v>46191</v>
      </c>
      <c r="G62" s="65" t="n">
        <f aca="false">IF('4D Schedule'!$AB$83="","",'4D Schedule'!$AB$83)</f>
        <v>46211</v>
      </c>
      <c r="H62" s="65" t="n">
        <f aca="false">'4D Schedule'!$Y$83</f>
        <v>46198</v>
      </c>
      <c r="I62" s="65" t="n">
        <f aca="false">'4D Schedule'!$Z$83</f>
        <v>46211</v>
      </c>
      <c r="J62" s="66" t="n">
        <f aca="false">'4D Schedule'!$AC$83</f>
        <v>1</v>
      </c>
      <c r="K62" s="3" t="str">
        <f aca="false">'4D Schedule'!$AG$83</f>
        <v>Completed</v>
      </c>
      <c r="L62" s="3" t="str">
        <f aca="false">IF('4D Schedule'!$K$83="","",'4D Schedule'!$K$83)</f>
        <v>CHP-SUP-100</v>
      </c>
      <c r="M62" s="3" t="str">
        <f aca="false">IF('4D Schedule'!$N$83="","",'4D Schedule'!$N$83)</f>
        <v>JSW USL-CON-CHI-1020</v>
      </c>
      <c r="N62" s="3" t="str">
        <f aca="false">'4D Schedule'!$D$83</f>
        <v>Superstructure</v>
      </c>
      <c r="O62" s="3" t="str">
        <f aca="false">IF('4D Schedule'!$E$83="","",'4D Schedule'!$E$83)</f>
        <v>Z1</v>
      </c>
      <c r="P62" s="3" t="str">
        <f aca="false">IF('4D Schedule'!$G$83="","",'4D Schedule'!$G$83)</f>
        <v>EL(+)4.000 to EL(+)9.150</v>
      </c>
    </row>
    <row r="63" customFormat="false" ht="15" hidden="false" customHeight="false" outlineLevel="0" collapsed="false">
      <c r="A63" s="3" t="str">
        <f aca="false">'4D Schedule'!$A$84</f>
        <v>CHP-SUP-110</v>
      </c>
      <c r="B63" s="3" t="str">
        <f aca="false">'4D Schedule'!$C$84</f>
        <v>Columns Lift-2 (EL +4.000 to +9.150) – Zone-2 (10 nos)</v>
      </c>
      <c r="C63" s="3" t="str">
        <f aca="false">IF('4D Schedule'!$L$84="Milestone","Construct",'4D Schedule'!$L$84)</f>
        <v>Construct</v>
      </c>
      <c r="D63" s="65" t="n">
        <f aca="false">'4D Schedule'!$AE$84</f>
        <v>46203</v>
      </c>
      <c r="E63" s="65" t="n">
        <f aca="false">'4D Schedule'!$AF$84</f>
        <v>46218</v>
      </c>
      <c r="F63" s="65" t="n">
        <f aca="false">IF('4D Schedule'!$AA$84="","",'4D Schedule'!$AA$84)</f>
        <v>46203</v>
      </c>
      <c r="G63" s="65" t="n">
        <f aca="false">IF('4D Schedule'!$AB$84="","",'4D Schedule'!$AB$84)</f>
        <v>46218</v>
      </c>
      <c r="H63" s="65" t="n">
        <f aca="false">'4D Schedule'!$Y$84</f>
        <v>46206</v>
      </c>
      <c r="I63" s="65" t="n">
        <f aca="false">'4D Schedule'!$Z$84</f>
        <v>46216</v>
      </c>
      <c r="J63" s="66" t="n">
        <f aca="false">'4D Schedule'!$AC$84</f>
        <v>1</v>
      </c>
      <c r="K63" s="3" t="str">
        <f aca="false">'4D Schedule'!$AG$84</f>
        <v>Completed</v>
      </c>
      <c r="L63" s="3" t="str">
        <f aca="false">IF('4D Schedule'!$K$84="","",'4D Schedule'!$K$84)</f>
        <v>CHP-SUP-110</v>
      </c>
      <c r="M63" s="3" t="str">
        <f aca="false">IF('4D Schedule'!$N$84="","",'4D Schedule'!$N$84)</f>
        <v>JSW USL-CON-CHI-1020</v>
      </c>
      <c r="N63" s="3" t="str">
        <f aca="false">'4D Schedule'!$D$84</f>
        <v>Superstructure</v>
      </c>
      <c r="O63" s="3" t="str">
        <f aca="false">IF('4D Schedule'!$E$84="","",'4D Schedule'!$E$84)</f>
        <v>Z2</v>
      </c>
      <c r="P63" s="3" t="str">
        <f aca="false">IF('4D Schedule'!$G$84="","",'4D Schedule'!$G$84)</f>
        <v>EL(+)4.000 to EL(+)9.150</v>
      </c>
    </row>
    <row r="64" customFormat="false" ht="15" hidden="false" customHeight="false" outlineLevel="0" collapsed="false">
      <c r="A64" s="3" t="str">
        <f aca="false">'4D Schedule'!$A$85</f>
        <v>CHP-SUP-120</v>
      </c>
      <c r="B64" s="3" t="str">
        <f aca="false">'4D Schedule'!$C$85</f>
        <v>Columns Lift-2 (EL +4.000 to +9.150) – Zone-3 (8 nos)</v>
      </c>
      <c r="C64" s="3" t="str">
        <f aca="false">IF('4D Schedule'!$L$85="Milestone","Construct",'4D Schedule'!$L$85)</f>
        <v>Construct</v>
      </c>
      <c r="D64" s="65" t="n">
        <f aca="false">'4D Schedule'!$AE$85</f>
        <v>46212</v>
      </c>
      <c r="E64" s="65" t="n">
        <f aca="false">'4D Schedule'!$AF$85</f>
        <v>46225</v>
      </c>
      <c r="F64" s="65" t="n">
        <f aca="false">IF('4D Schedule'!$AA$85="","",'4D Schedule'!$AA$85)</f>
        <v>46212</v>
      </c>
      <c r="G64" s="65" t="n">
        <f aca="false">IF('4D Schedule'!$AB$85="","",'4D Schedule'!$AB$85)</f>
        <v>46225</v>
      </c>
      <c r="H64" s="65" t="n">
        <f aca="false">'4D Schedule'!$Y$85</f>
        <v>46212</v>
      </c>
      <c r="I64" s="65" t="n">
        <f aca="false">'4D Schedule'!$Z$85</f>
        <v>46220</v>
      </c>
      <c r="J64" s="66" t="n">
        <f aca="false">'4D Schedule'!$AC$85</f>
        <v>1</v>
      </c>
      <c r="K64" s="3" t="str">
        <f aca="false">'4D Schedule'!$AG$85</f>
        <v>Completed</v>
      </c>
      <c r="L64" s="3" t="str">
        <f aca="false">IF('4D Schedule'!$K$85="","",'4D Schedule'!$K$85)</f>
        <v>CHP-SUP-120</v>
      </c>
      <c r="M64" s="3" t="str">
        <f aca="false">IF('4D Schedule'!$N$85="","",'4D Schedule'!$N$85)</f>
        <v>JSW USL-CON-CHI-1020</v>
      </c>
      <c r="N64" s="3" t="str">
        <f aca="false">'4D Schedule'!$D$85</f>
        <v>Superstructure</v>
      </c>
      <c r="O64" s="3" t="str">
        <f aca="false">IF('4D Schedule'!$E$85="","",'4D Schedule'!$E$85)</f>
        <v>Z3</v>
      </c>
      <c r="P64" s="3" t="str">
        <f aca="false">IF('4D Schedule'!$G$85="","",'4D Schedule'!$G$85)</f>
        <v>EL(+)4.000 to EL(+)9.150</v>
      </c>
    </row>
    <row r="65" customFormat="false" ht="15" hidden="false" customHeight="false" outlineLevel="0" collapsed="false">
      <c r="A65" s="3" t="str">
        <f aca="false">'4D Schedule'!$A$86</f>
        <v>CHP-SUP-130</v>
      </c>
      <c r="B65" s="3" t="str">
        <f aca="false">'4D Schedule'!$C$86</f>
        <v>Staircase ST-2 – flights FLT-4 to FLT-7, landings +5.350/+6.700/+7.900 up to +9.150</v>
      </c>
      <c r="C65" s="3" t="str">
        <f aca="false">IF('4D Schedule'!$L$86="Milestone","Construct",'4D Schedule'!$L$86)</f>
        <v>Construct</v>
      </c>
      <c r="D65" s="65" t="n">
        <f aca="false">'4D Schedule'!$AE$86</f>
        <v>46191</v>
      </c>
      <c r="E65" s="65" t="n">
        <f aca="false">'4D Schedule'!$AF$86</f>
        <v>46216</v>
      </c>
      <c r="F65" s="65" t="n">
        <f aca="false">IF('4D Schedule'!$AA$86="","",'4D Schedule'!$AA$86)</f>
        <v>46191</v>
      </c>
      <c r="G65" s="65" t="n">
        <f aca="false">IF('4D Schedule'!$AB$86="","",'4D Schedule'!$AB$86)</f>
        <v>46216</v>
      </c>
      <c r="H65" s="65" t="n">
        <f aca="false">'4D Schedule'!$Y$86</f>
        <v>46198</v>
      </c>
      <c r="I65" s="65" t="n">
        <f aca="false">'4D Schedule'!$Z$86</f>
        <v>46214</v>
      </c>
      <c r="J65" s="66" t="n">
        <f aca="false">'4D Schedule'!$AC$86</f>
        <v>1</v>
      </c>
      <c r="K65" s="3" t="str">
        <f aca="false">'4D Schedule'!$AG$86</f>
        <v>Completed</v>
      </c>
      <c r="L65" s="3" t="str">
        <f aca="false">IF('4D Schedule'!$K$86="","",'4D Schedule'!$K$86)</f>
        <v>CHP-SUP-130</v>
      </c>
      <c r="M65" s="3" t="str">
        <f aca="false">IF('4D Schedule'!$N$86="","",'4D Schedule'!$N$86)</f>
        <v>JSW USL-CON-CHI-1020</v>
      </c>
      <c r="N65" s="3" t="str">
        <f aca="false">'4D Schedule'!$D$86</f>
        <v>Superstructure</v>
      </c>
      <c r="O65" s="3" t="str">
        <f aca="false">IF('4D Schedule'!$E$86="","",'4D Schedule'!$E$86)</f>
        <v>Z1</v>
      </c>
      <c r="P65" s="3" t="str">
        <f aca="false">IF('4D Schedule'!$G$86="","",'4D Schedule'!$G$86)</f>
        <v>EL(+)4.000 to EL(+)9.150</v>
      </c>
    </row>
    <row r="66" customFormat="false" ht="15" hidden="false" customHeight="false" outlineLevel="0" collapsed="false">
      <c r="A66" s="3" t="str">
        <f aca="false">'4D Schedule'!$A$87</f>
        <v>CHP-SUP-140</v>
      </c>
      <c r="B66" s="3" t="str">
        <f aca="false">'4D Schedule'!$C$87</f>
        <v>Staircase ST-1 – flights FLT-4 to FLT-7, landings +5.350/+6.700/+7.900 up to +9.150</v>
      </c>
      <c r="C66" s="3" t="str">
        <f aca="false">IF('4D Schedule'!$L$87="Milestone","Construct",'4D Schedule'!$L$87)</f>
        <v>Construct</v>
      </c>
      <c r="D66" s="65" t="n">
        <f aca="false">'4D Schedule'!$AE$87</f>
        <v>46212</v>
      </c>
      <c r="E66" s="65" t="n">
        <f aca="false">'4D Schedule'!$AF$87</f>
        <v>46237</v>
      </c>
      <c r="F66" s="65" t="n">
        <f aca="false">IF('4D Schedule'!$AA$87="","",'4D Schedule'!$AA$87)</f>
        <v>46212</v>
      </c>
      <c r="G66" s="65" t="n">
        <f aca="false">IF('4D Schedule'!$AB$87="","",'4D Schedule'!$AB$87)</f>
        <v>46237</v>
      </c>
      <c r="H66" s="65" t="n">
        <f aca="false">'4D Schedule'!$Y$87</f>
        <v>46212</v>
      </c>
      <c r="I66" s="65" t="n">
        <f aca="false">'4D Schedule'!$Z$87</f>
        <v>46228</v>
      </c>
      <c r="J66" s="66" t="n">
        <f aca="false">'4D Schedule'!$AC$87</f>
        <v>1</v>
      </c>
      <c r="K66" s="3" t="str">
        <f aca="false">'4D Schedule'!$AG$87</f>
        <v>Completed</v>
      </c>
      <c r="L66" s="3" t="str">
        <f aca="false">IF('4D Schedule'!$K$87="","",'4D Schedule'!$K$87)</f>
        <v>CHP-SUP-140</v>
      </c>
      <c r="M66" s="3" t="str">
        <f aca="false">IF('4D Schedule'!$N$87="","",'4D Schedule'!$N$87)</f>
        <v>JSW USL-CON-CHI-1020</v>
      </c>
      <c r="N66" s="3" t="str">
        <f aca="false">'4D Schedule'!$D$87</f>
        <v>Superstructure</v>
      </c>
      <c r="O66" s="3" t="str">
        <f aca="false">IF('4D Schedule'!$E$87="","",'4D Schedule'!$E$87)</f>
        <v>Z3</v>
      </c>
      <c r="P66" s="3" t="str">
        <f aca="false">IF('4D Schedule'!$G$87="","",'4D Schedule'!$G$87)</f>
        <v>EL(+)4.000 to EL(+)9.150</v>
      </c>
    </row>
    <row r="67" customFormat="false" ht="15" hidden="false" customHeight="false" outlineLevel="0" collapsed="false">
      <c r="A67" s="3" t="str">
        <f aca="false">'4D Schedule'!$A$88</f>
        <v>CHP-SUP-150</v>
      </c>
      <c r="B67" s="3" t="str">
        <f aca="false">'4D Schedule'!$C$88</f>
        <v>Roof beams &amp; 150 thk slab (TOC EL +9.150) – Zone-1 (Grid 1–3, Row E–A)</v>
      </c>
      <c r="C67" s="3" t="str">
        <f aca="false">IF('4D Schedule'!$L$88="Milestone","Construct",'4D Schedule'!$L$88)</f>
        <v>Construct</v>
      </c>
      <c r="D67" s="65" t="n">
        <f aca="false">'4D Schedule'!$AE$88</f>
        <v>46212</v>
      </c>
      <c r="E67" s="65" t="n">
        <f aca="false">'4D Schedule'!$AF$88</f>
        <v>46246</v>
      </c>
      <c r="F67" s="65" t="n">
        <f aca="false">IF('4D Schedule'!$AA$88="","",'4D Schedule'!$AA$88)</f>
        <v>46212</v>
      </c>
      <c r="G67" s="65" t="n">
        <f aca="false">IF('4D Schedule'!$AB$88="","",'4D Schedule'!$AB$88)</f>
        <v>46246</v>
      </c>
      <c r="H67" s="65" t="n">
        <f aca="false">'4D Schedule'!$Y$88</f>
        <v>46212</v>
      </c>
      <c r="I67" s="65" t="n">
        <f aca="false">'4D Schedule'!$Z$88</f>
        <v>46235</v>
      </c>
      <c r="J67" s="66" t="n">
        <f aca="false">'4D Schedule'!$AC$88</f>
        <v>1</v>
      </c>
      <c r="K67" s="3" t="str">
        <f aca="false">'4D Schedule'!$AG$88</f>
        <v>Completed</v>
      </c>
      <c r="L67" s="3" t="str">
        <f aca="false">IF('4D Schedule'!$K$88="","",'4D Schedule'!$K$88)</f>
        <v>CHP-SUP-150</v>
      </c>
      <c r="M67" s="3" t="str">
        <f aca="false">IF('4D Schedule'!$N$88="","",'4D Schedule'!$N$88)</f>
        <v>JSW USL-CON-CHI-1020</v>
      </c>
      <c r="N67" s="3" t="str">
        <f aca="false">'4D Schedule'!$D$88</f>
        <v>Superstructure</v>
      </c>
      <c r="O67" s="3" t="str">
        <f aca="false">IF('4D Schedule'!$E$88="","",'4D Schedule'!$E$88)</f>
        <v>Z1</v>
      </c>
      <c r="P67" s="3" t="str">
        <f aca="false">IF('4D Schedule'!$G$88="","",'4D Schedule'!$G$88)</f>
        <v>T.O.C EL(+)9.150</v>
      </c>
    </row>
    <row r="68" customFormat="false" ht="15" hidden="false" customHeight="false" outlineLevel="0" collapsed="false">
      <c r="A68" s="3" t="str">
        <f aca="false">'4D Schedule'!$A$89</f>
        <v>CHP-SUP-160</v>
      </c>
      <c r="B68" s="3" t="str">
        <f aca="false">'4D Schedule'!$C$89</f>
        <v>Roof beams &amp; 150 thk slab (TOC EL +9.150) – Zone-2 (Grid 3–5, Row E–A)</v>
      </c>
      <c r="C68" s="3" t="str">
        <f aca="false">IF('4D Schedule'!$L$89="Milestone","Construct",'4D Schedule'!$L$89)</f>
        <v>Construct</v>
      </c>
      <c r="D68" s="65" t="n">
        <f aca="false">'4D Schedule'!$AE$89</f>
        <v>46230</v>
      </c>
      <c r="E68" s="65" t="n">
        <f aca="false">'4D Schedule'!$AF$89</f>
        <v>46262</v>
      </c>
      <c r="F68" s="65" t="n">
        <f aca="false">IF('4D Schedule'!$AA$89="","",'4D Schedule'!$AA$89)</f>
        <v>46230</v>
      </c>
      <c r="G68" s="65" t="n">
        <f aca="false">IF('4D Schedule'!$AB$89="","",'4D Schedule'!$AB$89)</f>
        <v>46262</v>
      </c>
      <c r="H68" s="65" t="n">
        <f aca="false">'4D Schedule'!$Y$89</f>
        <v>46224</v>
      </c>
      <c r="I68" s="65" t="n">
        <f aca="false">'4D Schedule'!$Z$89</f>
        <v>46246</v>
      </c>
      <c r="J68" s="66" t="n">
        <f aca="false">'4D Schedule'!$AC$89</f>
        <v>1</v>
      </c>
      <c r="K68" s="3" t="str">
        <f aca="false">'4D Schedule'!$AG$89</f>
        <v>Completed</v>
      </c>
      <c r="L68" s="3" t="str">
        <f aca="false">IF('4D Schedule'!$K$89="","",'4D Schedule'!$K$89)</f>
        <v>CHP-SUP-160</v>
      </c>
      <c r="M68" s="3" t="str">
        <f aca="false">IF('4D Schedule'!$N$89="","",'4D Schedule'!$N$89)</f>
        <v>JSW USL-CON-CHI-1020</v>
      </c>
      <c r="N68" s="3" t="str">
        <f aca="false">'4D Schedule'!$D$89</f>
        <v>Superstructure</v>
      </c>
      <c r="O68" s="3" t="str">
        <f aca="false">IF('4D Schedule'!$E$89="","",'4D Schedule'!$E$89)</f>
        <v>Z2</v>
      </c>
      <c r="P68" s="3" t="str">
        <f aca="false">IF('4D Schedule'!$G$89="","",'4D Schedule'!$G$89)</f>
        <v>T.O.C EL(+)9.150</v>
      </c>
    </row>
    <row r="69" customFormat="false" ht="15" hidden="false" customHeight="false" outlineLevel="0" collapsed="false">
      <c r="A69" s="3" t="str">
        <f aca="false">'4D Schedule'!$A$90</f>
        <v>CHP-SUP-170</v>
      </c>
      <c r="B69" s="3" t="str">
        <f aca="false">'4D Schedule'!$C$90</f>
        <v>Roof beams &amp; 150 thk slab (TOC EL +9.150) – Zone-3 (Grid 5–6, Row E–A)</v>
      </c>
      <c r="C69" s="3" t="str">
        <f aca="false">IF('4D Schedule'!$L$90="Milestone","Construct",'4D Schedule'!$L$90)</f>
        <v>Construct</v>
      </c>
      <c r="D69" s="65" t="n">
        <f aca="false">'4D Schedule'!$AE$90</f>
        <v>46246</v>
      </c>
      <c r="E69" s="65" t="n">
        <f aca="false">'4D Schedule'!$AF$90</f>
        <v>46274</v>
      </c>
      <c r="F69" s="65" t="n">
        <f aca="false">IF('4D Schedule'!$AA$90="","",'4D Schedule'!$AA$90)</f>
        <v>46246</v>
      </c>
      <c r="G69" s="65" t="n">
        <f aca="false">IF('4D Schedule'!$AB$90="","",'4D Schedule'!$AB$90)</f>
        <v>46274</v>
      </c>
      <c r="H69" s="65" t="n">
        <f aca="false">'4D Schedule'!$Y$90</f>
        <v>46235</v>
      </c>
      <c r="I69" s="65" t="n">
        <f aca="false">'4D Schedule'!$Z$90</f>
        <v>46254</v>
      </c>
      <c r="J69" s="66" t="n">
        <f aca="false">'4D Schedule'!$AC$90</f>
        <v>1</v>
      </c>
      <c r="K69" s="3" t="str">
        <f aca="false">'4D Schedule'!$AG$90</f>
        <v>Completed</v>
      </c>
      <c r="L69" s="3" t="str">
        <f aca="false">IF('4D Schedule'!$K$90="","",'4D Schedule'!$K$90)</f>
        <v>CHP-SUP-170</v>
      </c>
      <c r="M69" s="3" t="str">
        <f aca="false">IF('4D Schedule'!$N$90="","",'4D Schedule'!$N$90)</f>
        <v>JSW USL-CON-CHI-1020</v>
      </c>
      <c r="N69" s="3" t="str">
        <f aca="false">'4D Schedule'!$D$90</f>
        <v>Superstructure</v>
      </c>
      <c r="O69" s="3" t="str">
        <f aca="false">IF('4D Schedule'!$E$90="","",'4D Schedule'!$E$90)</f>
        <v>Z3</v>
      </c>
      <c r="P69" s="3" t="str">
        <f aca="false">IF('4D Schedule'!$G$90="","",'4D Schedule'!$G$90)</f>
        <v>T.O.C EL(+)9.150</v>
      </c>
    </row>
    <row r="70" customFormat="false" ht="15" hidden="false" customHeight="false" outlineLevel="0" collapsed="false">
      <c r="A70" s="3" t="str">
        <f aca="false">'4D Schedule'!$A$91</f>
        <v>CHP-SUP-180</v>
      </c>
      <c r="B70" s="3" t="str">
        <f aca="false">'4D Schedule'!$C$91</f>
        <v>Mumty columns (EL +9.150 to +12.150) – ST-2 (C1 ×4)</v>
      </c>
      <c r="C70" s="3" t="str">
        <f aca="false">IF('4D Schedule'!$L$91="Milestone","Construct",'4D Schedule'!$L$91)</f>
        <v>Construct</v>
      </c>
      <c r="D70" s="65" t="n">
        <f aca="false">'4D Schedule'!$AE$91</f>
        <v>46247</v>
      </c>
      <c r="E70" s="65" t="n">
        <f aca="false">'4D Schedule'!$AF$91</f>
        <v>46256</v>
      </c>
      <c r="F70" s="65" t="n">
        <f aca="false">IF('4D Schedule'!$AA$91="","",'4D Schedule'!$AA$91)</f>
        <v>46247</v>
      </c>
      <c r="G70" s="65" t="n">
        <f aca="false">IF('4D Schedule'!$AB$91="","",'4D Schedule'!$AB$91)</f>
        <v>46256</v>
      </c>
      <c r="H70" s="65" t="n">
        <f aca="false">'4D Schedule'!$Y$91</f>
        <v>46237</v>
      </c>
      <c r="I70" s="65" t="n">
        <f aca="false">'4D Schedule'!$Z$91</f>
        <v>46241</v>
      </c>
      <c r="J70" s="66" t="n">
        <f aca="false">'4D Schedule'!$AC$91</f>
        <v>1</v>
      </c>
      <c r="K70" s="3" t="str">
        <f aca="false">'4D Schedule'!$AG$91</f>
        <v>Completed</v>
      </c>
      <c r="L70" s="3" t="str">
        <f aca="false">IF('4D Schedule'!$K$91="","",'4D Schedule'!$K$91)</f>
        <v>CHP-SUP-180</v>
      </c>
      <c r="M70" s="3" t="str">
        <f aca="false">IF('4D Schedule'!$N$91="","",'4D Schedule'!$N$91)</f>
        <v>JSW USL-CON-CHI-1020</v>
      </c>
      <c r="N70" s="3" t="str">
        <f aca="false">'4D Schedule'!$D$91</f>
        <v>Superstructure</v>
      </c>
      <c r="O70" s="3" t="str">
        <f aca="false">IF('4D Schedule'!$E$91="","",'4D Schedule'!$E$91)</f>
        <v>Z1</v>
      </c>
      <c r="P70" s="3" t="str">
        <f aca="false">IF('4D Schedule'!$G$91="","",'4D Schedule'!$G$91)</f>
        <v>EL(+)9.150 to EL(+)12.150</v>
      </c>
    </row>
    <row r="71" customFormat="false" ht="15" hidden="false" customHeight="false" outlineLevel="0" collapsed="false">
      <c r="A71" s="3" t="str">
        <f aca="false">'4D Schedule'!$A$92</f>
        <v>CHP-SUP-190</v>
      </c>
      <c r="B71" s="3" t="str">
        <f aca="false">'4D Schedule'!$C$92</f>
        <v>Mumty roof beams RB15/RB16 &amp; slab (TOC EL +12.150) – ST-2</v>
      </c>
      <c r="C71" s="3" t="str">
        <f aca="false">IF('4D Schedule'!$L$92="Milestone","Construct",'4D Schedule'!$L$92)</f>
        <v>Construct</v>
      </c>
      <c r="D71" s="65" t="n">
        <f aca="false">'4D Schedule'!$AE$92</f>
        <v>46258</v>
      </c>
      <c r="E71" s="65" t="n">
        <f aca="false">'4D Schedule'!$AF$92</f>
        <v>46270</v>
      </c>
      <c r="F71" s="65" t="n">
        <f aca="false">IF('4D Schedule'!$AA$92="","",'4D Schedule'!$AA$92)</f>
        <v>46258</v>
      </c>
      <c r="G71" s="65" t="n">
        <f aca="false">IF('4D Schedule'!$AB$92="","",'4D Schedule'!$AB$92)</f>
        <v>46270</v>
      </c>
      <c r="H71" s="65" t="n">
        <f aca="false">'4D Schedule'!$Y$92</f>
        <v>46242</v>
      </c>
      <c r="I71" s="65" t="n">
        <f aca="false">'4D Schedule'!$Z$92</f>
        <v>46252</v>
      </c>
      <c r="J71" s="66" t="n">
        <f aca="false">'4D Schedule'!$AC$92</f>
        <v>1</v>
      </c>
      <c r="K71" s="3" t="str">
        <f aca="false">'4D Schedule'!$AG$92</f>
        <v>Completed</v>
      </c>
      <c r="L71" s="3" t="str">
        <f aca="false">IF('4D Schedule'!$K$92="","",'4D Schedule'!$K$92)</f>
        <v>CHP-SUP-190</v>
      </c>
      <c r="M71" s="3" t="str">
        <f aca="false">IF('4D Schedule'!$N$92="","",'4D Schedule'!$N$92)</f>
        <v>JSW USL-CON-CHI-1020</v>
      </c>
      <c r="N71" s="3" t="str">
        <f aca="false">'4D Schedule'!$D$92</f>
        <v>Superstructure</v>
      </c>
      <c r="O71" s="3" t="str">
        <f aca="false">IF('4D Schedule'!$E$92="","",'4D Schedule'!$E$92)</f>
        <v>Z1</v>
      </c>
      <c r="P71" s="3" t="str">
        <f aca="false">IF('4D Schedule'!$G$92="","",'4D Schedule'!$G$92)</f>
        <v>T.O.C EL(+)12.150</v>
      </c>
    </row>
    <row r="72" customFormat="false" ht="15" hidden="false" customHeight="false" outlineLevel="0" collapsed="false">
      <c r="A72" s="3" t="str">
        <f aca="false">'4D Schedule'!$A$93</f>
        <v>CHP-SUP-200</v>
      </c>
      <c r="B72" s="3" t="str">
        <f aca="false">'4D Schedule'!$C$93</f>
        <v>Mumty columns (EL +9.150 to +12.150) – ST-1 (C1 ×4)</v>
      </c>
      <c r="C72" s="3" t="str">
        <f aca="false">IF('4D Schedule'!$L$93="Milestone","Construct",'4D Schedule'!$L$93)</f>
        <v>Construct</v>
      </c>
      <c r="D72" s="65" t="n">
        <f aca="false">'4D Schedule'!$AE$93</f>
        <v>46275</v>
      </c>
      <c r="E72" s="65" t="n">
        <f aca="false">'4D Schedule'!$AF$93</f>
        <v>46283</v>
      </c>
      <c r="F72" s="65" t="n">
        <f aca="false">IF('4D Schedule'!$AA$93="","",'4D Schedule'!$AA$93)</f>
        <v>46275</v>
      </c>
      <c r="G72" s="65" t="n">
        <f aca="false">IF('4D Schedule'!$AB$93="","",'4D Schedule'!$AB$93)</f>
        <v>46283</v>
      </c>
      <c r="H72" s="65" t="n">
        <f aca="false">'4D Schedule'!$Y$93</f>
        <v>46255</v>
      </c>
      <c r="I72" s="65" t="n">
        <f aca="false">'4D Schedule'!$Z$93</f>
        <v>46261</v>
      </c>
      <c r="J72" s="66" t="n">
        <f aca="false">'4D Schedule'!$AC$93</f>
        <v>1</v>
      </c>
      <c r="K72" s="3" t="str">
        <f aca="false">'4D Schedule'!$AG$93</f>
        <v>Completed</v>
      </c>
      <c r="L72" s="3" t="str">
        <f aca="false">IF('4D Schedule'!$K$93="","",'4D Schedule'!$K$93)</f>
        <v>CHP-SUP-200</v>
      </c>
      <c r="M72" s="3" t="str">
        <f aca="false">IF('4D Schedule'!$N$93="","",'4D Schedule'!$N$93)</f>
        <v>JSW USL-CON-CHI-1020</v>
      </c>
      <c r="N72" s="3" t="str">
        <f aca="false">'4D Schedule'!$D$93</f>
        <v>Superstructure</v>
      </c>
      <c r="O72" s="3" t="str">
        <f aca="false">IF('4D Schedule'!$E$93="","",'4D Schedule'!$E$93)</f>
        <v>Z3</v>
      </c>
      <c r="P72" s="3" t="str">
        <f aca="false">IF('4D Schedule'!$G$93="","",'4D Schedule'!$G$93)</f>
        <v>EL(+)9.150 to EL(+)12.150</v>
      </c>
    </row>
    <row r="73" customFormat="false" ht="15" hidden="false" customHeight="false" outlineLevel="0" collapsed="false">
      <c r="A73" s="3" t="str">
        <f aca="false">'4D Schedule'!$A$94</f>
        <v>CHP-SUP-210</v>
      </c>
      <c r="B73" s="3" t="str">
        <f aca="false">'4D Schedule'!$C$94</f>
        <v>Mumty roof beams RB15/RB16 &amp; slab (TOC EL +12.150) – ST-1</v>
      </c>
      <c r="C73" s="3" t="str">
        <f aca="false">IF('4D Schedule'!$L$94="Milestone","Construct",'4D Schedule'!$L$94)</f>
        <v>Construct</v>
      </c>
      <c r="D73" s="65" t="n">
        <f aca="false">'4D Schedule'!$AE$94</f>
        <v>46284</v>
      </c>
      <c r="E73" s="65" t="n">
        <f aca="false">'4D Schedule'!$AF$94</f>
        <v>46298</v>
      </c>
      <c r="F73" s="65" t="n">
        <f aca="false">IF('4D Schedule'!$AA$94="","",'4D Schedule'!$AA$94)</f>
        <v>46284</v>
      </c>
      <c r="G73" s="65" t="str">
        <f aca="false">IF('4D Schedule'!$AB$94="","",'4D Schedule'!$AB$94)</f>
        <v/>
      </c>
      <c r="H73" s="65" t="n">
        <f aca="false">'4D Schedule'!$Y$94</f>
        <v>46262</v>
      </c>
      <c r="I73" s="65" t="n">
        <f aca="false">'4D Schedule'!$Z$94</f>
        <v>46270</v>
      </c>
      <c r="J73" s="66" t="n">
        <f aca="false">'4D Schedule'!$AC$94</f>
        <v>0.92</v>
      </c>
      <c r="K73" s="3" t="str">
        <f aca="false">'4D Schedule'!$AG$94</f>
        <v>In Progress</v>
      </c>
      <c r="L73" s="3" t="str">
        <f aca="false">IF('4D Schedule'!$K$94="","",'4D Schedule'!$K$94)</f>
        <v>CHP-SUP-210</v>
      </c>
      <c r="M73" s="3" t="str">
        <f aca="false">IF('4D Schedule'!$N$94="","",'4D Schedule'!$N$94)</f>
        <v>JSW USL-CON-CHI-1020</v>
      </c>
      <c r="N73" s="3" t="str">
        <f aca="false">'4D Schedule'!$D$94</f>
        <v>Superstructure</v>
      </c>
      <c r="O73" s="3" t="str">
        <f aca="false">IF('4D Schedule'!$E$94="","",'4D Schedule'!$E$94)</f>
        <v>Z3</v>
      </c>
      <c r="P73" s="3" t="str">
        <f aca="false">IF('4D Schedule'!$G$94="","",'4D Schedule'!$G$94)</f>
        <v>T.O.C EL(+)12.150</v>
      </c>
    </row>
    <row r="74" customFormat="false" ht="15" hidden="false" customHeight="false" outlineLevel="0" collapsed="false">
      <c r="A74" s="3" t="str">
        <f aca="false">'4D Schedule'!$A$95</f>
        <v>CHP-GRD-010</v>
      </c>
      <c r="B74" s="3" t="str">
        <f aca="false">'4D Schedule'!$C$95</f>
        <v>Cable trench T1 (1500 deep) Row D–C, Grid 6→1 incl. cable pit at Grid 6</v>
      </c>
      <c r="C74" s="3" t="str">
        <f aca="false">IF('4D Schedule'!$L$95="Milestone","Construct",'4D Schedule'!$L$95)</f>
        <v>Construct</v>
      </c>
      <c r="D74" s="65" t="n">
        <f aca="false">'4D Schedule'!$AE$95</f>
        <v>46157</v>
      </c>
      <c r="E74" s="65" t="n">
        <f aca="false">'4D Schedule'!$AF$95</f>
        <v>46185</v>
      </c>
      <c r="F74" s="65" t="n">
        <f aca="false">IF('4D Schedule'!$AA$95="","",'4D Schedule'!$AA$95)</f>
        <v>46157</v>
      </c>
      <c r="G74" s="65" t="n">
        <f aca="false">IF('4D Schedule'!$AB$95="","",'4D Schedule'!$AB$95)</f>
        <v>46185</v>
      </c>
      <c r="H74" s="65" t="n">
        <f aca="false">'4D Schedule'!$Y$95</f>
        <v>46175</v>
      </c>
      <c r="I74" s="65" t="n">
        <f aca="false">'4D Schedule'!$Z$95</f>
        <v>46193</v>
      </c>
      <c r="J74" s="66" t="n">
        <f aca="false">'4D Schedule'!$AC$95</f>
        <v>1</v>
      </c>
      <c r="K74" s="3" t="str">
        <f aca="false">'4D Schedule'!$AG$95</f>
        <v>Completed</v>
      </c>
      <c r="L74" s="3" t="str">
        <f aca="false">IF('4D Schedule'!$K$95="","",'4D Schedule'!$K$95)</f>
        <v>CHP-GRD-010</v>
      </c>
      <c r="M74" s="3" t="str">
        <f aca="false">IF('4D Schedule'!$N$95="","",'4D Schedule'!$N$95)</f>
        <v>JSW USL-CON-CHI-1020</v>
      </c>
      <c r="N74" s="3" t="str">
        <f aca="false">'4D Schedule'!$D$95</f>
        <v>Grade slab &amp; foundations</v>
      </c>
      <c r="O74" s="3" t="str">
        <f aca="false">IF('4D Schedule'!$E$95="","",'4D Schedule'!$E$95)</f>
        <v>All</v>
      </c>
      <c r="P74" s="3" t="str">
        <f aca="false">IF('4D Schedule'!$G$95="","",'4D Schedule'!$G$95)</f>
        <v>Top EL ±0.000, base EL(-)1.500 / Top EL ±0.000</v>
      </c>
    </row>
    <row r="75" customFormat="false" ht="15" hidden="false" customHeight="false" outlineLevel="0" collapsed="false">
      <c r="A75" s="3" t="str">
        <f aca="false">'4D Schedule'!$A$96</f>
        <v>CHP-GRD-020</v>
      </c>
      <c r="B75" s="3" t="str">
        <f aca="false">'4D Schedule'!$C$96</f>
        <v>Cable trench T2 (1500 deep) Row B–A, Grid 6→1</v>
      </c>
      <c r="C75" s="3" t="str">
        <f aca="false">IF('4D Schedule'!$L$96="Milestone","Construct",'4D Schedule'!$L$96)</f>
        <v>Construct</v>
      </c>
      <c r="D75" s="65" t="n">
        <f aca="false">'4D Schedule'!$AE$96</f>
        <v>46169</v>
      </c>
      <c r="E75" s="65" t="n">
        <f aca="false">'4D Schedule'!$AF$96</f>
        <v>46193</v>
      </c>
      <c r="F75" s="65" t="n">
        <f aca="false">IF('4D Schedule'!$AA$96="","",'4D Schedule'!$AA$96)</f>
        <v>46169</v>
      </c>
      <c r="G75" s="65" t="n">
        <f aca="false">IF('4D Schedule'!$AB$96="","",'4D Schedule'!$AB$96)</f>
        <v>46193</v>
      </c>
      <c r="H75" s="65" t="n">
        <f aca="false">'4D Schedule'!$Y$96</f>
        <v>46183</v>
      </c>
      <c r="I75" s="65" t="n">
        <f aca="false">'4D Schedule'!$Z$96</f>
        <v>46199</v>
      </c>
      <c r="J75" s="66" t="n">
        <f aca="false">'4D Schedule'!$AC$96</f>
        <v>1</v>
      </c>
      <c r="K75" s="3" t="str">
        <f aca="false">'4D Schedule'!$AG$96</f>
        <v>Completed</v>
      </c>
      <c r="L75" s="3" t="str">
        <f aca="false">IF('4D Schedule'!$K$96="","",'4D Schedule'!$K$96)</f>
        <v>CHP-GRD-020</v>
      </c>
      <c r="M75" s="3" t="str">
        <f aca="false">IF('4D Schedule'!$N$96="","",'4D Schedule'!$N$96)</f>
        <v>JSW USL-CON-CHI-1020</v>
      </c>
      <c r="N75" s="3" t="str">
        <f aca="false">'4D Schedule'!$D$96</f>
        <v>Grade slab &amp; foundations</v>
      </c>
      <c r="O75" s="3" t="str">
        <f aca="false">IF('4D Schedule'!$E$96="","",'4D Schedule'!$E$96)</f>
        <v>All</v>
      </c>
      <c r="P75" s="3" t="str">
        <f aca="false">IF('4D Schedule'!$G$96="","",'4D Schedule'!$G$96)</f>
        <v>Top EL ±0.000, base EL(-)1.500</v>
      </c>
    </row>
    <row r="76" customFormat="false" ht="15" hidden="false" customHeight="false" outlineLevel="0" collapsed="false">
      <c r="A76" s="3" t="str">
        <f aca="false">'4D Schedule'!$A$97</f>
        <v>CHP-GRD-030</v>
      </c>
      <c r="B76" s="3" t="str">
        <f aca="false">'4D Schedule'!$C$97</f>
        <v>Grade slab 150 thk – Row E–D block (cable cellar, toilets, shift room, ante rooms)</v>
      </c>
      <c r="C76" s="3" t="str">
        <f aca="false">IF('4D Schedule'!$L$97="Milestone","Construct",'4D Schedule'!$L$97)</f>
        <v>Construct</v>
      </c>
      <c r="D76" s="65" t="n">
        <f aca="false">'4D Schedule'!$AE$97</f>
        <v>46224</v>
      </c>
      <c r="E76" s="65" t="n">
        <f aca="false">'4D Schedule'!$AF$97</f>
        <v>46237</v>
      </c>
      <c r="F76" s="65" t="n">
        <f aca="false">IF('4D Schedule'!$AA$97="","",'4D Schedule'!$AA$97)</f>
        <v>46224</v>
      </c>
      <c r="G76" s="65" t="n">
        <f aca="false">IF('4D Schedule'!$AB$97="","",'4D Schedule'!$AB$97)</f>
        <v>46237</v>
      </c>
      <c r="H76" s="65" t="n">
        <f aca="false">'4D Schedule'!$Y$97</f>
        <v>46220</v>
      </c>
      <c r="I76" s="65" t="n">
        <f aca="false">'4D Schedule'!$Z$97</f>
        <v>46228</v>
      </c>
      <c r="J76" s="66" t="n">
        <f aca="false">'4D Schedule'!$AC$97</f>
        <v>1</v>
      </c>
      <c r="K76" s="3" t="str">
        <f aca="false">'4D Schedule'!$AG$97</f>
        <v>Completed</v>
      </c>
      <c r="L76" s="3" t="str">
        <f aca="false">IF('4D Schedule'!$K$97="","",'4D Schedule'!$K$97)</f>
        <v>CHP-GRD-030</v>
      </c>
      <c r="M76" s="3" t="str">
        <f aca="false">IF('4D Schedule'!$N$97="","",'4D Schedule'!$N$97)</f>
        <v>JSW USL-CON-CHI-1020</v>
      </c>
      <c r="N76" s="3" t="str">
        <f aca="false">'4D Schedule'!$D$97</f>
        <v>Grade slab &amp; foundations</v>
      </c>
      <c r="O76" s="3" t="str">
        <f aca="false">IF('4D Schedule'!$E$97="","",'4D Schedule'!$E$97)</f>
        <v>All</v>
      </c>
      <c r="P76" s="3" t="str">
        <f aca="false">IF('4D Schedule'!$G$97="","",'4D Schedule'!$G$97)</f>
        <v>T.O.C EL ±0.000 / (-)0.050</v>
      </c>
    </row>
    <row r="77" customFormat="false" ht="15" hidden="false" customHeight="false" outlineLevel="0" collapsed="false">
      <c r="A77" s="3" t="str">
        <f aca="false">'4D Schedule'!$A$98</f>
        <v>CHP-GRD-040</v>
      </c>
      <c r="B77" s="3" t="str">
        <f aca="false">'4D Schedule'!$C$98</f>
        <v>Grade slab 150 thk – Row D–C strip (around trench T1)</v>
      </c>
      <c r="C77" s="3" t="str">
        <f aca="false">IF('4D Schedule'!$L$98="Milestone","Construct",'4D Schedule'!$L$98)</f>
        <v>Construct</v>
      </c>
      <c r="D77" s="65" t="n">
        <f aca="false">'4D Schedule'!$AE$98</f>
        <v>46230</v>
      </c>
      <c r="E77" s="65" t="n">
        <f aca="false">'4D Schedule'!$AF$98</f>
        <v>46240</v>
      </c>
      <c r="F77" s="65" t="n">
        <f aca="false">IF('4D Schedule'!$AA$98="","",'4D Schedule'!$AA$98)</f>
        <v>46230</v>
      </c>
      <c r="G77" s="65" t="n">
        <f aca="false">IF('4D Schedule'!$AB$98="","",'4D Schedule'!$AB$98)</f>
        <v>46240</v>
      </c>
      <c r="H77" s="65" t="n">
        <f aca="false">'4D Schedule'!$Y$98</f>
        <v>46224</v>
      </c>
      <c r="I77" s="65" t="n">
        <f aca="false">'4D Schedule'!$Z$98</f>
        <v>46231</v>
      </c>
      <c r="J77" s="66" t="n">
        <f aca="false">'4D Schedule'!$AC$98</f>
        <v>1</v>
      </c>
      <c r="K77" s="3" t="str">
        <f aca="false">'4D Schedule'!$AG$98</f>
        <v>Completed</v>
      </c>
      <c r="L77" s="3" t="str">
        <f aca="false">IF('4D Schedule'!$K$98="","",'4D Schedule'!$K$98)</f>
        <v>CHP-GRD-040</v>
      </c>
      <c r="M77" s="3" t="str">
        <f aca="false">IF('4D Schedule'!$N$98="","",'4D Schedule'!$N$98)</f>
        <v>JSW USL-CON-CHI-1020</v>
      </c>
      <c r="N77" s="3" t="str">
        <f aca="false">'4D Schedule'!$D$98</f>
        <v>Grade slab &amp; foundations</v>
      </c>
      <c r="O77" s="3" t="str">
        <f aca="false">IF('4D Schedule'!$E$98="","",'4D Schedule'!$E$98)</f>
        <v>All</v>
      </c>
      <c r="P77" s="3" t="str">
        <f aca="false">IF('4D Schedule'!$G$98="","",'4D Schedule'!$G$98)</f>
        <v>T.O.C EL ±0.000</v>
      </c>
    </row>
    <row r="78" customFormat="false" ht="15" hidden="false" customHeight="false" outlineLevel="0" collapsed="false">
      <c r="A78" s="3" t="str">
        <f aca="false">'4D Schedule'!$A$99</f>
        <v>CHP-GRD-050</v>
      </c>
      <c r="B78" s="3" t="str">
        <f aca="false">'4D Schedule'!$C$99</f>
        <v>Chiller foundations F1-01 &amp; F1-02 (Bays 1–2, 2–3)</v>
      </c>
      <c r="C78" s="3" t="str">
        <f aca="false">IF('4D Schedule'!$L$99="Milestone","Construct",'4D Schedule'!$L$99)</f>
        <v>Construct</v>
      </c>
      <c r="D78" s="65" t="n">
        <f aca="false">'4D Schedule'!$AE$99</f>
        <v>46298</v>
      </c>
      <c r="E78" s="65" t="n">
        <f aca="false">'4D Schedule'!$AF$99</f>
        <v>46319</v>
      </c>
      <c r="F78" s="65" t="str">
        <f aca="false">IF('4D Schedule'!$AA$99="","",'4D Schedule'!$AA$99)</f>
        <v/>
      </c>
      <c r="G78" s="65" t="str">
        <f aca="false">IF('4D Schedule'!$AB$99="","",'4D Schedule'!$AB$99)</f>
        <v/>
      </c>
      <c r="H78" s="65" t="n">
        <f aca="false">'4D Schedule'!$Y$99</f>
        <v>46270</v>
      </c>
      <c r="I78" s="65" t="n">
        <f aca="false">'4D Schedule'!$Z$99</f>
        <v>46284</v>
      </c>
      <c r="J78" s="66" t="n">
        <f aca="false">'4D Schedule'!$AC$99</f>
        <v>0</v>
      </c>
      <c r="K78" s="3" t="str">
        <f aca="false">'4D Schedule'!$AG$99</f>
        <v>Not Started (Late)</v>
      </c>
      <c r="L78" s="3" t="str">
        <f aca="false">IF('4D Schedule'!$K$99="","",'4D Schedule'!$K$99)</f>
        <v>CHP-GRD-050</v>
      </c>
      <c r="M78" s="3" t="str">
        <f aca="false">IF('4D Schedule'!$N$99="","",'4D Schedule'!$N$99)</f>
        <v>JSW USL-CON-CHI-1020</v>
      </c>
      <c r="N78" s="3" t="str">
        <f aca="false">'4D Schedule'!$D$99</f>
        <v>Grade slab &amp; foundations</v>
      </c>
      <c r="O78" s="3" t="str">
        <f aca="false">IF('4D Schedule'!$E$99="","",'4D Schedule'!$E$99)</f>
        <v>Z1</v>
      </c>
      <c r="P78" s="3" t="str">
        <f aca="false">IF('4D Schedule'!$G$99="","",'4D Schedule'!$G$99)</f>
        <v>T.O.C EL ±0.000</v>
      </c>
    </row>
    <row r="79" customFormat="false" ht="15" hidden="false" customHeight="false" outlineLevel="0" collapsed="false">
      <c r="A79" s="3" t="str">
        <f aca="false">'4D Schedule'!$A$100</f>
        <v>CHP-GRD-060</v>
      </c>
      <c r="B79" s="3" t="str">
        <f aca="false">'4D Schedule'!$C$100</f>
        <v>Chiller foundations F1-03 &amp; F1-04 (Bays 3–4, 4–5)</v>
      </c>
      <c r="C79" s="3" t="str">
        <f aca="false">IF('4D Schedule'!$L$100="Milestone","Construct",'4D Schedule'!$L$100)</f>
        <v>Construct</v>
      </c>
      <c r="D79" s="65" t="n">
        <f aca="false">'4D Schedule'!$AE$100</f>
        <v>46304</v>
      </c>
      <c r="E79" s="65" t="n">
        <f aca="false">'4D Schedule'!$AF$100</f>
        <v>46325</v>
      </c>
      <c r="F79" s="65" t="str">
        <f aca="false">IF('4D Schedule'!$AA$100="","",'4D Schedule'!$AA$100)</f>
        <v/>
      </c>
      <c r="G79" s="65" t="str">
        <f aca="false">IF('4D Schedule'!$AB$100="","",'4D Schedule'!$AB$100)</f>
        <v/>
      </c>
      <c r="H79" s="65" t="n">
        <f aca="false">'4D Schedule'!$Y$100</f>
        <v>46275</v>
      </c>
      <c r="I79" s="65" t="n">
        <f aca="false">'4D Schedule'!$Z$100</f>
        <v>46288</v>
      </c>
      <c r="J79" s="66" t="n">
        <f aca="false">'4D Schedule'!$AC$100</f>
        <v>0</v>
      </c>
      <c r="K79" s="3" t="str">
        <f aca="false">'4D Schedule'!$AG$100</f>
        <v>Not Started (Late)</v>
      </c>
      <c r="L79" s="3" t="str">
        <f aca="false">IF('4D Schedule'!$K$100="","",'4D Schedule'!$K$100)</f>
        <v>CHP-GRD-060</v>
      </c>
      <c r="M79" s="3" t="str">
        <f aca="false">IF('4D Schedule'!$N$100="","",'4D Schedule'!$N$100)</f>
        <v>JSW USL-CON-CHI-1020</v>
      </c>
      <c r="N79" s="3" t="str">
        <f aca="false">'4D Schedule'!$D$100</f>
        <v>Grade slab &amp; foundations</v>
      </c>
      <c r="O79" s="3" t="str">
        <f aca="false">IF('4D Schedule'!$E$100="","",'4D Schedule'!$E$100)</f>
        <v>Z2</v>
      </c>
      <c r="P79" s="3" t="str">
        <f aca="false">IF('4D Schedule'!$G$100="","",'4D Schedule'!$G$100)</f>
        <v>T.O.C EL ±0.000</v>
      </c>
    </row>
    <row r="80" customFormat="false" ht="15" hidden="false" customHeight="false" outlineLevel="0" collapsed="false">
      <c r="A80" s="3" t="str">
        <f aca="false">'4D Schedule'!$A$101</f>
        <v>CHP-GRD-070</v>
      </c>
      <c r="B80" s="3" t="str">
        <f aca="false">'4D Schedule'!$C$101</f>
        <v>Chiller foundation F1-05 (Bay 5–6)</v>
      </c>
      <c r="C80" s="3" t="str">
        <f aca="false">IF('4D Schedule'!$L$101="Milestone","Construct",'4D Schedule'!$L$101)</f>
        <v>Construct</v>
      </c>
      <c r="D80" s="65" t="n">
        <f aca="false">'4D Schedule'!$AE$101</f>
        <v>46310</v>
      </c>
      <c r="E80" s="65" t="n">
        <f aca="false">'4D Schedule'!$AF$101</f>
        <v>46324</v>
      </c>
      <c r="F80" s="65" t="str">
        <f aca="false">IF('4D Schedule'!$AA$101="","",'4D Schedule'!$AA$101)</f>
        <v/>
      </c>
      <c r="G80" s="65" t="str">
        <f aca="false">IF('4D Schedule'!$AB$101="","",'4D Schedule'!$AB$101)</f>
        <v/>
      </c>
      <c r="H80" s="65" t="n">
        <f aca="false">'4D Schedule'!$Y$101</f>
        <v>46279</v>
      </c>
      <c r="I80" s="65" t="n">
        <f aca="false">'4D Schedule'!$Z$101</f>
        <v>46287</v>
      </c>
      <c r="J80" s="66" t="n">
        <f aca="false">'4D Schedule'!$AC$101</f>
        <v>0</v>
      </c>
      <c r="K80" s="3" t="str">
        <f aca="false">'4D Schedule'!$AG$101</f>
        <v>Not Started (Late)</v>
      </c>
      <c r="L80" s="3" t="str">
        <f aca="false">IF('4D Schedule'!$K$101="","",'4D Schedule'!$K$101)</f>
        <v>CHP-GRD-070</v>
      </c>
      <c r="M80" s="3" t="str">
        <f aca="false">IF('4D Schedule'!$N$101="","",'4D Schedule'!$N$101)</f>
        <v>JSW USL-CON-CHI-1020</v>
      </c>
      <c r="N80" s="3" t="str">
        <f aca="false">'4D Schedule'!$D$101</f>
        <v>Grade slab &amp; foundations</v>
      </c>
      <c r="O80" s="3" t="str">
        <f aca="false">IF('4D Schedule'!$E$101="","",'4D Schedule'!$E$101)</f>
        <v>Z3</v>
      </c>
      <c r="P80" s="3" t="str">
        <f aca="false">IF('4D Schedule'!$G$101="","",'4D Schedule'!$G$101)</f>
        <v>T.O.C EL ±0.000</v>
      </c>
    </row>
    <row r="81" customFormat="false" ht="15" hidden="false" customHeight="false" outlineLevel="0" collapsed="false">
      <c r="A81" s="3" t="str">
        <f aca="false">'4D Schedule'!$A$102</f>
        <v>CHP-GRD-080</v>
      </c>
      <c r="B81" s="3" t="str">
        <f aca="false">'4D Schedule'!$C$102</f>
        <v>Pump foundations F2-01 to F2-04 (Bays 1–3)</v>
      </c>
      <c r="C81" s="3" t="str">
        <f aca="false">IF('4D Schedule'!$L$102="Milestone","Construct",'4D Schedule'!$L$102)</f>
        <v>Construct</v>
      </c>
      <c r="D81" s="65" t="n">
        <f aca="false">'4D Schedule'!$AE$102</f>
        <v>46304</v>
      </c>
      <c r="E81" s="65" t="n">
        <f aca="false">'4D Schedule'!$AF$102</f>
        <v>46316</v>
      </c>
      <c r="F81" s="65" t="str">
        <f aca="false">IF('4D Schedule'!$AA$102="","",'4D Schedule'!$AA$102)</f>
        <v/>
      </c>
      <c r="G81" s="65" t="str">
        <f aca="false">IF('4D Schedule'!$AB$102="","",'4D Schedule'!$AB$102)</f>
        <v/>
      </c>
      <c r="H81" s="65" t="n">
        <f aca="false">'4D Schedule'!$Y$102</f>
        <v>46275</v>
      </c>
      <c r="I81" s="65" t="n">
        <f aca="false">'4D Schedule'!$Z$102</f>
        <v>46282</v>
      </c>
      <c r="J81" s="66" t="n">
        <f aca="false">'4D Schedule'!$AC$102</f>
        <v>0</v>
      </c>
      <c r="K81" s="3" t="str">
        <f aca="false">'4D Schedule'!$AG$102</f>
        <v>Not Started (Late)</v>
      </c>
      <c r="L81" s="3" t="str">
        <f aca="false">IF('4D Schedule'!$K$102="","",'4D Schedule'!$K$102)</f>
        <v>CHP-GRD-080</v>
      </c>
      <c r="M81" s="3" t="str">
        <f aca="false">IF('4D Schedule'!$N$102="","",'4D Schedule'!$N$102)</f>
        <v>JSW USL-CON-CHI-1020</v>
      </c>
      <c r="N81" s="3" t="str">
        <f aca="false">'4D Schedule'!$D$102</f>
        <v>Grade slab &amp; foundations</v>
      </c>
      <c r="O81" s="3" t="str">
        <f aca="false">IF('4D Schedule'!$E$102="","",'4D Schedule'!$E$102)</f>
        <v>Z1</v>
      </c>
      <c r="P81" s="3" t="str">
        <f aca="false">IF('4D Schedule'!$G$102="","",'4D Schedule'!$G$102)</f>
        <v>T.O.C EL ±0.000</v>
      </c>
    </row>
    <row r="82" customFormat="false" ht="15" hidden="false" customHeight="false" outlineLevel="0" collapsed="false">
      <c r="A82" s="3" t="str">
        <f aca="false">'4D Schedule'!$A$103</f>
        <v>CHP-GRD-090</v>
      </c>
      <c r="B82" s="3" t="str">
        <f aca="false">'4D Schedule'!$C$103</f>
        <v>Pump foundations F2-05 to F2-08 (Bays 3–5)</v>
      </c>
      <c r="C82" s="3" t="str">
        <f aca="false">IF('4D Schedule'!$L$103="Milestone","Construct",'4D Schedule'!$L$103)</f>
        <v>Construct</v>
      </c>
      <c r="D82" s="65" t="n">
        <f aca="false">'4D Schedule'!$AE$103</f>
        <v>46310</v>
      </c>
      <c r="E82" s="65" t="n">
        <f aca="false">'4D Schedule'!$AF$103</f>
        <v>46322</v>
      </c>
      <c r="F82" s="65" t="str">
        <f aca="false">IF('4D Schedule'!$AA$103="","",'4D Schedule'!$AA$103)</f>
        <v/>
      </c>
      <c r="G82" s="65" t="str">
        <f aca="false">IF('4D Schedule'!$AB$103="","",'4D Schedule'!$AB$103)</f>
        <v/>
      </c>
      <c r="H82" s="65" t="n">
        <f aca="false">'4D Schedule'!$Y$103</f>
        <v>46279</v>
      </c>
      <c r="I82" s="65" t="n">
        <f aca="false">'4D Schedule'!$Z$103</f>
        <v>46286</v>
      </c>
      <c r="J82" s="66" t="n">
        <f aca="false">'4D Schedule'!$AC$103</f>
        <v>0</v>
      </c>
      <c r="K82" s="3" t="str">
        <f aca="false">'4D Schedule'!$AG$103</f>
        <v>Not Started (Late)</v>
      </c>
      <c r="L82" s="3" t="str">
        <f aca="false">IF('4D Schedule'!$K$103="","",'4D Schedule'!$K$103)</f>
        <v>CHP-GRD-090</v>
      </c>
      <c r="M82" s="3" t="str">
        <f aca="false">IF('4D Schedule'!$N$103="","",'4D Schedule'!$N$103)</f>
        <v>JSW USL-CON-CHI-1020</v>
      </c>
      <c r="N82" s="3" t="str">
        <f aca="false">'4D Schedule'!$D$103</f>
        <v>Grade slab &amp; foundations</v>
      </c>
      <c r="O82" s="3" t="str">
        <f aca="false">IF('4D Schedule'!$E$103="","",'4D Schedule'!$E$103)</f>
        <v>Z2</v>
      </c>
      <c r="P82" s="3" t="str">
        <f aca="false">IF('4D Schedule'!$G$103="","",'4D Schedule'!$G$103)</f>
        <v>T.O.C EL ±0.000</v>
      </c>
    </row>
    <row r="83" customFormat="false" ht="15" hidden="false" customHeight="false" outlineLevel="0" collapsed="false">
      <c r="A83" s="3" t="str">
        <f aca="false">'4D Schedule'!$A$104</f>
        <v>CHP-GRD-100</v>
      </c>
      <c r="B83" s="3" t="str">
        <f aca="false">'4D Schedule'!$C$104</f>
        <v>Pump foundations F2-09 &amp; F2-10 (Bay 5–6)</v>
      </c>
      <c r="C83" s="3" t="str">
        <f aca="false">IF('4D Schedule'!$L$104="Milestone","Construct",'4D Schedule'!$L$104)</f>
        <v>Construct</v>
      </c>
      <c r="D83" s="65" t="n">
        <f aca="false">'4D Schedule'!$AE$104</f>
        <v>46316</v>
      </c>
      <c r="E83" s="65" t="n">
        <f aca="false">'4D Schedule'!$AF$104</f>
        <v>46322</v>
      </c>
      <c r="F83" s="65" t="str">
        <f aca="false">IF('4D Schedule'!$AA$104="","",'4D Schedule'!$AA$104)</f>
        <v/>
      </c>
      <c r="G83" s="65" t="str">
        <f aca="false">IF('4D Schedule'!$AB$104="","",'4D Schedule'!$AB$104)</f>
        <v/>
      </c>
      <c r="H83" s="65" t="n">
        <f aca="false">'4D Schedule'!$Y$104</f>
        <v>46282</v>
      </c>
      <c r="I83" s="65" t="n">
        <f aca="false">'4D Schedule'!$Z$104</f>
        <v>46286</v>
      </c>
      <c r="J83" s="66" t="n">
        <f aca="false">'4D Schedule'!$AC$104</f>
        <v>0</v>
      </c>
      <c r="K83" s="3" t="str">
        <f aca="false">'4D Schedule'!$AG$104</f>
        <v>Not Started (Late)</v>
      </c>
      <c r="L83" s="3" t="str">
        <f aca="false">IF('4D Schedule'!$K$104="","",'4D Schedule'!$K$104)</f>
        <v>CHP-GRD-100</v>
      </c>
      <c r="M83" s="3" t="str">
        <f aca="false">IF('4D Schedule'!$N$104="","",'4D Schedule'!$N$104)</f>
        <v>JSW USL-CON-CHI-1020</v>
      </c>
      <c r="N83" s="3" t="str">
        <f aca="false">'4D Schedule'!$D$104</f>
        <v>Grade slab &amp; foundations</v>
      </c>
      <c r="O83" s="3" t="str">
        <f aca="false">IF('4D Schedule'!$E$104="","",'4D Schedule'!$E$104)</f>
        <v>Z3</v>
      </c>
      <c r="P83" s="3" t="str">
        <f aca="false">IF('4D Schedule'!$G$104="","",'4D Schedule'!$G$104)</f>
        <v>T.O.C EL ±0.000</v>
      </c>
    </row>
    <row r="84" customFormat="false" ht="15" hidden="false" customHeight="false" outlineLevel="0" collapsed="false">
      <c r="A84" s="3" t="str">
        <f aca="false">'4D Schedule'!$A$105</f>
        <v>CHP-GRD-110</v>
      </c>
      <c r="B84" s="3" t="str">
        <f aca="false">'4D Schedule'!$C$105</f>
        <v>Cable slits (600 deep) between chiller foundations (5 nos)</v>
      </c>
      <c r="C84" s="3" t="str">
        <f aca="false">IF('4D Schedule'!$L$105="Milestone","Construct",'4D Schedule'!$L$105)</f>
        <v>Construct</v>
      </c>
      <c r="D84" s="65" t="n">
        <f aca="false">'4D Schedule'!$AE$105</f>
        <v>46326</v>
      </c>
      <c r="E84" s="65" t="n">
        <f aca="false">'4D Schedule'!$AF$105</f>
        <v>46335</v>
      </c>
      <c r="F84" s="65" t="str">
        <f aca="false">IF('4D Schedule'!$AA$105="","",'4D Schedule'!$AA$105)</f>
        <v/>
      </c>
      <c r="G84" s="65" t="str">
        <f aca="false">IF('4D Schedule'!$AB$105="","",'4D Schedule'!$AB$105)</f>
        <v/>
      </c>
      <c r="H84" s="65" t="n">
        <f aca="false">'4D Schedule'!$Y$105</f>
        <v>46289</v>
      </c>
      <c r="I84" s="65" t="n">
        <f aca="false">'4D Schedule'!$Z$105</f>
        <v>46294</v>
      </c>
      <c r="J84" s="66" t="n">
        <f aca="false">'4D Schedule'!$AC$105</f>
        <v>0</v>
      </c>
      <c r="K84" s="3" t="str">
        <f aca="false">'4D Schedule'!$AG$105</f>
        <v>Not Started (Late)</v>
      </c>
      <c r="L84" s="3" t="str">
        <f aca="false">IF('4D Schedule'!$K$105="","",'4D Schedule'!$K$105)</f>
        <v>CHP-GRD-110</v>
      </c>
      <c r="M84" s="3" t="str">
        <f aca="false">IF('4D Schedule'!$N$105="","",'4D Schedule'!$N$105)</f>
        <v>JSW USL-CON-CHI-1020</v>
      </c>
      <c r="N84" s="3" t="str">
        <f aca="false">'4D Schedule'!$D$105</f>
        <v>Grade slab &amp; foundations</v>
      </c>
      <c r="O84" s="3" t="str">
        <f aca="false">IF('4D Schedule'!$E$105="","",'4D Schedule'!$E$105)</f>
        <v>All</v>
      </c>
      <c r="P84" s="3" t="str">
        <f aca="false">IF('4D Schedule'!$G$105="","",'4D Schedule'!$G$105)</f>
        <v>Top EL ±0.000</v>
      </c>
    </row>
    <row r="85" customFormat="false" ht="15" hidden="false" customHeight="false" outlineLevel="0" collapsed="false">
      <c r="A85" s="3" t="str">
        <f aca="false">'4D Schedule'!$A$106</f>
        <v>CHP-GRD-120</v>
      </c>
      <c r="B85" s="3" t="str">
        <f aca="false">'4D Schedule'!$C$106</f>
        <v>Grade slab 150 thk – Chiller room (Row C–B)</v>
      </c>
      <c r="C85" s="3" t="str">
        <f aca="false">IF('4D Schedule'!$L$106="Milestone","Construct",'4D Schedule'!$L$106)</f>
        <v>Construct</v>
      </c>
      <c r="D85" s="65" t="n">
        <f aca="false">'4D Schedule'!$AE$106</f>
        <v>46336</v>
      </c>
      <c r="E85" s="65" t="n">
        <f aca="false">'4D Schedule'!$AF$106</f>
        <v>46346</v>
      </c>
      <c r="F85" s="65" t="str">
        <f aca="false">IF('4D Schedule'!$AA$106="","",'4D Schedule'!$AA$106)</f>
        <v/>
      </c>
      <c r="G85" s="65" t="str">
        <f aca="false">IF('4D Schedule'!$AB$106="","",'4D Schedule'!$AB$106)</f>
        <v/>
      </c>
      <c r="H85" s="65" t="n">
        <f aca="false">'4D Schedule'!$Y$106</f>
        <v>46295</v>
      </c>
      <c r="I85" s="65" t="n">
        <f aca="false">'4D Schedule'!$Z$106</f>
        <v>46303</v>
      </c>
      <c r="J85" s="66" t="n">
        <f aca="false">'4D Schedule'!$AC$106</f>
        <v>0</v>
      </c>
      <c r="K85" s="3" t="str">
        <f aca="false">'4D Schedule'!$AG$106</f>
        <v>Not Started (Late)</v>
      </c>
      <c r="L85" s="3" t="str">
        <f aca="false">IF('4D Schedule'!$K$106="","",'4D Schedule'!$K$106)</f>
        <v>CHP-GRD-120</v>
      </c>
      <c r="M85" s="3" t="str">
        <f aca="false">IF('4D Schedule'!$N$106="","",'4D Schedule'!$N$106)</f>
        <v>JSW USL-CON-CHI-1020</v>
      </c>
      <c r="N85" s="3" t="str">
        <f aca="false">'4D Schedule'!$D$106</f>
        <v>Grade slab &amp; foundations</v>
      </c>
      <c r="O85" s="3" t="str">
        <f aca="false">IF('4D Schedule'!$E$106="","",'4D Schedule'!$E$106)</f>
        <v>All</v>
      </c>
      <c r="P85" s="3" t="str">
        <f aca="false">IF('4D Schedule'!$G$106="","",'4D Schedule'!$G$106)</f>
        <v>T.O.C EL ±0.000</v>
      </c>
    </row>
    <row r="86" customFormat="false" ht="15" hidden="false" customHeight="false" outlineLevel="0" collapsed="false">
      <c r="A86" s="3" t="str">
        <f aca="false">'4D Schedule'!$A$107</f>
        <v>CHP-GRD-130</v>
      </c>
      <c r="B86" s="3" t="str">
        <f aca="false">'4D Schedule'!$C$107</f>
        <v>Grade slab 150 thk – Pump area (Row B–A) incl. 150×100 surface drain</v>
      </c>
      <c r="C86" s="3" t="str">
        <f aca="false">IF('4D Schedule'!$L$107="Milestone","Construct",'4D Schedule'!$L$107)</f>
        <v>Construct</v>
      </c>
      <c r="D86" s="65" t="n">
        <f aca="false">'4D Schedule'!$AE$107</f>
        <v>46339</v>
      </c>
      <c r="E86" s="65" t="n">
        <f aca="false">'4D Schedule'!$AF$107</f>
        <v>46351</v>
      </c>
      <c r="F86" s="65" t="str">
        <f aca="false">IF('4D Schedule'!$AA$107="","",'4D Schedule'!$AA$107)</f>
        <v/>
      </c>
      <c r="G86" s="65" t="str">
        <f aca="false">IF('4D Schedule'!$AB$107="","",'4D Schedule'!$AB$107)</f>
        <v/>
      </c>
      <c r="H86" s="65" t="n">
        <f aca="false">'4D Schedule'!$Y$107</f>
        <v>46300</v>
      </c>
      <c r="I86" s="65" t="n">
        <f aca="false">'4D Schedule'!$Z$107</f>
        <v>46307</v>
      </c>
      <c r="J86" s="66" t="n">
        <f aca="false">'4D Schedule'!$AC$107</f>
        <v>0</v>
      </c>
      <c r="K86" s="3" t="str">
        <f aca="false">'4D Schedule'!$AG$107</f>
        <v>Not Started</v>
      </c>
      <c r="L86" s="3" t="str">
        <f aca="false">IF('4D Schedule'!$K$107="","",'4D Schedule'!$K$107)</f>
        <v>CHP-GRD-130</v>
      </c>
      <c r="M86" s="3" t="str">
        <f aca="false">IF('4D Schedule'!$N$107="","",'4D Schedule'!$N$107)</f>
        <v>JSW USL-CON-CHI-1020</v>
      </c>
      <c r="N86" s="3" t="str">
        <f aca="false">'4D Schedule'!$D$107</f>
        <v>Grade slab &amp; foundations</v>
      </c>
      <c r="O86" s="3" t="str">
        <f aca="false">IF('4D Schedule'!$E$107="","",'4D Schedule'!$E$107)</f>
        <v>All</v>
      </c>
      <c r="P86" s="3" t="str">
        <f aca="false">IF('4D Schedule'!$G$107="","",'4D Schedule'!$G$107)</f>
        <v>T.O.C EL ±0.000 / EL ±0.000</v>
      </c>
    </row>
    <row r="87" customFormat="false" ht="15" hidden="false" customHeight="false" outlineLevel="0" collapsed="false">
      <c r="A87" s="3" t="str">
        <f aca="false">'4D Schedule'!$A$108</f>
        <v>CHP-GRD-140</v>
      </c>
      <c r="B87" s="3" t="str">
        <f aca="false">'4D Schedule'!$C$108</f>
        <v>Precast covers – cable trenches, cable pit &amp; drain crossings (placement)</v>
      </c>
      <c r="C87" s="3" t="str">
        <f aca="false">IF('4D Schedule'!$L$108="Milestone","Construct",'4D Schedule'!$L$108)</f>
        <v>Construct</v>
      </c>
      <c r="D87" s="65" t="n">
        <f aca="false">'4D Schedule'!$AE$108</f>
        <v>46338</v>
      </c>
      <c r="E87" s="65" t="n">
        <f aca="false">'4D Schedule'!$AF$108</f>
        <v>46344</v>
      </c>
      <c r="F87" s="65" t="str">
        <f aca="false">IF('4D Schedule'!$AA$108="","",'4D Schedule'!$AA$108)</f>
        <v/>
      </c>
      <c r="G87" s="65" t="str">
        <f aca="false">IF('4D Schedule'!$AB$108="","",'4D Schedule'!$AB$108)</f>
        <v/>
      </c>
      <c r="H87" s="65" t="n">
        <f aca="false">'4D Schedule'!$Y$108</f>
        <v>46298</v>
      </c>
      <c r="I87" s="65" t="n">
        <f aca="false">'4D Schedule'!$Z$108</f>
        <v>46302</v>
      </c>
      <c r="J87" s="66" t="n">
        <f aca="false">'4D Schedule'!$AC$108</f>
        <v>0</v>
      </c>
      <c r="K87" s="3" t="str">
        <f aca="false">'4D Schedule'!$AG$108</f>
        <v>Not Started</v>
      </c>
      <c r="L87" s="3" t="str">
        <f aca="false">IF('4D Schedule'!$K$108="","",'4D Schedule'!$K$108)</f>
        <v>CHP-GRD-140</v>
      </c>
      <c r="M87" s="3" t="str">
        <f aca="false">IF('4D Schedule'!$N$108="","",'4D Schedule'!$N$108)</f>
        <v>JSW USL-CON-CHI-1020</v>
      </c>
      <c r="N87" s="3" t="str">
        <f aca="false">'4D Schedule'!$D$108</f>
        <v>Grade slab &amp; foundations</v>
      </c>
      <c r="O87" s="3" t="str">
        <f aca="false">IF('4D Schedule'!$E$108="","",'4D Schedule'!$E$108)</f>
        <v>All</v>
      </c>
      <c r="P87" s="3" t="str">
        <f aca="false">IF('4D Schedule'!$G$108="","",'4D Schedule'!$G$108)</f>
        <v>EL ±0.000</v>
      </c>
    </row>
    <row r="88" customFormat="false" ht="15" hidden="false" customHeight="false" outlineLevel="0" collapsed="false">
      <c r="A88" s="3" t="str">
        <f aca="false">'4D Schedule'!$A$109</f>
        <v>CHP-GRD-150</v>
      </c>
      <c r="B88" s="3" t="str">
        <f aca="false">'4D Schedule'!$C$109</f>
        <v>Plinth protection, garland drain &amp; 100Ø PVC drain pipes (all round)</v>
      </c>
      <c r="C88" s="3" t="str">
        <f aca="false">IF('4D Schedule'!$L$109="Milestone","Construct",'4D Schedule'!$L$109)</f>
        <v>Construct</v>
      </c>
      <c r="D88" s="65" t="n">
        <f aca="false">'4D Schedule'!$AE$109</f>
        <v>46300</v>
      </c>
      <c r="E88" s="65" t="n">
        <f aca="false">'4D Schedule'!$AF$109</f>
        <v>46317</v>
      </c>
      <c r="F88" s="65" t="str">
        <f aca="false">IF('4D Schedule'!$AA$109="","",'4D Schedule'!$AA$109)</f>
        <v/>
      </c>
      <c r="G88" s="65" t="str">
        <f aca="false">IF('4D Schedule'!$AB$109="","",'4D Schedule'!$AB$109)</f>
        <v/>
      </c>
      <c r="H88" s="65" t="n">
        <f aca="false">'4D Schedule'!$Y$109</f>
        <v>46272</v>
      </c>
      <c r="I88" s="65" t="n">
        <f aca="false">'4D Schedule'!$Z$109</f>
        <v>46282</v>
      </c>
      <c r="J88" s="66" t="n">
        <f aca="false">'4D Schedule'!$AC$109</f>
        <v>0</v>
      </c>
      <c r="K88" s="3" t="str">
        <f aca="false">'4D Schedule'!$AG$109</f>
        <v>Not Started (Late)</v>
      </c>
      <c r="L88" s="3" t="str">
        <f aca="false">IF('4D Schedule'!$K$109="","",'4D Schedule'!$K$109)</f>
        <v>CHP-GRD-150</v>
      </c>
      <c r="M88" s="3" t="str">
        <f aca="false">IF('4D Schedule'!$N$109="","",'4D Schedule'!$N$109)</f>
        <v>JSW USL-CON-CHI-1020</v>
      </c>
      <c r="N88" s="3" t="str">
        <f aca="false">'4D Schedule'!$D$109</f>
        <v>Grade slab &amp; foundations</v>
      </c>
      <c r="O88" s="3" t="str">
        <f aca="false">IF('4D Schedule'!$E$109="","",'4D Schedule'!$E$109)</f>
        <v>All</v>
      </c>
      <c r="P88" s="3" t="str">
        <f aca="false">IF('4D Schedule'!$G$109="","",'4D Schedule'!$G$109)</f>
        <v>FGL EL(-)0.500 / Below FGL</v>
      </c>
    </row>
    <row r="89" customFormat="false" ht="15" hidden="false" customHeight="false" outlineLevel="0" collapsed="false">
      <c r="A89" s="3" t="str">
        <f aca="false">'4D Schedule'!$A$110</f>
        <v>CHP-MS-090</v>
      </c>
      <c r="B89" s="3" t="str">
        <f aca="false">'4D Schedule'!$C$110</f>
        <v>Civil works complete (all RCC incl. grade slab &amp; equipment foundations)</v>
      </c>
      <c r="C89" s="3" t="str">
        <f aca="false">IF('4D Schedule'!$L$110="Milestone","Construct",'4D Schedule'!$L$110)</f>
        <v>Construct</v>
      </c>
      <c r="D89" s="65" t="n">
        <f aca="false">'4D Schedule'!$AE$110</f>
        <v>46351</v>
      </c>
      <c r="E89" s="65" t="n">
        <f aca="false">'4D Schedule'!$AF$110</f>
        <v>46351</v>
      </c>
      <c r="F89" s="65" t="str">
        <f aca="false">IF('4D Schedule'!$AA$110="","",'4D Schedule'!$AA$110)</f>
        <v/>
      </c>
      <c r="G89" s="65" t="str">
        <f aca="false">IF('4D Schedule'!$AB$110="","",'4D Schedule'!$AB$110)</f>
        <v/>
      </c>
      <c r="H89" s="65" t="n">
        <f aca="false">'4D Schedule'!$Y$110</f>
        <v>46307</v>
      </c>
      <c r="I89" s="65" t="n">
        <f aca="false">'4D Schedule'!$Z$110</f>
        <v>46307</v>
      </c>
      <c r="J89" s="66" t="n">
        <f aca="false">'4D Schedule'!$AC$110</f>
        <v>0</v>
      </c>
      <c r="K89" s="3" t="str">
        <f aca="false">'4D Schedule'!$AG$110</f>
        <v>Not Started</v>
      </c>
      <c r="L89" s="3" t="str">
        <f aca="false">IF('4D Schedule'!$K$110="","",'4D Schedule'!$K$110)</f>
        <v/>
      </c>
      <c r="M89" s="3" t="str">
        <f aca="false">IF('4D Schedule'!$N$110="","",'4D Schedule'!$N$110)</f>
        <v>JSW USL-CON-CHI-1020</v>
      </c>
      <c r="N89" s="3" t="str">
        <f aca="false">'4D Schedule'!$D$110</f>
        <v>Milestone</v>
      </c>
      <c r="O89" s="3" t="str">
        <f aca="false">IF('4D Schedule'!$E$110="","",'4D Schedule'!$E$110)</f>
        <v/>
      </c>
      <c r="P89" s="3" t="str">
        <f aca="false">IF('4D Schedule'!$G$110="","",'4D Schedule'!$G$110)</f>
        <v/>
      </c>
    </row>
    <row r="90" customFormat="false" ht="15" hidden="false" customHeight="false" outlineLevel="0" collapsed="false">
      <c r="A90" s="3" t="str">
        <f aca="false">'4D Schedule'!$A$112</f>
        <v>CHP-EQP-010</v>
      </c>
      <c r="B90" s="3" t="str">
        <f aca="false">'4D Schedule'!$C$112</f>
        <v>Chiller CH-01 on F1-01 (Bay 1–2) – setting, levelling, alignment &amp; grouting</v>
      </c>
      <c r="C90" s="3" t="str">
        <f aca="false">IF('4D Schedule'!$L$112="Milestone","Construct",'4D Schedule'!$L$112)</f>
        <v>Construct</v>
      </c>
      <c r="D90" s="65" t="n">
        <f aca="false">'4D Schedule'!$AE$112</f>
        <v>46389</v>
      </c>
      <c r="E90" s="65" t="n">
        <f aca="false">'4D Schedule'!$AF$112</f>
        <v>46405</v>
      </c>
      <c r="F90" s="65" t="str">
        <f aca="false">IF('4D Schedule'!$AA$112="","",'4D Schedule'!$AA$112)</f>
        <v/>
      </c>
      <c r="G90" s="65" t="str">
        <f aca="false">IF('4D Schedule'!$AB$112="","",'4D Schedule'!$AB$112)</f>
        <v/>
      </c>
      <c r="H90" s="65" t="n">
        <f aca="false">'4D Schedule'!$Y$112</f>
        <v>46402</v>
      </c>
      <c r="I90" s="65" t="n">
        <f aca="false">'4D Schedule'!$Z$112</f>
        <v>46419</v>
      </c>
      <c r="J90" s="66" t="n">
        <f aca="false">'4D Schedule'!$AC$112</f>
        <v>0</v>
      </c>
      <c r="K90" s="3" t="str">
        <f aca="false">'4D Schedule'!$AG$112</f>
        <v>Not Started</v>
      </c>
      <c r="L90" s="3" t="str">
        <f aca="false">IF('4D Schedule'!$K$112="","",'4D Schedule'!$K$112)</f>
        <v>CHP-EQP-010</v>
      </c>
      <c r="M90" s="3" t="str">
        <f aca="false">IF('4D Schedule'!$N$112="","",'4D Schedule'!$N$112)</f>
        <v>JSW USL-CON-CHI-1030</v>
      </c>
      <c r="N90" s="3" t="str">
        <f aca="false">'4D Schedule'!$D$112</f>
        <v>Equipment</v>
      </c>
      <c r="O90" s="3" t="str">
        <f aca="false">IF('4D Schedule'!$E$112="","",'4D Schedule'!$E$112)</f>
        <v>Z1</v>
      </c>
      <c r="P90" s="3" t="str">
        <f aca="false">IF('4D Schedule'!$G$112="","",'4D Schedule'!$G$112)</f>
        <v>EL ±0.000</v>
      </c>
    </row>
    <row r="91" customFormat="false" ht="15" hidden="false" customHeight="false" outlineLevel="0" collapsed="false">
      <c r="A91" s="3" t="str">
        <f aca="false">'4D Schedule'!$A$113</f>
        <v>CHP-EQP-020</v>
      </c>
      <c r="B91" s="3" t="str">
        <f aca="false">'4D Schedule'!$C$113</f>
        <v>Chiller CH-02 on F1-02 (Bay 2–3) – setting, levelling, alignment &amp; grouting</v>
      </c>
      <c r="C91" s="3" t="str">
        <f aca="false">IF('4D Schedule'!$L$113="Milestone","Construct",'4D Schedule'!$L$113)</f>
        <v>Construct</v>
      </c>
      <c r="D91" s="65" t="n">
        <f aca="false">'4D Schedule'!$AE$113</f>
        <v>46399</v>
      </c>
      <c r="E91" s="65" t="n">
        <f aca="false">'4D Schedule'!$AF$113</f>
        <v>46415</v>
      </c>
      <c r="F91" s="65" t="str">
        <f aca="false">IF('4D Schedule'!$AA$113="","",'4D Schedule'!$AA$113)</f>
        <v/>
      </c>
      <c r="G91" s="65" t="str">
        <f aca="false">IF('4D Schedule'!$AB$113="","",'4D Schedule'!$AB$113)</f>
        <v/>
      </c>
      <c r="H91" s="65" t="n">
        <f aca="false">'4D Schedule'!$Y$113</f>
        <v>46412</v>
      </c>
      <c r="I91" s="65" t="n">
        <f aca="false">'4D Schedule'!$Z$113</f>
        <v>46428</v>
      </c>
      <c r="J91" s="66" t="n">
        <f aca="false">'4D Schedule'!$AC$113</f>
        <v>0</v>
      </c>
      <c r="K91" s="3" t="str">
        <f aca="false">'4D Schedule'!$AG$113</f>
        <v>Not Started</v>
      </c>
      <c r="L91" s="3" t="str">
        <f aca="false">IF('4D Schedule'!$K$113="","",'4D Schedule'!$K$113)</f>
        <v>CHP-EQP-020</v>
      </c>
      <c r="M91" s="3" t="str">
        <f aca="false">IF('4D Schedule'!$N$113="","",'4D Schedule'!$N$113)</f>
        <v>JSW USL-CON-CHI-1030</v>
      </c>
      <c r="N91" s="3" t="str">
        <f aca="false">'4D Schedule'!$D$113</f>
        <v>Equipment</v>
      </c>
      <c r="O91" s="3" t="str">
        <f aca="false">IF('4D Schedule'!$E$113="","",'4D Schedule'!$E$113)</f>
        <v>Z1</v>
      </c>
      <c r="P91" s="3" t="str">
        <f aca="false">IF('4D Schedule'!$G$113="","",'4D Schedule'!$G$113)</f>
        <v>EL ±0.000</v>
      </c>
    </row>
    <row r="92" customFormat="false" ht="15" hidden="false" customHeight="false" outlineLevel="0" collapsed="false">
      <c r="A92" s="3" t="str">
        <f aca="false">'4D Schedule'!$A$114</f>
        <v>CHP-EQP-030</v>
      </c>
      <c r="B92" s="3" t="str">
        <f aca="false">'4D Schedule'!$C$114</f>
        <v>Chiller CH-03 on F1-03 (Bay 3–4) – setting, levelling, alignment &amp; grouting</v>
      </c>
      <c r="C92" s="3" t="str">
        <f aca="false">IF('4D Schedule'!$L$114="Milestone","Construct",'4D Schedule'!$L$114)</f>
        <v>Construct</v>
      </c>
      <c r="D92" s="65" t="n">
        <f aca="false">'4D Schedule'!$AE$114</f>
        <v>46408</v>
      </c>
      <c r="E92" s="65" t="n">
        <f aca="false">'4D Schedule'!$AF$114</f>
        <v>46424</v>
      </c>
      <c r="F92" s="65" t="str">
        <f aca="false">IF('4D Schedule'!$AA$114="","",'4D Schedule'!$AA$114)</f>
        <v/>
      </c>
      <c r="G92" s="65" t="str">
        <f aca="false">IF('4D Schedule'!$AB$114="","",'4D Schedule'!$AB$114)</f>
        <v/>
      </c>
      <c r="H92" s="65" t="n">
        <f aca="false">'4D Schedule'!$Y$114</f>
        <v>46422</v>
      </c>
      <c r="I92" s="65" t="n">
        <f aca="false">'4D Schedule'!$Z$114</f>
        <v>46437</v>
      </c>
      <c r="J92" s="66" t="n">
        <f aca="false">'4D Schedule'!$AC$114</f>
        <v>0</v>
      </c>
      <c r="K92" s="3" t="str">
        <f aca="false">'4D Schedule'!$AG$114</f>
        <v>Not Started</v>
      </c>
      <c r="L92" s="3" t="str">
        <f aca="false">IF('4D Schedule'!$K$114="","",'4D Schedule'!$K$114)</f>
        <v>CHP-EQP-030</v>
      </c>
      <c r="M92" s="3" t="str">
        <f aca="false">IF('4D Schedule'!$N$114="","",'4D Schedule'!$N$114)</f>
        <v>JSW USL-CON-CHI-1030</v>
      </c>
      <c r="N92" s="3" t="str">
        <f aca="false">'4D Schedule'!$D$114</f>
        <v>Equipment</v>
      </c>
      <c r="O92" s="3" t="str">
        <f aca="false">IF('4D Schedule'!$E$114="","",'4D Schedule'!$E$114)</f>
        <v>Z2</v>
      </c>
      <c r="P92" s="3" t="str">
        <f aca="false">IF('4D Schedule'!$G$114="","",'4D Schedule'!$G$114)</f>
        <v>EL ±0.000</v>
      </c>
    </row>
    <row r="93" customFormat="false" ht="15" hidden="false" customHeight="false" outlineLevel="0" collapsed="false">
      <c r="A93" s="3" t="str">
        <f aca="false">'4D Schedule'!$A$115</f>
        <v>CHP-EQP-040</v>
      </c>
      <c r="B93" s="3" t="str">
        <f aca="false">'4D Schedule'!$C$115</f>
        <v>Chiller CH-04 on F1-04 (Bay 4–5) – setting, levelling, alignment &amp; grouting</v>
      </c>
      <c r="C93" s="3" t="str">
        <f aca="false">IF('4D Schedule'!$L$115="Milestone","Construct",'4D Schedule'!$L$115)</f>
        <v>Construct</v>
      </c>
      <c r="D93" s="65" t="n">
        <f aca="false">'4D Schedule'!$AE$115</f>
        <v>46419</v>
      </c>
      <c r="E93" s="65" t="n">
        <f aca="false">'4D Schedule'!$AF$115</f>
        <v>46434</v>
      </c>
      <c r="F93" s="65" t="str">
        <f aca="false">IF('4D Schedule'!$AA$115="","",'4D Schedule'!$AA$115)</f>
        <v/>
      </c>
      <c r="G93" s="65" t="str">
        <f aca="false">IF('4D Schedule'!$AB$115="","",'4D Schedule'!$AB$115)</f>
        <v/>
      </c>
      <c r="H93" s="65" t="n">
        <f aca="false">'4D Schedule'!$Y$115</f>
        <v>46431</v>
      </c>
      <c r="I93" s="65" t="n">
        <f aca="false">'4D Schedule'!$Z$115</f>
        <v>46447</v>
      </c>
      <c r="J93" s="66" t="n">
        <f aca="false">'4D Schedule'!$AC$115</f>
        <v>0</v>
      </c>
      <c r="K93" s="3" t="str">
        <f aca="false">'4D Schedule'!$AG$115</f>
        <v>Not Started</v>
      </c>
      <c r="L93" s="3" t="str">
        <f aca="false">IF('4D Schedule'!$K$115="","",'4D Schedule'!$K$115)</f>
        <v>CHP-EQP-040</v>
      </c>
      <c r="M93" s="3" t="str">
        <f aca="false">IF('4D Schedule'!$N$115="","",'4D Schedule'!$N$115)</f>
        <v>JSW USL-CON-CHI-1030</v>
      </c>
      <c r="N93" s="3" t="str">
        <f aca="false">'4D Schedule'!$D$115</f>
        <v>Equipment</v>
      </c>
      <c r="O93" s="3" t="str">
        <f aca="false">IF('4D Schedule'!$E$115="","",'4D Schedule'!$E$115)</f>
        <v>Z2</v>
      </c>
      <c r="P93" s="3" t="str">
        <f aca="false">IF('4D Schedule'!$G$115="","",'4D Schedule'!$G$115)</f>
        <v>EL ±0.000</v>
      </c>
    </row>
    <row r="94" customFormat="false" ht="15" hidden="false" customHeight="false" outlineLevel="0" collapsed="false">
      <c r="A94" s="3" t="str">
        <f aca="false">'4D Schedule'!$A$116</f>
        <v>CHP-EQP-050</v>
      </c>
      <c r="B94" s="3" t="str">
        <f aca="false">'4D Schedule'!$C$116</f>
        <v>Chiller CH-05 on F1-05 (Bay 5–6) – setting, levelling, alignment &amp; grouting</v>
      </c>
      <c r="C94" s="3" t="str">
        <f aca="false">IF('4D Schedule'!$L$116="Milestone","Construct",'4D Schedule'!$L$116)</f>
        <v>Construct</v>
      </c>
      <c r="D94" s="65" t="n">
        <f aca="false">'4D Schedule'!$AE$116</f>
        <v>46428</v>
      </c>
      <c r="E94" s="65" t="n">
        <f aca="false">'4D Schedule'!$AF$116</f>
        <v>46443</v>
      </c>
      <c r="F94" s="65" t="str">
        <f aca="false">IF('4D Schedule'!$AA$116="","",'4D Schedule'!$AA$116)</f>
        <v/>
      </c>
      <c r="G94" s="65" t="str">
        <f aca="false">IF('4D Schedule'!$AB$116="","",'4D Schedule'!$AB$116)</f>
        <v/>
      </c>
      <c r="H94" s="65" t="n">
        <f aca="false">'4D Schedule'!$Y$116</f>
        <v>46441</v>
      </c>
      <c r="I94" s="65" t="n">
        <f aca="false">'4D Schedule'!$Z$116</f>
        <v>46457</v>
      </c>
      <c r="J94" s="66" t="n">
        <f aca="false">'4D Schedule'!$AC$116</f>
        <v>0</v>
      </c>
      <c r="K94" s="3" t="str">
        <f aca="false">'4D Schedule'!$AG$116</f>
        <v>Not Started</v>
      </c>
      <c r="L94" s="3" t="str">
        <f aca="false">IF('4D Schedule'!$K$116="","",'4D Schedule'!$K$116)</f>
        <v>CHP-EQP-050</v>
      </c>
      <c r="M94" s="3" t="str">
        <f aca="false">IF('4D Schedule'!$N$116="","",'4D Schedule'!$N$116)</f>
        <v>JSW USL-CON-CHI-1030</v>
      </c>
      <c r="N94" s="3" t="str">
        <f aca="false">'4D Schedule'!$D$116</f>
        <v>Equipment</v>
      </c>
      <c r="O94" s="3" t="str">
        <f aca="false">IF('4D Schedule'!$E$116="","",'4D Schedule'!$E$116)</f>
        <v>Z3</v>
      </c>
      <c r="P94" s="3" t="str">
        <f aca="false">IF('4D Schedule'!$G$116="","",'4D Schedule'!$G$116)</f>
        <v>EL ±0.000</v>
      </c>
    </row>
    <row r="95" customFormat="false" ht="15" hidden="false" customHeight="false" outlineLevel="0" collapsed="false">
      <c r="A95" s="3" t="str">
        <f aca="false">'4D Schedule'!$A$117</f>
        <v>CHP-EQP-060</v>
      </c>
      <c r="B95" s="3" t="str">
        <f aca="false">'4D Schedule'!$C$117</f>
        <v>Hoists – 2T chain pulley block on MR-1 &amp; 10T electric hoist on MR-2</v>
      </c>
      <c r="C95" s="3" t="str">
        <f aca="false">IF('4D Schedule'!$L$117="Milestone","Construct",'4D Schedule'!$L$117)</f>
        <v>Construct</v>
      </c>
      <c r="D95" s="65" t="n">
        <f aca="false">'4D Schedule'!$AE$117</f>
        <v>46389</v>
      </c>
      <c r="E95" s="65" t="n">
        <f aca="false">'4D Schedule'!$AF$117</f>
        <v>46394</v>
      </c>
      <c r="F95" s="65" t="str">
        <f aca="false">IF('4D Schedule'!$AA$117="","",'4D Schedule'!$AA$117)</f>
        <v/>
      </c>
      <c r="G95" s="65" t="str">
        <f aca="false">IF('4D Schedule'!$AB$117="","",'4D Schedule'!$AB$117)</f>
        <v/>
      </c>
      <c r="H95" s="65" t="n">
        <f aca="false">'4D Schedule'!$Y$117</f>
        <v>46402</v>
      </c>
      <c r="I95" s="65" t="n">
        <f aca="false">'4D Schedule'!$Z$117</f>
        <v>46407</v>
      </c>
      <c r="J95" s="66" t="n">
        <f aca="false">'4D Schedule'!$AC$117</f>
        <v>0</v>
      </c>
      <c r="K95" s="3" t="str">
        <f aca="false">'4D Schedule'!$AG$117</f>
        <v>Not Started</v>
      </c>
      <c r="L95" s="3" t="str">
        <f aca="false">IF('4D Schedule'!$K$117="","",'4D Schedule'!$K$117)</f>
        <v>CHP-EQP-060</v>
      </c>
      <c r="M95" s="3" t="str">
        <f aca="false">IF('4D Schedule'!$N$117="","",'4D Schedule'!$N$117)</f>
        <v>JSW USL-CON-CHI-1030</v>
      </c>
      <c r="N95" s="3" t="str">
        <f aca="false">'4D Schedule'!$D$117</f>
        <v>Equipment</v>
      </c>
      <c r="O95" s="3" t="str">
        <f aca="false">IF('4D Schedule'!$E$117="","",'4D Schedule'!$E$117)</f>
        <v>All</v>
      </c>
      <c r="P95" s="3" t="str">
        <f aca="false">IF('4D Schedule'!$G$117="","",'4D Schedule'!$G$117)</f>
        <v>B.O.MR +8.100 / B.O.MR +7.900</v>
      </c>
    </row>
    <row r="96" customFormat="false" ht="15" hidden="false" customHeight="false" outlineLevel="0" collapsed="false">
      <c r="A96" s="3" t="str">
        <f aca="false">'4D Schedule'!$A$118</f>
        <v>CHP-EQP-070</v>
      </c>
      <c r="B96" s="3" t="str">
        <f aca="false">'4D Schedule'!$C$118</f>
        <v>Pumps P-01 to P-04 on F2-01..04 (Bays 1–3) – setting, alignment &amp; grouting</v>
      </c>
      <c r="C96" s="3" t="str">
        <f aca="false">IF('4D Schedule'!$L$118="Milestone","Construct",'4D Schedule'!$L$118)</f>
        <v>Construct</v>
      </c>
      <c r="D96" s="65" t="n">
        <f aca="false">'4D Schedule'!$AE$118</f>
        <v>46401</v>
      </c>
      <c r="E96" s="65" t="n">
        <f aca="false">'4D Schedule'!$AF$118</f>
        <v>46415</v>
      </c>
      <c r="F96" s="65" t="str">
        <f aca="false">IF('4D Schedule'!$AA$118="","",'4D Schedule'!$AA$118)</f>
        <v/>
      </c>
      <c r="G96" s="65" t="str">
        <f aca="false">IF('4D Schedule'!$AB$118="","",'4D Schedule'!$AB$118)</f>
        <v/>
      </c>
      <c r="H96" s="65" t="n">
        <f aca="false">'4D Schedule'!$Y$118</f>
        <v>46415</v>
      </c>
      <c r="I96" s="65" t="n">
        <f aca="false">'4D Schedule'!$Z$118</f>
        <v>46428</v>
      </c>
      <c r="J96" s="66" t="n">
        <f aca="false">'4D Schedule'!$AC$118</f>
        <v>0</v>
      </c>
      <c r="K96" s="3" t="str">
        <f aca="false">'4D Schedule'!$AG$118</f>
        <v>Not Started</v>
      </c>
      <c r="L96" s="3" t="str">
        <f aca="false">IF('4D Schedule'!$K$118="","",'4D Schedule'!$K$118)</f>
        <v>CHP-EQP-070</v>
      </c>
      <c r="M96" s="3" t="str">
        <f aca="false">IF('4D Schedule'!$N$118="","",'4D Schedule'!$N$118)</f>
        <v>JSW USL-CON-CHI-1030</v>
      </c>
      <c r="N96" s="3" t="str">
        <f aca="false">'4D Schedule'!$D$118</f>
        <v>Equipment</v>
      </c>
      <c r="O96" s="3" t="str">
        <f aca="false">IF('4D Schedule'!$E$118="","",'4D Schedule'!$E$118)</f>
        <v>Z1</v>
      </c>
      <c r="P96" s="3" t="str">
        <f aca="false">IF('4D Schedule'!$G$118="","",'4D Schedule'!$G$118)</f>
        <v>EL ±0.000</v>
      </c>
    </row>
    <row r="97" customFormat="false" ht="15" hidden="false" customHeight="false" outlineLevel="0" collapsed="false">
      <c r="A97" s="3" t="str">
        <f aca="false">'4D Schedule'!$A$119</f>
        <v>CHP-EQP-080</v>
      </c>
      <c r="B97" s="3" t="str">
        <f aca="false">'4D Schedule'!$C$119</f>
        <v>Pumps P-05 to P-08 on F2-05..08 (Bays 3–5) – setting, alignment &amp; grouting</v>
      </c>
      <c r="C97" s="3" t="str">
        <f aca="false">IF('4D Schedule'!$L$119="Milestone","Construct",'4D Schedule'!$L$119)</f>
        <v>Construct</v>
      </c>
      <c r="D97" s="65" t="n">
        <f aca="false">'4D Schedule'!$AE$119</f>
        <v>46410</v>
      </c>
      <c r="E97" s="65" t="n">
        <f aca="false">'4D Schedule'!$AF$119</f>
        <v>46424</v>
      </c>
      <c r="F97" s="65" t="str">
        <f aca="false">IF('4D Schedule'!$AA$119="","",'4D Schedule'!$AA$119)</f>
        <v/>
      </c>
      <c r="G97" s="65" t="str">
        <f aca="false">IF('4D Schedule'!$AB$119="","",'4D Schedule'!$AB$119)</f>
        <v/>
      </c>
      <c r="H97" s="65" t="n">
        <f aca="false">'4D Schedule'!$Y$119</f>
        <v>46424</v>
      </c>
      <c r="I97" s="65" t="n">
        <f aca="false">'4D Schedule'!$Z$119</f>
        <v>46437</v>
      </c>
      <c r="J97" s="66" t="n">
        <f aca="false">'4D Schedule'!$AC$119</f>
        <v>0</v>
      </c>
      <c r="K97" s="3" t="str">
        <f aca="false">'4D Schedule'!$AG$119</f>
        <v>Not Started</v>
      </c>
      <c r="L97" s="3" t="str">
        <f aca="false">IF('4D Schedule'!$K$119="","",'4D Schedule'!$K$119)</f>
        <v>CHP-EQP-080</v>
      </c>
      <c r="M97" s="3" t="str">
        <f aca="false">IF('4D Schedule'!$N$119="","",'4D Schedule'!$N$119)</f>
        <v>JSW USL-CON-CHI-1030</v>
      </c>
      <c r="N97" s="3" t="str">
        <f aca="false">'4D Schedule'!$D$119</f>
        <v>Equipment</v>
      </c>
      <c r="O97" s="3" t="str">
        <f aca="false">IF('4D Schedule'!$E$119="","",'4D Schedule'!$E$119)</f>
        <v>Z2</v>
      </c>
      <c r="P97" s="3" t="str">
        <f aca="false">IF('4D Schedule'!$G$119="","",'4D Schedule'!$G$119)</f>
        <v>EL ±0.000</v>
      </c>
    </row>
    <row r="98" customFormat="false" ht="15" hidden="false" customHeight="false" outlineLevel="0" collapsed="false">
      <c r="A98" s="3" t="str">
        <f aca="false">'4D Schedule'!$A$120</f>
        <v>CHP-EQP-090</v>
      </c>
      <c r="B98" s="3" t="str">
        <f aca="false">'4D Schedule'!$C$120</f>
        <v>Pumps P-09 &amp; P-10 on F2-09..10 (Bay 5–6) – setting, alignment &amp; grouting</v>
      </c>
      <c r="C98" s="3" t="str">
        <f aca="false">IF('4D Schedule'!$L$120="Milestone","Construct",'4D Schedule'!$L$120)</f>
        <v>Construct</v>
      </c>
      <c r="D98" s="65" t="n">
        <f aca="false">'4D Schedule'!$AE$120</f>
        <v>46421</v>
      </c>
      <c r="E98" s="65" t="n">
        <f aca="false">'4D Schedule'!$AF$120</f>
        <v>46429</v>
      </c>
      <c r="F98" s="65" t="str">
        <f aca="false">IF('4D Schedule'!$AA$120="","",'4D Schedule'!$AA$120)</f>
        <v/>
      </c>
      <c r="G98" s="65" t="str">
        <f aca="false">IF('4D Schedule'!$AB$120="","",'4D Schedule'!$AB$120)</f>
        <v/>
      </c>
      <c r="H98" s="65" t="n">
        <f aca="false">'4D Schedule'!$Y$120</f>
        <v>46434</v>
      </c>
      <c r="I98" s="65" t="n">
        <f aca="false">'4D Schedule'!$Z$120</f>
        <v>46442</v>
      </c>
      <c r="J98" s="66" t="n">
        <f aca="false">'4D Schedule'!$AC$120</f>
        <v>0</v>
      </c>
      <c r="K98" s="3" t="str">
        <f aca="false">'4D Schedule'!$AG$120</f>
        <v>Not Started</v>
      </c>
      <c r="L98" s="3" t="str">
        <f aca="false">IF('4D Schedule'!$K$120="","",'4D Schedule'!$K$120)</f>
        <v>CHP-EQP-090</v>
      </c>
      <c r="M98" s="3" t="str">
        <f aca="false">IF('4D Schedule'!$N$120="","",'4D Schedule'!$N$120)</f>
        <v>JSW USL-CON-CHI-1030</v>
      </c>
      <c r="N98" s="3" t="str">
        <f aca="false">'4D Schedule'!$D$120</f>
        <v>Equipment</v>
      </c>
      <c r="O98" s="3" t="str">
        <f aca="false">IF('4D Schedule'!$E$120="","",'4D Schedule'!$E$120)</f>
        <v>Z3</v>
      </c>
      <c r="P98" s="3" t="str">
        <f aca="false">IF('4D Schedule'!$G$120="","",'4D Schedule'!$G$120)</f>
        <v>EL ±0.000</v>
      </c>
    </row>
    <row r="99" customFormat="false" ht="15" hidden="false" customHeight="false" outlineLevel="0" collapsed="false">
      <c r="A99" s="3" t="str">
        <f aca="false">'4D Schedule'!$A$121</f>
        <v>CHP-EQP-100</v>
      </c>
      <c r="B99" s="3" t="str">
        <f aca="false">'4D Schedule'!$C$121</f>
        <v>Final alignment, motor/drive coupling &amp; box-up of chillers and pumps</v>
      </c>
      <c r="C99" s="3" t="str">
        <f aca="false">IF('4D Schedule'!$L$121="Milestone","Construct",'4D Schedule'!$L$121)</f>
        <v>Construct</v>
      </c>
      <c r="D99" s="65" t="n">
        <f aca="false">'4D Schedule'!$AE$121</f>
        <v>46444</v>
      </c>
      <c r="E99" s="65" t="n">
        <f aca="false">'4D Schedule'!$AF$121</f>
        <v>46466</v>
      </c>
      <c r="F99" s="65" t="str">
        <f aca="false">IF('4D Schedule'!$AA$121="","",'4D Schedule'!$AA$121)</f>
        <v/>
      </c>
      <c r="G99" s="65" t="str">
        <f aca="false">IF('4D Schedule'!$AB$121="","",'4D Schedule'!$AB$121)</f>
        <v/>
      </c>
      <c r="H99" s="65" t="n">
        <f aca="false">'4D Schedule'!$Y$121</f>
        <v>46458</v>
      </c>
      <c r="I99" s="65" t="n">
        <f aca="false">'4D Schedule'!$Z$121</f>
        <v>46480</v>
      </c>
      <c r="J99" s="66" t="n">
        <f aca="false">'4D Schedule'!$AC$121</f>
        <v>0</v>
      </c>
      <c r="K99" s="3" t="str">
        <f aca="false">'4D Schedule'!$AG$121</f>
        <v>Not Started</v>
      </c>
      <c r="L99" s="3" t="str">
        <f aca="false">IF('4D Schedule'!$K$121="","",'4D Schedule'!$K$121)</f>
        <v>CHP-EQP-100</v>
      </c>
      <c r="M99" s="3" t="str">
        <f aca="false">IF('4D Schedule'!$N$121="","",'4D Schedule'!$N$121)</f>
        <v>JSW USL-CON-CHI-1030</v>
      </c>
      <c r="N99" s="3" t="str">
        <f aca="false">'4D Schedule'!$D$121</f>
        <v>Equipment</v>
      </c>
      <c r="O99" s="3" t="str">
        <f aca="false">IF('4D Schedule'!$E$121="","",'4D Schedule'!$E$121)</f>
        <v>All</v>
      </c>
      <c r="P99" s="3" t="str">
        <f aca="false">IF('4D Schedule'!$G$121="","",'4D Schedule'!$G$121)</f>
        <v>±0.000</v>
      </c>
    </row>
    <row r="100" customFormat="false" ht="15" hidden="false" customHeight="false" outlineLevel="0" collapsed="false">
      <c r="A100" s="3" t="str">
        <f aca="false">'4D Schedule'!$A$123</f>
        <v>CHP-PIP-010</v>
      </c>
      <c r="B100" s="3" t="str">
        <f aca="false">'4D Schedule'!$C$123</f>
        <v>Pipe supports &amp; sleepers – chiller hall</v>
      </c>
      <c r="C100" s="3" t="str">
        <f aca="false">IF('4D Schedule'!$L$123="Milestone","Construct",'4D Schedule'!$L$123)</f>
        <v>Construct</v>
      </c>
      <c r="D100" s="65" t="n">
        <f aca="false">'4D Schedule'!$AE$123</f>
        <v>46414</v>
      </c>
      <c r="E100" s="65" t="n">
        <f aca="false">'4D Schedule'!$AF$123</f>
        <v>46430</v>
      </c>
      <c r="F100" s="65" t="str">
        <f aca="false">IF('4D Schedule'!$AA$123="","",'4D Schedule'!$AA$123)</f>
        <v/>
      </c>
      <c r="G100" s="65" t="str">
        <f aca="false">IF('4D Schedule'!$AB$123="","",'4D Schedule'!$AB$123)</f>
        <v/>
      </c>
      <c r="H100" s="65" t="n">
        <f aca="false">'4D Schedule'!$Y$123</f>
        <v>46427</v>
      </c>
      <c r="I100" s="65" t="n">
        <f aca="false">'4D Schedule'!$Z$123</f>
        <v>46443</v>
      </c>
      <c r="J100" s="66" t="n">
        <f aca="false">'4D Schedule'!$AC$123</f>
        <v>0</v>
      </c>
      <c r="K100" s="3" t="str">
        <f aca="false">'4D Schedule'!$AG$123</f>
        <v>Not Started</v>
      </c>
      <c r="L100" s="3" t="str">
        <f aca="false">IF('4D Schedule'!$K$123="","",'4D Schedule'!$K$123)</f>
        <v>CHP-PIP-010</v>
      </c>
      <c r="M100" s="3" t="str">
        <f aca="false">IF('4D Schedule'!$N$123="","",'4D Schedule'!$N$123)</f>
        <v>JSW USL-CON-CHI-1040</v>
      </c>
      <c r="N100" s="3" t="str">
        <f aca="false">'4D Schedule'!$D$123</f>
        <v>Piping</v>
      </c>
      <c r="O100" s="3" t="str">
        <f aca="false">IF('4D Schedule'!$E$123="","",'4D Schedule'!$E$123)</f>
        <v>All</v>
      </c>
      <c r="P100" s="3" t="str">
        <f aca="false">IF('4D Schedule'!$G$123="","",'4D Schedule'!$G$123)</f>
        <v>±0.000 to +3.0</v>
      </c>
    </row>
    <row r="101" customFormat="false" ht="15" hidden="false" customHeight="false" outlineLevel="0" collapsed="false">
      <c r="A101" s="3" t="str">
        <f aca="false">'4D Schedule'!$A$124</f>
        <v>CHP-PIP-020</v>
      </c>
      <c r="B101" s="3" t="str">
        <f aca="false">'4D Schedule'!$C$124</f>
        <v>CHW &amp; CW headers (supply / return) – fabrication &amp; erection</v>
      </c>
      <c r="C101" s="3" t="str">
        <f aca="false">IF('4D Schedule'!$L$124="Milestone","Construct",'4D Schedule'!$L$124)</f>
        <v>Construct</v>
      </c>
      <c r="D101" s="65" t="n">
        <f aca="false">'4D Schedule'!$AE$124</f>
        <v>46423</v>
      </c>
      <c r="E101" s="65" t="n">
        <f aca="false">'4D Schedule'!$AF$124</f>
        <v>46451</v>
      </c>
      <c r="F101" s="65" t="str">
        <f aca="false">IF('4D Schedule'!$AA$124="","",'4D Schedule'!$AA$124)</f>
        <v/>
      </c>
      <c r="G101" s="65" t="str">
        <f aca="false">IF('4D Schedule'!$AB$124="","",'4D Schedule'!$AB$124)</f>
        <v/>
      </c>
      <c r="H101" s="65" t="n">
        <f aca="false">'4D Schedule'!$Y$124</f>
        <v>46436</v>
      </c>
      <c r="I101" s="65" t="n">
        <f aca="false">'4D Schedule'!$Z$124</f>
        <v>46465</v>
      </c>
      <c r="J101" s="66" t="n">
        <f aca="false">'4D Schedule'!$AC$124</f>
        <v>0</v>
      </c>
      <c r="K101" s="3" t="str">
        <f aca="false">'4D Schedule'!$AG$124</f>
        <v>Not Started</v>
      </c>
      <c r="L101" s="3" t="str">
        <f aca="false">IF('4D Schedule'!$K$124="","",'4D Schedule'!$K$124)</f>
        <v>CHP-PIP-020</v>
      </c>
      <c r="M101" s="3" t="str">
        <f aca="false">IF('4D Schedule'!$N$124="","",'4D Schedule'!$N$124)</f>
        <v>JSW USL-CON-CHI-1040</v>
      </c>
      <c r="N101" s="3" t="str">
        <f aca="false">'4D Schedule'!$D$124</f>
        <v>Piping</v>
      </c>
      <c r="O101" s="3" t="str">
        <f aca="false">IF('4D Schedule'!$E$124="","",'4D Schedule'!$E$124)</f>
        <v>All</v>
      </c>
      <c r="P101" s="3" t="str">
        <f aca="false">IF('4D Schedule'!$G$124="","",'4D Schedule'!$G$124)</f>
        <v>Header elevation</v>
      </c>
    </row>
    <row r="102" customFormat="false" ht="15" hidden="false" customHeight="false" outlineLevel="0" collapsed="false">
      <c r="A102" s="3" t="str">
        <f aca="false">'4D Schedule'!$A$125</f>
        <v>CHP-PIP-030</v>
      </c>
      <c r="B102" s="3" t="str">
        <f aca="false">'4D Schedule'!$C$125</f>
        <v>Chiller hook-up piping CH-01..CH-05 incl. valves, strainers &amp; flexible connectors</v>
      </c>
      <c r="C102" s="3" t="str">
        <f aca="false">IF('4D Schedule'!$L$125="Milestone","Construct",'4D Schedule'!$L$125)</f>
        <v>Construct</v>
      </c>
      <c r="D102" s="65" t="n">
        <f aca="false">'4D Schedule'!$AE$125</f>
        <v>46444</v>
      </c>
      <c r="E102" s="65" t="n">
        <f aca="false">'4D Schedule'!$AF$125</f>
        <v>46469</v>
      </c>
      <c r="F102" s="65" t="str">
        <f aca="false">IF('4D Schedule'!$AA$125="","",'4D Schedule'!$AA$125)</f>
        <v/>
      </c>
      <c r="G102" s="65" t="str">
        <f aca="false">IF('4D Schedule'!$AB$125="","",'4D Schedule'!$AB$125)</f>
        <v/>
      </c>
      <c r="H102" s="65" t="n">
        <f aca="false">'4D Schedule'!$Y$125</f>
        <v>46458</v>
      </c>
      <c r="I102" s="65" t="n">
        <f aca="false">'4D Schedule'!$Z$125</f>
        <v>46482</v>
      </c>
      <c r="J102" s="66" t="n">
        <f aca="false">'4D Schedule'!$AC$125</f>
        <v>0</v>
      </c>
      <c r="K102" s="3" t="str">
        <f aca="false">'4D Schedule'!$AG$125</f>
        <v>Not Started</v>
      </c>
      <c r="L102" s="3" t="str">
        <f aca="false">IF('4D Schedule'!$K$125="","",'4D Schedule'!$K$125)</f>
        <v>CHP-PIP-030</v>
      </c>
      <c r="M102" s="3" t="str">
        <f aca="false">IF('4D Schedule'!$N$125="","",'4D Schedule'!$N$125)</f>
        <v>JSW USL-CON-CHI-1040</v>
      </c>
      <c r="N102" s="3" t="str">
        <f aca="false">'4D Schedule'!$D$125</f>
        <v>Piping</v>
      </c>
      <c r="O102" s="3" t="str">
        <f aca="false">IF('4D Schedule'!$E$125="","",'4D Schedule'!$E$125)</f>
        <v>All</v>
      </c>
      <c r="P102" s="3" t="str">
        <f aca="false">IF('4D Schedule'!$G$125="","",'4D Schedule'!$G$125)</f>
        <v>±0.000 to +3.0</v>
      </c>
    </row>
    <row r="103" customFormat="false" ht="15" hidden="false" customHeight="false" outlineLevel="0" collapsed="false">
      <c r="A103" s="3" t="str">
        <f aca="false">'4D Schedule'!$A$126</f>
        <v>CHP-PIP-040</v>
      </c>
      <c r="B103" s="3" t="str">
        <f aca="false">'4D Schedule'!$C$126</f>
        <v>Pump suction / discharge hook-up P-01..P-10</v>
      </c>
      <c r="C103" s="3" t="str">
        <f aca="false">IF('4D Schedule'!$L$126="Milestone","Construct",'4D Schedule'!$L$126)</f>
        <v>Construct</v>
      </c>
      <c r="D103" s="65" t="n">
        <f aca="false">'4D Schedule'!$AE$126</f>
        <v>46437</v>
      </c>
      <c r="E103" s="65" t="n">
        <f aca="false">'4D Schedule'!$AF$126</f>
        <v>46458</v>
      </c>
      <c r="F103" s="65" t="str">
        <f aca="false">IF('4D Schedule'!$AA$126="","",'4D Schedule'!$AA$126)</f>
        <v/>
      </c>
      <c r="G103" s="65" t="str">
        <f aca="false">IF('4D Schedule'!$AB$126="","",'4D Schedule'!$AB$126)</f>
        <v/>
      </c>
      <c r="H103" s="65" t="n">
        <f aca="false">'4D Schedule'!$Y$126</f>
        <v>46450</v>
      </c>
      <c r="I103" s="65" t="n">
        <f aca="false">'4D Schedule'!$Z$126</f>
        <v>46472</v>
      </c>
      <c r="J103" s="66" t="n">
        <f aca="false">'4D Schedule'!$AC$126</f>
        <v>0</v>
      </c>
      <c r="K103" s="3" t="str">
        <f aca="false">'4D Schedule'!$AG$126</f>
        <v>Not Started</v>
      </c>
      <c r="L103" s="3" t="str">
        <f aca="false">IF('4D Schedule'!$K$126="","",'4D Schedule'!$K$126)</f>
        <v>CHP-PIP-040</v>
      </c>
      <c r="M103" s="3" t="str">
        <f aca="false">IF('4D Schedule'!$N$126="","",'4D Schedule'!$N$126)</f>
        <v>JSW USL-CON-CHI-1040</v>
      </c>
      <c r="N103" s="3" t="str">
        <f aca="false">'4D Schedule'!$D$126</f>
        <v>Piping</v>
      </c>
      <c r="O103" s="3" t="str">
        <f aca="false">IF('4D Schedule'!$E$126="","",'4D Schedule'!$E$126)</f>
        <v>All</v>
      </c>
      <c r="P103" s="3" t="str">
        <f aca="false">IF('4D Schedule'!$G$126="","",'4D Schedule'!$G$126)</f>
        <v>±0.000 to +2.0</v>
      </c>
    </row>
    <row r="104" customFormat="false" ht="15" hidden="false" customHeight="false" outlineLevel="0" collapsed="false">
      <c r="A104" s="3" t="str">
        <f aca="false">'4D Schedule'!$A$127</f>
        <v>CHP-PIP-050</v>
      </c>
      <c r="B104" s="3" t="str">
        <f aca="false">'4D Schedule'!$C$127</f>
        <v>Hydro test, flushing &amp; reinstatement</v>
      </c>
      <c r="C104" s="3" t="str">
        <f aca="false">IF('4D Schedule'!$L$127="Milestone","Construct",'4D Schedule'!$L$127)</f>
        <v>Construct</v>
      </c>
      <c r="D104" s="65" t="n">
        <f aca="false">'4D Schedule'!$AE$127</f>
        <v>46470</v>
      </c>
      <c r="E104" s="65" t="n">
        <f aca="false">'4D Schedule'!$AF$127</f>
        <v>46485</v>
      </c>
      <c r="F104" s="65" t="str">
        <f aca="false">IF('4D Schedule'!$AA$127="","",'4D Schedule'!$AA$127)</f>
        <v/>
      </c>
      <c r="G104" s="65" t="str">
        <f aca="false">IF('4D Schedule'!$AB$127="","",'4D Schedule'!$AB$127)</f>
        <v/>
      </c>
      <c r="H104" s="65" t="n">
        <f aca="false">'4D Schedule'!$Y$127</f>
        <v>46483</v>
      </c>
      <c r="I104" s="65" t="n">
        <f aca="false">'4D Schedule'!$Z$127</f>
        <v>46498</v>
      </c>
      <c r="J104" s="66" t="n">
        <f aca="false">'4D Schedule'!$AC$127</f>
        <v>0</v>
      </c>
      <c r="K104" s="3" t="str">
        <f aca="false">'4D Schedule'!$AG$127</f>
        <v>Not Started</v>
      </c>
      <c r="L104" s="3" t="str">
        <f aca="false">IF('4D Schedule'!$K$127="","",'4D Schedule'!$K$127)</f>
        <v>CHP-PIP-050</v>
      </c>
      <c r="M104" s="3" t="str">
        <f aca="false">IF('4D Schedule'!$N$127="","",'4D Schedule'!$N$127)</f>
        <v>JSW USL-CON-CHI-1040</v>
      </c>
      <c r="N104" s="3" t="str">
        <f aca="false">'4D Schedule'!$D$127</f>
        <v>Piping</v>
      </c>
      <c r="O104" s="3" t="str">
        <f aca="false">IF('4D Schedule'!$E$127="","",'4D Schedule'!$E$127)</f>
        <v>All</v>
      </c>
      <c r="P104" s="3" t="str">
        <f aca="false">IF('4D Schedule'!$G$127="","",'4D Schedule'!$G$127)</f>
        <v>All</v>
      </c>
    </row>
    <row r="105" customFormat="false" ht="15" hidden="false" customHeight="false" outlineLevel="0" collapsed="false">
      <c r="A105" s="3" t="str">
        <f aca="false">'4D Schedule'!$A$129</f>
        <v>CHP-ELE-010</v>
      </c>
      <c r="B105" s="3" t="str">
        <f aca="false">'4D Schedule'!$C$129</f>
        <v>Cable trays &amp; supports – trenches T1/T2, cable pit &amp; cable cellar</v>
      </c>
      <c r="C105" s="3" t="str">
        <f aca="false">IF('4D Schedule'!$L$129="Milestone","Construct",'4D Schedule'!$L$129)</f>
        <v>Construct</v>
      </c>
      <c r="D105" s="65" t="n">
        <f aca="false">'4D Schedule'!$AE$129</f>
        <v>46420</v>
      </c>
      <c r="E105" s="65" t="n">
        <f aca="false">'4D Schedule'!$AF$129</f>
        <v>46442</v>
      </c>
      <c r="F105" s="65" t="str">
        <f aca="false">IF('4D Schedule'!$AA$129="","",'4D Schedule'!$AA$129)</f>
        <v/>
      </c>
      <c r="G105" s="65" t="str">
        <f aca="false">IF('4D Schedule'!$AB$129="","",'4D Schedule'!$AB$129)</f>
        <v/>
      </c>
      <c r="H105" s="65" t="n">
        <f aca="false">'4D Schedule'!$Y$129</f>
        <v>46433</v>
      </c>
      <c r="I105" s="65" t="n">
        <f aca="false">'4D Schedule'!$Z$129</f>
        <v>46456</v>
      </c>
      <c r="J105" s="66" t="n">
        <f aca="false">'4D Schedule'!$AC$129</f>
        <v>0</v>
      </c>
      <c r="K105" s="3" t="str">
        <f aca="false">'4D Schedule'!$AG$129</f>
        <v>Not Started</v>
      </c>
      <c r="L105" s="3" t="str">
        <f aca="false">IF('4D Schedule'!$K$129="","",'4D Schedule'!$K$129)</f>
        <v>CHP-ELE-010</v>
      </c>
      <c r="M105" s="3" t="str">
        <f aca="false">IF('4D Schedule'!$N$129="","",'4D Schedule'!$N$129)</f>
        <v>JSW USL-CON-CHI-1050</v>
      </c>
      <c r="N105" s="3" t="str">
        <f aca="false">'4D Schedule'!$D$129</f>
        <v>Electrical</v>
      </c>
      <c r="O105" s="3" t="str">
        <f aca="false">IF('4D Schedule'!$E$129="","",'4D Schedule'!$E$129)</f>
        <v>All</v>
      </c>
      <c r="P105" s="3" t="str">
        <f aca="false">IF('4D Schedule'!$G$129="","",'4D Schedule'!$G$129)</f>
        <v>EL(-)1.500 to ±0.000</v>
      </c>
    </row>
    <row r="106" customFormat="false" ht="15" hidden="false" customHeight="false" outlineLevel="0" collapsed="false">
      <c r="A106" s="3" t="str">
        <f aca="false">'4D Schedule'!$A$130</f>
        <v>CHP-ELE-020</v>
      </c>
      <c r="B106" s="3" t="str">
        <f aca="false">'4D Schedule'!$C$130</f>
        <v>Cable trays &amp; supports – chiller hall, switchgear room &amp; first floor</v>
      </c>
      <c r="C106" s="3" t="str">
        <f aca="false">IF('4D Schedule'!$L$130="Milestone","Construct",'4D Schedule'!$L$130)</f>
        <v>Construct</v>
      </c>
      <c r="D106" s="65" t="n">
        <f aca="false">'4D Schedule'!$AE$130</f>
        <v>46429</v>
      </c>
      <c r="E106" s="65" t="n">
        <f aca="false">'4D Schedule'!$AF$130</f>
        <v>46451</v>
      </c>
      <c r="F106" s="65" t="str">
        <f aca="false">IF('4D Schedule'!$AA$130="","",'4D Schedule'!$AA$130)</f>
        <v/>
      </c>
      <c r="G106" s="65" t="str">
        <f aca="false">IF('4D Schedule'!$AB$130="","",'4D Schedule'!$AB$130)</f>
        <v/>
      </c>
      <c r="H106" s="65" t="n">
        <f aca="false">'4D Schedule'!$Y$130</f>
        <v>46442</v>
      </c>
      <c r="I106" s="65" t="n">
        <f aca="false">'4D Schedule'!$Z$130</f>
        <v>46465</v>
      </c>
      <c r="J106" s="66" t="n">
        <f aca="false">'4D Schedule'!$AC$130</f>
        <v>0</v>
      </c>
      <c r="K106" s="3" t="str">
        <f aca="false">'4D Schedule'!$AG$130</f>
        <v>Not Started</v>
      </c>
      <c r="L106" s="3" t="str">
        <f aca="false">IF('4D Schedule'!$K$130="","",'4D Schedule'!$K$130)</f>
        <v>CHP-ELE-020</v>
      </c>
      <c r="M106" s="3" t="str">
        <f aca="false">IF('4D Schedule'!$N$130="","",'4D Schedule'!$N$130)</f>
        <v>JSW USL-CON-CHI-1050</v>
      </c>
      <c r="N106" s="3" t="str">
        <f aca="false">'4D Schedule'!$D$130</f>
        <v>Electrical</v>
      </c>
      <c r="O106" s="3" t="str">
        <f aca="false">IF('4D Schedule'!$E$130="","",'4D Schedule'!$E$130)</f>
        <v>All</v>
      </c>
      <c r="P106" s="3" t="str">
        <f aca="false">IF('4D Schedule'!$G$130="","",'4D Schedule'!$G$130)</f>
        <v>+0.000 to +8.0</v>
      </c>
    </row>
    <row r="107" customFormat="false" ht="15" hidden="false" customHeight="false" outlineLevel="0" collapsed="false">
      <c r="A107" s="3" t="str">
        <f aca="false">'4D Schedule'!$A$131</f>
        <v>CHP-ELE-030</v>
      </c>
      <c r="B107" s="3" t="str">
        <f aca="false">'4D Schedule'!$C$131</f>
        <v>Cable laying, glanding &amp; termination (power &amp; control)</v>
      </c>
      <c r="C107" s="3" t="str">
        <f aca="false">IF('4D Schedule'!$L$131="Milestone","Construct",'4D Schedule'!$L$131)</f>
        <v>Construct</v>
      </c>
      <c r="D107" s="65" t="n">
        <f aca="false">'4D Schedule'!$AE$131</f>
        <v>46437</v>
      </c>
      <c r="E107" s="65" t="n">
        <f aca="false">'4D Schedule'!$AF$131</f>
        <v>46473</v>
      </c>
      <c r="F107" s="65" t="str">
        <f aca="false">IF('4D Schedule'!$AA$131="","",'4D Schedule'!$AA$131)</f>
        <v/>
      </c>
      <c r="G107" s="65" t="str">
        <f aca="false">IF('4D Schedule'!$AB$131="","",'4D Schedule'!$AB$131)</f>
        <v/>
      </c>
      <c r="H107" s="65" t="n">
        <f aca="false">'4D Schedule'!$Y$131</f>
        <v>46450</v>
      </c>
      <c r="I107" s="65" t="n">
        <f aca="false">'4D Schedule'!$Z$131</f>
        <v>46486</v>
      </c>
      <c r="J107" s="66" t="n">
        <f aca="false">'4D Schedule'!$AC$131</f>
        <v>0</v>
      </c>
      <c r="K107" s="3" t="str">
        <f aca="false">'4D Schedule'!$AG$131</f>
        <v>Not Started</v>
      </c>
      <c r="L107" s="3" t="str">
        <f aca="false">IF('4D Schedule'!$K$131="","",'4D Schedule'!$K$131)</f>
        <v>CHP-ELE-030</v>
      </c>
      <c r="M107" s="3" t="str">
        <f aca="false">IF('4D Schedule'!$N$131="","",'4D Schedule'!$N$131)</f>
        <v>JSW USL-CON-CHI-1050</v>
      </c>
      <c r="N107" s="3" t="str">
        <f aca="false">'4D Schedule'!$D$131</f>
        <v>Electrical</v>
      </c>
      <c r="O107" s="3" t="str">
        <f aca="false">IF('4D Schedule'!$E$131="","",'4D Schedule'!$E$131)</f>
        <v>All</v>
      </c>
      <c r="P107" s="3" t="str">
        <f aca="false">IF('4D Schedule'!$G$131="","",'4D Schedule'!$G$131)</f>
        <v>All</v>
      </c>
    </row>
    <row r="108" customFormat="false" ht="15" hidden="false" customHeight="false" outlineLevel="0" collapsed="false">
      <c r="A108" s="3" t="str">
        <f aca="false">'4D Schedule'!$A$133</f>
        <v>CHP-ELE-040</v>
      </c>
      <c r="B108" s="3" t="str">
        <f aca="false">'4D Schedule'!$C$133</f>
        <v>Earthing &amp; lightning protection</v>
      </c>
      <c r="C108" s="3" t="str">
        <f aca="false">IF('4D Schedule'!$L$133="Milestone","Construct",'4D Schedule'!$L$133)</f>
        <v>Construct</v>
      </c>
      <c r="D108" s="65" t="n">
        <f aca="false">'4D Schedule'!$AE$133</f>
        <v>46437</v>
      </c>
      <c r="E108" s="65" t="n">
        <f aca="false">'4D Schedule'!$AF$133</f>
        <v>46454</v>
      </c>
      <c r="F108" s="65" t="str">
        <f aca="false">IF('4D Schedule'!$AA$133="","",'4D Schedule'!$AA$133)</f>
        <v/>
      </c>
      <c r="G108" s="65" t="str">
        <f aca="false">IF('4D Schedule'!$AB$133="","",'4D Schedule'!$AB$133)</f>
        <v/>
      </c>
      <c r="H108" s="65" t="n">
        <f aca="false">'4D Schedule'!$Y$133</f>
        <v>46450</v>
      </c>
      <c r="I108" s="65" t="n">
        <f aca="false">'4D Schedule'!$Z$133</f>
        <v>46469</v>
      </c>
      <c r="J108" s="66" t="n">
        <f aca="false">'4D Schedule'!$AC$133</f>
        <v>0</v>
      </c>
      <c r="K108" s="3" t="str">
        <f aca="false">'4D Schedule'!$AG$133</f>
        <v>Not Started</v>
      </c>
      <c r="L108" s="3" t="str">
        <f aca="false">IF('4D Schedule'!$K$133="","",'4D Schedule'!$K$133)</f>
        <v>CHP-ELE-040</v>
      </c>
      <c r="M108" s="3" t="str">
        <f aca="false">IF('4D Schedule'!$N$133="","",'4D Schedule'!$N$133)</f>
        <v>JSW USL-CON-CHI-1060</v>
      </c>
      <c r="N108" s="3" t="str">
        <f aca="false">'4D Schedule'!$D$133</f>
        <v>Electrical</v>
      </c>
      <c r="O108" s="3" t="str">
        <f aca="false">IF('4D Schedule'!$E$133="","",'4D Schedule'!$E$133)</f>
        <v>All</v>
      </c>
      <c r="P108" s="3" t="str">
        <f aca="false">IF('4D Schedule'!$G$133="","",'4D Schedule'!$G$133)</f>
        <v>All</v>
      </c>
    </row>
    <row r="109" customFormat="false" ht="15" hidden="false" customHeight="false" outlineLevel="0" collapsed="false">
      <c r="A109" s="3" t="str">
        <f aca="false">'4D Schedule'!$A$134</f>
        <v>CHP-ELE-050</v>
      </c>
      <c r="B109" s="3" t="str">
        <f aca="false">'4D Schedule'!$C$134</f>
        <v>Lighting fixtures, JBs &amp; small power</v>
      </c>
      <c r="C109" s="3" t="str">
        <f aca="false">IF('4D Schedule'!$L$134="Milestone","Construct",'4D Schedule'!$L$134)</f>
        <v>Construct</v>
      </c>
      <c r="D109" s="65" t="n">
        <f aca="false">'4D Schedule'!$AE$134</f>
        <v>46443</v>
      </c>
      <c r="E109" s="65" t="n">
        <f aca="false">'4D Schedule'!$AF$134</f>
        <v>46491</v>
      </c>
      <c r="F109" s="65" t="str">
        <f aca="false">IF('4D Schedule'!$AA$134="","",'4D Schedule'!$AA$134)</f>
        <v/>
      </c>
      <c r="G109" s="65" t="str">
        <f aca="false">IF('4D Schedule'!$AB$134="","",'4D Schedule'!$AB$134)</f>
        <v/>
      </c>
      <c r="H109" s="65" t="n">
        <f aca="false">'4D Schedule'!$Y$134</f>
        <v>46457</v>
      </c>
      <c r="I109" s="65" t="n">
        <f aca="false">'4D Schedule'!$Z$134</f>
        <v>46504</v>
      </c>
      <c r="J109" s="66" t="n">
        <f aca="false">'4D Schedule'!$AC$134</f>
        <v>0</v>
      </c>
      <c r="K109" s="3" t="str">
        <f aca="false">'4D Schedule'!$AG$134</f>
        <v>Not Started</v>
      </c>
      <c r="L109" s="3" t="str">
        <f aca="false">IF('4D Schedule'!$K$134="","",'4D Schedule'!$K$134)</f>
        <v>CHP-ELE-050</v>
      </c>
      <c r="M109" s="3" t="str">
        <f aca="false">IF('4D Schedule'!$N$134="","",'4D Schedule'!$N$134)</f>
        <v>JSW USL-CON-CHI-1060</v>
      </c>
      <c r="N109" s="3" t="str">
        <f aca="false">'4D Schedule'!$D$134</f>
        <v>Electrical</v>
      </c>
      <c r="O109" s="3" t="str">
        <f aca="false">IF('4D Schedule'!$E$134="","",'4D Schedule'!$E$134)</f>
        <v>All</v>
      </c>
      <c r="P109" s="3" t="str">
        <f aca="false">IF('4D Schedule'!$G$134="","",'4D Schedule'!$G$134)</f>
        <v>All</v>
      </c>
    </row>
    <row r="110" customFormat="false" ht="15" hidden="false" customHeight="false" outlineLevel="0" collapsed="false">
      <c r="A110" s="3" t="str">
        <f aca="false">'4D Schedule'!$A$135</f>
        <v>CHP-ELE-060</v>
      </c>
      <c r="B110" s="3" t="str">
        <f aca="false">'4D Schedule'!$C$135</f>
        <v>Switchgear room panels (6.6 kV SWBD, ESS6-PDB-1) – placement &amp; termination</v>
      </c>
      <c r="C110" s="3" t="str">
        <f aca="false">IF('4D Schedule'!$L$135="Milestone","Construct",'4D Schedule'!$L$135)</f>
        <v>Construct</v>
      </c>
      <c r="D110" s="65" t="n">
        <f aca="false">'4D Schedule'!$AE$135</f>
        <v>46437</v>
      </c>
      <c r="E110" s="65" t="n">
        <f aca="false">'4D Schedule'!$AF$135</f>
        <v>46461</v>
      </c>
      <c r="F110" s="65" t="str">
        <f aca="false">IF('4D Schedule'!$AA$135="","",'4D Schedule'!$AA$135)</f>
        <v/>
      </c>
      <c r="G110" s="65" t="str">
        <f aca="false">IF('4D Schedule'!$AB$135="","",'4D Schedule'!$AB$135)</f>
        <v/>
      </c>
      <c r="H110" s="65" t="n">
        <f aca="false">'4D Schedule'!$Y$135</f>
        <v>46450</v>
      </c>
      <c r="I110" s="65" t="n">
        <f aca="false">'4D Schedule'!$Z$135</f>
        <v>46475</v>
      </c>
      <c r="J110" s="66" t="n">
        <f aca="false">'4D Schedule'!$AC$135</f>
        <v>0</v>
      </c>
      <c r="K110" s="3" t="str">
        <f aca="false">'4D Schedule'!$AG$135</f>
        <v>Not Started</v>
      </c>
      <c r="L110" s="3" t="str">
        <f aca="false">IF('4D Schedule'!$K$135="","",'4D Schedule'!$K$135)</f>
        <v>CHP-ELE-060</v>
      </c>
      <c r="M110" s="3" t="str">
        <f aca="false">IF('4D Schedule'!$N$135="","",'4D Schedule'!$N$135)</f>
        <v>JSW USL-CON-CHI-1060</v>
      </c>
      <c r="N110" s="3" t="str">
        <f aca="false">'4D Schedule'!$D$135</f>
        <v>Electrical</v>
      </c>
      <c r="O110" s="3" t="str">
        <f aca="false">IF('4D Schedule'!$E$135="","",'4D Schedule'!$E$135)</f>
        <v>All</v>
      </c>
      <c r="P110" s="3" t="str">
        <f aca="false">IF('4D Schedule'!$G$135="","",'4D Schedule'!$G$135)</f>
        <v>+4.050 FFL</v>
      </c>
    </row>
    <row r="111" customFormat="false" ht="15" hidden="false" customHeight="false" outlineLevel="0" collapsed="false">
      <c r="A111" s="3" t="str">
        <f aca="false">'4D Schedule'!$A$137</f>
        <v>CHP-INS-010</v>
      </c>
      <c r="B111" s="3" t="str">
        <f aca="false">'4D Schedule'!$C$137</f>
        <v>Field instruments installation (PT / TT / FT / flow switches)</v>
      </c>
      <c r="C111" s="3" t="str">
        <f aca="false">IF('4D Schedule'!$L$137="Milestone","Construct",'4D Schedule'!$L$137)</f>
        <v>Construct</v>
      </c>
      <c r="D111" s="65" t="n">
        <f aca="false">'4D Schedule'!$AE$137</f>
        <v>46456</v>
      </c>
      <c r="E111" s="65" t="n">
        <f aca="false">'4D Schedule'!$AF$137</f>
        <v>46485</v>
      </c>
      <c r="F111" s="65" t="str">
        <f aca="false">IF('4D Schedule'!$AA$137="","",'4D Schedule'!$AA$137)</f>
        <v/>
      </c>
      <c r="G111" s="65" t="str">
        <f aca="false">IF('4D Schedule'!$AB$137="","",'4D Schedule'!$AB$137)</f>
        <v/>
      </c>
      <c r="H111" s="65" t="n">
        <f aca="false">'4D Schedule'!$Y$137</f>
        <v>46470</v>
      </c>
      <c r="I111" s="65" t="n">
        <f aca="false">'4D Schedule'!$Z$137</f>
        <v>46498</v>
      </c>
      <c r="J111" s="66" t="n">
        <f aca="false">'4D Schedule'!$AC$137</f>
        <v>0</v>
      </c>
      <c r="K111" s="3" t="str">
        <f aca="false">'4D Schedule'!$AG$137</f>
        <v>Not Started</v>
      </c>
      <c r="L111" s="3" t="str">
        <f aca="false">IF('4D Schedule'!$K$137="","",'4D Schedule'!$K$137)</f>
        <v>CHP-INS-010</v>
      </c>
      <c r="M111" s="3" t="str">
        <f aca="false">IF('4D Schedule'!$N$137="","",'4D Schedule'!$N$137)</f>
        <v>JSW USL-CON-CHI-1070</v>
      </c>
      <c r="N111" s="3" t="str">
        <f aca="false">'4D Schedule'!$D$137</f>
        <v>Instrumentation</v>
      </c>
      <c r="O111" s="3" t="str">
        <f aca="false">IF('4D Schedule'!$E$137="","",'4D Schedule'!$E$137)</f>
        <v>All</v>
      </c>
      <c r="P111" s="3" t="str">
        <f aca="false">IF('4D Schedule'!$G$137="","",'4D Schedule'!$G$137)</f>
        <v>±0.000 to +3.0</v>
      </c>
    </row>
    <row r="112" customFormat="false" ht="15" hidden="false" customHeight="false" outlineLevel="0" collapsed="false">
      <c r="A112" s="3" t="str">
        <f aca="false">'4D Schedule'!$A$138</f>
        <v>CHP-INS-020</v>
      </c>
      <c r="B112" s="3" t="str">
        <f aca="false">'4D Schedule'!$C$138</f>
        <v>Instrument cabling, impulse tubing &amp; loop checks</v>
      </c>
      <c r="C112" s="3" t="str">
        <f aca="false">IF('4D Schedule'!$L$138="Milestone","Construct",'4D Schedule'!$L$138)</f>
        <v>Construct</v>
      </c>
      <c r="D112" s="65" t="n">
        <f aca="false">'4D Schedule'!$AE$138</f>
        <v>46469</v>
      </c>
      <c r="E112" s="65" t="n">
        <f aca="false">'4D Schedule'!$AF$138</f>
        <v>46510</v>
      </c>
      <c r="F112" s="65" t="str">
        <f aca="false">IF('4D Schedule'!$AA$138="","",'4D Schedule'!$AA$138)</f>
        <v/>
      </c>
      <c r="G112" s="65" t="str">
        <f aca="false">IF('4D Schedule'!$AB$138="","",'4D Schedule'!$AB$138)</f>
        <v/>
      </c>
      <c r="H112" s="65" t="n">
        <f aca="false">'4D Schedule'!$Y$138</f>
        <v>46482</v>
      </c>
      <c r="I112" s="65" t="n">
        <f aca="false">'4D Schedule'!$Z$138</f>
        <v>46522</v>
      </c>
      <c r="J112" s="66" t="n">
        <f aca="false">'4D Schedule'!$AC$138</f>
        <v>0</v>
      </c>
      <c r="K112" s="3" t="str">
        <f aca="false">'4D Schedule'!$AG$138</f>
        <v>Not Started</v>
      </c>
      <c r="L112" s="3" t="str">
        <f aca="false">IF('4D Schedule'!$K$138="","",'4D Schedule'!$K$138)</f>
        <v>CHP-INS-020</v>
      </c>
      <c r="M112" s="3" t="str">
        <f aca="false">IF('4D Schedule'!$N$138="","",'4D Schedule'!$N$138)</f>
        <v>JSW USL-CON-CHI-1070</v>
      </c>
      <c r="N112" s="3" t="str">
        <f aca="false">'4D Schedule'!$D$138</f>
        <v>Instrumentation</v>
      </c>
      <c r="O112" s="3" t="str">
        <f aca="false">IF('4D Schedule'!$E$138="","",'4D Schedule'!$E$138)</f>
        <v>All</v>
      </c>
      <c r="P112" s="3" t="str">
        <f aca="false">IF('4D Schedule'!$G$138="","",'4D Schedule'!$G$138)</f>
        <v>All</v>
      </c>
    </row>
    <row r="113" customFormat="false" ht="15" hidden="false" customHeight="false" outlineLevel="0" collapsed="false">
      <c r="A113" s="3" t="str">
        <f aca="false">'4D Schedule'!$A$139</f>
        <v>CHP-MS-100</v>
      </c>
      <c r="B113" s="3" t="str">
        <f aca="false">'4D Schedule'!$C$139</f>
        <v>Chiller plant ready for Mechanical Completion (feeds JSW USL-COM-1110)</v>
      </c>
      <c r="C113" s="3" t="str">
        <f aca="false">IF('4D Schedule'!$L$139="Milestone","Construct",'4D Schedule'!$L$139)</f>
        <v>Construct</v>
      </c>
      <c r="D113" s="65" t="n">
        <f aca="false">'4D Schedule'!$AE$139</f>
        <v>46510</v>
      </c>
      <c r="E113" s="65" t="n">
        <f aca="false">'4D Schedule'!$AF$139</f>
        <v>46510</v>
      </c>
      <c r="F113" s="65" t="str">
        <f aca="false">IF('4D Schedule'!$AA$139="","",'4D Schedule'!$AA$139)</f>
        <v/>
      </c>
      <c r="G113" s="65" t="str">
        <f aca="false">IF('4D Schedule'!$AB$139="","",'4D Schedule'!$AB$139)</f>
        <v/>
      </c>
      <c r="H113" s="65" t="n">
        <f aca="false">'4D Schedule'!$Y$139</f>
        <v>46522</v>
      </c>
      <c r="I113" s="65" t="n">
        <f aca="false">'4D Schedule'!$Z$139</f>
        <v>46522</v>
      </c>
      <c r="J113" s="66" t="n">
        <f aca="false">'4D Schedule'!$AC$139</f>
        <v>0</v>
      </c>
      <c r="K113" s="3" t="str">
        <f aca="false">'4D Schedule'!$AG$139</f>
        <v>Not Started</v>
      </c>
      <c r="L113" s="3" t="str">
        <f aca="false">IF('4D Schedule'!$K$139="","",'4D Schedule'!$K$139)</f>
        <v/>
      </c>
      <c r="M113" s="3" t="str">
        <f aca="false">IF('4D Schedule'!$N$139="","",'4D Schedule'!$N$139)</f>
        <v>JSW USL-CON-CHI-1070</v>
      </c>
      <c r="N113" s="3" t="str">
        <f aca="false">'4D Schedule'!$D$139</f>
        <v>Milestone</v>
      </c>
      <c r="O113" s="3" t="str">
        <f aca="false">IF('4D Schedule'!$E$139="","",'4D Schedule'!$E$139)</f>
        <v/>
      </c>
      <c r="P113" s="3" t="str">
        <f aca="false">IF('4D Schedule'!$G$139="","",'4D Schedule'!$G$139)</f>
        <v/>
      </c>
    </row>
    <row r="114" customFormat="false" ht="15" hidden="false" customHeight="false" outlineLevel="0" collapsed="false">
      <c r="A114" s="3" t="str">
        <f aca="false">'4D Schedule'!$A$142</f>
        <v>CHP-ARC-010</v>
      </c>
      <c r="B114" s="3" t="str">
        <f aca="false">'4D Schedule'!$C$142</f>
        <v>Brickwork 230 thk – GF Row E–D block up to lintel level</v>
      </c>
      <c r="C114" s="3" t="str">
        <f aca="false">IF('4D Schedule'!$L$142="Milestone","Construct",'4D Schedule'!$L$142)</f>
        <v>Construct</v>
      </c>
      <c r="D114" s="65" t="n">
        <f aca="false">'4D Schedule'!$AE$142</f>
        <v>46300</v>
      </c>
      <c r="E114" s="65" t="n">
        <f aca="false">'4D Schedule'!$AF$142</f>
        <v>46312</v>
      </c>
      <c r="F114" s="65" t="str">
        <f aca="false">IF('4D Schedule'!$AA$142="","",'4D Schedule'!$AA$142)</f>
        <v/>
      </c>
      <c r="G114" s="65" t="str">
        <f aca="false">IF('4D Schedule'!$AB$142="","",'4D Schedule'!$AB$142)</f>
        <v/>
      </c>
      <c r="H114" s="65" t="n">
        <f aca="false">'4D Schedule'!$Y$142</f>
        <v>46300</v>
      </c>
      <c r="I114" s="65" t="n">
        <f aca="false">'4D Schedule'!$Z$142</f>
        <v>46312</v>
      </c>
      <c r="J114" s="66" t="n">
        <f aca="false">'4D Schedule'!$AC$142</f>
        <v>0</v>
      </c>
      <c r="K114" s="3" t="str">
        <f aca="false">'4D Schedule'!$AG$142</f>
        <v>Not Started</v>
      </c>
      <c r="L114" s="3" t="str">
        <f aca="false">IF('4D Schedule'!$K$142="","",'4D Schedule'!$K$142)</f>
        <v>CHP-ARC-010</v>
      </c>
      <c r="M114" s="3" t="str">
        <f aca="false">IF('4D Schedule'!$N$142="","",'4D Schedule'!$N$142)</f>
        <v>CHP.A1</v>
      </c>
      <c r="N114" s="3" t="str">
        <f aca="false">'4D Schedule'!$D$142</f>
        <v>Architectural</v>
      </c>
      <c r="O114" s="3" t="str">
        <f aca="false">IF('4D Schedule'!$E$142="","",'4D Schedule'!$E$142)</f>
        <v>All</v>
      </c>
      <c r="P114" s="3" t="str">
        <f aca="false">IF('4D Schedule'!$G$142="","",'4D Schedule'!$G$142)</f>
        <v>EL ±0.000 to +2.100</v>
      </c>
    </row>
    <row r="115" customFormat="false" ht="15" hidden="false" customHeight="false" outlineLevel="0" collapsed="false">
      <c r="A115" s="3" t="str">
        <f aca="false">'4D Schedule'!$A$143</f>
        <v>CHP-ARC-020</v>
      </c>
      <c r="B115" s="3" t="str">
        <f aca="false">'4D Schedule'!$C$143</f>
        <v>Lintels &amp; chajjas – GF (LB1–LB6)</v>
      </c>
      <c r="C115" s="3" t="str">
        <f aca="false">IF('4D Schedule'!$L$143="Milestone","Construct",'4D Schedule'!$L$143)</f>
        <v>Construct</v>
      </c>
      <c r="D115" s="65" t="n">
        <f aca="false">'4D Schedule'!$AE$143</f>
        <v>46309</v>
      </c>
      <c r="E115" s="65" t="n">
        <f aca="false">'4D Schedule'!$AF$143</f>
        <v>46316</v>
      </c>
      <c r="F115" s="65" t="str">
        <f aca="false">IF('4D Schedule'!$AA$143="","",'4D Schedule'!$AA$143)</f>
        <v/>
      </c>
      <c r="G115" s="65" t="str">
        <f aca="false">IF('4D Schedule'!$AB$143="","",'4D Schedule'!$AB$143)</f>
        <v/>
      </c>
      <c r="H115" s="65" t="n">
        <f aca="false">'4D Schedule'!$Y$143</f>
        <v>46309</v>
      </c>
      <c r="I115" s="65" t="n">
        <f aca="false">'4D Schedule'!$Z$143</f>
        <v>46316</v>
      </c>
      <c r="J115" s="66" t="n">
        <f aca="false">'4D Schedule'!$AC$143</f>
        <v>0</v>
      </c>
      <c r="K115" s="3" t="str">
        <f aca="false">'4D Schedule'!$AG$143</f>
        <v>Not Started</v>
      </c>
      <c r="L115" s="3" t="str">
        <f aca="false">IF('4D Schedule'!$K$143="","",'4D Schedule'!$K$143)</f>
        <v>CHP-ARC-020</v>
      </c>
      <c r="M115" s="3" t="str">
        <f aca="false">IF('4D Schedule'!$N$143="","",'4D Schedule'!$N$143)</f>
        <v>CHP.A1</v>
      </c>
      <c r="N115" s="3" t="str">
        <f aca="false">'4D Schedule'!$D$143</f>
        <v>Architectural</v>
      </c>
      <c r="O115" s="3" t="str">
        <f aca="false">IF('4D Schedule'!$E$143="","",'4D Schedule'!$E$143)</f>
        <v>All</v>
      </c>
      <c r="P115" s="3" t="str">
        <f aca="false">IF('4D Schedule'!$G$143="","",'4D Schedule'!$G$143)</f>
        <v>B/O lintel +2.100 to +3.400</v>
      </c>
    </row>
    <row r="116" customFormat="false" ht="15" hidden="false" customHeight="false" outlineLevel="0" collapsed="false">
      <c r="A116" s="3" t="str">
        <f aca="false">'4D Schedule'!$A$144</f>
        <v>CHP-ARC-030</v>
      </c>
      <c r="B116" s="3" t="str">
        <f aca="false">'4D Schedule'!$C$144</f>
        <v>Brickwork – GF above lintel up to first-floor soffit</v>
      </c>
      <c r="C116" s="3" t="str">
        <f aca="false">IF('4D Schedule'!$L$144="Milestone","Construct",'4D Schedule'!$L$144)</f>
        <v>Construct</v>
      </c>
      <c r="D116" s="65" t="n">
        <f aca="false">'4D Schedule'!$AE$144</f>
        <v>46317</v>
      </c>
      <c r="E116" s="65" t="n">
        <f aca="false">'4D Schedule'!$AF$144</f>
        <v>46325</v>
      </c>
      <c r="F116" s="65" t="str">
        <f aca="false">IF('4D Schedule'!$AA$144="","",'4D Schedule'!$AA$144)</f>
        <v/>
      </c>
      <c r="G116" s="65" t="str">
        <f aca="false">IF('4D Schedule'!$AB$144="","",'4D Schedule'!$AB$144)</f>
        <v/>
      </c>
      <c r="H116" s="65" t="n">
        <f aca="false">'4D Schedule'!$Y$144</f>
        <v>46317</v>
      </c>
      <c r="I116" s="65" t="n">
        <f aca="false">'4D Schedule'!$Z$144</f>
        <v>46325</v>
      </c>
      <c r="J116" s="66" t="n">
        <f aca="false">'4D Schedule'!$AC$144</f>
        <v>0</v>
      </c>
      <c r="K116" s="3" t="str">
        <f aca="false">'4D Schedule'!$AG$144</f>
        <v>Not Started</v>
      </c>
      <c r="L116" s="3" t="str">
        <f aca="false">IF('4D Schedule'!$K$144="","",'4D Schedule'!$K$144)</f>
        <v>CHP-ARC-030</v>
      </c>
      <c r="M116" s="3" t="str">
        <f aca="false">IF('4D Schedule'!$N$144="","",'4D Schedule'!$N$144)</f>
        <v>CHP.A1</v>
      </c>
      <c r="N116" s="3" t="str">
        <f aca="false">'4D Schedule'!$D$144</f>
        <v>Architectural</v>
      </c>
      <c r="O116" s="3" t="str">
        <f aca="false">IF('4D Schedule'!$E$144="","",'4D Schedule'!$E$144)</f>
        <v>All</v>
      </c>
      <c r="P116" s="3" t="str">
        <f aca="false">IF('4D Schedule'!$G$144="","",'4D Schedule'!$G$144)</f>
        <v>+2.100 to +3.400</v>
      </c>
    </row>
    <row r="117" customFormat="false" ht="15" hidden="false" customHeight="false" outlineLevel="0" collapsed="false">
      <c r="A117" s="3" t="str">
        <f aca="false">'4D Schedule'!$A$145</f>
        <v>CHP-ARC-040</v>
      </c>
      <c r="B117" s="3" t="str">
        <f aca="false">'4D Schedule'!$C$145</f>
        <v>Brickwork – FF (switchgear, AC &amp; AHU rooms, ante rooms) up to lintel</v>
      </c>
      <c r="C117" s="3" t="str">
        <f aca="false">IF('4D Schedule'!$L$145="Milestone","Construct",'4D Schedule'!$L$145)</f>
        <v>Construct</v>
      </c>
      <c r="D117" s="65" t="n">
        <f aca="false">'4D Schedule'!$AE$145</f>
        <v>46322</v>
      </c>
      <c r="E117" s="65" t="n">
        <f aca="false">'4D Schedule'!$AF$145</f>
        <v>46332</v>
      </c>
      <c r="F117" s="65" t="str">
        <f aca="false">IF('4D Schedule'!$AA$145="","",'4D Schedule'!$AA$145)</f>
        <v/>
      </c>
      <c r="G117" s="65" t="str">
        <f aca="false">IF('4D Schedule'!$AB$145="","",'4D Schedule'!$AB$145)</f>
        <v/>
      </c>
      <c r="H117" s="65" t="n">
        <f aca="false">'4D Schedule'!$Y$145</f>
        <v>46322</v>
      </c>
      <c r="I117" s="65" t="n">
        <f aca="false">'4D Schedule'!$Z$145</f>
        <v>46332</v>
      </c>
      <c r="J117" s="66" t="n">
        <f aca="false">'4D Schedule'!$AC$145</f>
        <v>0</v>
      </c>
      <c r="K117" s="3" t="str">
        <f aca="false">'4D Schedule'!$AG$145</f>
        <v>Not Started</v>
      </c>
      <c r="L117" s="3" t="str">
        <f aca="false">IF('4D Schedule'!$K$145="","",'4D Schedule'!$K$145)</f>
        <v>CHP-ARC-040</v>
      </c>
      <c r="M117" s="3" t="str">
        <f aca="false">IF('4D Schedule'!$N$145="","",'4D Schedule'!$N$145)</f>
        <v>CHP.A1</v>
      </c>
      <c r="N117" s="3" t="str">
        <f aca="false">'4D Schedule'!$D$145</f>
        <v>Architectural</v>
      </c>
      <c r="O117" s="3" t="str">
        <f aca="false">IF('4D Schedule'!$E$145="","",'4D Schedule'!$E$145)</f>
        <v>All</v>
      </c>
      <c r="P117" s="3" t="str">
        <f aca="false">IF('4D Schedule'!$G$145="","",'4D Schedule'!$G$145)</f>
        <v>+4.000 to +6.150</v>
      </c>
    </row>
    <row r="118" customFormat="false" ht="15" hidden="false" customHeight="false" outlineLevel="0" collapsed="false">
      <c r="A118" s="3" t="str">
        <f aca="false">'4D Schedule'!$A$146</f>
        <v>CHP-ARC-050</v>
      </c>
      <c r="B118" s="3" t="str">
        <f aca="false">'4D Schedule'!$C$146</f>
        <v>Lintels &amp; chajjas – FF (LB7–LB9B)</v>
      </c>
      <c r="C118" s="3" t="str">
        <f aca="false">IF('4D Schedule'!$L$146="Milestone","Construct",'4D Schedule'!$L$146)</f>
        <v>Construct</v>
      </c>
      <c r="D118" s="65" t="n">
        <f aca="false">'4D Schedule'!$AE$146</f>
        <v>46330</v>
      </c>
      <c r="E118" s="65" t="n">
        <f aca="false">'4D Schedule'!$AF$146</f>
        <v>46336</v>
      </c>
      <c r="F118" s="65" t="str">
        <f aca="false">IF('4D Schedule'!$AA$146="","",'4D Schedule'!$AA$146)</f>
        <v/>
      </c>
      <c r="G118" s="65" t="str">
        <f aca="false">IF('4D Schedule'!$AB$146="","",'4D Schedule'!$AB$146)</f>
        <v/>
      </c>
      <c r="H118" s="65" t="n">
        <f aca="false">'4D Schedule'!$Y$146</f>
        <v>46330</v>
      </c>
      <c r="I118" s="65" t="n">
        <f aca="false">'4D Schedule'!$Z$146</f>
        <v>46336</v>
      </c>
      <c r="J118" s="66" t="n">
        <f aca="false">'4D Schedule'!$AC$146</f>
        <v>0</v>
      </c>
      <c r="K118" s="3" t="str">
        <f aca="false">'4D Schedule'!$AG$146</f>
        <v>Not Started</v>
      </c>
      <c r="L118" s="3" t="str">
        <f aca="false">IF('4D Schedule'!$K$146="","",'4D Schedule'!$K$146)</f>
        <v>CHP-ARC-050</v>
      </c>
      <c r="M118" s="3" t="str">
        <f aca="false">IF('4D Schedule'!$N$146="","",'4D Schedule'!$N$146)</f>
        <v>CHP.A1</v>
      </c>
      <c r="N118" s="3" t="str">
        <f aca="false">'4D Schedule'!$D$146</f>
        <v>Architectural</v>
      </c>
      <c r="O118" s="3" t="str">
        <f aca="false">IF('4D Schedule'!$E$146="","",'4D Schedule'!$E$146)</f>
        <v>All</v>
      </c>
      <c r="P118" s="3" t="str">
        <f aca="false">IF('4D Schedule'!$G$146="","",'4D Schedule'!$G$146)</f>
        <v>B/O lintel +6.150 to +7.350</v>
      </c>
    </row>
    <row r="119" customFormat="false" ht="15" hidden="false" customHeight="false" outlineLevel="0" collapsed="false">
      <c r="A119" s="3" t="str">
        <f aca="false">'4D Schedule'!$A$147</f>
        <v>CHP-ARC-060</v>
      </c>
      <c r="B119" s="3" t="str">
        <f aca="false">'4D Schedule'!$C$147</f>
        <v>Brickwork – chiller hall external walls (Row A, Grid 1 &amp; 6) incl. LB1A lintels &amp; monorail-door openings</v>
      </c>
      <c r="C119" s="3" t="str">
        <f aca="false">IF('4D Schedule'!$L$147="Milestone","Construct",'4D Schedule'!$L$147)</f>
        <v>Construct</v>
      </c>
      <c r="D119" s="65" t="n">
        <f aca="false">'4D Schedule'!$AE$147</f>
        <v>46307</v>
      </c>
      <c r="E119" s="65" t="n">
        <f aca="false">'4D Schedule'!$AF$147</f>
        <v>46330</v>
      </c>
      <c r="F119" s="65" t="str">
        <f aca="false">IF('4D Schedule'!$AA$147="","",'4D Schedule'!$AA$147)</f>
        <v/>
      </c>
      <c r="G119" s="65" t="str">
        <f aca="false">IF('4D Schedule'!$AB$147="","",'4D Schedule'!$AB$147)</f>
        <v/>
      </c>
      <c r="H119" s="65" t="n">
        <f aca="false">'4D Schedule'!$Y$147</f>
        <v>46307</v>
      </c>
      <c r="I119" s="65" t="n">
        <f aca="false">'4D Schedule'!$Z$147</f>
        <v>46330</v>
      </c>
      <c r="J119" s="66" t="n">
        <f aca="false">'4D Schedule'!$AC$147</f>
        <v>0</v>
      </c>
      <c r="K119" s="3" t="str">
        <f aca="false">'4D Schedule'!$AG$147</f>
        <v>Not Started</v>
      </c>
      <c r="L119" s="3" t="str">
        <f aca="false">IF('4D Schedule'!$K$147="","",'4D Schedule'!$K$147)</f>
        <v>CHP-ARC-060</v>
      </c>
      <c r="M119" s="3" t="str">
        <f aca="false">IF('4D Schedule'!$N$147="","",'4D Schedule'!$N$147)</f>
        <v>CHP.A1</v>
      </c>
      <c r="N119" s="3" t="str">
        <f aca="false">'4D Schedule'!$D$147</f>
        <v>Architectural</v>
      </c>
      <c r="O119" s="3" t="str">
        <f aca="false">IF('4D Schedule'!$E$147="","",'4D Schedule'!$E$147)</f>
        <v>All</v>
      </c>
      <c r="P119" s="3" t="str">
        <f aca="false">IF('4D Schedule'!$G$147="","",'4D Schedule'!$G$147)</f>
        <v>±0.000 to +9.150</v>
      </c>
    </row>
    <row r="120" customFormat="false" ht="15" hidden="false" customHeight="false" outlineLevel="0" collapsed="false">
      <c r="A120" s="3" t="str">
        <f aca="false">'4D Schedule'!$A$148</f>
        <v>CHP-ARC-070</v>
      </c>
      <c r="B120" s="3" t="str">
        <f aca="false">'4D Schedule'!$C$148</f>
        <v>Mumty brickwork &amp; lintels LB10–LB12 – ST-1 &amp; ST-2</v>
      </c>
      <c r="C120" s="3" t="str">
        <f aca="false">IF('4D Schedule'!$L$148="Milestone","Construct",'4D Schedule'!$L$148)</f>
        <v>Construct</v>
      </c>
      <c r="D120" s="65" t="n">
        <f aca="false">'4D Schedule'!$AE$148</f>
        <v>46300</v>
      </c>
      <c r="E120" s="65" t="n">
        <f aca="false">'4D Schedule'!$AF$148</f>
        <v>46310</v>
      </c>
      <c r="F120" s="65" t="str">
        <f aca="false">IF('4D Schedule'!$AA$148="","",'4D Schedule'!$AA$148)</f>
        <v/>
      </c>
      <c r="G120" s="65" t="str">
        <f aca="false">IF('4D Schedule'!$AB$148="","",'4D Schedule'!$AB$148)</f>
        <v/>
      </c>
      <c r="H120" s="65" t="n">
        <f aca="false">'4D Schedule'!$Y$148</f>
        <v>46300</v>
      </c>
      <c r="I120" s="65" t="n">
        <f aca="false">'4D Schedule'!$Z$148</f>
        <v>46310</v>
      </c>
      <c r="J120" s="66" t="n">
        <f aca="false">'4D Schedule'!$AC$148</f>
        <v>0</v>
      </c>
      <c r="K120" s="3" t="str">
        <f aca="false">'4D Schedule'!$AG$148</f>
        <v>Not Started</v>
      </c>
      <c r="L120" s="3" t="str">
        <f aca="false">IF('4D Schedule'!$K$148="","",'4D Schedule'!$K$148)</f>
        <v>CHP-ARC-070</v>
      </c>
      <c r="M120" s="3" t="str">
        <f aca="false">IF('4D Schedule'!$N$148="","",'4D Schedule'!$N$148)</f>
        <v>CHP.A1</v>
      </c>
      <c r="N120" s="3" t="str">
        <f aca="false">'4D Schedule'!$D$148</f>
        <v>Architectural</v>
      </c>
      <c r="O120" s="3" t="str">
        <f aca="false">IF('4D Schedule'!$E$148="","",'4D Schedule'!$E$148)</f>
        <v>All</v>
      </c>
      <c r="P120" s="3" t="str">
        <f aca="false">IF('4D Schedule'!$G$148="","",'4D Schedule'!$G$148)</f>
        <v>+9.150 to +12.150</v>
      </c>
    </row>
    <row r="121" customFormat="false" ht="15" hidden="false" customHeight="false" outlineLevel="0" collapsed="false">
      <c r="A121" s="3" t="str">
        <f aca="false">'4D Schedule'!$A$149</f>
        <v>CHP-ARC-080</v>
      </c>
      <c r="B121" s="3" t="str">
        <f aca="false">'4D Schedule'!$C$149</f>
        <v>Parapet wall, roof waterproofing, PCC wearing course &amp; rainwater pipes</v>
      </c>
      <c r="C121" s="3" t="str">
        <f aca="false">IF('4D Schedule'!$L$149="Milestone","Construct",'4D Schedule'!$L$149)</f>
        <v>Construct</v>
      </c>
      <c r="D121" s="65" t="n">
        <f aca="false">'4D Schedule'!$AE$149</f>
        <v>46303</v>
      </c>
      <c r="E121" s="65" t="n">
        <f aca="false">'4D Schedule'!$AF$149</f>
        <v>46321</v>
      </c>
      <c r="F121" s="65" t="str">
        <f aca="false">IF('4D Schedule'!$AA$149="","",'4D Schedule'!$AA$149)</f>
        <v/>
      </c>
      <c r="G121" s="65" t="str">
        <f aca="false">IF('4D Schedule'!$AB$149="","",'4D Schedule'!$AB$149)</f>
        <v/>
      </c>
      <c r="H121" s="65" t="n">
        <f aca="false">'4D Schedule'!$Y$149</f>
        <v>46303</v>
      </c>
      <c r="I121" s="65" t="n">
        <f aca="false">'4D Schedule'!$Z$149</f>
        <v>46321</v>
      </c>
      <c r="J121" s="66" t="n">
        <f aca="false">'4D Schedule'!$AC$149</f>
        <v>0</v>
      </c>
      <c r="K121" s="3" t="str">
        <f aca="false">'4D Schedule'!$AG$149</f>
        <v>Not Started</v>
      </c>
      <c r="L121" s="3" t="str">
        <f aca="false">IF('4D Schedule'!$K$149="","",'4D Schedule'!$K$149)</f>
        <v>CHP-ARC-080</v>
      </c>
      <c r="M121" s="3" t="str">
        <f aca="false">IF('4D Schedule'!$N$149="","",'4D Schedule'!$N$149)</f>
        <v>CHP.A1</v>
      </c>
      <c r="N121" s="3" t="str">
        <f aca="false">'4D Schedule'!$D$149</f>
        <v>Architectural</v>
      </c>
      <c r="O121" s="3" t="str">
        <f aca="false">IF('4D Schedule'!$E$149="","",'4D Schedule'!$E$149)</f>
        <v>All</v>
      </c>
      <c r="P121" s="3" t="str">
        <f aca="false">IF('4D Schedule'!$G$149="","",'4D Schedule'!$G$149)</f>
        <v>+9.150 / +12.150</v>
      </c>
    </row>
    <row r="122" customFormat="false" ht="15" hidden="false" customHeight="false" outlineLevel="0" collapsed="false">
      <c r="A122" s="3" t="str">
        <f aca="false">'4D Schedule'!$A$150</f>
        <v>CHP-ARC-090</v>
      </c>
      <c r="B122" s="3" t="str">
        <f aca="false">'4D Schedule'!$C$150</f>
        <v>Plastering – internal &amp; external</v>
      </c>
      <c r="C122" s="3" t="str">
        <f aca="false">IF('4D Schedule'!$L$150="Milestone","Construct",'4D Schedule'!$L$150)</f>
        <v>Construct</v>
      </c>
      <c r="D122" s="65" t="n">
        <f aca="false">'4D Schedule'!$AE$150</f>
        <v>46337</v>
      </c>
      <c r="E122" s="65" t="n">
        <f aca="false">'4D Schedule'!$AF$150</f>
        <v>46365</v>
      </c>
      <c r="F122" s="65" t="str">
        <f aca="false">IF('4D Schedule'!$AA$150="","",'4D Schedule'!$AA$150)</f>
        <v/>
      </c>
      <c r="G122" s="65" t="str">
        <f aca="false">IF('4D Schedule'!$AB$150="","",'4D Schedule'!$AB$150)</f>
        <v/>
      </c>
      <c r="H122" s="65" t="n">
        <f aca="false">'4D Schedule'!$Y$150</f>
        <v>46337</v>
      </c>
      <c r="I122" s="65" t="n">
        <f aca="false">'4D Schedule'!$Z$150</f>
        <v>46365</v>
      </c>
      <c r="J122" s="66" t="n">
        <f aca="false">'4D Schedule'!$AC$150</f>
        <v>0</v>
      </c>
      <c r="K122" s="3" t="str">
        <f aca="false">'4D Schedule'!$AG$150</f>
        <v>Not Started</v>
      </c>
      <c r="L122" s="3" t="str">
        <f aca="false">IF('4D Schedule'!$K$150="","",'4D Schedule'!$K$150)</f>
        <v>CHP-ARC-090</v>
      </c>
      <c r="M122" s="3" t="str">
        <f aca="false">IF('4D Schedule'!$N$150="","",'4D Schedule'!$N$150)</f>
        <v>CHP.A1</v>
      </c>
      <c r="N122" s="3" t="str">
        <f aca="false">'4D Schedule'!$D$150</f>
        <v>Architectural</v>
      </c>
      <c r="O122" s="3" t="str">
        <f aca="false">IF('4D Schedule'!$E$150="","",'4D Schedule'!$E$150)</f>
        <v>All</v>
      </c>
      <c r="P122" s="3" t="str">
        <f aca="false">IF('4D Schedule'!$G$150="","",'4D Schedule'!$G$150)</f>
        <v>All</v>
      </c>
    </row>
    <row r="123" customFormat="false" ht="15" hidden="false" customHeight="false" outlineLevel="0" collapsed="false">
      <c r="A123" s="3" t="str">
        <f aca="false">'4D Schedule'!$A$151</f>
        <v>CHP-ARC-100</v>
      </c>
      <c r="B123" s="3" t="str">
        <f aca="false">'4D Schedule'!$C$151</f>
        <v>Flooring &amp; floor finishes (GF rooms, FF, staircases)</v>
      </c>
      <c r="C123" s="3" t="str">
        <f aca="false">IF('4D Schedule'!$L$151="Milestone","Construct",'4D Schedule'!$L$151)</f>
        <v>Construct</v>
      </c>
      <c r="D123" s="65" t="n">
        <f aca="false">'4D Schedule'!$AE$151</f>
        <v>46352</v>
      </c>
      <c r="E123" s="65" t="n">
        <f aca="false">'4D Schedule'!$AF$151</f>
        <v>46368</v>
      </c>
      <c r="F123" s="65" t="str">
        <f aca="false">IF('4D Schedule'!$AA$151="","",'4D Schedule'!$AA$151)</f>
        <v/>
      </c>
      <c r="G123" s="65" t="str">
        <f aca="false">IF('4D Schedule'!$AB$151="","",'4D Schedule'!$AB$151)</f>
        <v/>
      </c>
      <c r="H123" s="65" t="n">
        <f aca="false">'4D Schedule'!$Y$151</f>
        <v>46352</v>
      </c>
      <c r="I123" s="65" t="n">
        <f aca="false">'4D Schedule'!$Z$151</f>
        <v>46368</v>
      </c>
      <c r="J123" s="66" t="n">
        <f aca="false">'4D Schedule'!$AC$151</f>
        <v>0</v>
      </c>
      <c r="K123" s="3" t="str">
        <f aca="false">'4D Schedule'!$AG$151</f>
        <v>Not Started</v>
      </c>
      <c r="L123" s="3" t="str">
        <f aca="false">IF('4D Schedule'!$K$151="","",'4D Schedule'!$K$151)</f>
        <v>CHP-ARC-100</v>
      </c>
      <c r="M123" s="3" t="str">
        <f aca="false">IF('4D Schedule'!$N$151="","",'4D Schedule'!$N$151)</f>
        <v>CHP.A1</v>
      </c>
      <c r="N123" s="3" t="str">
        <f aca="false">'4D Schedule'!$D$151</f>
        <v>Architectural</v>
      </c>
      <c r="O123" s="3" t="str">
        <f aca="false">IF('4D Schedule'!$E$151="","",'4D Schedule'!$E$151)</f>
        <v>All</v>
      </c>
      <c r="P123" s="3" t="str">
        <f aca="false">IF('4D Schedule'!$G$151="","",'4D Schedule'!$G$151)</f>
        <v>±0.000 / +4.050</v>
      </c>
    </row>
    <row r="124" customFormat="false" ht="15" hidden="false" customHeight="false" outlineLevel="0" collapsed="false">
      <c r="A124" s="3" t="str">
        <f aca="false">'4D Schedule'!$A$152</f>
        <v>CHP-ARC-110</v>
      </c>
      <c r="B124" s="3" t="str">
        <f aca="false">'4D Schedule'!$C$152</f>
        <v>Doors, windows, rolling shutters &amp; monorail doors</v>
      </c>
      <c r="C124" s="3" t="str">
        <f aca="false">IF('4D Schedule'!$L$152="Milestone","Construct",'4D Schedule'!$L$152)</f>
        <v>Construct</v>
      </c>
      <c r="D124" s="65" t="n">
        <f aca="false">'4D Schedule'!$AE$152</f>
        <v>46354</v>
      </c>
      <c r="E124" s="65" t="n">
        <f aca="false">'4D Schedule'!$AF$152</f>
        <v>46371</v>
      </c>
      <c r="F124" s="65" t="str">
        <f aca="false">IF('4D Schedule'!$AA$152="","",'4D Schedule'!$AA$152)</f>
        <v/>
      </c>
      <c r="G124" s="65" t="str">
        <f aca="false">IF('4D Schedule'!$AB$152="","",'4D Schedule'!$AB$152)</f>
        <v/>
      </c>
      <c r="H124" s="65" t="n">
        <f aca="false">'4D Schedule'!$Y$152</f>
        <v>46354</v>
      </c>
      <c r="I124" s="65" t="n">
        <f aca="false">'4D Schedule'!$Z$152</f>
        <v>46371</v>
      </c>
      <c r="J124" s="66" t="n">
        <f aca="false">'4D Schedule'!$AC$152</f>
        <v>0</v>
      </c>
      <c r="K124" s="3" t="str">
        <f aca="false">'4D Schedule'!$AG$152</f>
        <v>Not Started</v>
      </c>
      <c r="L124" s="3" t="str">
        <f aca="false">IF('4D Schedule'!$K$152="","",'4D Schedule'!$K$152)</f>
        <v>CHP-ARC-110</v>
      </c>
      <c r="M124" s="3" t="str">
        <f aca="false">IF('4D Schedule'!$N$152="","",'4D Schedule'!$N$152)</f>
        <v>CHP.A1</v>
      </c>
      <c r="N124" s="3" t="str">
        <f aca="false">'4D Schedule'!$D$152</f>
        <v>Architectural</v>
      </c>
      <c r="O124" s="3" t="str">
        <f aca="false">IF('4D Schedule'!$E$152="","",'4D Schedule'!$E$152)</f>
        <v>All</v>
      </c>
      <c r="P124" s="3" t="str">
        <f aca="false">IF('4D Schedule'!$G$152="","",'4D Schedule'!$G$152)</f>
        <v>All</v>
      </c>
    </row>
    <row r="125" customFormat="false" ht="15" hidden="false" customHeight="false" outlineLevel="0" collapsed="false">
      <c r="A125" s="3" t="str">
        <f aca="false">'4D Schedule'!$A$153</f>
        <v>CHP-ARC-120</v>
      </c>
      <c r="B125" s="3" t="str">
        <f aca="false">'4D Schedule'!$C$153</f>
        <v>Painting – internal &amp; external</v>
      </c>
      <c r="C125" s="3" t="str">
        <f aca="false">IF('4D Schedule'!$L$153="Milestone","Construct",'4D Schedule'!$L$153)</f>
        <v>Construct</v>
      </c>
      <c r="D125" s="65" t="n">
        <f aca="false">'4D Schedule'!$AE$153</f>
        <v>46366</v>
      </c>
      <c r="E125" s="65" t="n">
        <f aca="false">'4D Schedule'!$AF$153</f>
        <v>46391</v>
      </c>
      <c r="F125" s="65" t="str">
        <f aca="false">IF('4D Schedule'!$AA$153="","",'4D Schedule'!$AA$153)</f>
        <v/>
      </c>
      <c r="G125" s="65" t="str">
        <f aca="false">IF('4D Schedule'!$AB$153="","",'4D Schedule'!$AB$153)</f>
        <v/>
      </c>
      <c r="H125" s="65" t="n">
        <f aca="false">'4D Schedule'!$Y$153</f>
        <v>46366</v>
      </c>
      <c r="I125" s="65" t="n">
        <f aca="false">'4D Schedule'!$Z$153</f>
        <v>46391</v>
      </c>
      <c r="J125" s="66" t="n">
        <f aca="false">'4D Schedule'!$AC$153</f>
        <v>0</v>
      </c>
      <c r="K125" s="3" t="str">
        <f aca="false">'4D Schedule'!$AG$153</f>
        <v>Not Started</v>
      </c>
      <c r="L125" s="3" t="str">
        <f aca="false">IF('4D Schedule'!$K$153="","",'4D Schedule'!$K$153)</f>
        <v>CHP-ARC-120</v>
      </c>
      <c r="M125" s="3" t="str">
        <f aca="false">IF('4D Schedule'!$N$153="","",'4D Schedule'!$N$153)</f>
        <v>CHP.A1</v>
      </c>
      <c r="N125" s="3" t="str">
        <f aca="false">'4D Schedule'!$D$153</f>
        <v>Architectural</v>
      </c>
      <c r="O125" s="3" t="str">
        <f aca="false">IF('4D Schedule'!$E$153="","",'4D Schedule'!$E$153)</f>
        <v>All</v>
      </c>
      <c r="P125" s="3" t="str">
        <f aca="false">IF('4D Schedule'!$G$153="","",'4D Schedule'!$G$153)</f>
        <v>All</v>
      </c>
    </row>
    <row r="126" customFormat="false" ht="15" hidden="false" customHeight="false" outlineLevel="0" collapsed="false">
      <c r="A126" s="3" t="str">
        <f aca="false">'4D Schedule'!$A$155</f>
        <v>CHP-STL-010</v>
      </c>
      <c r="B126" s="3" t="str">
        <f aca="false">'4D Schedule'!$C$155</f>
        <v>Monorail beams MR-1 (NPB 300×150, B.O.MR +8.100) &amp; MR-2 (NPB 500×200, B.O.MR +7.900) incl. end stoppers</v>
      </c>
      <c r="C126" s="3" t="str">
        <f aca="false">IF('4D Schedule'!$L$155="Milestone","Construct",'4D Schedule'!$L$155)</f>
        <v>Construct</v>
      </c>
      <c r="D126" s="65" t="n">
        <f aca="false">'4D Schedule'!$AE$155</f>
        <v>46328</v>
      </c>
      <c r="E126" s="65" t="n">
        <f aca="false">'4D Schedule'!$AF$155</f>
        <v>46338</v>
      </c>
      <c r="F126" s="65" t="str">
        <f aca="false">IF('4D Schedule'!$AA$155="","",'4D Schedule'!$AA$155)</f>
        <v/>
      </c>
      <c r="G126" s="65" t="str">
        <f aca="false">IF('4D Schedule'!$AB$155="","",'4D Schedule'!$AB$155)</f>
        <v/>
      </c>
      <c r="H126" s="65" t="n">
        <f aca="false">'4D Schedule'!$Y$155</f>
        <v>46328</v>
      </c>
      <c r="I126" s="65" t="n">
        <f aca="false">'4D Schedule'!$Z$155</f>
        <v>46338</v>
      </c>
      <c r="J126" s="66" t="n">
        <f aca="false">'4D Schedule'!$AC$155</f>
        <v>0</v>
      </c>
      <c r="K126" s="3" t="str">
        <f aca="false">'4D Schedule'!$AG$155</f>
        <v>Not Started</v>
      </c>
      <c r="L126" s="3" t="str">
        <f aca="false">IF('4D Schedule'!$K$155="","",'4D Schedule'!$K$155)</f>
        <v>CHP-STL-010</v>
      </c>
      <c r="M126" s="3" t="str">
        <f aca="false">IF('4D Schedule'!$N$155="","",'4D Schedule'!$N$155)</f>
        <v>CHP.A2</v>
      </c>
      <c r="N126" s="3" t="str">
        <f aca="false">'4D Schedule'!$D$155</f>
        <v>Steel &amp; misc.</v>
      </c>
      <c r="O126" s="3" t="str">
        <f aca="false">IF('4D Schedule'!$E$155="","",'4D Schedule'!$E$155)</f>
        <v>All</v>
      </c>
      <c r="P126" s="3" t="str">
        <f aca="false">IF('4D Schedule'!$G$155="","",'4D Schedule'!$G$155)</f>
        <v>+7.900 / +8.100 B.O.MR</v>
      </c>
    </row>
    <row r="127" customFormat="false" ht="15" hidden="false" customHeight="false" outlineLevel="0" collapsed="false">
      <c r="A127" s="3" t="str">
        <f aca="false">'4D Schedule'!$A$156</f>
        <v>CHP-STL-020</v>
      </c>
      <c r="B127" s="3" t="str">
        <f aca="false">'4D Schedule'!$C$156</f>
        <v>Handrails – staircases ST-1/ST-2 &amp; removable handrails at FF openings / platforms</v>
      </c>
      <c r="C127" s="3" t="str">
        <f aca="false">IF('4D Schedule'!$L$156="Milestone","Construct",'4D Schedule'!$L$156)</f>
        <v>Construct</v>
      </c>
      <c r="D127" s="65" t="n">
        <f aca="false">'4D Schedule'!$AE$156</f>
        <v>46343</v>
      </c>
      <c r="E127" s="65" t="n">
        <f aca="false">'4D Schedule'!$AF$156</f>
        <v>46353</v>
      </c>
      <c r="F127" s="65" t="str">
        <f aca="false">IF('4D Schedule'!$AA$156="","",'4D Schedule'!$AA$156)</f>
        <v/>
      </c>
      <c r="G127" s="65" t="str">
        <f aca="false">IF('4D Schedule'!$AB$156="","",'4D Schedule'!$AB$156)</f>
        <v/>
      </c>
      <c r="H127" s="65" t="n">
        <f aca="false">'4D Schedule'!$Y$156</f>
        <v>46343</v>
      </c>
      <c r="I127" s="65" t="n">
        <f aca="false">'4D Schedule'!$Z$156</f>
        <v>46353</v>
      </c>
      <c r="J127" s="66" t="n">
        <f aca="false">'4D Schedule'!$AC$156</f>
        <v>0</v>
      </c>
      <c r="K127" s="3" t="str">
        <f aca="false">'4D Schedule'!$AG$156</f>
        <v>Not Started</v>
      </c>
      <c r="L127" s="3" t="str">
        <f aca="false">IF('4D Schedule'!$K$156="","",'4D Schedule'!$K$156)</f>
        <v>CHP-STL-020</v>
      </c>
      <c r="M127" s="3" t="str">
        <f aca="false">IF('4D Schedule'!$N$156="","",'4D Schedule'!$N$156)</f>
        <v>CHP.A2</v>
      </c>
      <c r="N127" s="3" t="str">
        <f aca="false">'4D Schedule'!$D$156</f>
        <v>Steel &amp; misc.</v>
      </c>
      <c r="O127" s="3" t="str">
        <f aca="false">IF('4D Schedule'!$E$156="","",'4D Schedule'!$E$156)</f>
        <v>All</v>
      </c>
      <c r="P127" s="3" t="str">
        <f aca="false">IF('4D Schedule'!$G$156="","",'4D Schedule'!$G$156)</f>
        <v>+1.300 to +12.150</v>
      </c>
    </row>
  </sheetData>
  <autoFilter ref="A1:P127"/>
  <printOptions headings="false" gridLines="false" gridLinesSet="true" horizontalCentered="false" verticalCentered="false"/>
  <pageMargins left="0.3" right="0.3" top="0.4" bottom="0.4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&amp;A – 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L1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5" topLeftCell="H6" activePane="bottomRight" state="frozen"/>
      <selection pane="topLeft" activeCell="A1" activeCellId="0" sqref="A1"/>
      <selection pane="topRight" activeCell="H1" activeCellId="0" sqref="H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6"/>
    <col collapsed="false" customWidth="true" hidden="false" outlineLevel="0" max="3" min="3" style="0" width="5"/>
    <col collapsed="false" customWidth="true" hidden="false" outlineLevel="0" max="5" min="4" style="0" width="9"/>
    <col collapsed="false" customWidth="true" hidden="false" outlineLevel="0" max="6" min="6" style="0" width="12"/>
    <col collapsed="false" customWidth="true" hidden="false" outlineLevel="0" max="7" min="7" style="0" width="5"/>
    <col collapsed="false" customWidth="true" hidden="false" outlineLevel="0" max="90" min="8" style="0" width="2.7"/>
  </cols>
  <sheetData>
    <row r="1" customFormat="false" ht="15" hidden="false" customHeight="false" outlineLevel="0" collapsed="false">
      <c r="A1" s="2" t="s">
        <v>1643</v>
      </c>
    </row>
    <row r="4" customFormat="false" ht="15" hidden="false" customHeight="false" outlineLevel="0" collapsed="false">
      <c r="H4" s="67" t="s">
        <v>1644</v>
      </c>
      <c r="K4" s="67" t="s">
        <v>1645</v>
      </c>
      <c r="O4" s="67" t="s">
        <v>1646</v>
      </c>
      <c r="T4" s="67" t="s">
        <v>1647</v>
      </c>
      <c r="X4" s="67" t="s">
        <v>1648</v>
      </c>
      <c r="AB4" s="67" t="s">
        <v>1649</v>
      </c>
      <c r="AG4" s="67" t="s">
        <v>1650</v>
      </c>
      <c r="AK4" s="67" t="s">
        <v>1651</v>
      </c>
      <c r="AO4" s="67" t="s">
        <v>1652</v>
      </c>
      <c r="AT4" s="67" t="s">
        <v>1653</v>
      </c>
      <c r="AX4" s="67" t="s">
        <v>1654</v>
      </c>
      <c r="BC4" s="67" t="s">
        <v>1655</v>
      </c>
      <c r="BG4" s="67" t="s">
        <v>1656</v>
      </c>
      <c r="BK4" s="67" t="s">
        <v>1657</v>
      </c>
      <c r="BP4" s="67" t="s">
        <v>1658</v>
      </c>
      <c r="BT4" s="67" t="s">
        <v>1659</v>
      </c>
      <c r="BX4" s="67" t="s">
        <v>1660</v>
      </c>
      <c r="CB4" s="67" t="s">
        <v>1661</v>
      </c>
      <c r="CG4" s="67" t="s">
        <v>1662</v>
      </c>
      <c r="CK4" s="67" t="s">
        <v>1663</v>
      </c>
    </row>
    <row r="5" customFormat="false" ht="13.5" hidden="false" customHeight="true" outlineLevel="0" collapsed="false">
      <c r="A5" s="20" t="s">
        <v>1664</v>
      </c>
      <c r="B5" s="20" t="s">
        <v>123</v>
      </c>
      <c r="C5" s="20" t="s">
        <v>1665</v>
      </c>
      <c r="D5" s="20" t="s">
        <v>1666</v>
      </c>
      <c r="E5" s="20" t="s">
        <v>1667</v>
      </c>
      <c r="F5" s="20" t="s">
        <v>153</v>
      </c>
      <c r="G5" s="20" t="s">
        <v>1668</v>
      </c>
      <c r="H5" s="68" t="n">
        <v>45943</v>
      </c>
      <c r="I5" s="68" t="n">
        <v>45950</v>
      </c>
      <c r="J5" s="68" t="n">
        <v>45957</v>
      </c>
      <c r="K5" s="68" t="n">
        <v>45964</v>
      </c>
      <c r="L5" s="68" t="n">
        <v>45971</v>
      </c>
      <c r="M5" s="68" t="n">
        <v>45978</v>
      </c>
      <c r="N5" s="68" t="n">
        <v>45985</v>
      </c>
      <c r="O5" s="68" t="n">
        <v>45992</v>
      </c>
      <c r="P5" s="68" t="n">
        <v>45999</v>
      </c>
      <c r="Q5" s="68" t="n">
        <v>46006</v>
      </c>
      <c r="R5" s="68" t="n">
        <v>46013</v>
      </c>
      <c r="S5" s="68" t="n">
        <v>46020</v>
      </c>
      <c r="T5" s="68" t="n">
        <v>46027</v>
      </c>
      <c r="U5" s="68" t="n">
        <v>46034</v>
      </c>
      <c r="V5" s="68" t="n">
        <v>46041</v>
      </c>
      <c r="W5" s="68" t="n">
        <v>46048</v>
      </c>
      <c r="X5" s="68" t="n">
        <v>46055</v>
      </c>
      <c r="Y5" s="68" t="n">
        <v>46062</v>
      </c>
      <c r="Z5" s="68" t="n">
        <v>46069</v>
      </c>
      <c r="AA5" s="68" t="n">
        <v>46076</v>
      </c>
      <c r="AB5" s="68" t="n">
        <v>46083</v>
      </c>
      <c r="AC5" s="68" t="n">
        <v>46090</v>
      </c>
      <c r="AD5" s="68" t="n">
        <v>46097</v>
      </c>
      <c r="AE5" s="68" t="n">
        <v>46104</v>
      </c>
      <c r="AF5" s="68" t="n">
        <v>46111</v>
      </c>
      <c r="AG5" s="68" t="n">
        <v>46118</v>
      </c>
      <c r="AH5" s="68" t="n">
        <v>46125</v>
      </c>
      <c r="AI5" s="68" t="n">
        <v>46132</v>
      </c>
      <c r="AJ5" s="68" t="n">
        <v>46139</v>
      </c>
      <c r="AK5" s="68" t="n">
        <v>46146</v>
      </c>
      <c r="AL5" s="68" t="n">
        <v>46153</v>
      </c>
      <c r="AM5" s="68" t="n">
        <v>46160</v>
      </c>
      <c r="AN5" s="68" t="n">
        <v>46167</v>
      </c>
      <c r="AO5" s="68" t="n">
        <v>46174</v>
      </c>
      <c r="AP5" s="68" t="n">
        <v>46181</v>
      </c>
      <c r="AQ5" s="68" t="n">
        <v>46188</v>
      </c>
      <c r="AR5" s="68" t="n">
        <v>46195</v>
      </c>
      <c r="AS5" s="68" t="n">
        <v>46202</v>
      </c>
      <c r="AT5" s="68" t="n">
        <v>46209</v>
      </c>
      <c r="AU5" s="68" t="n">
        <v>46216</v>
      </c>
      <c r="AV5" s="68" t="n">
        <v>46223</v>
      </c>
      <c r="AW5" s="68" t="n">
        <v>46230</v>
      </c>
      <c r="AX5" s="68" t="n">
        <v>46237</v>
      </c>
      <c r="AY5" s="68" t="n">
        <v>46244</v>
      </c>
      <c r="AZ5" s="68" t="n">
        <v>46251</v>
      </c>
      <c r="BA5" s="68" t="n">
        <v>46258</v>
      </c>
      <c r="BB5" s="68" t="n">
        <v>46265</v>
      </c>
      <c r="BC5" s="68" t="n">
        <v>46272</v>
      </c>
      <c r="BD5" s="68" t="n">
        <v>46279</v>
      </c>
      <c r="BE5" s="68" t="n">
        <v>46286</v>
      </c>
      <c r="BF5" s="68" t="n">
        <v>46293</v>
      </c>
      <c r="BG5" s="68" t="n">
        <v>46300</v>
      </c>
      <c r="BH5" s="68" t="n">
        <v>46307</v>
      </c>
      <c r="BI5" s="68" t="n">
        <v>46314</v>
      </c>
      <c r="BJ5" s="68" t="n">
        <v>46321</v>
      </c>
      <c r="BK5" s="68" t="n">
        <v>46328</v>
      </c>
      <c r="BL5" s="68" t="n">
        <v>46335</v>
      </c>
      <c r="BM5" s="68" t="n">
        <v>46342</v>
      </c>
      <c r="BN5" s="68" t="n">
        <v>46349</v>
      </c>
      <c r="BO5" s="68" t="n">
        <v>46356</v>
      </c>
      <c r="BP5" s="68" t="n">
        <v>46363</v>
      </c>
      <c r="BQ5" s="68" t="n">
        <v>46370</v>
      </c>
      <c r="BR5" s="68" t="n">
        <v>46377</v>
      </c>
      <c r="BS5" s="68" t="n">
        <v>46384</v>
      </c>
      <c r="BT5" s="68" t="n">
        <v>46391</v>
      </c>
      <c r="BU5" s="68" t="n">
        <v>46398</v>
      </c>
      <c r="BV5" s="68" t="n">
        <v>46405</v>
      </c>
      <c r="BW5" s="68" t="n">
        <v>46412</v>
      </c>
      <c r="BX5" s="68" t="n">
        <v>46419</v>
      </c>
      <c r="BY5" s="68" t="n">
        <v>46426</v>
      </c>
      <c r="BZ5" s="68" t="n">
        <v>46433</v>
      </c>
      <c r="CA5" s="68" t="n">
        <v>46440</v>
      </c>
      <c r="CB5" s="68" t="n">
        <v>46447</v>
      </c>
      <c r="CC5" s="68" t="n">
        <v>46454</v>
      </c>
      <c r="CD5" s="68" t="n">
        <v>46461</v>
      </c>
      <c r="CE5" s="68" t="n">
        <v>46468</v>
      </c>
      <c r="CF5" s="68" t="n">
        <v>46475</v>
      </c>
      <c r="CG5" s="68" t="n">
        <v>46482</v>
      </c>
      <c r="CH5" s="68" t="n">
        <v>46489</v>
      </c>
      <c r="CI5" s="68" t="n">
        <v>46496</v>
      </c>
      <c r="CJ5" s="68" t="n">
        <v>46503</v>
      </c>
      <c r="CK5" s="68" t="n">
        <v>46510</v>
      </c>
      <c r="CL5" s="68" t="n">
        <v>46517</v>
      </c>
    </row>
    <row r="6" customFormat="false" ht="15" hidden="false" customHeight="false" outlineLevel="0" collapsed="false">
      <c r="A6" s="69" t="str">
        <f aca="false">'4D Schedule'!$A$6</f>
        <v>CHP</v>
      </c>
      <c r="B6" s="69" t="str">
        <f aca="false">'4D Schedule'!$C$6</f>
        <v>CHILLER PLANT (combined for PP-1 &amp; PP-2) – P6 WBS: Pellet Plant-1 › Utilities › Chiller Plant</v>
      </c>
      <c r="C6" s="69" t="s">
        <v>1669</v>
      </c>
      <c r="D6" s="70" t="n">
        <f aca="false">'4D Schedule'!$AE$6</f>
        <v>45950</v>
      </c>
      <c r="E6" s="70" t="n">
        <f aca="false">'4D Schedule'!$AF$6</f>
        <v>46510</v>
      </c>
      <c r="F6" s="69" t="str">
        <f aca="false">'4D Schedule'!$AG$6</f>
        <v>In Progress</v>
      </c>
      <c r="G6" s="71" t="n">
        <f aca="false">'4D Schedule'!$AC$6</f>
        <v>0.526192627412172</v>
      </c>
    </row>
    <row r="7" customFormat="false" ht="15" hidden="false" customHeight="false" outlineLevel="0" collapsed="false">
      <c r="A7" s="69" t="str">
        <f aca="false">'4D Schedule'!$A$7</f>
        <v>CHP.E</v>
      </c>
      <c r="B7" s="69" t="str">
        <f aca="false">'4D Schedule'!$C$7</f>
        <v>ENGINEERING</v>
      </c>
      <c r="C7" s="69" t="s">
        <v>1669</v>
      </c>
      <c r="D7" s="70" t="n">
        <f aca="false">'4D Schedule'!$AE$7</f>
        <v>45950</v>
      </c>
      <c r="E7" s="70" t="n">
        <f aca="false">'4D Schedule'!$AF$7</f>
        <v>46367</v>
      </c>
      <c r="F7" s="69" t="str">
        <f aca="false">'4D Schedule'!$AG$7</f>
        <v>In Progress</v>
      </c>
      <c r="G7" s="71" t="n">
        <f aca="false">'4D Schedule'!$AC$7</f>
        <v>0.457342657342657</v>
      </c>
    </row>
    <row r="8" customFormat="false" ht="15" hidden="false" customHeight="false" outlineLevel="0" collapsed="false">
      <c r="A8" s="72" t="str">
        <f aca="false">'4D Schedule'!$A$8</f>
        <v>JSW USL-BE-CHI-1000</v>
      </c>
      <c r="B8" s="72" t="str">
        <f aca="false">'4D Schedule'!$C$8</f>
        <v>Basic drawings from TS - Inputs</v>
      </c>
      <c r="C8" s="72" t="s">
        <v>1670</v>
      </c>
      <c r="D8" s="73" t="n">
        <f aca="false">'4D Schedule'!$AE$8</f>
        <v>45950</v>
      </c>
      <c r="E8" s="73" t="n">
        <f aca="false">'4D Schedule'!$AF$8</f>
        <v>45950</v>
      </c>
      <c r="F8" s="72" t="str">
        <f aca="false">'4D Schedule'!$AG$8</f>
        <v>Completed</v>
      </c>
      <c r="G8" s="74" t="n">
        <f aca="false">'4D Schedule'!$AC$8</f>
        <v>1</v>
      </c>
    </row>
    <row r="9" customFormat="false" ht="15" hidden="false" customHeight="false" outlineLevel="0" collapsed="false">
      <c r="A9" s="3" t="str">
        <f aca="false">'4D Schedule'!$A$9</f>
        <v>CHP-MS-010</v>
      </c>
      <c r="B9" s="3" t="str">
        <f aca="false">'4D Schedule'!$C$9</f>
        <v>Basic drawings / technical specification inputs received</v>
      </c>
      <c r="C9" s="3" t="s">
        <v>1671</v>
      </c>
      <c r="D9" s="75" t="n">
        <f aca="false">'4D Schedule'!$AE$9</f>
        <v>45950</v>
      </c>
      <c r="E9" s="75" t="n">
        <f aca="false">'4D Schedule'!$AF$9</f>
        <v>45950</v>
      </c>
      <c r="F9" s="3" t="str">
        <f aca="false">'4D Schedule'!$AG$9</f>
        <v>Completed</v>
      </c>
      <c r="G9" s="66" t="n">
        <f aca="false">'4D Schedule'!$AC$9</f>
        <v>1</v>
      </c>
    </row>
    <row r="10" customFormat="false" ht="15" hidden="false" customHeight="false" outlineLevel="0" collapsed="false">
      <c r="A10" s="72" t="str">
        <f aca="false">'4D Schedule'!$A$10</f>
        <v>JSW USL-DE-CHI-1000</v>
      </c>
      <c r="B10" s="72" t="str">
        <f aca="false">'4D Schedule'!$C$10</f>
        <v>Pile drawings release</v>
      </c>
      <c r="C10" s="72" t="s">
        <v>1670</v>
      </c>
      <c r="D10" s="73" t="n">
        <f aca="false">'4D Schedule'!$AE$10</f>
        <v>45990</v>
      </c>
      <c r="E10" s="73" t="n">
        <f aca="false">'4D Schedule'!$AF$10</f>
        <v>46013</v>
      </c>
      <c r="F10" s="72" t="str">
        <f aca="false">'4D Schedule'!$AG$10</f>
        <v>Completed</v>
      </c>
      <c r="G10" s="74" t="n">
        <f aca="false">'4D Schedule'!$AC$10</f>
        <v>1</v>
      </c>
    </row>
    <row r="11" customFormat="false" ht="15" hidden="false" customHeight="false" outlineLevel="0" collapsed="false">
      <c r="A11" s="3" t="str">
        <f aca="false">'4D Schedule'!$A$11</f>
        <v>CHP-ENG-010</v>
      </c>
      <c r="B11" s="3" t="str">
        <f aca="false">'4D Schedule'!$C$11</f>
        <v>Pile layout &amp; detail drawing (19530-001) – design &amp; preparation</v>
      </c>
      <c r="C11" s="3" t="s">
        <v>1672</v>
      </c>
      <c r="D11" s="75" t="n">
        <f aca="false">'4D Schedule'!$AE$11</f>
        <v>45990</v>
      </c>
      <c r="E11" s="75" t="n">
        <f aca="false">'4D Schedule'!$AF$11</f>
        <v>46006</v>
      </c>
      <c r="F11" s="3" t="str">
        <f aca="false">'4D Schedule'!$AG$11</f>
        <v>Completed</v>
      </c>
      <c r="G11" s="66" t="n">
        <f aca="false">'4D Schedule'!$AC$11</f>
        <v>1</v>
      </c>
    </row>
    <row r="12" customFormat="false" ht="15" hidden="false" customHeight="false" outlineLevel="0" collapsed="false">
      <c r="A12" s="3" t="str">
        <f aca="false">'4D Schedule'!$A$12</f>
        <v>CHP-ENG-020</v>
      </c>
      <c r="B12" s="3" t="str">
        <f aca="false">'4D Schedule'!$C$12</f>
        <v>Pile drawing – review, client approval &amp; IFC issue</v>
      </c>
      <c r="C12" s="3" t="s">
        <v>1672</v>
      </c>
      <c r="D12" s="75" t="n">
        <f aca="false">'4D Schedule'!$AE$12</f>
        <v>46007</v>
      </c>
      <c r="E12" s="75" t="n">
        <f aca="false">'4D Schedule'!$AF$12</f>
        <v>46013</v>
      </c>
      <c r="F12" s="3" t="str">
        <f aca="false">'4D Schedule'!$AG$12</f>
        <v>Completed</v>
      </c>
      <c r="G12" s="66" t="n">
        <f aca="false">'4D Schedule'!$AC$12</f>
        <v>1</v>
      </c>
    </row>
    <row r="13" customFormat="false" ht="15" hidden="false" customHeight="false" outlineLevel="0" collapsed="false">
      <c r="A13" s="3" t="str">
        <f aca="false">'4D Schedule'!$A$13</f>
        <v>CHP-MS-020</v>
      </c>
      <c r="B13" s="3" t="str">
        <f aca="false">'4D Schedule'!$C$13</f>
        <v>Pile drawings released (IFC)</v>
      </c>
      <c r="C13" s="3" t="s">
        <v>1671</v>
      </c>
      <c r="D13" s="75" t="n">
        <f aca="false">'4D Schedule'!$AE$13</f>
        <v>46013</v>
      </c>
      <c r="E13" s="75" t="n">
        <f aca="false">'4D Schedule'!$AF$13</f>
        <v>46013</v>
      </c>
      <c r="F13" s="3" t="str">
        <f aca="false">'4D Schedule'!$AG$13</f>
        <v>Completed</v>
      </c>
      <c r="G13" s="66" t="n">
        <f aca="false">'4D Schedule'!$AC$13</f>
        <v>1</v>
      </c>
    </row>
    <row r="14" customFormat="false" ht="15" hidden="false" customHeight="false" outlineLevel="0" collapsed="false">
      <c r="A14" s="72" t="str">
        <f aca="false">'4D Schedule'!$A$14</f>
        <v>JSW USL-DE-CHI-1010</v>
      </c>
      <c r="B14" s="72" t="str">
        <f aca="false">'4D Schedule'!$C$14</f>
        <v>Civil drawings release</v>
      </c>
      <c r="C14" s="72" t="s">
        <v>1670</v>
      </c>
      <c r="D14" s="73" t="n">
        <f aca="false">'4D Schedule'!$AE$14</f>
        <v>46014</v>
      </c>
      <c r="E14" s="73" t="n">
        <f aca="false">'4D Schedule'!$AF$14</f>
        <v>46029</v>
      </c>
      <c r="F14" s="72" t="str">
        <f aca="false">'4D Schedule'!$AG$14</f>
        <v>Completed</v>
      </c>
      <c r="G14" s="74" t="n">
        <f aca="false">'4D Schedule'!$AC$14</f>
        <v>1</v>
      </c>
    </row>
    <row r="15" customFormat="false" ht="15" hidden="false" customHeight="false" outlineLevel="0" collapsed="false">
      <c r="A15" s="3" t="str">
        <f aca="false">'4D Schedule'!$A$15</f>
        <v>CHP-ENG-030</v>
      </c>
      <c r="B15" s="3" t="str">
        <f aca="false">'4D Schedule'!$C$15</f>
        <v>Civil GA &amp; RC drawings 19531-001 … 008 – preparation &amp; checking</v>
      </c>
      <c r="C15" s="3" t="s">
        <v>1672</v>
      </c>
      <c r="D15" s="75" t="n">
        <f aca="false">'4D Schedule'!$AE$15</f>
        <v>46014</v>
      </c>
      <c r="E15" s="75" t="n">
        <f aca="false">'4D Schedule'!$AF$15</f>
        <v>46022</v>
      </c>
      <c r="F15" s="3" t="str">
        <f aca="false">'4D Schedule'!$AG$15</f>
        <v>Completed</v>
      </c>
      <c r="G15" s="66" t="n">
        <f aca="false">'4D Schedule'!$AC$15</f>
        <v>1</v>
      </c>
    </row>
    <row r="16" customFormat="false" ht="15" hidden="false" customHeight="false" outlineLevel="0" collapsed="false">
      <c r="A16" s="3" t="str">
        <f aca="false">'4D Schedule'!$A$16</f>
        <v>CHP-ENG-040</v>
      </c>
      <c r="B16" s="3" t="str">
        <f aca="false">'4D Schedule'!$C$16</f>
        <v>Civil drawings – client review &amp; IFC release</v>
      </c>
      <c r="C16" s="3" t="s">
        <v>1672</v>
      </c>
      <c r="D16" s="75" t="n">
        <f aca="false">'4D Schedule'!$AE$16</f>
        <v>46024</v>
      </c>
      <c r="E16" s="75" t="n">
        <f aca="false">'4D Schedule'!$AF$16</f>
        <v>46029</v>
      </c>
      <c r="F16" s="3" t="str">
        <f aca="false">'4D Schedule'!$AG$16</f>
        <v>Completed</v>
      </c>
      <c r="G16" s="66" t="n">
        <f aca="false">'4D Schedule'!$AC$16</f>
        <v>1</v>
      </c>
    </row>
    <row r="17" customFormat="false" ht="15" hidden="false" customHeight="false" outlineLevel="0" collapsed="false">
      <c r="A17" s="3" t="str">
        <f aca="false">'4D Schedule'!$A$17</f>
        <v>CHP-MS-030</v>
      </c>
      <c r="B17" s="3" t="str">
        <f aca="false">'4D Schedule'!$C$17</f>
        <v>Civil drawings released (IFC)</v>
      </c>
      <c r="C17" s="3" t="s">
        <v>1671</v>
      </c>
      <c r="D17" s="75" t="n">
        <f aca="false">'4D Schedule'!$AE$17</f>
        <v>46029</v>
      </c>
      <c r="E17" s="75" t="n">
        <f aca="false">'4D Schedule'!$AF$17</f>
        <v>46029</v>
      </c>
      <c r="F17" s="3" t="str">
        <f aca="false">'4D Schedule'!$AG$17</f>
        <v>Completed</v>
      </c>
      <c r="G17" s="66" t="n">
        <f aca="false">'4D Schedule'!$AC$17</f>
        <v>1</v>
      </c>
    </row>
    <row r="18" customFormat="false" ht="15" hidden="false" customHeight="false" outlineLevel="0" collapsed="false">
      <c r="A18" s="72" t="str">
        <f aca="false">'4D Schedule'!$A$18</f>
        <v>JSW USL-DE-CHI-1020</v>
      </c>
      <c r="B18" s="72" t="str">
        <f aca="false">'4D Schedule'!$C$18</f>
        <v>Equipment drawings release</v>
      </c>
      <c r="C18" s="72" t="s">
        <v>1670</v>
      </c>
      <c r="D18" s="73" t="n">
        <f aca="false">'4D Schedule'!$AE$18</f>
        <v>46265</v>
      </c>
      <c r="E18" s="73" t="n">
        <f aca="false">'4D Schedule'!$AF$18</f>
        <v>46289</v>
      </c>
      <c r="F18" s="72" t="str">
        <f aca="false">'4D Schedule'!$AG$18</f>
        <v>Completed</v>
      </c>
      <c r="G18" s="74" t="n">
        <f aca="false">'4D Schedule'!$AC$18</f>
        <v>1</v>
      </c>
    </row>
    <row r="19" customFormat="false" ht="15" hidden="false" customHeight="false" outlineLevel="0" collapsed="false">
      <c r="A19" s="3" t="str">
        <f aca="false">'4D Schedule'!$A$19</f>
        <v>CHP-ENG-050</v>
      </c>
      <c r="B19" s="3" t="str">
        <f aca="false">'4D Schedule'!$C$19</f>
        <v>Vendor GA drawings (centrifugal chillers &amp; pumps) – receipt &amp; review</v>
      </c>
      <c r="C19" s="3" t="s">
        <v>1672</v>
      </c>
      <c r="D19" s="75" t="n">
        <f aca="false">'4D Schedule'!$AE$19</f>
        <v>46265</v>
      </c>
      <c r="E19" s="75" t="n">
        <f aca="false">'4D Schedule'!$AF$19</f>
        <v>46279</v>
      </c>
      <c r="F19" s="3" t="str">
        <f aca="false">'4D Schedule'!$AG$19</f>
        <v>Completed</v>
      </c>
      <c r="G19" s="66" t="n">
        <f aca="false">'4D Schedule'!$AC$19</f>
        <v>1</v>
      </c>
    </row>
    <row r="20" customFormat="false" ht="15" hidden="false" customHeight="false" outlineLevel="0" collapsed="false">
      <c r="A20" s="3" t="str">
        <f aca="false">'4D Schedule'!$A$20</f>
        <v>CHP-ENG-060</v>
      </c>
      <c r="B20" s="3" t="str">
        <f aca="false">'4D Schedule'!$C$20</f>
        <v>Equipment layout &amp; foundation loading data – approval &amp; release</v>
      </c>
      <c r="C20" s="3" t="s">
        <v>1672</v>
      </c>
      <c r="D20" s="75" t="n">
        <f aca="false">'4D Schedule'!$AE$20</f>
        <v>46280</v>
      </c>
      <c r="E20" s="75" t="n">
        <f aca="false">'4D Schedule'!$AF$20</f>
        <v>46289</v>
      </c>
      <c r="F20" s="3" t="str">
        <f aca="false">'4D Schedule'!$AG$20</f>
        <v>Completed</v>
      </c>
      <c r="G20" s="66" t="n">
        <f aca="false">'4D Schedule'!$AC$20</f>
        <v>1</v>
      </c>
    </row>
    <row r="21" customFormat="false" ht="15" hidden="false" customHeight="false" outlineLevel="0" collapsed="false">
      <c r="A21" s="3" t="str">
        <f aca="false">'4D Schedule'!$A$21</f>
        <v>CHP-MS-040</v>
      </c>
      <c r="B21" s="3" t="str">
        <f aca="false">'4D Schedule'!$C$21</f>
        <v>Equipment drawings released – HOLD on chiller / pump foundations F1 &amp; F2 lifted</v>
      </c>
      <c r="C21" s="3" t="s">
        <v>1671</v>
      </c>
      <c r="D21" s="75" t="n">
        <f aca="false">'4D Schedule'!$AE$21</f>
        <v>46289</v>
      </c>
      <c r="E21" s="75" t="n">
        <f aca="false">'4D Schedule'!$AF$21</f>
        <v>46289</v>
      </c>
      <c r="F21" s="3" t="str">
        <f aca="false">'4D Schedule'!$AG$21</f>
        <v>Completed</v>
      </c>
      <c r="G21" s="66" t="n">
        <f aca="false">'4D Schedule'!$AC$21</f>
        <v>1</v>
      </c>
    </row>
    <row r="22" customFormat="false" ht="15" hidden="false" customHeight="false" outlineLevel="0" collapsed="false">
      <c r="A22" s="72" t="str">
        <f aca="false">'4D Schedule'!$A$22</f>
        <v>JSW USL-DE-CHI-1030</v>
      </c>
      <c r="B22" s="72" t="str">
        <f aca="false">'4D Schedule'!$C$22</f>
        <v>Piping drawings release</v>
      </c>
      <c r="C22" s="72" t="s">
        <v>1670</v>
      </c>
      <c r="D22" s="73" t="n">
        <f aca="false">'4D Schedule'!$AE$22</f>
        <v>46298</v>
      </c>
      <c r="E22" s="73" t="n">
        <f aca="false">'4D Schedule'!$AF$22</f>
        <v>46345</v>
      </c>
      <c r="F22" s="72" t="str">
        <f aca="false">'4D Schedule'!$AG$22</f>
        <v>Not Started</v>
      </c>
      <c r="G22" s="74" t="n">
        <f aca="false">'4D Schedule'!$AC$22</f>
        <v>0</v>
      </c>
    </row>
    <row r="23" customFormat="false" ht="15" hidden="false" customHeight="false" outlineLevel="0" collapsed="false">
      <c r="A23" s="3" t="str">
        <f aca="false">'4D Schedule'!$A$23</f>
        <v>CHP-ENG-070</v>
      </c>
      <c r="B23" s="3" t="str">
        <f aca="false">'4D Schedule'!$C$23</f>
        <v>Piping GA, isometric &amp; pipe-support drawings – preparation</v>
      </c>
      <c r="C23" s="3" t="s">
        <v>1672</v>
      </c>
      <c r="D23" s="75" t="n">
        <f aca="false">'4D Schedule'!$AE$23</f>
        <v>46298</v>
      </c>
      <c r="E23" s="75" t="n">
        <f aca="false">'4D Schedule'!$AF$23</f>
        <v>46333</v>
      </c>
      <c r="F23" s="3" t="str">
        <f aca="false">'4D Schedule'!$AG$23</f>
        <v>Not Started</v>
      </c>
      <c r="G23" s="66" t="n">
        <f aca="false">'4D Schedule'!$AC$23</f>
        <v>0</v>
      </c>
    </row>
    <row r="24" customFormat="false" ht="15" hidden="false" customHeight="false" outlineLevel="0" collapsed="false">
      <c r="A24" s="3" t="str">
        <f aca="false">'4D Schedule'!$A$24</f>
        <v>CHP-ENG-080</v>
      </c>
      <c r="B24" s="3" t="str">
        <f aca="false">'4D Schedule'!$C$24</f>
        <v>Piping drawings – review, comments &amp; IFC release</v>
      </c>
      <c r="C24" s="3" t="s">
        <v>1672</v>
      </c>
      <c r="D24" s="75" t="n">
        <f aca="false">'4D Schedule'!$AE$24</f>
        <v>46335</v>
      </c>
      <c r="E24" s="75" t="n">
        <f aca="false">'4D Schedule'!$AF$24</f>
        <v>46345</v>
      </c>
      <c r="F24" s="3" t="str">
        <f aca="false">'4D Schedule'!$AG$24</f>
        <v>Not Started</v>
      </c>
      <c r="G24" s="66" t="n">
        <f aca="false">'4D Schedule'!$AC$24</f>
        <v>0</v>
      </c>
    </row>
    <row r="25" customFormat="false" ht="15" hidden="false" customHeight="false" outlineLevel="0" collapsed="false">
      <c r="A25" s="3" t="str">
        <f aca="false">'4D Schedule'!$A$25</f>
        <v>CHP-MS-050</v>
      </c>
      <c r="B25" s="3" t="str">
        <f aca="false">'4D Schedule'!$C$25</f>
        <v>Piping drawings released (IFC)</v>
      </c>
      <c r="C25" s="3" t="s">
        <v>1671</v>
      </c>
      <c r="D25" s="75" t="n">
        <f aca="false">'4D Schedule'!$AE$25</f>
        <v>46345</v>
      </c>
      <c r="E25" s="75" t="n">
        <f aca="false">'4D Schedule'!$AF$25</f>
        <v>46345</v>
      </c>
      <c r="F25" s="3" t="str">
        <f aca="false">'4D Schedule'!$AG$25</f>
        <v>Not Started</v>
      </c>
      <c r="G25" s="66" t="n">
        <f aca="false">'4D Schedule'!$AC$25</f>
        <v>0</v>
      </c>
    </row>
    <row r="26" customFormat="false" ht="15" hidden="false" customHeight="false" outlineLevel="0" collapsed="false">
      <c r="A26" s="72" t="str">
        <f aca="false">'4D Schedule'!$A$26</f>
        <v>JSW USL-DE-CHI-1040</v>
      </c>
      <c r="B26" s="72" t="str">
        <f aca="false">'4D Schedule'!$C$26</f>
        <v>E&amp;I drawings release</v>
      </c>
      <c r="C26" s="72" t="s">
        <v>1670</v>
      </c>
      <c r="D26" s="73" t="n">
        <f aca="false">'4D Schedule'!$AE$26</f>
        <v>46296</v>
      </c>
      <c r="E26" s="73" t="n">
        <f aca="false">'4D Schedule'!$AF$26</f>
        <v>46367</v>
      </c>
      <c r="F26" s="72" t="str">
        <f aca="false">'4D Schedule'!$AG$26</f>
        <v>In Progress</v>
      </c>
      <c r="G26" s="74" t="n">
        <f aca="false">'4D Schedule'!$AC$26</f>
        <v>0.23265306122449</v>
      </c>
    </row>
    <row r="27" customFormat="false" ht="15" hidden="false" customHeight="false" outlineLevel="0" collapsed="false">
      <c r="A27" s="3" t="str">
        <f aca="false">'4D Schedule'!$A$27</f>
        <v>CHP-ENG-090</v>
      </c>
      <c r="B27" s="3" t="str">
        <f aca="false">'4D Schedule'!$C$27</f>
        <v>E&amp;I layouts (cable routing, lighting, earthing, instrument locations) – preparation</v>
      </c>
      <c r="C27" s="3" t="s">
        <v>1672</v>
      </c>
      <c r="D27" s="75" t="n">
        <f aca="false">'4D Schedule'!$AE$27</f>
        <v>46296</v>
      </c>
      <c r="E27" s="75" t="n">
        <f aca="false">'4D Schedule'!$AF$27</f>
        <v>46321</v>
      </c>
      <c r="F27" s="3" t="str">
        <f aca="false">'4D Schedule'!$AG$27</f>
        <v>In Progress</v>
      </c>
      <c r="G27" s="66" t="n">
        <f aca="false">'4D Schedule'!$AC$27</f>
        <v>0.38</v>
      </c>
    </row>
    <row r="28" customFormat="false" ht="15" hidden="false" customHeight="false" outlineLevel="0" collapsed="false">
      <c r="A28" s="3" t="str">
        <f aca="false">'4D Schedule'!$A$28</f>
        <v>CHP-ENG-100</v>
      </c>
      <c r="B28" s="3" t="str">
        <f aca="false">'4D Schedule'!$C$28</f>
        <v>E&amp;I drawings – coordination with piping drawings, review &amp; IFC release</v>
      </c>
      <c r="C28" s="3" t="s">
        <v>1672</v>
      </c>
      <c r="D28" s="75" t="n">
        <f aca="false">'4D Schedule'!$AE$28</f>
        <v>46346</v>
      </c>
      <c r="E28" s="75" t="n">
        <f aca="false">'4D Schedule'!$AF$28</f>
        <v>46367</v>
      </c>
      <c r="F28" s="3" t="str">
        <f aca="false">'4D Schedule'!$AG$28</f>
        <v>Not Started</v>
      </c>
      <c r="G28" s="66" t="n">
        <f aca="false">'4D Schedule'!$AC$28</f>
        <v>0</v>
      </c>
    </row>
    <row r="29" customFormat="false" ht="15" hidden="false" customHeight="false" outlineLevel="0" collapsed="false">
      <c r="A29" s="3" t="str">
        <f aca="false">'4D Schedule'!$A$29</f>
        <v>CHP-MS-060</v>
      </c>
      <c r="B29" s="3" t="str">
        <f aca="false">'4D Schedule'!$C$29</f>
        <v>E&amp;I drawings released (IFC)</v>
      </c>
      <c r="C29" s="3" t="s">
        <v>1671</v>
      </c>
      <c r="D29" s="75" t="n">
        <f aca="false">'4D Schedule'!$AE$29</f>
        <v>46367</v>
      </c>
      <c r="E29" s="75" t="n">
        <f aca="false">'4D Schedule'!$AF$29</f>
        <v>46367</v>
      </c>
      <c r="F29" s="3" t="str">
        <f aca="false">'4D Schedule'!$AG$29</f>
        <v>Not Started</v>
      </c>
      <c r="G29" s="66" t="n">
        <f aca="false">'4D Schedule'!$AC$29</f>
        <v>0</v>
      </c>
    </row>
    <row r="30" customFormat="false" ht="15" hidden="false" customHeight="false" outlineLevel="0" collapsed="false">
      <c r="A30" s="69" t="str">
        <f aca="false">'4D Schedule'!$A$30</f>
        <v>CHP.P</v>
      </c>
      <c r="B30" s="69" t="str">
        <f aca="false">'4D Schedule'!$C$30</f>
        <v>PROCUREMENT</v>
      </c>
      <c r="C30" s="69" t="s">
        <v>1669</v>
      </c>
      <c r="D30" s="70" t="n">
        <f aca="false">'4D Schedule'!$AE$30</f>
        <v>46056</v>
      </c>
      <c r="E30" s="70" t="n">
        <f aca="false">'4D Schedule'!$AF$30</f>
        <v>46387</v>
      </c>
      <c r="F30" s="69" t="str">
        <f aca="false">'4D Schedule'!$AG$30</f>
        <v>In Progress</v>
      </c>
      <c r="G30" s="71" t="n">
        <f aca="false">'4D Schedule'!$AC$30</f>
        <v>0.729233393501805</v>
      </c>
    </row>
    <row r="31" customFormat="false" ht="15" hidden="false" customHeight="false" outlineLevel="0" collapsed="false">
      <c r="A31" s="72" t="str">
        <f aca="false">'4D Schedule'!$A$31</f>
        <v>JSW USL-PR-2440</v>
      </c>
      <c r="B31" s="72" t="str">
        <f aca="false">'4D Schedule'!$C$31</f>
        <v>Centrifugal Chillers - PR to PO</v>
      </c>
      <c r="C31" s="72" t="s">
        <v>1670</v>
      </c>
      <c r="D31" s="73" t="n">
        <f aca="false">'4D Schedule'!$AE$31</f>
        <v>46056</v>
      </c>
      <c r="E31" s="73" t="n">
        <f aca="false">'4D Schedule'!$AF$31</f>
        <v>46162</v>
      </c>
      <c r="F31" s="72" t="str">
        <f aca="false">'4D Schedule'!$AG$31</f>
        <v>Completed</v>
      </c>
      <c r="G31" s="74" t="n">
        <f aca="false">'4D Schedule'!$AC$31</f>
        <v>1</v>
      </c>
    </row>
    <row r="32" customFormat="false" ht="15" hidden="false" customHeight="false" outlineLevel="0" collapsed="false">
      <c r="A32" s="3" t="str">
        <f aca="false">'4D Schedule'!$A$32</f>
        <v>CHP-PRC-010</v>
      </c>
      <c r="B32" s="3" t="str">
        <f aca="false">'4D Schedule'!$C$32</f>
        <v>Centrifugal chillers – PR, RFQ, bids &amp; technical evaluation</v>
      </c>
      <c r="C32" s="3" t="s">
        <v>1672</v>
      </c>
      <c r="D32" s="75" t="n">
        <f aca="false">'4D Schedule'!$AE$32</f>
        <v>46056</v>
      </c>
      <c r="E32" s="75" t="n">
        <f aca="false">'4D Schedule'!$AF$32</f>
        <v>46125</v>
      </c>
      <c r="F32" s="3" t="str">
        <f aca="false">'4D Schedule'!$AG$32</f>
        <v>Completed</v>
      </c>
      <c r="G32" s="66" t="n">
        <f aca="false">'4D Schedule'!$AC$32</f>
        <v>1</v>
      </c>
    </row>
    <row r="33" customFormat="false" ht="15" hidden="false" customHeight="false" outlineLevel="0" collapsed="false">
      <c r="A33" s="3" t="str">
        <f aca="false">'4D Schedule'!$A$33</f>
        <v>CHP-PRC-020</v>
      </c>
      <c r="B33" s="3" t="str">
        <f aca="false">'4D Schedule'!$C$33</f>
        <v>Centrifugal chillers – commercial negotiation &amp; PO placement</v>
      </c>
      <c r="C33" s="3" t="s">
        <v>1672</v>
      </c>
      <c r="D33" s="75" t="n">
        <f aca="false">'4D Schedule'!$AE$33</f>
        <v>46126</v>
      </c>
      <c r="E33" s="75" t="n">
        <f aca="false">'4D Schedule'!$AF$33</f>
        <v>46162</v>
      </c>
      <c r="F33" s="3" t="str">
        <f aca="false">'4D Schedule'!$AG$33</f>
        <v>Completed</v>
      </c>
      <c r="G33" s="66" t="n">
        <f aca="false">'4D Schedule'!$AC$33</f>
        <v>1</v>
      </c>
    </row>
    <row r="34" customFormat="false" ht="15" hidden="false" customHeight="false" outlineLevel="0" collapsed="false">
      <c r="A34" s="3" t="str">
        <f aca="false">'4D Schedule'!$A$34</f>
        <v>CHP-PRC-030</v>
      </c>
      <c r="B34" s="3" t="str">
        <f aca="false">'4D Schedule'!$C$34</f>
        <v>PO placed – centrifugal chillers</v>
      </c>
      <c r="C34" s="3" t="s">
        <v>1671</v>
      </c>
      <c r="D34" s="75" t="n">
        <f aca="false">'4D Schedule'!$AE$34</f>
        <v>46162</v>
      </c>
      <c r="E34" s="75" t="n">
        <f aca="false">'4D Schedule'!$AF$34</f>
        <v>46162</v>
      </c>
      <c r="F34" s="3" t="str">
        <f aca="false">'4D Schedule'!$AG$34</f>
        <v>Completed</v>
      </c>
      <c r="G34" s="66" t="n">
        <f aca="false">'4D Schedule'!$AC$34</f>
        <v>1</v>
      </c>
    </row>
    <row r="35" customFormat="false" ht="15" hidden="false" customHeight="false" outlineLevel="0" collapsed="false">
      <c r="A35" s="72" t="str">
        <f aca="false">'4D Schedule'!$A$35</f>
        <v>JSW USL-PR-2450</v>
      </c>
      <c r="B35" s="72" t="str">
        <f aca="false">'4D Schedule'!$C$35</f>
        <v>Centrifugal Chillers - Manufacturing, Inspection &amp; Delivery</v>
      </c>
      <c r="C35" s="72" t="s">
        <v>1670</v>
      </c>
      <c r="D35" s="73" t="n">
        <f aca="false">'4D Schedule'!$AE$35</f>
        <v>46164</v>
      </c>
      <c r="E35" s="73" t="n">
        <f aca="false">'4D Schedule'!$AF$35</f>
        <v>46387</v>
      </c>
      <c r="F35" s="72" t="str">
        <f aca="false">'4D Schedule'!$AG$35</f>
        <v>In Progress</v>
      </c>
      <c r="G35" s="74" t="n">
        <f aca="false">'4D Schedule'!$AC$35</f>
        <v>0.601021276595745</v>
      </c>
    </row>
    <row r="36" customFormat="false" ht="15" hidden="false" customHeight="false" outlineLevel="0" collapsed="false">
      <c r="A36" s="3" t="str">
        <f aca="false">'4D Schedule'!$A$36</f>
        <v>CHP-PRC-040</v>
      </c>
      <c r="B36" s="3" t="str">
        <f aca="false">'4D Schedule'!$C$36</f>
        <v>Centrifugal chillers – manufacturing</v>
      </c>
      <c r="C36" s="3" t="s">
        <v>1672</v>
      </c>
      <c r="D36" s="75" t="n">
        <f aca="false">'4D Schedule'!$AE$36</f>
        <v>46164</v>
      </c>
      <c r="E36" s="75" t="n">
        <f aca="false">'4D Schedule'!$AF$36</f>
        <v>46359</v>
      </c>
      <c r="F36" s="3" t="str">
        <f aca="false">'4D Schedule'!$AG$36</f>
        <v>In Progress</v>
      </c>
      <c r="G36" s="66" t="n">
        <f aca="false">'4D Schedule'!$AC$36</f>
        <v>0.6848</v>
      </c>
    </row>
    <row r="37" customFormat="false" ht="15" hidden="false" customHeight="false" outlineLevel="0" collapsed="false">
      <c r="A37" s="3" t="str">
        <f aca="false">'4D Schedule'!$A$37</f>
        <v>CHP-PRC-050</v>
      </c>
      <c r="B37" s="3" t="str">
        <f aca="false">'4D Schedule'!$C$37</f>
        <v>Centrifugal chillers – stage inspection &amp; FAT</v>
      </c>
      <c r="C37" s="3" t="s">
        <v>1672</v>
      </c>
      <c r="D37" s="75" t="n">
        <f aca="false">'4D Schedule'!$AE$37</f>
        <v>46360</v>
      </c>
      <c r="E37" s="75" t="n">
        <f aca="false">'4D Schedule'!$AF$37</f>
        <v>46368</v>
      </c>
      <c r="F37" s="3" t="str">
        <f aca="false">'4D Schedule'!$AG$37</f>
        <v>Not Started</v>
      </c>
      <c r="G37" s="66" t="n">
        <f aca="false">'4D Schedule'!$AC$37</f>
        <v>0</v>
      </c>
    </row>
    <row r="38" customFormat="false" ht="15" hidden="false" customHeight="false" outlineLevel="0" collapsed="false">
      <c r="A38" s="3" t="str">
        <f aca="false">'4D Schedule'!$A$38</f>
        <v>CHP-PRC-060</v>
      </c>
      <c r="B38" s="3" t="str">
        <f aca="false">'4D Schedule'!$C$38</f>
        <v>Centrifugal chillers – dispatch &amp; transit to site</v>
      </c>
      <c r="C38" s="3" t="s">
        <v>1672</v>
      </c>
      <c r="D38" s="75" t="n">
        <f aca="false">'4D Schedule'!$AE$38</f>
        <v>46370</v>
      </c>
      <c r="E38" s="75" t="n">
        <f aca="false">'4D Schedule'!$AF$38</f>
        <v>46387</v>
      </c>
      <c r="F38" s="3" t="str">
        <f aca="false">'4D Schedule'!$AG$38</f>
        <v>Not Started</v>
      </c>
      <c r="G38" s="66" t="n">
        <f aca="false">'4D Schedule'!$AC$38</f>
        <v>0</v>
      </c>
    </row>
    <row r="39" customFormat="false" ht="15" hidden="false" customHeight="false" outlineLevel="0" collapsed="false">
      <c r="A39" s="3" t="str">
        <f aca="false">'4D Schedule'!$A$39</f>
        <v>CHP-MS-070</v>
      </c>
      <c r="B39" s="3" t="str">
        <f aca="false">'4D Schedule'!$C$39</f>
        <v>Centrifugal chillers delivered at site</v>
      </c>
      <c r="C39" s="3" t="s">
        <v>1671</v>
      </c>
      <c r="D39" s="75" t="n">
        <f aca="false">'4D Schedule'!$AE$39</f>
        <v>46387</v>
      </c>
      <c r="E39" s="75" t="n">
        <f aca="false">'4D Schedule'!$AF$39</f>
        <v>46387</v>
      </c>
      <c r="F39" s="3" t="str">
        <f aca="false">'4D Schedule'!$AG$39</f>
        <v>Not Started</v>
      </c>
      <c r="G39" s="66" t="n">
        <f aca="false">'4D Schedule'!$AC$39</f>
        <v>0</v>
      </c>
    </row>
    <row r="40" customFormat="false" ht="15" hidden="false" customHeight="false" outlineLevel="0" collapsed="false">
      <c r="A40" s="72" t="str">
        <f aca="false">'4D Schedule'!$A$40</f>
        <v>JSW USL-PR-2460</v>
      </c>
      <c r="B40" s="72" t="str">
        <f aca="false">'4D Schedule'!$C$40</f>
        <v>Pumps - PR to PO</v>
      </c>
      <c r="C40" s="72" t="s">
        <v>1670</v>
      </c>
      <c r="D40" s="73" t="n">
        <f aca="false">'4D Schedule'!$AE$40</f>
        <v>46056</v>
      </c>
      <c r="E40" s="73" t="n">
        <f aca="false">'4D Schedule'!$AF$40</f>
        <v>46139</v>
      </c>
      <c r="F40" s="72" t="str">
        <f aca="false">'4D Schedule'!$AG$40</f>
        <v>Completed</v>
      </c>
      <c r="G40" s="74" t="n">
        <f aca="false">'4D Schedule'!$AC$40</f>
        <v>1</v>
      </c>
    </row>
    <row r="41" customFormat="false" ht="15" hidden="false" customHeight="false" outlineLevel="0" collapsed="false">
      <c r="A41" s="3" t="str">
        <f aca="false">'4D Schedule'!$A$41</f>
        <v>CHP-PRC-070</v>
      </c>
      <c r="B41" s="3" t="str">
        <f aca="false">'4D Schedule'!$C$41</f>
        <v>Pumps – PR, RFQ, bids &amp; technical evaluation</v>
      </c>
      <c r="C41" s="3" t="s">
        <v>1672</v>
      </c>
      <c r="D41" s="75" t="n">
        <f aca="false">'4D Schedule'!$AE$41</f>
        <v>46056</v>
      </c>
      <c r="E41" s="75" t="n">
        <f aca="false">'4D Schedule'!$AF$41</f>
        <v>46111</v>
      </c>
      <c r="F41" s="3" t="str">
        <f aca="false">'4D Schedule'!$AG$41</f>
        <v>Completed</v>
      </c>
      <c r="G41" s="66" t="n">
        <f aca="false">'4D Schedule'!$AC$41</f>
        <v>1</v>
      </c>
    </row>
    <row r="42" customFormat="false" ht="15" hidden="false" customHeight="false" outlineLevel="0" collapsed="false">
      <c r="A42" s="3" t="str">
        <f aca="false">'4D Schedule'!$A$42</f>
        <v>CHP-PRC-080</v>
      </c>
      <c r="B42" s="3" t="str">
        <f aca="false">'4D Schedule'!$C$42</f>
        <v>Pumps – commercial negotiation &amp; PO placement</v>
      </c>
      <c r="C42" s="3" t="s">
        <v>1672</v>
      </c>
      <c r="D42" s="75" t="n">
        <f aca="false">'4D Schedule'!$AE$42</f>
        <v>46112</v>
      </c>
      <c r="E42" s="75" t="n">
        <f aca="false">'4D Schedule'!$AF$42</f>
        <v>46139</v>
      </c>
      <c r="F42" s="3" t="str">
        <f aca="false">'4D Schedule'!$AG$42</f>
        <v>Completed</v>
      </c>
      <c r="G42" s="66" t="n">
        <f aca="false">'4D Schedule'!$AC$42</f>
        <v>1</v>
      </c>
    </row>
    <row r="43" customFormat="false" ht="15" hidden="false" customHeight="false" outlineLevel="0" collapsed="false">
      <c r="A43" s="3" t="str">
        <f aca="false">'4D Schedule'!$A$43</f>
        <v>CHP-PRC-090</v>
      </c>
      <c r="B43" s="3" t="str">
        <f aca="false">'4D Schedule'!$C$43</f>
        <v>PO placed – pumps</v>
      </c>
      <c r="C43" s="3" t="s">
        <v>1671</v>
      </c>
      <c r="D43" s="75" t="n">
        <f aca="false">'4D Schedule'!$AE$43</f>
        <v>46139</v>
      </c>
      <c r="E43" s="75" t="n">
        <f aca="false">'4D Schedule'!$AF$43</f>
        <v>46139</v>
      </c>
      <c r="F43" s="3" t="str">
        <f aca="false">'4D Schedule'!$AG$43</f>
        <v>Completed</v>
      </c>
      <c r="G43" s="66" t="n">
        <f aca="false">'4D Schedule'!$AC$43</f>
        <v>1</v>
      </c>
    </row>
    <row r="44" customFormat="false" ht="15" hidden="false" customHeight="false" outlineLevel="0" collapsed="false">
      <c r="A44" s="72" t="str">
        <f aca="false">'4D Schedule'!$A$44</f>
        <v>JSW USL-PR-2470</v>
      </c>
      <c r="B44" s="72" t="str">
        <f aca="false">'4D Schedule'!$C$44</f>
        <v>Pumps - Manufacturing, Inspection &amp; Delivery</v>
      </c>
      <c r="C44" s="72" t="s">
        <v>1670</v>
      </c>
      <c r="D44" s="73" t="n">
        <f aca="false">'4D Schedule'!$AE$44</f>
        <v>46141</v>
      </c>
      <c r="E44" s="73" t="n">
        <f aca="false">'4D Schedule'!$AF$44</f>
        <v>46387</v>
      </c>
      <c r="F44" s="72" t="str">
        <f aca="false">'4D Schedule'!$AG$44</f>
        <v>In Progress</v>
      </c>
      <c r="G44" s="74" t="n">
        <f aca="false">'4D Schedule'!$AC$44</f>
        <v>0.637697101449275</v>
      </c>
    </row>
    <row r="45" customFormat="false" ht="15" hidden="false" customHeight="false" outlineLevel="0" collapsed="false">
      <c r="A45" s="3" t="str">
        <f aca="false">'4D Schedule'!$A$45</f>
        <v>CHP-PRC-100</v>
      </c>
      <c r="B45" s="3" t="str">
        <f aca="false">'4D Schedule'!$C$45</f>
        <v>Pumps – manufacturing</v>
      </c>
      <c r="C45" s="3" t="s">
        <v>1672</v>
      </c>
      <c r="D45" s="75" t="n">
        <f aca="false">'4D Schedule'!$AE$45</f>
        <v>46141</v>
      </c>
      <c r="E45" s="75" t="n">
        <f aca="false">'4D Schedule'!$AF$45</f>
        <v>46363</v>
      </c>
      <c r="F45" s="3" t="str">
        <f aca="false">'4D Schedule'!$AG$45</f>
        <v>In Progress</v>
      </c>
      <c r="G45" s="66" t="n">
        <f aca="false">'4D Schedule'!$AC$45</f>
        <v>0.7059</v>
      </c>
    </row>
    <row r="46" customFormat="false" ht="15" hidden="false" customHeight="false" outlineLevel="0" collapsed="false">
      <c r="A46" s="3" t="str">
        <f aca="false">'4D Schedule'!$A$46</f>
        <v>CHP-PRC-110</v>
      </c>
      <c r="B46" s="3" t="str">
        <f aca="false">'4D Schedule'!$C$46</f>
        <v>Pumps – inspection &amp; performance test</v>
      </c>
      <c r="C46" s="3" t="s">
        <v>1672</v>
      </c>
      <c r="D46" s="75" t="n">
        <f aca="false">'4D Schedule'!$AE$46</f>
        <v>46364</v>
      </c>
      <c r="E46" s="75" t="n">
        <f aca="false">'4D Schedule'!$AF$46</f>
        <v>46370</v>
      </c>
      <c r="F46" s="3" t="str">
        <f aca="false">'4D Schedule'!$AG$46</f>
        <v>Not Started (Late)</v>
      </c>
      <c r="G46" s="66" t="n">
        <f aca="false">'4D Schedule'!$AC$46</f>
        <v>0</v>
      </c>
    </row>
    <row r="47" customFormat="false" ht="15" hidden="false" customHeight="false" outlineLevel="0" collapsed="false">
      <c r="A47" s="3" t="str">
        <f aca="false">'4D Schedule'!$A$47</f>
        <v>CHP-PRC-120</v>
      </c>
      <c r="B47" s="3" t="str">
        <f aca="false">'4D Schedule'!$C$47</f>
        <v>Pumps – dispatch &amp; transit to site</v>
      </c>
      <c r="C47" s="3" t="s">
        <v>1672</v>
      </c>
      <c r="D47" s="75" t="n">
        <f aca="false">'4D Schedule'!$AE$47</f>
        <v>46371</v>
      </c>
      <c r="E47" s="75" t="n">
        <f aca="false">'4D Schedule'!$AF$47</f>
        <v>46387</v>
      </c>
      <c r="F47" s="3" t="str">
        <f aca="false">'4D Schedule'!$AG$47</f>
        <v>Not Started (Late)</v>
      </c>
      <c r="G47" s="66" t="n">
        <f aca="false">'4D Schedule'!$AC$47</f>
        <v>0</v>
      </c>
    </row>
    <row r="48" customFormat="false" ht="15" hidden="false" customHeight="false" outlineLevel="0" collapsed="false">
      <c r="A48" s="3" t="str">
        <f aca="false">'4D Schedule'!$A$48</f>
        <v>CHP-MS-080</v>
      </c>
      <c r="B48" s="3" t="str">
        <f aca="false">'4D Schedule'!$C$48</f>
        <v>Pumps delivered at site</v>
      </c>
      <c r="C48" s="3" t="s">
        <v>1671</v>
      </c>
      <c r="D48" s="75" t="n">
        <f aca="false">'4D Schedule'!$AE$48</f>
        <v>46387</v>
      </c>
      <c r="E48" s="75" t="n">
        <f aca="false">'4D Schedule'!$AF$48</f>
        <v>46387</v>
      </c>
      <c r="F48" s="3" t="str">
        <f aca="false">'4D Schedule'!$AG$48</f>
        <v>Not Started (Late)</v>
      </c>
      <c r="G48" s="66" t="n">
        <f aca="false">'4D Schedule'!$AC$48</f>
        <v>0</v>
      </c>
    </row>
    <row r="49" customFormat="false" ht="15" hidden="false" customHeight="false" outlineLevel="0" collapsed="false">
      <c r="A49" s="69" t="str">
        <f aca="false">'4D Schedule'!$A$49</f>
        <v>CHP.C</v>
      </c>
      <c r="B49" s="69" t="str">
        <f aca="false">'4D Schedule'!$C$49</f>
        <v>CONSTRUCTION</v>
      </c>
      <c r="C49" s="69" t="s">
        <v>1669</v>
      </c>
      <c r="D49" s="70" t="n">
        <f aca="false">'4D Schedule'!$AE$49</f>
        <v>46008</v>
      </c>
      <c r="E49" s="70" t="n">
        <f aca="false">'4D Schedule'!$AF$49</f>
        <v>46510</v>
      </c>
      <c r="F49" s="69" t="str">
        <f aca="false">'4D Schedule'!$AG$49</f>
        <v>In Progress</v>
      </c>
      <c r="G49" s="71" t="n">
        <f aca="false">'4D Schedule'!$AC$49</f>
        <v>0.520175131348511</v>
      </c>
    </row>
    <row r="50" customFormat="false" ht="15" hidden="false" customHeight="false" outlineLevel="0" collapsed="false">
      <c r="A50" s="72" t="str">
        <f aca="false">'4D Schedule'!$A$50</f>
        <v>JSW USL-CON-CHI-1000</v>
      </c>
      <c r="B50" s="72" t="str">
        <f aca="false">'4D Schedule'!$C$50</f>
        <v>Piling Works</v>
      </c>
      <c r="C50" s="72" t="s">
        <v>1670</v>
      </c>
      <c r="D50" s="73" t="n">
        <f aca="false">'4D Schedule'!$AE$50</f>
        <v>46008</v>
      </c>
      <c r="E50" s="73" t="n">
        <f aca="false">'4D Schedule'!$AF$50</f>
        <v>46041</v>
      </c>
      <c r="F50" s="72" t="str">
        <f aca="false">'4D Schedule'!$AG$50</f>
        <v>Completed</v>
      </c>
      <c r="G50" s="74" t="n">
        <f aca="false">'4D Schedule'!$AC$50</f>
        <v>1</v>
      </c>
    </row>
    <row r="51" customFormat="false" ht="15" hidden="false" customHeight="false" outlineLevel="0" collapsed="false">
      <c r="A51" s="3" t="str">
        <f aca="false">'4D Schedule'!$A$51</f>
        <v>CHP-PIL-010</v>
      </c>
      <c r="B51" s="3" t="str">
        <f aca="false">'4D Schedule'!$C$51</f>
        <v>Piles Row A (P1–P7)</v>
      </c>
      <c r="C51" s="3" t="s">
        <v>1672</v>
      </c>
      <c r="D51" s="75" t="n">
        <f aca="false">'4D Schedule'!$AE$51</f>
        <v>46008</v>
      </c>
      <c r="E51" s="75" t="n">
        <f aca="false">'4D Schedule'!$AF$51</f>
        <v>46011</v>
      </c>
      <c r="F51" s="3" t="str">
        <f aca="false">'4D Schedule'!$AG$51</f>
        <v>Completed</v>
      </c>
      <c r="G51" s="66" t="n">
        <f aca="false">'4D Schedule'!$AC$51</f>
        <v>1</v>
      </c>
    </row>
    <row r="52" customFormat="false" ht="15" hidden="false" customHeight="false" outlineLevel="0" collapsed="false">
      <c r="A52" s="3" t="str">
        <f aca="false">'4D Schedule'!$A$52</f>
        <v>CHP-PIL-020</v>
      </c>
      <c r="B52" s="3" t="str">
        <f aca="false">'4D Schedule'!$C$52</f>
        <v>Piles Row B (P8–P16)</v>
      </c>
      <c r="C52" s="3" t="s">
        <v>1672</v>
      </c>
      <c r="D52" s="75" t="n">
        <f aca="false">'4D Schedule'!$AE$52</f>
        <v>46013</v>
      </c>
      <c r="E52" s="75" t="n">
        <f aca="false">'4D Schedule'!$AF$52</f>
        <v>46018</v>
      </c>
      <c r="F52" s="3" t="str">
        <f aca="false">'4D Schedule'!$AG$52</f>
        <v>Completed</v>
      </c>
      <c r="G52" s="66" t="n">
        <f aca="false">'4D Schedule'!$AC$52</f>
        <v>1</v>
      </c>
    </row>
    <row r="53" customFormat="false" ht="15" hidden="false" customHeight="false" outlineLevel="0" collapsed="false">
      <c r="A53" s="3" t="str">
        <f aca="false">'4D Schedule'!$A$53</f>
        <v>CHP-PIL-030</v>
      </c>
      <c r="B53" s="3" t="str">
        <f aca="false">'4D Schedule'!$C$53</f>
        <v>Piles Row C (P17–P22)</v>
      </c>
      <c r="C53" s="3" t="s">
        <v>1672</v>
      </c>
      <c r="D53" s="75" t="n">
        <f aca="false">'4D Schedule'!$AE$53</f>
        <v>46020</v>
      </c>
      <c r="E53" s="75" t="n">
        <f aca="false">'4D Schedule'!$AF$53</f>
        <v>46022</v>
      </c>
      <c r="F53" s="3" t="str">
        <f aca="false">'4D Schedule'!$AG$53</f>
        <v>Completed</v>
      </c>
      <c r="G53" s="66" t="n">
        <f aca="false">'4D Schedule'!$AC$53</f>
        <v>1</v>
      </c>
    </row>
    <row r="54" customFormat="false" ht="15" hidden="false" customHeight="false" outlineLevel="0" collapsed="false">
      <c r="A54" s="3" t="str">
        <f aca="false">'4D Schedule'!$A$54</f>
        <v>CHP-PIL-040</v>
      </c>
      <c r="B54" s="3" t="str">
        <f aca="false">'4D Schedule'!$C$54</f>
        <v>Piles Row D (P23–P34)</v>
      </c>
      <c r="C54" s="3" t="s">
        <v>1672</v>
      </c>
      <c r="D54" s="75" t="n">
        <f aca="false">'4D Schedule'!$AE$54</f>
        <v>46024</v>
      </c>
      <c r="E54" s="75" t="n">
        <f aca="false">'4D Schedule'!$AF$54</f>
        <v>46030</v>
      </c>
      <c r="F54" s="3" t="str">
        <f aca="false">'4D Schedule'!$AG$54</f>
        <v>Completed</v>
      </c>
      <c r="G54" s="66" t="n">
        <f aca="false">'4D Schedule'!$AC$54</f>
        <v>1</v>
      </c>
    </row>
    <row r="55" customFormat="false" ht="15" hidden="false" customHeight="false" outlineLevel="0" collapsed="false">
      <c r="A55" s="3" t="str">
        <f aca="false">'4D Schedule'!$A$55</f>
        <v>CHP-PIL-050</v>
      </c>
      <c r="B55" s="3" t="str">
        <f aca="false">'4D Schedule'!$C$55</f>
        <v>Piles Rows D.1 &amp; D.2 (P35–P41)</v>
      </c>
      <c r="C55" s="3" t="s">
        <v>1672</v>
      </c>
      <c r="D55" s="75" t="n">
        <f aca="false">'4D Schedule'!$AE$55</f>
        <v>46031</v>
      </c>
      <c r="E55" s="75" t="n">
        <f aca="false">'4D Schedule'!$AF$55</f>
        <v>46035</v>
      </c>
      <c r="F55" s="3" t="str">
        <f aca="false">'4D Schedule'!$AG$55</f>
        <v>Completed</v>
      </c>
      <c r="G55" s="66" t="n">
        <f aca="false">'4D Schedule'!$AC$55</f>
        <v>1</v>
      </c>
    </row>
    <row r="56" customFormat="false" ht="15" hidden="false" customHeight="false" outlineLevel="0" collapsed="false">
      <c r="A56" s="3" t="str">
        <f aca="false">'4D Schedule'!$A$56</f>
        <v>CHP-PIL-060</v>
      </c>
      <c r="B56" s="3" t="str">
        <f aca="false">'4D Schedule'!$C$56</f>
        <v>Piles Row E (P42–P53)</v>
      </c>
      <c r="C56" s="3" t="s">
        <v>1672</v>
      </c>
      <c r="D56" s="75" t="n">
        <f aca="false">'4D Schedule'!$AE$56</f>
        <v>46036</v>
      </c>
      <c r="E56" s="75" t="n">
        <f aca="false">'4D Schedule'!$AF$56</f>
        <v>46041</v>
      </c>
      <c r="F56" s="3" t="str">
        <f aca="false">'4D Schedule'!$AG$56</f>
        <v>Completed</v>
      </c>
      <c r="G56" s="66" t="n">
        <f aca="false">'4D Schedule'!$AC$56</f>
        <v>1</v>
      </c>
    </row>
    <row r="57" customFormat="false" ht="15" hidden="false" customHeight="false" outlineLevel="0" collapsed="false">
      <c r="A57" s="72" t="str">
        <f aca="false">'4D Schedule'!$A$57</f>
        <v>JSW USL-CON-CHI-1010</v>
      </c>
      <c r="B57" s="72" t="str">
        <f aca="false">'4D Schedule'!$C$57</f>
        <v>Excavation incl. pile chipping</v>
      </c>
      <c r="C57" s="72" t="s">
        <v>1670</v>
      </c>
      <c r="D57" s="73" t="n">
        <f aca="false">'4D Schedule'!$AE$57</f>
        <v>46071</v>
      </c>
      <c r="E57" s="73" t="n">
        <f aca="false">'4D Schedule'!$AF$57</f>
        <v>46111</v>
      </c>
      <c r="F57" s="72" t="str">
        <f aca="false">'4D Schedule'!$AG$57</f>
        <v>Completed</v>
      </c>
      <c r="G57" s="74" t="n">
        <f aca="false">'4D Schedule'!$AC$57</f>
        <v>1</v>
      </c>
    </row>
    <row r="58" customFormat="false" ht="15" hidden="false" customHeight="false" outlineLevel="0" collapsed="false">
      <c r="A58" s="3" t="str">
        <f aca="false">'4D Schedule'!$A$58</f>
        <v>CHP-EXC-010</v>
      </c>
      <c r="B58" s="3" t="str">
        <f aca="false">'4D Schedule'!$C$58</f>
        <v>Excavation, pile chipping &amp; PCC prep – Zone-1 (Grid 1–3)</v>
      </c>
      <c r="C58" s="3" t="s">
        <v>1672</v>
      </c>
      <c r="D58" s="75" t="n">
        <f aca="false">'4D Schedule'!$AE$58</f>
        <v>46071</v>
      </c>
      <c r="E58" s="75" t="n">
        <f aca="false">'4D Schedule'!$AF$58</f>
        <v>46088</v>
      </c>
      <c r="F58" s="3" t="str">
        <f aca="false">'4D Schedule'!$AG$58</f>
        <v>Completed</v>
      </c>
      <c r="G58" s="66" t="n">
        <f aca="false">'4D Schedule'!$AC$58</f>
        <v>1</v>
      </c>
    </row>
    <row r="59" customFormat="false" ht="15" hidden="false" customHeight="false" outlineLevel="0" collapsed="false">
      <c r="A59" s="3" t="str">
        <f aca="false">'4D Schedule'!$A$59</f>
        <v>CHP-EXC-020</v>
      </c>
      <c r="B59" s="3" t="str">
        <f aca="false">'4D Schedule'!$C$59</f>
        <v>Excavation, pile chipping &amp; PCC prep – Zone-2 (Grid 3–5)</v>
      </c>
      <c r="C59" s="3" t="s">
        <v>1672</v>
      </c>
      <c r="D59" s="75" t="n">
        <f aca="false">'4D Schedule'!$AE$59</f>
        <v>46086</v>
      </c>
      <c r="E59" s="75" t="n">
        <f aca="false">'4D Schedule'!$AF$59</f>
        <v>46099</v>
      </c>
      <c r="F59" s="3" t="str">
        <f aca="false">'4D Schedule'!$AG$59</f>
        <v>Completed</v>
      </c>
      <c r="G59" s="66" t="n">
        <f aca="false">'4D Schedule'!$AC$59</f>
        <v>1</v>
      </c>
    </row>
    <row r="60" customFormat="false" ht="15" hidden="false" customHeight="false" outlineLevel="0" collapsed="false">
      <c r="A60" s="3" t="str">
        <f aca="false">'4D Schedule'!$A$60</f>
        <v>CHP-EXC-030</v>
      </c>
      <c r="B60" s="3" t="str">
        <f aca="false">'4D Schedule'!$C$60</f>
        <v>Excavation, pile chipping &amp; PCC prep – Zone-3 (Grid 5–6)</v>
      </c>
      <c r="C60" s="3" t="s">
        <v>1672</v>
      </c>
      <c r="D60" s="75" t="n">
        <f aca="false">'4D Schedule'!$AE$60</f>
        <v>46097</v>
      </c>
      <c r="E60" s="75" t="n">
        <f aca="false">'4D Schedule'!$AF$60</f>
        <v>46111</v>
      </c>
      <c r="F60" s="3" t="str">
        <f aca="false">'4D Schedule'!$AG$60</f>
        <v>Completed</v>
      </c>
      <c r="G60" s="66" t="n">
        <f aca="false">'4D Schedule'!$AC$60</f>
        <v>1</v>
      </c>
    </row>
    <row r="61" customFormat="false" ht="15" hidden="false" customHeight="false" outlineLevel="0" collapsed="false">
      <c r="A61" s="72" t="str">
        <f aca="false">'4D Schedule'!$A$61</f>
        <v>JSW USL-CON-CHI-1020</v>
      </c>
      <c r="B61" s="72" t="str">
        <f aca="false">'4D Schedule'!$C$61</f>
        <v>Concreting - Foundations, Columns, Beams, Walls, etc.</v>
      </c>
      <c r="C61" s="72" t="s">
        <v>1670</v>
      </c>
      <c r="D61" s="73" t="n">
        <f aca="false">'4D Schedule'!$AE$61</f>
        <v>46089</v>
      </c>
      <c r="E61" s="73" t="n">
        <f aca="false">'4D Schedule'!$AF$61</f>
        <v>46351</v>
      </c>
      <c r="F61" s="72" t="str">
        <f aca="false">'4D Schedule'!$AG$61</f>
        <v>In Progress</v>
      </c>
      <c r="G61" s="74" t="n">
        <f aca="false">'4D Schedule'!$AC$61</f>
        <v>0.737362355953905</v>
      </c>
    </row>
    <row r="62" customFormat="false" ht="15" hidden="false" customHeight="false" outlineLevel="0" collapsed="false">
      <c r="A62" s="3" t="str">
        <f aca="false">'4D Schedule'!$A$62</f>
        <v>CHP-SUB-010</v>
      </c>
      <c r="B62" s="3" t="str">
        <f aca="false">'4D Schedule'!$C$62</f>
        <v>PCC (M7.5) &amp; pile caps – Zone-1 (17 nos: PC1 ×9, PC2 ×8)</v>
      </c>
      <c r="C62" s="3" t="s">
        <v>1672</v>
      </c>
      <c r="D62" s="75" t="n">
        <f aca="false">'4D Schedule'!$AE$62</f>
        <v>46089</v>
      </c>
      <c r="E62" s="75" t="n">
        <f aca="false">'4D Schedule'!$AF$62</f>
        <v>46106</v>
      </c>
      <c r="F62" s="3" t="str">
        <f aca="false">'4D Schedule'!$AG$62</f>
        <v>Completed</v>
      </c>
      <c r="G62" s="66" t="n">
        <f aca="false">'4D Schedule'!$AC$62</f>
        <v>1</v>
      </c>
    </row>
    <row r="63" customFormat="false" ht="15" hidden="false" customHeight="false" outlineLevel="0" collapsed="false">
      <c r="A63" s="3" t="str">
        <f aca="false">'4D Schedule'!$A$63</f>
        <v>CHP-SUB-020</v>
      </c>
      <c r="B63" s="3" t="str">
        <f aca="false">'4D Schedule'!$C$63</f>
        <v>PCC (M7.5) &amp; pile caps – Zone-2 (10 nos: PC1 ×4, PC2 ×6)</v>
      </c>
      <c r="C63" s="3" t="s">
        <v>1672</v>
      </c>
      <c r="D63" s="75" t="n">
        <f aca="false">'4D Schedule'!$AE$63</f>
        <v>46100</v>
      </c>
      <c r="E63" s="75" t="n">
        <f aca="false">'4D Schedule'!$AF$63</f>
        <v>46112</v>
      </c>
      <c r="F63" s="3" t="str">
        <f aca="false">'4D Schedule'!$AG$63</f>
        <v>Completed</v>
      </c>
      <c r="G63" s="66" t="n">
        <f aca="false">'4D Schedule'!$AC$63</f>
        <v>1</v>
      </c>
    </row>
    <row r="64" customFormat="false" ht="15" hidden="false" customHeight="false" outlineLevel="0" collapsed="false">
      <c r="A64" s="3" t="str">
        <f aca="false">'4D Schedule'!$A$64</f>
        <v>CHP-SUB-030</v>
      </c>
      <c r="B64" s="3" t="str">
        <f aca="false">'4D Schedule'!$C$64</f>
        <v>PCC (M7.5) &amp; pile caps – Zone-3 (8 nos: PC1 ×4, PC2 ×4)</v>
      </c>
      <c r="C64" s="3" t="s">
        <v>1672</v>
      </c>
      <c r="D64" s="75" t="n">
        <f aca="false">'4D Schedule'!$AE$64</f>
        <v>46112</v>
      </c>
      <c r="E64" s="75" t="n">
        <f aca="false">'4D Schedule'!$AF$64</f>
        <v>46120</v>
      </c>
      <c r="F64" s="3" t="str">
        <f aca="false">'4D Schedule'!$AG$64</f>
        <v>Completed</v>
      </c>
      <c r="G64" s="66" t="n">
        <f aca="false">'4D Schedule'!$AC$64</f>
        <v>1</v>
      </c>
    </row>
    <row r="65" customFormat="false" ht="15" hidden="false" customHeight="false" outlineLevel="0" collapsed="false">
      <c r="A65" s="3" t="str">
        <f aca="false">'4D Schedule'!$A$65</f>
        <v>CHP-SUB-040</v>
      </c>
      <c r="B65" s="3" t="str">
        <f aca="false">'4D Schedule'!$C$65</f>
        <v>Pile cap beams PCB1/PCB2/PCB3 &amp; column pedestals (B.O.C -2.500 to -0.300) – Zone-1</v>
      </c>
      <c r="C65" s="3" t="s">
        <v>1672</v>
      </c>
      <c r="D65" s="75" t="n">
        <f aca="false">'4D Schedule'!$AE$65</f>
        <v>46107</v>
      </c>
      <c r="E65" s="75" t="n">
        <f aca="false">'4D Schedule'!$AF$65</f>
        <v>46123</v>
      </c>
      <c r="F65" s="3" t="str">
        <f aca="false">'4D Schedule'!$AG$65</f>
        <v>Completed</v>
      </c>
      <c r="G65" s="66" t="n">
        <f aca="false">'4D Schedule'!$AC$65</f>
        <v>1</v>
      </c>
    </row>
    <row r="66" customFormat="false" ht="15" hidden="false" customHeight="false" outlineLevel="0" collapsed="false">
      <c r="A66" s="3" t="str">
        <f aca="false">'4D Schedule'!$A$66</f>
        <v>CHP-SUB-050</v>
      </c>
      <c r="B66" s="3" t="str">
        <f aca="false">'4D Schedule'!$C$66</f>
        <v>Pile cap beams PCB1/PCB2 &amp; column pedestals – Zone-2</v>
      </c>
      <c r="C66" s="3" t="s">
        <v>1672</v>
      </c>
      <c r="D66" s="75" t="n">
        <f aca="false">'4D Schedule'!$AE$66</f>
        <v>46116</v>
      </c>
      <c r="E66" s="75" t="n">
        <f aca="false">'4D Schedule'!$AF$66</f>
        <v>46129</v>
      </c>
      <c r="F66" s="3" t="str">
        <f aca="false">'4D Schedule'!$AG$66</f>
        <v>Completed</v>
      </c>
      <c r="G66" s="66" t="n">
        <f aca="false">'4D Schedule'!$AC$66</f>
        <v>1</v>
      </c>
    </row>
    <row r="67" customFormat="false" ht="15" hidden="false" customHeight="false" outlineLevel="0" collapsed="false">
      <c r="A67" s="3" t="str">
        <f aca="false">'4D Schedule'!$A$67</f>
        <v>CHP-SUB-060</v>
      </c>
      <c r="B67" s="3" t="str">
        <f aca="false">'4D Schedule'!$C$67</f>
        <v>Pile cap beams PCB1/PCB2 &amp; column pedestals – Zone-3</v>
      </c>
      <c r="C67" s="3" t="s">
        <v>1672</v>
      </c>
      <c r="D67" s="75" t="n">
        <f aca="false">'4D Schedule'!$AE$67</f>
        <v>46123</v>
      </c>
      <c r="E67" s="75" t="n">
        <f aca="false">'4D Schedule'!$AF$67</f>
        <v>46134</v>
      </c>
      <c r="F67" s="3" t="str">
        <f aca="false">'4D Schedule'!$AG$67</f>
        <v>Completed</v>
      </c>
      <c r="G67" s="66" t="n">
        <f aca="false">'4D Schedule'!$AC$67</f>
        <v>1</v>
      </c>
    </row>
    <row r="68" customFormat="false" ht="15" hidden="false" customHeight="false" outlineLevel="0" collapsed="false">
      <c r="A68" s="3" t="str">
        <f aca="false">'4D Schedule'!$A$68</f>
        <v>CHP-SUB-070</v>
      </c>
      <c r="B68" s="3" t="str">
        <f aca="false">'4D Schedule'!$C$68</f>
        <v>Backfilling &amp; compaction up to plinth level – Zone-1</v>
      </c>
      <c r="C68" s="3" t="s">
        <v>1672</v>
      </c>
      <c r="D68" s="75" t="n">
        <f aca="false">'4D Schedule'!$AE$68</f>
        <v>46125</v>
      </c>
      <c r="E68" s="75" t="n">
        <f aca="false">'4D Schedule'!$AF$68</f>
        <v>46130</v>
      </c>
      <c r="F68" s="3" t="str">
        <f aca="false">'4D Schedule'!$AG$68</f>
        <v>Completed</v>
      </c>
      <c r="G68" s="66" t="n">
        <f aca="false">'4D Schedule'!$AC$68</f>
        <v>1</v>
      </c>
    </row>
    <row r="69" customFormat="false" ht="15" hidden="false" customHeight="false" outlineLevel="0" collapsed="false">
      <c r="A69" s="3" t="str">
        <f aca="false">'4D Schedule'!$A$69</f>
        <v>CHP-SUB-080</v>
      </c>
      <c r="B69" s="3" t="str">
        <f aca="false">'4D Schedule'!$C$69</f>
        <v>Backfilling &amp; compaction up to plinth level – Zone-2</v>
      </c>
      <c r="C69" s="3" t="s">
        <v>1672</v>
      </c>
      <c r="D69" s="75" t="n">
        <f aca="false">'4D Schedule'!$AE$69</f>
        <v>46132</v>
      </c>
      <c r="E69" s="75" t="n">
        <f aca="false">'4D Schedule'!$AF$69</f>
        <v>46136</v>
      </c>
      <c r="F69" s="3" t="str">
        <f aca="false">'4D Schedule'!$AG$69</f>
        <v>Completed</v>
      </c>
      <c r="G69" s="66" t="n">
        <f aca="false">'4D Schedule'!$AC$69</f>
        <v>1</v>
      </c>
    </row>
    <row r="70" customFormat="false" ht="15" hidden="false" customHeight="false" outlineLevel="0" collapsed="false">
      <c r="A70" s="3" t="str">
        <f aca="false">'4D Schedule'!$A$70</f>
        <v>CHP-SUB-090</v>
      </c>
      <c r="B70" s="3" t="str">
        <f aca="false">'4D Schedule'!$C$70</f>
        <v>Backfilling &amp; compaction up to plinth level – Zone-3</v>
      </c>
      <c r="C70" s="3" t="s">
        <v>1672</v>
      </c>
      <c r="D70" s="75" t="n">
        <f aca="false">'4D Schedule'!$AE$70</f>
        <v>46137</v>
      </c>
      <c r="E70" s="75" t="n">
        <f aca="false">'4D Schedule'!$AF$70</f>
        <v>46142</v>
      </c>
      <c r="F70" s="3" t="str">
        <f aca="false">'4D Schedule'!$AG$70</f>
        <v>Completed</v>
      </c>
      <c r="G70" s="66" t="n">
        <f aca="false">'4D Schedule'!$AC$70</f>
        <v>1</v>
      </c>
    </row>
    <row r="71" customFormat="false" ht="15" hidden="false" customHeight="false" outlineLevel="0" collapsed="false">
      <c r="A71" s="3" t="str">
        <f aca="false">'4D Schedule'!$A$71</f>
        <v>CHP-SUB-100</v>
      </c>
      <c r="B71" s="3" t="str">
        <f aca="false">'4D Schedule'!$C$71</f>
        <v>Plinth beams PB (TOB EL(-)0.300) – Zone-1</v>
      </c>
      <c r="C71" s="3" t="s">
        <v>1672</v>
      </c>
      <c r="D71" s="75" t="n">
        <f aca="false">'4D Schedule'!$AE$71</f>
        <v>46132</v>
      </c>
      <c r="E71" s="75" t="n">
        <f aca="false">'4D Schedule'!$AF$71</f>
        <v>46146</v>
      </c>
      <c r="F71" s="3" t="str">
        <f aca="false">'4D Schedule'!$AG$71</f>
        <v>Completed</v>
      </c>
      <c r="G71" s="66" t="n">
        <f aca="false">'4D Schedule'!$AC$71</f>
        <v>1</v>
      </c>
    </row>
    <row r="72" customFormat="false" ht="15" hidden="false" customHeight="false" outlineLevel="0" collapsed="false">
      <c r="A72" s="3" t="str">
        <f aca="false">'4D Schedule'!$A$72</f>
        <v>CHP-SUB-110</v>
      </c>
      <c r="B72" s="3" t="str">
        <f aca="false">'4D Schedule'!$C$72</f>
        <v>Plinth beams PB (TOB EL(-)0.300) – Zone-2</v>
      </c>
      <c r="C72" s="3" t="s">
        <v>1672</v>
      </c>
      <c r="D72" s="75" t="n">
        <f aca="false">'4D Schedule'!$AE$72</f>
        <v>46139</v>
      </c>
      <c r="E72" s="75" t="n">
        <f aca="false">'4D Schedule'!$AF$72</f>
        <v>46150</v>
      </c>
      <c r="F72" s="3" t="str">
        <f aca="false">'4D Schedule'!$AG$72</f>
        <v>Completed</v>
      </c>
      <c r="G72" s="66" t="n">
        <f aca="false">'4D Schedule'!$AC$72</f>
        <v>1</v>
      </c>
    </row>
    <row r="73" customFormat="false" ht="15" hidden="false" customHeight="false" outlineLevel="0" collapsed="false">
      <c r="A73" s="3" t="str">
        <f aca="false">'4D Schedule'!$A$73</f>
        <v>CHP-SUB-120</v>
      </c>
      <c r="B73" s="3" t="str">
        <f aca="false">'4D Schedule'!$C$73</f>
        <v>Plinth beams PB (TOB EL(-)0.300) – Zone-3</v>
      </c>
      <c r="C73" s="3" t="s">
        <v>1672</v>
      </c>
      <c r="D73" s="75" t="n">
        <f aca="false">'4D Schedule'!$AE$73</f>
        <v>46146</v>
      </c>
      <c r="E73" s="75" t="n">
        <f aca="false">'4D Schedule'!$AF$73</f>
        <v>46156</v>
      </c>
      <c r="F73" s="3" t="str">
        <f aca="false">'4D Schedule'!$AG$73</f>
        <v>Completed</v>
      </c>
      <c r="G73" s="66" t="n">
        <f aca="false">'4D Schedule'!$AC$73</f>
        <v>1</v>
      </c>
    </row>
    <row r="74" customFormat="false" ht="15" hidden="false" customHeight="false" outlineLevel="0" collapsed="false">
      <c r="A74" s="3" t="str">
        <f aca="false">'4D Schedule'!$A$74</f>
        <v>CHP-SUP-010</v>
      </c>
      <c r="B74" s="3" t="str">
        <f aca="false">'4D Schedule'!$C$74</f>
        <v>Columns Lift-1 (EL -0.300 to +4.000) – Zone-1 (18 nos incl. SC1)</v>
      </c>
      <c r="C74" s="3" t="s">
        <v>1672</v>
      </c>
      <c r="D74" s="75" t="n">
        <f aca="false">'4D Schedule'!$AE$74</f>
        <v>46147</v>
      </c>
      <c r="E74" s="75" t="n">
        <f aca="false">'4D Schedule'!$AF$74</f>
        <v>46162</v>
      </c>
      <c r="F74" s="3" t="str">
        <f aca="false">'4D Schedule'!$AG$74</f>
        <v>Completed</v>
      </c>
      <c r="G74" s="66" t="n">
        <f aca="false">'4D Schedule'!$AC$74</f>
        <v>1</v>
      </c>
    </row>
    <row r="75" customFormat="false" ht="15" hidden="false" customHeight="false" outlineLevel="0" collapsed="false">
      <c r="A75" s="3" t="str">
        <f aca="false">'4D Schedule'!$A$75</f>
        <v>CHP-SUP-020</v>
      </c>
      <c r="B75" s="3" t="str">
        <f aca="false">'4D Schedule'!$C$75</f>
        <v>Columns Lift-1 (EL -0.300 to +4.000) – Zone-2 (10 nos)</v>
      </c>
      <c r="C75" s="3" t="s">
        <v>1672</v>
      </c>
      <c r="D75" s="75" t="n">
        <f aca="false">'4D Schedule'!$AE$75</f>
        <v>46155</v>
      </c>
      <c r="E75" s="75" t="n">
        <f aca="false">'4D Schedule'!$AF$75</f>
        <v>46165</v>
      </c>
      <c r="F75" s="3" t="str">
        <f aca="false">'4D Schedule'!$AG$75</f>
        <v>Completed</v>
      </c>
      <c r="G75" s="66" t="n">
        <f aca="false">'4D Schedule'!$AC$75</f>
        <v>1</v>
      </c>
    </row>
    <row r="76" customFormat="false" ht="15" hidden="false" customHeight="false" outlineLevel="0" collapsed="false">
      <c r="A76" s="3" t="str">
        <f aca="false">'4D Schedule'!$A$76</f>
        <v>CHP-SUP-030</v>
      </c>
      <c r="B76" s="3" t="str">
        <f aca="false">'4D Schedule'!$C$76</f>
        <v>Columns Lift-1 (EL -0.300 to +4.000) – Zone-3 (8 nos)</v>
      </c>
      <c r="C76" s="3" t="s">
        <v>1672</v>
      </c>
      <c r="D76" s="75" t="n">
        <f aca="false">'4D Schedule'!$AE$76</f>
        <v>46161</v>
      </c>
      <c r="E76" s="75" t="n">
        <f aca="false">'4D Schedule'!$AF$76</f>
        <v>46169</v>
      </c>
      <c r="F76" s="3" t="str">
        <f aca="false">'4D Schedule'!$AG$76</f>
        <v>Completed</v>
      </c>
      <c r="G76" s="66" t="n">
        <f aca="false">'4D Schedule'!$AC$76</f>
        <v>1</v>
      </c>
    </row>
    <row r="77" customFormat="false" ht="15" hidden="false" customHeight="false" outlineLevel="0" collapsed="false">
      <c r="A77" s="3" t="str">
        <f aca="false">'4D Schedule'!$A$77</f>
        <v>CHP-SUP-040</v>
      </c>
      <c r="B77" s="3" t="str">
        <f aca="false">'4D Schedule'!$C$77</f>
        <v>Tie beam TB1 (TOB EL +2.100) at Grid 1</v>
      </c>
      <c r="C77" s="3" t="s">
        <v>1672</v>
      </c>
      <c r="D77" s="75" t="n">
        <f aca="false">'4D Schedule'!$AE$77</f>
        <v>46154</v>
      </c>
      <c r="E77" s="75" t="n">
        <f aca="false">'4D Schedule'!$AF$77</f>
        <v>46158</v>
      </c>
      <c r="F77" s="3" t="str">
        <f aca="false">'4D Schedule'!$AG$77</f>
        <v>Completed</v>
      </c>
      <c r="G77" s="66" t="n">
        <f aca="false">'4D Schedule'!$AC$77</f>
        <v>1</v>
      </c>
    </row>
    <row r="78" customFormat="false" ht="15" hidden="false" customHeight="false" outlineLevel="0" collapsed="false">
      <c r="A78" s="3" t="str">
        <f aca="false">'4D Schedule'!$A$78</f>
        <v>CHP-SUP-050</v>
      </c>
      <c r="B78" s="3" t="str">
        <f aca="false">'4D Schedule'!$C$78</f>
        <v>Staircase ST-2 – flights FLT-1 to FLT-3, landings +1.300/+2.650 up to +4.000</v>
      </c>
      <c r="C78" s="3" t="s">
        <v>1672</v>
      </c>
      <c r="D78" s="75" t="n">
        <f aca="false">'4D Schedule'!$AE$78</f>
        <v>46163</v>
      </c>
      <c r="E78" s="75" t="n">
        <f aca="false">'4D Schedule'!$AF$78</f>
        <v>46179</v>
      </c>
      <c r="F78" s="3" t="str">
        <f aca="false">'4D Schedule'!$AG$78</f>
        <v>Completed</v>
      </c>
      <c r="G78" s="66" t="n">
        <f aca="false">'4D Schedule'!$AC$78</f>
        <v>1</v>
      </c>
    </row>
    <row r="79" customFormat="false" ht="15" hidden="false" customHeight="false" outlineLevel="0" collapsed="false">
      <c r="A79" s="3" t="str">
        <f aca="false">'4D Schedule'!$A$79</f>
        <v>CHP-SUP-060</v>
      </c>
      <c r="B79" s="3" t="str">
        <f aca="false">'4D Schedule'!$C$79</f>
        <v>First floor beams &amp; 150 thk slab (TOC EL +4.000) – Zone-1 (Grid 1–3, Row E–D)</v>
      </c>
      <c r="C79" s="3" t="s">
        <v>1672</v>
      </c>
      <c r="D79" s="75" t="n">
        <f aca="false">'4D Schedule'!$AE$79</f>
        <v>46163</v>
      </c>
      <c r="E79" s="75" t="n">
        <f aca="false">'4D Schedule'!$AF$79</f>
        <v>46190</v>
      </c>
      <c r="F79" s="3" t="str">
        <f aca="false">'4D Schedule'!$AG$79</f>
        <v>Completed</v>
      </c>
      <c r="G79" s="66" t="n">
        <f aca="false">'4D Schedule'!$AC$79</f>
        <v>1</v>
      </c>
    </row>
    <row r="80" customFormat="false" ht="15" hidden="false" customHeight="false" outlineLevel="0" collapsed="false">
      <c r="A80" s="3" t="str">
        <f aca="false">'4D Schedule'!$A$80</f>
        <v>CHP-SUP-070</v>
      </c>
      <c r="B80" s="3" t="str">
        <f aca="false">'4D Schedule'!$C$80</f>
        <v>First floor beams &amp; 150 thk slab (TOC EL +4.000) – Zone-2 (Grid 3–5, Row E–D)</v>
      </c>
      <c r="C80" s="3" t="s">
        <v>1672</v>
      </c>
      <c r="D80" s="75" t="n">
        <f aca="false">'4D Schedule'!$AE$80</f>
        <v>46177</v>
      </c>
      <c r="E80" s="75" t="n">
        <f aca="false">'4D Schedule'!$AF$80</f>
        <v>46202</v>
      </c>
      <c r="F80" s="3" t="str">
        <f aca="false">'4D Schedule'!$AG$80</f>
        <v>Completed</v>
      </c>
      <c r="G80" s="66" t="n">
        <f aca="false">'4D Schedule'!$AC$80</f>
        <v>1</v>
      </c>
    </row>
    <row r="81" customFormat="false" ht="15" hidden="false" customHeight="false" outlineLevel="0" collapsed="false">
      <c r="A81" s="3" t="str">
        <f aca="false">'4D Schedule'!$A$81</f>
        <v>CHP-SUP-080</v>
      </c>
      <c r="B81" s="3" t="str">
        <f aca="false">'4D Schedule'!$C$81</f>
        <v>First floor beams &amp; 150 thk slab (TOC EL +4.000) – Zone-3 (Grid 5–6, Row E–D)</v>
      </c>
      <c r="C81" s="3" t="s">
        <v>1672</v>
      </c>
      <c r="D81" s="75" t="n">
        <f aca="false">'4D Schedule'!$AE$81</f>
        <v>46189</v>
      </c>
      <c r="E81" s="75" t="n">
        <f aca="false">'4D Schedule'!$AF$81</f>
        <v>46211</v>
      </c>
      <c r="F81" s="3" t="str">
        <f aca="false">'4D Schedule'!$AG$81</f>
        <v>Completed</v>
      </c>
      <c r="G81" s="66" t="n">
        <f aca="false">'4D Schedule'!$AC$81</f>
        <v>1</v>
      </c>
    </row>
    <row r="82" customFormat="false" ht="15" hidden="false" customHeight="false" outlineLevel="0" collapsed="false">
      <c r="A82" s="3" t="str">
        <f aca="false">'4D Schedule'!$A$82</f>
        <v>CHP-SUP-090</v>
      </c>
      <c r="B82" s="3" t="str">
        <f aca="false">'4D Schedule'!$C$82</f>
        <v>Staircase ST-1 – flights FLT-1 to FLT-3, landings +1.300/+2.650 up to +4.000</v>
      </c>
      <c r="C82" s="3" t="s">
        <v>1672</v>
      </c>
      <c r="D82" s="75" t="n">
        <f aca="false">'4D Schedule'!$AE$82</f>
        <v>46170</v>
      </c>
      <c r="E82" s="75" t="n">
        <f aca="false">'4D Schedule'!$AF$82</f>
        <v>46186</v>
      </c>
      <c r="F82" s="3" t="str">
        <f aca="false">'4D Schedule'!$AG$82</f>
        <v>Completed</v>
      </c>
      <c r="G82" s="66" t="n">
        <f aca="false">'4D Schedule'!$AC$82</f>
        <v>1</v>
      </c>
    </row>
    <row r="83" customFormat="false" ht="15" hidden="false" customHeight="false" outlineLevel="0" collapsed="false">
      <c r="A83" s="3" t="str">
        <f aca="false">'4D Schedule'!$A$83</f>
        <v>CHP-SUP-100</v>
      </c>
      <c r="B83" s="3" t="str">
        <f aca="false">'4D Schedule'!$C$83</f>
        <v>Columns Lift-2 (EL +4.000 to +9.150) – Zone-1 (18 nos incl. SC1)</v>
      </c>
      <c r="C83" s="3" t="s">
        <v>1672</v>
      </c>
      <c r="D83" s="75" t="n">
        <f aca="false">'4D Schedule'!$AE$83</f>
        <v>46191</v>
      </c>
      <c r="E83" s="75" t="n">
        <f aca="false">'4D Schedule'!$AF$83</f>
        <v>46211</v>
      </c>
      <c r="F83" s="3" t="str">
        <f aca="false">'4D Schedule'!$AG$83</f>
        <v>Completed</v>
      </c>
      <c r="G83" s="66" t="n">
        <f aca="false">'4D Schedule'!$AC$83</f>
        <v>1</v>
      </c>
    </row>
    <row r="84" customFormat="false" ht="15" hidden="false" customHeight="false" outlineLevel="0" collapsed="false">
      <c r="A84" s="3" t="str">
        <f aca="false">'4D Schedule'!$A$84</f>
        <v>CHP-SUP-110</v>
      </c>
      <c r="B84" s="3" t="str">
        <f aca="false">'4D Schedule'!$C$84</f>
        <v>Columns Lift-2 (EL +4.000 to +9.150) – Zone-2 (10 nos)</v>
      </c>
      <c r="C84" s="3" t="s">
        <v>1672</v>
      </c>
      <c r="D84" s="75" t="n">
        <f aca="false">'4D Schedule'!$AE$84</f>
        <v>46203</v>
      </c>
      <c r="E84" s="75" t="n">
        <f aca="false">'4D Schedule'!$AF$84</f>
        <v>46218</v>
      </c>
      <c r="F84" s="3" t="str">
        <f aca="false">'4D Schedule'!$AG$84</f>
        <v>Completed</v>
      </c>
      <c r="G84" s="66" t="n">
        <f aca="false">'4D Schedule'!$AC$84</f>
        <v>1</v>
      </c>
    </row>
    <row r="85" customFormat="false" ht="15" hidden="false" customHeight="false" outlineLevel="0" collapsed="false">
      <c r="A85" s="3" t="str">
        <f aca="false">'4D Schedule'!$A$85</f>
        <v>CHP-SUP-120</v>
      </c>
      <c r="B85" s="3" t="str">
        <f aca="false">'4D Schedule'!$C$85</f>
        <v>Columns Lift-2 (EL +4.000 to +9.150) – Zone-3 (8 nos)</v>
      </c>
      <c r="C85" s="3" t="s">
        <v>1672</v>
      </c>
      <c r="D85" s="75" t="n">
        <f aca="false">'4D Schedule'!$AE$85</f>
        <v>46212</v>
      </c>
      <c r="E85" s="75" t="n">
        <f aca="false">'4D Schedule'!$AF$85</f>
        <v>46225</v>
      </c>
      <c r="F85" s="3" t="str">
        <f aca="false">'4D Schedule'!$AG$85</f>
        <v>Completed</v>
      </c>
      <c r="G85" s="66" t="n">
        <f aca="false">'4D Schedule'!$AC$85</f>
        <v>1</v>
      </c>
    </row>
    <row r="86" customFormat="false" ht="15" hidden="false" customHeight="false" outlineLevel="0" collapsed="false">
      <c r="A86" s="3" t="str">
        <f aca="false">'4D Schedule'!$A$86</f>
        <v>CHP-SUP-130</v>
      </c>
      <c r="B86" s="3" t="str">
        <f aca="false">'4D Schedule'!$C$86</f>
        <v>Staircase ST-2 – flights FLT-4 to FLT-7, landings +5.350/+6.700/+7.900 up to +9.150</v>
      </c>
      <c r="C86" s="3" t="s">
        <v>1672</v>
      </c>
      <c r="D86" s="75" t="n">
        <f aca="false">'4D Schedule'!$AE$86</f>
        <v>46191</v>
      </c>
      <c r="E86" s="75" t="n">
        <f aca="false">'4D Schedule'!$AF$86</f>
        <v>46216</v>
      </c>
      <c r="F86" s="3" t="str">
        <f aca="false">'4D Schedule'!$AG$86</f>
        <v>Completed</v>
      </c>
      <c r="G86" s="66" t="n">
        <f aca="false">'4D Schedule'!$AC$86</f>
        <v>1</v>
      </c>
    </row>
    <row r="87" customFormat="false" ht="15" hidden="false" customHeight="false" outlineLevel="0" collapsed="false">
      <c r="A87" s="3" t="str">
        <f aca="false">'4D Schedule'!$A$87</f>
        <v>CHP-SUP-140</v>
      </c>
      <c r="B87" s="3" t="str">
        <f aca="false">'4D Schedule'!$C$87</f>
        <v>Staircase ST-1 – flights FLT-4 to FLT-7, landings +5.350/+6.700/+7.900 up to +9.150</v>
      </c>
      <c r="C87" s="3" t="s">
        <v>1672</v>
      </c>
      <c r="D87" s="75" t="n">
        <f aca="false">'4D Schedule'!$AE$87</f>
        <v>46212</v>
      </c>
      <c r="E87" s="75" t="n">
        <f aca="false">'4D Schedule'!$AF$87</f>
        <v>46237</v>
      </c>
      <c r="F87" s="3" t="str">
        <f aca="false">'4D Schedule'!$AG$87</f>
        <v>Completed</v>
      </c>
      <c r="G87" s="66" t="n">
        <f aca="false">'4D Schedule'!$AC$87</f>
        <v>1</v>
      </c>
    </row>
    <row r="88" customFormat="false" ht="15" hidden="false" customHeight="false" outlineLevel="0" collapsed="false">
      <c r="A88" s="3" t="str">
        <f aca="false">'4D Schedule'!$A$88</f>
        <v>CHP-SUP-150</v>
      </c>
      <c r="B88" s="3" t="str">
        <f aca="false">'4D Schedule'!$C$88</f>
        <v>Roof beams &amp; 150 thk slab (TOC EL +9.150) – Zone-1 (Grid 1–3, Row E–A)</v>
      </c>
      <c r="C88" s="3" t="s">
        <v>1672</v>
      </c>
      <c r="D88" s="75" t="n">
        <f aca="false">'4D Schedule'!$AE$88</f>
        <v>46212</v>
      </c>
      <c r="E88" s="75" t="n">
        <f aca="false">'4D Schedule'!$AF$88</f>
        <v>46246</v>
      </c>
      <c r="F88" s="3" t="str">
        <f aca="false">'4D Schedule'!$AG$88</f>
        <v>Completed</v>
      </c>
      <c r="G88" s="66" t="n">
        <f aca="false">'4D Schedule'!$AC$88</f>
        <v>1</v>
      </c>
    </row>
    <row r="89" customFormat="false" ht="15" hidden="false" customHeight="false" outlineLevel="0" collapsed="false">
      <c r="A89" s="3" t="str">
        <f aca="false">'4D Schedule'!$A$89</f>
        <v>CHP-SUP-160</v>
      </c>
      <c r="B89" s="3" t="str">
        <f aca="false">'4D Schedule'!$C$89</f>
        <v>Roof beams &amp; 150 thk slab (TOC EL +9.150) – Zone-2 (Grid 3–5, Row E–A)</v>
      </c>
      <c r="C89" s="3" t="s">
        <v>1672</v>
      </c>
      <c r="D89" s="75" t="n">
        <f aca="false">'4D Schedule'!$AE$89</f>
        <v>46230</v>
      </c>
      <c r="E89" s="75" t="n">
        <f aca="false">'4D Schedule'!$AF$89</f>
        <v>46262</v>
      </c>
      <c r="F89" s="3" t="str">
        <f aca="false">'4D Schedule'!$AG$89</f>
        <v>Completed</v>
      </c>
      <c r="G89" s="66" t="n">
        <f aca="false">'4D Schedule'!$AC$89</f>
        <v>1</v>
      </c>
    </row>
    <row r="90" customFormat="false" ht="15" hidden="false" customHeight="false" outlineLevel="0" collapsed="false">
      <c r="A90" s="3" t="str">
        <f aca="false">'4D Schedule'!$A$90</f>
        <v>CHP-SUP-170</v>
      </c>
      <c r="B90" s="3" t="str">
        <f aca="false">'4D Schedule'!$C$90</f>
        <v>Roof beams &amp; 150 thk slab (TOC EL +9.150) – Zone-3 (Grid 5–6, Row E–A)</v>
      </c>
      <c r="C90" s="3" t="s">
        <v>1672</v>
      </c>
      <c r="D90" s="75" t="n">
        <f aca="false">'4D Schedule'!$AE$90</f>
        <v>46246</v>
      </c>
      <c r="E90" s="75" t="n">
        <f aca="false">'4D Schedule'!$AF$90</f>
        <v>46274</v>
      </c>
      <c r="F90" s="3" t="str">
        <f aca="false">'4D Schedule'!$AG$90</f>
        <v>Completed</v>
      </c>
      <c r="G90" s="66" t="n">
        <f aca="false">'4D Schedule'!$AC$90</f>
        <v>1</v>
      </c>
    </row>
    <row r="91" customFormat="false" ht="15" hidden="false" customHeight="false" outlineLevel="0" collapsed="false">
      <c r="A91" s="3" t="str">
        <f aca="false">'4D Schedule'!$A$91</f>
        <v>CHP-SUP-180</v>
      </c>
      <c r="B91" s="3" t="str">
        <f aca="false">'4D Schedule'!$C$91</f>
        <v>Mumty columns (EL +9.150 to +12.150) – ST-2 (C1 ×4)</v>
      </c>
      <c r="C91" s="3" t="s">
        <v>1672</v>
      </c>
      <c r="D91" s="75" t="n">
        <f aca="false">'4D Schedule'!$AE$91</f>
        <v>46247</v>
      </c>
      <c r="E91" s="75" t="n">
        <f aca="false">'4D Schedule'!$AF$91</f>
        <v>46256</v>
      </c>
      <c r="F91" s="3" t="str">
        <f aca="false">'4D Schedule'!$AG$91</f>
        <v>Completed</v>
      </c>
      <c r="G91" s="66" t="n">
        <f aca="false">'4D Schedule'!$AC$91</f>
        <v>1</v>
      </c>
    </row>
    <row r="92" customFormat="false" ht="15" hidden="false" customHeight="false" outlineLevel="0" collapsed="false">
      <c r="A92" s="3" t="str">
        <f aca="false">'4D Schedule'!$A$92</f>
        <v>CHP-SUP-190</v>
      </c>
      <c r="B92" s="3" t="str">
        <f aca="false">'4D Schedule'!$C$92</f>
        <v>Mumty roof beams RB15/RB16 &amp; slab (TOC EL +12.150) – ST-2</v>
      </c>
      <c r="C92" s="3" t="s">
        <v>1672</v>
      </c>
      <c r="D92" s="75" t="n">
        <f aca="false">'4D Schedule'!$AE$92</f>
        <v>46258</v>
      </c>
      <c r="E92" s="75" t="n">
        <f aca="false">'4D Schedule'!$AF$92</f>
        <v>46270</v>
      </c>
      <c r="F92" s="3" t="str">
        <f aca="false">'4D Schedule'!$AG$92</f>
        <v>Completed</v>
      </c>
      <c r="G92" s="66" t="n">
        <f aca="false">'4D Schedule'!$AC$92</f>
        <v>1</v>
      </c>
    </row>
    <row r="93" customFormat="false" ht="15" hidden="false" customHeight="false" outlineLevel="0" collapsed="false">
      <c r="A93" s="3" t="str">
        <f aca="false">'4D Schedule'!$A$93</f>
        <v>CHP-SUP-200</v>
      </c>
      <c r="B93" s="3" t="str">
        <f aca="false">'4D Schedule'!$C$93</f>
        <v>Mumty columns (EL +9.150 to +12.150) – ST-1 (C1 ×4)</v>
      </c>
      <c r="C93" s="3" t="s">
        <v>1672</v>
      </c>
      <c r="D93" s="75" t="n">
        <f aca="false">'4D Schedule'!$AE$93</f>
        <v>46275</v>
      </c>
      <c r="E93" s="75" t="n">
        <f aca="false">'4D Schedule'!$AF$93</f>
        <v>46283</v>
      </c>
      <c r="F93" s="3" t="str">
        <f aca="false">'4D Schedule'!$AG$93</f>
        <v>Completed</v>
      </c>
      <c r="G93" s="66" t="n">
        <f aca="false">'4D Schedule'!$AC$93</f>
        <v>1</v>
      </c>
    </row>
    <row r="94" customFormat="false" ht="15" hidden="false" customHeight="false" outlineLevel="0" collapsed="false">
      <c r="A94" s="3" t="str">
        <f aca="false">'4D Schedule'!$A$94</f>
        <v>CHP-SUP-210</v>
      </c>
      <c r="B94" s="3" t="str">
        <f aca="false">'4D Schedule'!$C$94</f>
        <v>Mumty roof beams RB15/RB16 &amp; slab (TOC EL +12.150) – ST-1</v>
      </c>
      <c r="C94" s="3" t="s">
        <v>1672</v>
      </c>
      <c r="D94" s="75" t="n">
        <f aca="false">'4D Schedule'!$AE$94</f>
        <v>46284</v>
      </c>
      <c r="E94" s="75" t="n">
        <f aca="false">'4D Schedule'!$AF$94</f>
        <v>46298</v>
      </c>
      <c r="F94" s="3" t="str">
        <f aca="false">'4D Schedule'!$AG$94</f>
        <v>In Progress</v>
      </c>
      <c r="G94" s="66" t="n">
        <f aca="false">'4D Schedule'!$AC$94</f>
        <v>0.92</v>
      </c>
    </row>
    <row r="95" customFormat="false" ht="15" hidden="false" customHeight="false" outlineLevel="0" collapsed="false">
      <c r="A95" s="3" t="str">
        <f aca="false">'4D Schedule'!$A$95</f>
        <v>CHP-GRD-010</v>
      </c>
      <c r="B95" s="3" t="str">
        <f aca="false">'4D Schedule'!$C$95</f>
        <v>Cable trench T1 (1500 deep) Row D–C, Grid 6→1 incl. cable pit at Grid 6</v>
      </c>
      <c r="C95" s="3" t="s">
        <v>1672</v>
      </c>
      <c r="D95" s="75" t="n">
        <f aca="false">'4D Schedule'!$AE$95</f>
        <v>46157</v>
      </c>
      <c r="E95" s="75" t="n">
        <f aca="false">'4D Schedule'!$AF$95</f>
        <v>46185</v>
      </c>
      <c r="F95" s="3" t="str">
        <f aca="false">'4D Schedule'!$AG$95</f>
        <v>Completed</v>
      </c>
      <c r="G95" s="66" t="n">
        <f aca="false">'4D Schedule'!$AC$95</f>
        <v>1</v>
      </c>
    </row>
    <row r="96" customFormat="false" ht="15" hidden="false" customHeight="false" outlineLevel="0" collapsed="false">
      <c r="A96" s="3" t="str">
        <f aca="false">'4D Schedule'!$A$96</f>
        <v>CHP-GRD-020</v>
      </c>
      <c r="B96" s="3" t="str">
        <f aca="false">'4D Schedule'!$C$96</f>
        <v>Cable trench T2 (1500 deep) Row B–A, Grid 6→1</v>
      </c>
      <c r="C96" s="3" t="s">
        <v>1672</v>
      </c>
      <c r="D96" s="75" t="n">
        <f aca="false">'4D Schedule'!$AE$96</f>
        <v>46169</v>
      </c>
      <c r="E96" s="75" t="n">
        <f aca="false">'4D Schedule'!$AF$96</f>
        <v>46193</v>
      </c>
      <c r="F96" s="3" t="str">
        <f aca="false">'4D Schedule'!$AG$96</f>
        <v>Completed</v>
      </c>
      <c r="G96" s="66" t="n">
        <f aca="false">'4D Schedule'!$AC$96</f>
        <v>1</v>
      </c>
    </row>
    <row r="97" customFormat="false" ht="15" hidden="false" customHeight="false" outlineLevel="0" collapsed="false">
      <c r="A97" s="3" t="str">
        <f aca="false">'4D Schedule'!$A$97</f>
        <v>CHP-GRD-030</v>
      </c>
      <c r="B97" s="3" t="str">
        <f aca="false">'4D Schedule'!$C$97</f>
        <v>Grade slab 150 thk – Row E–D block (cable cellar, toilets, shift room, ante rooms)</v>
      </c>
      <c r="C97" s="3" t="s">
        <v>1672</v>
      </c>
      <c r="D97" s="75" t="n">
        <f aca="false">'4D Schedule'!$AE$97</f>
        <v>46224</v>
      </c>
      <c r="E97" s="75" t="n">
        <f aca="false">'4D Schedule'!$AF$97</f>
        <v>46237</v>
      </c>
      <c r="F97" s="3" t="str">
        <f aca="false">'4D Schedule'!$AG$97</f>
        <v>Completed</v>
      </c>
      <c r="G97" s="66" t="n">
        <f aca="false">'4D Schedule'!$AC$97</f>
        <v>1</v>
      </c>
    </row>
    <row r="98" customFormat="false" ht="15" hidden="false" customHeight="false" outlineLevel="0" collapsed="false">
      <c r="A98" s="3" t="str">
        <f aca="false">'4D Schedule'!$A$98</f>
        <v>CHP-GRD-040</v>
      </c>
      <c r="B98" s="3" t="str">
        <f aca="false">'4D Schedule'!$C$98</f>
        <v>Grade slab 150 thk – Row D–C strip (around trench T1)</v>
      </c>
      <c r="C98" s="3" t="s">
        <v>1672</v>
      </c>
      <c r="D98" s="75" t="n">
        <f aca="false">'4D Schedule'!$AE$98</f>
        <v>46230</v>
      </c>
      <c r="E98" s="75" t="n">
        <f aca="false">'4D Schedule'!$AF$98</f>
        <v>46240</v>
      </c>
      <c r="F98" s="3" t="str">
        <f aca="false">'4D Schedule'!$AG$98</f>
        <v>Completed</v>
      </c>
      <c r="G98" s="66" t="n">
        <f aca="false">'4D Schedule'!$AC$98</f>
        <v>1</v>
      </c>
    </row>
    <row r="99" customFormat="false" ht="15" hidden="false" customHeight="false" outlineLevel="0" collapsed="false">
      <c r="A99" s="3" t="str">
        <f aca="false">'4D Schedule'!$A$99</f>
        <v>CHP-GRD-050</v>
      </c>
      <c r="B99" s="3" t="str">
        <f aca="false">'4D Schedule'!$C$99</f>
        <v>Chiller foundations F1-01 &amp; F1-02 (Bays 1–2, 2–3)</v>
      </c>
      <c r="C99" s="3" t="s">
        <v>1672</v>
      </c>
      <c r="D99" s="75" t="n">
        <f aca="false">'4D Schedule'!$AE$99</f>
        <v>46298</v>
      </c>
      <c r="E99" s="75" t="n">
        <f aca="false">'4D Schedule'!$AF$99</f>
        <v>46319</v>
      </c>
      <c r="F99" s="3" t="str">
        <f aca="false">'4D Schedule'!$AG$99</f>
        <v>Not Started (Late)</v>
      </c>
      <c r="G99" s="66" t="n">
        <f aca="false">'4D Schedule'!$AC$99</f>
        <v>0</v>
      </c>
    </row>
    <row r="100" customFormat="false" ht="15" hidden="false" customHeight="false" outlineLevel="0" collapsed="false">
      <c r="A100" s="3" t="str">
        <f aca="false">'4D Schedule'!$A$100</f>
        <v>CHP-GRD-060</v>
      </c>
      <c r="B100" s="3" t="str">
        <f aca="false">'4D Schedule'!$C$100</f>
        <v>Chiller foundations F1-03 &amp; F1-04 (Bays 3–4, 4–5)</v>
      </c>
      <c r="C100" s="3" t="s">
        <v>1672</v>
      </c>
      <c r="D100" s="75" t="n">
        <f aca="false">'4D Schedule'!$AE$100</f>
        <v>46304</v>
      </c>
      <c r="E100" s="75" t="n">
        <f aca="false">'4D Schedule'!$AF$100</f>
        <v>46325</v>
      </c>
      <c r="F100" s="3" t="str">
        <f aca="false">'4D Schedule'!$AG$100</f>
        <v>Not Started (Late)</v>
      </c>
      <c r="G100" s="66" t="n">
        <f aca="false">'4D Schedule'!$AC$100</f>
        <v>0</v>
      </c>
    </row>
    <row r="101" customFormat="false" ht="15" hidden="false" customHeight="false" outlineLevel="0" collapsed="false">
      <c r="A101" s="3" t="str">
        <f aca="false">'4D Schedule'!$A$101</f>
        <v>CHP-GRD-070</v>
      </c>
      <c r="B101" s="3" t="str">
        <f aca="false">'4D Schedule'!$C$101</f>
        <v>Chiller foundation F1-05 (Bay 5–6)</v>
      </c>
      <c r="C101" s="3" t="s">
        <v>1672</v>
      </c>
      <c r="D101" s="75" t="n">
        <f aca="false">'4D Schedule'!$AE$101</f>
        <v>46310</v>
      </c>
      <c r="E101" s="75" t="n">
        <f aca="false">'4D Schedule'!$AF$101</f>
        <v>46324</v>
      </c>
      <c r="F101" s="3" t="str">
        <f aca="false">'4D Schedule'!$AG$101</f>
        <v>Not Started (Late)</v>
      </c>
      <c r="G101" s="66" t="n">
        <f aca="false">'4D Schedule'!$AC$101</f>
        <v>0</v>
      </c>
    </row>
    <row r="102" customFormat="false" ht="15" hidden="false" customHeight="false" outlineLevel="0" collapsed="false">
      <c r="A102" s="3" t="str">
        <f aca="false">'4D Schedule'!$A$102</f>
        <v>CHP-GRD-080</v>
      </c>
      <c r="B102" s="3" t="str">
        <f aca="false">'4D Schedule'!$C$102</f>
        <v>Pump foundations F2-01 to F2-04 (Bays 1–3)</v>
      </c>
      <c r="C102" s="3" t="s">
        <v>1672</v>
      </c>
      <c r="D102" s="75" t="n">
        <f aca="false">'4D Schedule'!$AE$102</f>
        <v>46304</v>
      </c>
      <c r="E102" s="75" t="n">
        <f aca="false">'4D Schedule'!$AF$102</f>
        <v>46316</v>
      </c>
      <c r="F102" s="3" t="str">
        <f aca="false">'4D Schedule'!$AG$102</f>
        <v>Not Started (Late)</v>
      </c>
      <c r="G102" s="66" t="n">
        <f aca="false">'4D Schedule'!$AC$102</f>
        <v>0</v>
      </c>
    </row>
    <row r="103" customFormat="false" ht="15" hidden="false" customHeight="false" outlineLevel="0" collapsed="false">
      <c r="A103" s="3" t="str">
        <f aca="false">'4D Schedule'!$A$103</f>
        <v>CHP-GRD-090</v>
      </c>
      <c r="B103" s="3" t="str">
        <f aca="false">'4D Schedule'!$C$103</f>
        <v>Pump foundations F2-05 to F2-08 (Bays 3–5)</v>
      </c>
      <c r="C103" s="3" t="s">
        <v>1672</v>
      </c>
      <c r="D103" s="75" t="n">
        <f aca="false">'4D Schedule'!$AE$103</f>
        <v>46310</v>
      </c>
      <c r="E103" s="75" t="n">
        <f aca="false">'4D Schedule'!$AF$103</f>
        <v>46322</v>
      </c>
      <c r="F103" s="3" t="str">
        <f aca="false">'4D Schedule'!$AG$103</f>
        <v>Not Started (Late)</v>
      </c>
      <c r="G103" s="66" t="n">
        <f aca="false">'4D Schedule'!$AC$103</f>
        <v>0</v>
      </c>
    </row>
    <row r="104" customFormat="false" ht="15" hidden="false" customHeight="false" outlineLevel="0" collapsed="false">
      <c r="A104" s="3" t="str">
        <f aca="false">'4D Schedule'!$A$104</f>
        <v>CHP-GRD-100</v>
      </c>
      <c r="B104" s="3" t="str">
        <f aca="false">'4D Schedule'!$C$104</f>
        <v>Pump foundations F2-09 &amp; F2-10 (Bay 5–6)</v>
      </c>
      <c r="C104" s="3" t="s">
        <v>1672</v>
      </c>
      <c r="D104" s="75" t="n">
        <f aca="false">'4D Schedule'!$AE$104</f>
        <v>46316</v>
      </c>
      <c r="E104" s="75" t="n">
        <f aca="false">'4D Schedule'!$AF$104</f>
        <v>46322</v>
      </c>
      <c r="F104" s="3" t="str">
        <f aca="false">'4D Schedule'!$AG$104</f>
        <v>Not Started (Late)</v>
      </c>
      <c r="G104" s="66" t="n">
        <f aca="false">'4D Schedule'!$AC$104</f>
        <v>0</v>
      </c>
    </row>
    <row r="105" customFormat="false" ht="15" hidden="false" customHeight="false" outlineLevel="0" collapsed="false">
      <c r="A105" s="3" t="str">
        <f aca="false">'4D Schedule'!$A$105</f>
        <v>CHP-GRD-110</v>
      </c>
      <c r="B105" s="3" t="str">
        <f aca="false">'4D Schedule'!$C$105</f>
        <v>Cable slits (600 deep) between chiller foundations (5 nos)</v>
      </c>
      <c r="C105" s="3" t="s">
        <v>1672</v>
      </c>
      <c r="D105" s="75" t="n">
        <f aca="false">'4D Schedule'!$AE$105</f>
        <v>46326</v>
      </c>
      <c r="E105" s="75" t="n">
        <f aca="false">'4D Schedule'!$AF$105</f>
        <v>46335</v>
      </c>
      <c r="F105" s="3" t="str">
        <f aca="false">'4D Schedule'!$AG$105</f>
        <v>Not Started (Late)</v>
      </c>
      <c r="G105" s="66" t="n">
        <f aca="false">'4D Schedule'!$AC$105</f>
        <v>0</v>
      </c>
    </row>
    <row r="106" customFormat="false" ht="15" hidden="false" customHeight="false" outlineLevel="0" collapsed="false">
      <c r="A106" s="3" t="str">
        <f aca="false">'4D Schedule'!$A$106</f>
        <v>CHP-GRD-120</v>
      </c>
      <c r="B106" s="3" t="str">
        <f aca="false">'4D Schedule'!$C$106</f>
        <v>Grade slab 150 thk – Chiller room (Row C–B)</v>
      </c>
      <c r="C106" s="3" t="s">
        <v>1672</v>
      </c>
      <c r="D106" s="75" t="n">
        <f aca="false">'4D Schedule'!$AE$106</f>
        <v>46336</v>
      </c>
      <c r="E106" s="75" t="n">
        <f aca="false">'4D Schedule'!$AF$106</f>
        <v>46346</v>
      </c>
      <c r="F106" s="3" t="str">
        <f aca="false">'4D Schedule'!$AG$106</f>
        <v>Not Started (Late)</v>
      </c>
      <c r="G106" s="66" t="n">
        <f aca="false">'4D Schedule'!$AC$106</f>
        <v>0</v>
      </c>
    </row>
    <row r="107" customFormat="false" ht="15" hidden="false" customHeight="false" outlineLevel="0" collapsed="false">
      <c r="A107" s="3" t="str">
        <f aca="false">'4D Schedule'!$A$107</f>
        <v>CHP-GRD-130</v>
      </c>
      <c r="B107" s="3" t="str">
        <f aca="false">'4D Schedule'!$C$107</f>
        <v>Grade slab 150 thk – Pump area (Row B–A) incl. 150×100 surface drain</v>
      </c>
      <c r="C107" s="3" t="s">
        <v>1672</v>
      </c>
      <c r="D107" s="75" t="n">
        <f aca="false">'4D Schedule'!$AE$107</f>
        <v>46339</v>
      </c>
      <c r="E107" s="75" t="n">
        <f aca="false">'4D Schedule'!$AF$107</f>
        <v>46351</v>
      </c>
      <c r="F107" s="3" t="str">
        <f aca="false">'4D Schedule'!$AG$107</f>
        <v>Not Started</v>
      </c>
      <c r="G107" s="66" t="n">
        <f aca="false">'4D Schedule'!$AC$107</f>
        <v>0</v>
      </c>
    </row>
    <row r="108" customFormat="false" ht="15" hidden="false" customHeight="false" outlineLevel="0" collapsed="false">
      <c r="A108" s="3" t="str">
        <f aca="false">'4D Schedule'!$A$108</f>
        <v>CHP-GRD-140</v>
      </c>
      <c r="B108" s="3" t="str">
        <f aca="false">'4D Schedule'!$C$108</f>
        <v>Precast covers – cable trenches, cable pit &amp; drain crossings (placement)</v>
      </c>
      <c r="C108" s="3" t="s">
        <v>1672</v>
      </c>
      <c r="D108" s="75" t="n">
        <f aca="false">'4D Schedule'!$AE$108</f>
        <v>46338</v>
      </c>
      <c r="E108" s="75" t="n">
        <f aca="false">'4D Schedule'!$AF$108</f>
        <v>46344</v>
      </c>
      <c r="F108" s="3" t="str">
        <f aca="false">'4D Schedule'!$AG$108</f>
        <v>Not Started</v>
      </c>
      <c r="G108" s="66" t="n">
        <f aca="false">'4D Schedule'!$AC$108</f>
        <v>0</v>
      </c>
    </row>
    <row r="109" customFormat="false" ht="15" hidden="false" customHeight="false" outlineLevel="0" collapsed="false">
      <c r="A109" s="3" t="str">
        <f aca="false">'4D Schedule'!$A$109</f>
        <v>CHP-GRD-150</v>
      </c>
      <c r="B109" s="3" t="str">
        <f aca="false">'4D Schedule'!$C$109</f>
        <v>Plinth protection, garland drain &amp; 100Ø PVC drain pipes (all round)</v>
      </c>
      <c r="C109" s="3" t="s">
        <v>1672</v>
      </c>
      <c r="D109" s="75" t="n">
        <f aca="false">'4D Schedule'!$AE$109</f>
        <v>46300</v>
      </c>
      <c r="E109" s="75" t="n">
        <f aca="false">'4D Schedule'!$AF$109</f>
        <v>46317</v>
      </c>
      <c r="F109" s="3" t="str">
        <f aca="false">'4D Schedule'!$AG$109</f>
        <v>Not Started (Late)</v>
      </c>
      <c r="G109" s="66" t="n">
        <f aca="false">'4D Schedule'!$AC$109</f>
        <v>0</v>
      </c>
    </row>
    <row r="110" customFormat="false" ht="15" hidden="false" customHeight="false" outlineLevel="0" collapsed="false">
      <c r="A110" s="3" t="str">
        <f aca="false">'4D Schedule'!$A$110</f>
        <v>CHP-MS-090</v>
      </c>
      <c r="B110" s="3" t="str">
        <f aca="false">'4D Schedule'!$C$110</f>
        <v>Civil works complete (all RCC incl. grade slab &amp; equipment foundations)</v>
      </c>
      <c r="C110" s="3" t="s">
        <v>1671</v>
      </c>
      <c r="D110" s="75" t="n">
        <f aca="false">'4D Schedule'!$AE$110</f>
        <v>46351</v>
      </c>
      <c r="E110" s="75" t="n">
        <f aca="false">'4D Schedule'!$AF$110</f>
        <v>46351</v>
      </c>
      <c r="F110" s="3" t="str">
        <f aca="false">'4D Schedule'!$AG$110</f>
        <v>Not Started</v>
      </c>
      <c r="G110" s="66" t="n">
        <f aca="false">'4D Schedule'!$AC$110</f>
        <v>0</v>
      </c>
    </row>
    <row r="111" customFormat="false" ht="15" hidden="false" customHeight="false" outlineLevel="0" collapsed="false">
      <c r="A111" s="72" t="str">
        <f aca="false">'4D Schedule'!$A$111</f>
        <v>JSW USL-CON-CHI-1030</v>
      </c>
      <c r="B111" s="72" t="str">
        <f aca="false">'4D Schedule'!$C$111</f>
        <v>Erection of Chiller Plant including Fans, Pumps, Drives, etc.</v>
      </c>
      <c r="C111" s="72" t="s">
        <v>1670</v>
      </c>
      <c r="D111" s="73" t="n">
        <f aca="false">'4D Schedule'!$AE$111</f>
        <v>46389</v>
      </c>
      <c r="E111" s="73" t="n">
        <f aca="false">'4D Schedule'!$AF$111</f>
        <v>46466</v>
      </c>
      <c r="F111" s="72" t="str">
        <f aca="false">'4D Schedule'!$AG$111</f>
        <v>Not Started</v>
      </c>
      <c r="G111" s="74" t="n">
        <f aca="false">'4D Schedule'!$AC$111</f>
        <v>0</v>
      </c>
    </row>
    <row r="112" customFormat="false" ht="15" hidden="false" customHeight="false" outlineLevel="0" collapsed="false">
      <c r="A112" s="3" t="str">
        <f aca="false">'4D Schedule'!$A$112</f>
        <v>CHP-EQP-010</v>
      </c>
      <c r="B112" s="3" t="str">
        <f aca="false">'4D Schedule'!$C$112</f>
        <v>Chiller CH-01 on F1-01 (Bay 1–2) – setting, levelling, alignment &amp; grouting</v>
      </c>
      <c r="C112" s="3" t="s">
        <v>1672</v>
      </c>
      <c r="D112" s="75" t="n">
        <f aca="false">'4D Schedule'!$AE$112</f>
        <v>46389</v>
      </c>
      <c r="E112" s="75" t="n">
        <f aca="false">'4D Schedule'!$AF$112</f>
        <v>46405</v>
      </c>
      <c r="F112" s="3" t="str">
        <f aca="false">'4D Schedule'!$AG$112</f>
        <v>Not Started</v>
      </c>
      <c r="G112" s="66" t="n">
        <f aca="false">'4D Schedule'!$AC$112</f>
        <v>0</v>
      </c>
    </row>
    <row r="113" customFormat="false" ht="15" hidden="false" customHeight="false" outlineLevel="0" collapsed="false">
      <c r="A113" s="3" t="str">
        <f aca="false">'4D Schedule'!$A$113</f>
        <v>CHP-EQP-020</v>
      </c>
      <c r="B113" s="3" t="str">
        <f aca="false">'4D Schedule'!$C$113</f>
        <v>Chiller CH-02 on F1-02 (Bay 2–3) – setting, levelling, alignment &amp; grouting</v>
      </c>
      <c r="C113" s="3" t="s">
        <v>1672</v>
      </c>
      <c r="D113" s="75" t="n">
        <f aca="false">'4D Schedule'!$AE$113</f>
        <v>46399</v>
      </c>
      <c r="E113" s="75" t="n">
        <f aca="false">'4D Schedule'!$AF$113</f>
        <v>46415</v>
      </c>
      <c r="F113" s="3" t="str">
        <f aca="false">'4D Schedule'!$AG$113</f>
        <v>Not Started</v>
      </c>
      <c r="G113" s="66" t="n">
        <f aca="false">'4D Schedule'!$AC$113</f>
        <v>0</v>
      </c>
    </row>
    <row r="114" customFormat="false" ht="15" hidden="false" customHeight="false" outlineLevel="0" collapsed="false">
      <c r="A114" s="3" t="str">
        <f aca="false">'4D Schedule'!$A$114</f>
        <v>CHP-EQP-030</v>
      </c>
      <c r="B114" s="3" t="str">
        <f aca="false">'4D Schedule'!$C$114</f>
        <v>Chiller CH-03 on F1-03 (Bay 3–4) – setting, levelling, alignment &amp; grouting</v>
      </c>
      <c r="C114" s="3" t="s">
        <v>1672</v>
      </c>
      <c r="D114" s="75" t="n">
        <f aca="false">'4D Schedule'!$AE$114</f>
        <v>46408</v>
      </c>
      <c r="E114" s="75" t="n">
        <f aca="false">'4D Schedule'!$AF$114</f>
        <v>46424</v>
      </c>
      <c r="F114" s="3" t="str">
        <f aca="false">'4D Schedule'!$AG$114</f>
        <v>Not Started</v>
      </c>
      <c r="G114" s="66" t="n">
        <f aca="false">'4D Schedule'!$AC$114</f>
        <v>0</v>
      </c>
    </row>
    <row r="115" customFormat="false" ht="15" hidden="false" customHeight="false" outlineLevel="0" collapsed="false">
      <c r="A115" s="3" t="str">
        <f aca="false">'4D Schedule'!$A$115</f>
        <v>CHP-EQP-040</v>
      </c>
      <c r="B115" s="3" t="str">
        <f aca="false">'4D Schedule'!$C$115</f>
        <v>Chiller CH-04 on F1-04 (Bay 4–5) – setting, levelling, alignment &amp; grouting</v>
      </c>
      <c r="C115" s="3" t="s">
        <v>1672</v>
      </c>
      <c r="D115" s="75" t="n">
        <f aca="false">'4D Schedule'!$AE$115</f>
        <v>46419</v>
      </c>
      <c r="E115" s="75" t="n">
        <f aca="false">'4D Schedule'!$AF$115</f>
        <v>46434</v>
      </c>
      <c r="F115" s="3" t="str">
        <f aca="false">'4D Schedule'!$AG$115</f>
        <v>Not Started</v>
      </c>
      <c r="G115" s="66" t="n">
        <f aca="false">'4D Schedule'!$AC$115</f>
        <v>0</v>
      </c>
    </row>
    <row r="116" customFormat="false" ht="15" hidden="false" customHeight="false" outlineLevel="0" collapsed="false">
      <c r="A116" s="3" t="str">
        <f aca="false">'4D Schedule'!$A$116</f>
        <v>CHP-EQP-050</v>
      </c>
      <c r="B116" s="3" t="str">
        <f aca="false">'4D Schedule'!$C$116</f>
        <v>Chiller CH-05 on F1-05 (Bay 5–6) – setting, levelling, alignment &amp; grouting</v>
      </c>
      <c r="C116" s="3" t="s">
        <v>1672</v>
      </c>
      <c r="D116" s="75" t="n">
        <f aca="false">'4D Schedule'!$AE$116</f>
        <v>46428</v>
      </c>
      <c r="E116" s="75" t="n">
        <f aca="false">'4D Schedule'!$AF$116</f>
        <v>46443</v>
      </c>
      <c r="F116" s="3" t="str">
        <f aca="false">'4D Schedule'!$AG$116</f>
        <v>Not Started</v>
      </c>
      <c r="G116" s="66" t="n">
        <f aca="false">'4D Schedule'!$AC$116</f>
        <v>0</v>
      </c>
    </row>
    <row r="117" customFormat="false" ht="15" hidden="false" customHeight="false" outlineLevel="0" collapsed="false">
      <c r="A117" s="3" t="str">
        <f aca="false">'4D Schedule'!$A$117</f>
        <v>CHP-EQP-060</v>
      </c>
      <c r="B117" s="3" t="str">
        <f aca="false">'4D Schedule'!$C$117</f>
        <v>Hoists – 2T chain pulley block on MR-1 &amp; 10T electric hoist on MR-2</v>
      </c>
      <c r="C117" s="3" t="s">
        <v>1672</v>
      </c>
      <c r="D117" s="75" t="n">
        <f aca="false">'4D Schedule'!$AE$117</f>
        <v>46389</v>
      </c>
      <c r="E117" s="75" t="n">
        <f aca="false">'4D Schedule'!$AF$117</f>
        <v>46394</v>
      </c>
      <c r="F117" s="3" t="str">
        <f aca="false">'4D Schedule'!$AG$117</f>
        <v>Not Started</v>
      </c>
      <c r="G117" s="66" t="n">
        <f aca="false">'4D Schedule'!$AC$117</f>
        <v>0</v>
      </c>
    </row>
    <row r="118" customFormat="false" ht="15" hidden="false" customHeight="false" outlineLevel="0" collapsed="false">
      <c r="A118" s="3" t="str">
        <f aca="false">'4D Schedule'!$A$118</f>
        <v>CHP-EQP-070</v>
      </c>
      <c r="B118" s="3" t="str">
        <f aca="false">'4D Schedule'!$C$118</f>
        <v>Pumps P-01 to P-04 on F2-01..04 (Bays 1–3) – setting, alignment &amp; grouting</v>
      </c>
      <c r="C118" s="3" t="s">
        <v>1672</v>
      </c>
      <c r="D118" s="75" t="n">
        <f aca="false">'4D Schedule'!$AE$118</f>
        <v>46401</v>
      </c>
      <c r="E118" s="75" t="n">
        <f aca="false">'4D Schedule'!$AF$118</f>
        <v>46415</v>
      </c>
      <c r="F118" s="3" t="str">
        <f aca="false">'4D Schedule'!$AG$118</f>
        <v>Not Started</v>
      </c>
      <c r="G118" s="66" t="n">
        <f aca="false">'4D Schedule'!$AC$118</f>
        <v>0</v>
      </c>
    </row>
    <row r="119" customFormat="false" ht="15" hidden="false" customHeight="false" outlineLevel="0" collapsed="false">
      <c r="A119" s="3" t="str">
        <f aca="false">'4D Schedule'!$A$119</f>
        <v>CHP-EQP-080</v>
      </c>
      <c r="B119" s="3" t="str">
        <f aca="false">'4D Schedule'!$C$119</f>
        <v>Pumps P-05 to P-08 on F2-05..08 (Bays 3–5) – setting, alignment &amp; grouting</v>
      </c>
      <c r="C119" s="3" t="s">
        <v>1672</v>
      </c>
      <c r="D119" s="75" t="n">
        <f aca="false">'4D Schedule'!$AE$119</f>
        <v>46410</v>
      </c>
      <c r="E119" s="75" t="n">
        <f aca="false">'4D Schedule'!$AF$119</f>
        <v>46424</v>
      </c>
      <c r="F119" s="3" t="str">
        <f aca="false">'4D Schedule'!$AG$119</f>
        <v>Not Started</v>
      </c>
      <c r="G119" s="66" t="n">
        <f aca="false">'4D Schedule'!$AC$119</f>
        <v>0</v>
      </c>
    </row>
    <row r="120" customFormat="false" ht="15" hidden="false" customHeight="false" outlineLevel="0" collapsed="false">
      <c r="A120" s="3" t="str">
        <f aca="false">'4D Schedule'!$A$120</f>
        <v>CHP-EQP-090</v>
      </c>
      <c r="B120" s="3" t="str">
        <f aca="false">'4D Schedule'!$C$120</f>
        <v>Pumps P-09 &amp; P-10 on F2-09..10 (Bay 5–6) – setting, alignment &amp; grouting</v>
      </c>
      <c r="C120" s="3" t="s">
        <v>1672</v>
      </c>
      <c r="D120" s="75" t="n">
        <f aca="false">'4D Schedule'!$AE$120</f>
        <v>46421</v>
      </c>
      <c r="E120" s="75" t="n">
        <f aca="false">'4D Schedule'!$AF$120</f>
        <v>46429</v>
      </c>
      <c r="F120" s="3" t="str">
        <f aca="false">'4D Schedule'!$AG$120</f>
        <v>Not Started</v>
      </c>
      <c r="G120" s="66" t="n">
        <f aca="false">'4D Schedule'!$AC$120</f>
        <v>0</v>
      </c>
    </row>
    <row r="121" customFormat="false" ht="15" hidden="false" customHeight="false" outlineLevel="0" collapsed="false">
      <c r="A121" s="3" t="str">
        <f aca="false">'4D Schedule'!$A$121</f>
        <v>CHP-EQP-100</v>
      </c>
      <c r="B121" s="3" t="str">
        <f aca="false">'4D Schedule'!$C$121</f>
        <v>Final alignment, motor/drive coupling &amp; box-up of chillers and pumps</v>
      </c>
      <c r="C121" s="3" t="s">
        <v>1672</v>
      </c>
      <c r="D121" s="75" t="n">
        <f aca="false">'4D Schedule'!$AE$121</f>
        <v>46444</v>
      </c>
      <c r="E121" s="75" t="n">
        <f aca="false">'4D Schedule'!$AF$121</f>
        <v>46466</v>
      </c>
      <c r="F121" s="3" t="str">
        <f aca="false">'4D Schedule'!$AG$121</f>
        <v>Not Started</v>
      </c>
      <c r="G121" s="66" t="n">
        <f aca="false">'4D Schedule'!$AC$121</f>
        <v>0</v>
      </c>
    </row>
    <row r="122" customFormat="false" ht="15" hidden="false" customHeight="false" outlineLevel="0" collapsed="false">
      <c r="A122" s="72" t="str">
        <f aca="false">'4D Schedule'!$A$122</f>
        <v>JSW USL-CON-CHI-1040</v>
      </c>
      <c r="B122" s="72" t="str">
        <f aca="false">'4D Schedule'!$C$122</f>
        <v>Piping works incl. testing</v>
      </c>
      <c r="C122" s="72" t="s">
        <v>1670</v>
      </c>
      <c r="D122" s="73" t="n">
        <f aca="false">'4D Schedule'!$AE$122</f>
        <v>46414</v>
      </c>
      <c r="E122" s="73" t="n">
        <f aca="false">'4D Schedule'!$AF$122</f>
        <v>46485</v>
      </c>
      <c r="F122" s="72" t="str">
        <f aca="false">'4D Schedule'!$AG$122</f>
        <v>Not Started</v>
      </c>
      <c r="G122" s="74" t="n">
        <f aca="false">'4D Schedule'!$AC$122</f>
        <v>0</v>
      </c>
    </row>
    <row r="123" customFormat="false" ht="15" hidden="false" customHeight="false" outlineLevel="0" collapsed="false">
      <c r="A123" s="3" t="str">
        <f aca="false">'4D Schedule'!$A$123</f>
        <v>CHP-PIP-010</v>
      </c>
      <c r="B123" s="3" t="str">
        <f aca="false">'4D Schedule'!$C$123</f>
        <v>Pipe supports &amp; sleepers – chiller hall</v>
      </c>
      <c r="C123" s="3" t="s">
        <v>1672</v>
      </c>
      <c r="D123" s="75" t="n">
        <f aca="false">'4D Schedule'!$AE$123</f>
        <v>46414</v>
      </c>
      <c r="E123" s="75" t="n">
        <f aca="false">'4D Schedule'!$AF$123</f>
        <v>46430</v>
      </c>
      <c r="F123" s="3" t="str">
        <f aca="false">'4D Schedule'!$AG$123</f>
        <v>Not Started</v>
      </c>
      <c r="G123" s="66" t="n">
        <f aca="false">'4D Schedule'!$AC$123</f>
        <v>0</v>
      </c>
    </row>
    <row r="124" customFormat="false" ht="15" hidden="false" customHeight="false" outlineLevel="0" collapsed="false">
      <c r="A124" s="3" t="str">
        <f aca="false">'4D Schedule'!$A$124</f>
        <v>CHP-PIP-020</v>
      </c>
      <c r="B124" s="3" t="str">
        <f aca="false">'4D Schedule'!$C$124</f>
        <v>CHW &amp; CW headers (supply / return) – fabrication &amp; erection</v>
      </c>
      <c r="C124" s="3" t="s">
        <v>1672</v>
      </c>
      <c r="D124" s="75" t="n">
        <f aca="false">'4D Schedule'!$AE$124</f>
        <v>46423</v>
      </c>
      <c r="E124" s="75" t="n">
        <f aca="false">'4D Schedule'!$AF$124</f>
        <v>46451</v>
      </c>
      <c r="F124" s="3" t="str">
        <f aca="false">'4D Schedule'!$AG$124</f>
        <v>Not Started</v>
      </c>
      <c r="G124" s="66" t="n">
        <f aca="false">'4D Schedule'!$AC$124</f>
        <v>0</v>
      </c>
    </row>
    <row r="125" customFormat="false" ht="15" hidden="false" customHeight="false" outlineLevel="0" collapsed="false">
      <c r="A125" s="3" t="str">
        <f aca="false">'4D Schedule'!$A$125</f>
        <v>CHP-PIP-030</v>
      </c>
      <c r="B125" s="3" t="str">
        <f aca="false">'4D Schedule'!$C$125</f>
        <v>Chiller hook-up piping CH-01..CH-05 incl. valves, strainers &amp; flexible connectors</v>
      </c>
      <c r="C125" s="3" t="s">
        <v>1672</v>
      </c>
      <c r="D125" s="75" t="n">
        <f aca="false">'4D Schedule'!$AE$125</f>
        <v>46444</v>
      </c>
      <c r="E125" s="75" t="n">
        <f aca="false">'4D Schedule'!$AF$125</f>
        <v>46469</v>
      </c>
      <c r="F125" s="3" t="str">
        <f aca="false">'4D Schedule'!$AG$125</f>
        <v>Not Started</v>
      </c>
      <c r="G125" s="66" t="n">
        <f aca="false">'4D Schedule'!$AC$125</f>
        <v>0</v>
      </c>
    </row>
    <row r="126" customFormat="false" ht="15" hidden="false" customHeight="false" outlineLevel="0" collapsed="false">
      <c r="A126" s="3" t="str">
        <f aca="false">'4D Schedule'!$A$126</f>
        <v>CHP-PIP-040</v>
      </c>
      <c r="B126" s="3" t="str">
        <f aca="false">'4D Schedule'!$C$126</f>
        <v>Pump suction / discharge hook-up P-01..P-10</v>
      </c>
      <c r="C126" s="3" t="s">
        <v>1672</v>
      </c>
      <c r="D126" s="75" t="n">
        <f aca="false">'4D Schedule'!$AE$126</f>
        <v>46437</v>
      </c>
      <c r="E126" s="75" t="n">
        <f aca="false">'4D Schedule'!$AF$126</f>
        <v>46458</v>
      </c>
      <c r="F126" s="3" t="str">
        <f aca="false">'4D Schedule'!$AG$126</f>
        <v>Not Started</v>
      </c>
      <c r="G126" s="66" t="n">
        <f aca="false">'4D Schedule'!$AC$126</f>
        <v>0</v>
      </c>
    </row>
    <row r="127" customFormat="false" ht="15" hidden="false" customHeight="false" outlineLevel="0" collapsed="false">
      <c r="A127" s="3" t="str">
        <f aca="false">'4D Schedule'!$A$127</f>
        <v>CHP-PIP-050</v>
      </c>
      <c r="B127" s="3" t="str">
        <f aca="false">'4D Schedule'!$C$127</f>
        <v>Hydro test, flushing &amp; reinstatement</v>
      </c>
      <c r="C127" s="3" t="s">
        <v>1672</v>
      </c>
      <c r="D127" s="75" t="n">
        <f aca="false">'4D Schedule'!$AE$127</f>
        <v>46470</v>
      </c>
      <c r="E127" s="75" t="n">
        <f aca="false">'4D Schedule'!$AF$127</f>
        <v>46485</v>
      </c>
      <c r="F127" s="3" t="str">
        <f aca="false">'4D Schedule'!$AG$127</f>
        <v>Not Started</v>
      </c>
      <c r="G127" s="66" t="n">
        <f aca="false">'4D Schedule'!$AC$127</f>
        <v>0</v>
      </c>
    </row>
    <row r="128" customFormat="false" ht="15" hidden="false" customHeight="false" outlineLevel="0" collapsed="false">
      <c r="A128" s="72" t="str">
        <f aca="false">'4D Schedule'!$A$128</f>
        <v>JSW USL-CON-CHI-1050</v>
      </c>
      <c r="B128" s="72" t="str">
        <f aca="false">'4D Schedule'!$C$128</f>
        <v>Cable tray erection incl. support, cable Laying</v>
      </c>
      <c r="C128" s="72" t="s">
        <v>1670</v>
      </c>
      <c r="D128" s="73" t="n">
        <f aca="false">'4D Schedule'!$AE$128</f>
        <v>46420</v>
      </c>
      <c r="E128" s="73" t="n">
        <f aca="false">'4D Schedule'!$AF$128</f>
        <v>46473</v>
      </c>
      <c r="F128" s="72" t="str">
        <f aca="false">'4D Schedule'!$AG$128</f>
        <v>Not Started</v>
      </c>
      <c r="G128" s="74" t="n">
        <f aca="false">'4D Schedule'!$AC$128</f>
        <v>0</v>
      </c>
    </row>
    <row r="129" customFormat="false" ht="15" hidden="false" customHeight="false" outlineLevel="0" collapsed="false">
      <c r="A129" s="3" t="str">
        <f aca="false">'4D Schedule'!$A$129</f>
        <v>CHP-ELE-010</v>
      </c>
      <c r="B129" s="3" t="str">
        <f aca="false">'4D Schedule'!$C$129</f>
        <v>Cable trays &amp; supports – trenches T1/T2, cable pit &amp; cable cellar</v>
      </c>
      <c r="C129" s="3" t="s">
        <v>1672</v>
      </c>
      <c r="D129" s="75" t="n">
        <f aca="false">'4D Schedule'!$AE$129</f>
        <v>46420</v>
      </c>
      <c r="E129" s="75" t="n">
        <f aca="false">'4D Schedule'!$AF$129</f>
        <v>46442</v>
      </c>
      <c r="F129" s="3" t="str">
        <f aca="false">'4D Schedule'!$AG$129</f>
        <v>Not Started</v>
      </c>
      <c r="G129" s="66" t="n">
        <f aca="false">'4D Schedule'!$AC$129</f>
        <v>0</v>
      </c>
    </row>
    <row r="130" customFormat="false" ht="15" hidden="false" customHeight="false" outlineLevel="0" collapsed="false">
      <c r="A130" s="3" t="str">
        <f aca="false">'4D Schedule'!$A$130</f>
        <v>CHP-ELE-020</v>
      </c>
      <c r="B130" s="3" t="str">
        <f aca="false">'4D Schedule'!$C$130</f>
        <v>Cable trays &amp; supports – chiller hall, switchgear room &amp; first floor</v>
      </c>
      <c r="C130" s="3" t="s">
        <v>1672</v>
      </c>
      <c r="D130" s="75" t="n">
        <f aca="false">'4D Schedule'!$AE$130</f>
        <v>46429</v>
      </c>
      <c r="E130" s="75" t="n">
        <f aca="false">'4D Schedule'!$AF$130</f>
        <v>46451</v>
      </c>
      <c r="F130" s="3" t="str">
        <f aca="false">'4D Schedule'!$AG$130</f>
        <v>Not Started</v>
      </c>
      <c r="G130" s="66" t="n">
        <f aca="false">'4D Schedule'!$AC$130</f>
        <v>0</v>
      </c>
    </row>
    <row r="131" customFormat="false" ht="15" hidden="false" customHeight="false" outlineLevel="0" collapsed="false">
      <c r="A131" s="3" t="str">
        <f aca="false">'4D Schedule'!$A$131</f>
        <v>CHP-ELE-030</v>
      </c>
      <c r="B131" s="3" t="str">
        <f aca="false">'4D Schedule'!$C$131</f>
        <v>Cable laying, glanding &amp; termination (power &amp; control)</v>
      </c>
      <c r="C131" s="3" t="s">
        <v>1672</v>
      </c>
      <c r="D131" s="75" t="n">
        <f aca="false">'4D Schedule'!$AE$131</f>
        <v>46437</v>
      </c>
      <c r="E131" s="75" t="n">
        <f aca="false">'4D Schedule'!$AF$131</f>
        <v>46473</v>
      </c>
      <c r="F131" s="3" t="str">
        <f aca="false">'4D Schedule'!$AG$131</f>
        <v>Not Started</v>
      </c>
      <c r="G131" s="66" t="n">
        <f aca="false">'4D Schedule'!$AC$131</f>
        <v>0</v>
      </c>
    </row>
    <row r="132" customFormat="false" ht="15" hidden="false" customHeight="false" outlineLevel="0" collapsed="false">
      <c r="A132" s="72" t="str">
        <f aca="false">'4D Schedule'!$A$132</f>
        <v>JSW USL-CON-CHI-1060</v>
      </c>
      <c r="B132" s="72" t="str">
        <f aca="false">'4D Schedule'!$C$132</f>
        <v>Other electrical works incl. light fixtures installation</v>
      </c>
      <c r="C132" s="72" t="s">
        <v>1670</v>
      </c>
      <c r="D132" s="73" t="n">
        <f aca="false">'4D Schedule'!$AE$132</f>
        <v>46437</v>
      </c>
      <c r="E132" s="73" t="n">
        <f aca="false">'4D Schedule'!$AF$132</f>
        <v>46491</v>
      </c>
      <c r="F132" s="72" t="str">
        <f aca="false">'4D Schedule'!$AG$132</f>
        <v>Not Started</v>
      </c>
      <c r="G132" s="74" t="n">
        <f aca="false">'4D Schedule'!$AC$132</f>
        <v>0</v>
      </c>
    </row>
    <row r="133" customFormat="false" ht="15" hidden="false" customHeight="false" outlineLevel="0" collapsed="false">
      <c r="A133" s="3" t="str">
        <f aca="false">'4D Schedule'!$A$133</f>
        <v>CHP-ELE-040</v>
      </c>
      <c r="B133" s="3" t="str">
        <f aca="false">'4D Schedule'!$C$133</f>
        <v>Earthing &amp; lightning protection</v>
      </c>
      <c r="C133" s="3" t="s">
        <v>1672</v>
      </c>
      <c r="D133" s="75" t="n">
        <f aca="false">'4D Schedule'!$AE$133</f>
        <v>46437</v>
      </c>
      <c r="E133" s="75" t="n">
        <f aca="false">'4D Schedule'!$AF$133</f>
        <v>46454</v>
      </c>
      <c r="F133" s="3" t="str">
        <f aca="false">'4D Schedule'!$AG$133</f>
        <v>Not Started</v>
      </c>
      <c r="G133" s="66" t="n">
        <f aca="false">'4D Schedule'!$AC$133</f>
        <v>0</v>
      </c>
    </row>
    <row r="134" customFormat="false" ht="15" hidden="false" customHeight="false" outlineLevel="0" collapsed="false">
      <c r="A134" s="3" t="str">
        <f aca="false">'4D Schedule'!$A$134</f>
        <v>CHP-ELE-050</v>
      </c>
      <c r="B134" s="3" t="str">
        <f aca="false">'4D Schedule'!$C$134</f>
        <v>Lighting fixtures, JBs &amp; small power</v>
      </c>
      <c r="C134" s="3" t="s">
        <v>1672</v>
      </c>
      <c r="D134" s="75" t="n">
        <f aca="false">'4D Schedule'!$AE$134</f>
        <v>46443</v>
      </c>
      <c r="E134" s="75" t="n">
        <f aca="false">'4D Schedule'!$AF$134</f>
        <v>46491</v>
      </c>
      <c r="F134" s="3" t="str">
        <f aca="false">'4D Schedule'!$AG$134</f>
        <v>Not Started</v>
      </c>
      <c r="G134" s="66" t="n">
        <f aca="false">'4D Schedule'!$AC$134</f>
        <v>0</v>
      </c>
    </row>
    <row r="135" customFormat="false" ht="15" hidden="false" customHeight="false" outlineLevel="0" collapsed="false">
      <c r="A135" s="3" t="str">
        <f aca="false">'4D Schedule'!$A$135</f>
        <v>CHP-ELE-060</v>
      </c>
      <c r="B135" s="3" t="str">
        <f aca="false">'4D Schedule'!$C$135</f>
        <v>Switchgear room panels (6.6 kV SWBD, ESS6-PDB-1) – placement &amp; termination</v>
      </c>
      <c r="C135" s="3" t="s">
        <v>1672</v>
      </c>
      <c r="D135" s="75" t="n">
        <f aca="false">'4D Schedule'!$AE$135</f>
        <v>46437</v>
      </c>
      <c r="E135" s="75" t="n">
        <f aca="false">'4D Schedule'!$AF$135</f>
        <v>46461</v>
      </c>
      <c r="F135" s="3" t="str">
        <f aca="false">'4D Schedule'!$AG$135</f>
        <v>Not Started</v>
      </c>
      <c r="G135" s="66" t="n">
        <f aca="false">'4D Schedule'!$AC$135</f>
        <v>0</v>
      </c>
    </row>
    <row r="136" customFormat="false" ht="15" hidden="false" customHeight="false" outlineLevel="0" collapsed="false">
      <c r="A136" s="72" t="str">
        <f aca="false">'4D Schedule'!$A$136</f>
        <v>JSW USL-CON-CHI-1070</v>
      </c>
      <c r="B136" s="72" t="str">
        <f aca="false">'4D Schedule'!$C$136</f>
        <v>Instrument installation works</v>
      </c>
      <c r="C136" s="72" t="s">
        <v>1670</v>
      </c>
      <c r="D136" s="73" t="n">
        <f aca="false">'4D Schedule'!$AE$136</f>
        <v>46456</v>
      </c>
      <c r="E136" s="73" t="n">
        <f aca="false">'4D Schedule'!$AF$136</f>
        <v>46510</v>
      </c>
      <c r="F136" s="72" t="str">
        <f aca="false">'4D Schedule'!$AG$136</f>
        <v>Not Started</v>
      </c>
      <c r="G136" s="74" t="n">
        <f aca="false">'4D Schedule'!$AC$136</f>
        <v>0</v>
      </c>
    </row>
    <row r="137" customFormat="false" ht="15" hidden="false" customHeight="false" outlineLevel="0" collapsed="false">
      <c r="A137" s="3" t="str">
        <f aca="false">'4D Schedule'!$A$137</f>
        <v>CHP-INS-010</v>
      </c>
      <c r="B137" s="3" t="str">
        <f aca="false">'4D Schedule'!$C$137</f>
        <v>Field instruments installation (PT / TT / FT / flow switches)</v>
      </c>
      <c r="C137" s="3" t="s">
        <v>1672</v>
      </c>
      <c r="D137" s="75" t="n">
        <f aca="false">'4D Schedule'!$AE$137</f>
        <v>46456</v>
      </c>
      <c r="E137" s="75" t="n">
        <f aca="false">'4D Schedule'!$AF$137</f>
        <v>46485</v>
      </c>
      <c r="F137" s="3" t="str">
        <f aca="false">'4D Schedule'!$AG$137</f>
        <v>Not Started</v>
      </c>
      <c r="G137" s="66" t="n">
        <f aca="false">'4D Schedule'!$AC$137</f>
        <v>0</v>
      </c>
    </row>
    <row r="138" customFormat="false" ht="15" hidden="false" customHeight="false" outlineLevel="0" collapsed="false">
      <c r="A138" s="3" t="str">
        <f aca="false">'4D Schedule'!$A$138</f>
        <v>CHP-INS-020</v>
      </c>
      <c r="B138" s="3" t="str">
        <f aca="false">'4D Schedule'!$C$138</f>
        <v>Instrument cabling, impulse tubing &amp; loop checks</v>
      </c>
      <c r="C138" s="3" t="s">
        <v>1672</v>
      </c>
      <c r="D138" s="75" t="n">
        <f aca="false">'4D Schedule'!$AE$138</f>
        <v>46469</v>
      </c>
      <c r="E138" s="75" t="n">
        <f aca="false">'4D Schedule'!$AF$138</f>
        <v>46510</v>
      </c>
      <c r="F138" s="3" t="str">
        <f aca="false">'4D Schedule'!$AG$138</f>
        <v>Not Started</v>
      </c>
      <c r="G138" s="66" t="n">
        <f aca="false">'4D Schedule'!$AC$138</f>
        <v>0</v>
      </c>
    </row>
    <row r="139" customFormat="false" ht="15" hidden="false" customHeight="false" outlineLevel="0" collapsed="false">
      <c r="A139" s="3" t="str">
        <f aca="false">'4D Schedule'!$A$139</f>
        <v>CHP-MS-100</v>
      </c>
      <c r="B139" s="3" t="str">
        <f aca="false">'4D Schedule'!$C$139</f>
        <v>Chiller plant ready for Mechanical Completion (feeds JSW USL-COM-1110)</v>
      </c>
      <c r="C139" s="3" t="s">
        <v>1671</v>
      </c>
      <c r="D139" s="75" t="n">
        <f aca="false">'4D Schedule'!$AE$139</f>
        <v>46510</v>
      </c>
      <c r="E139" s="75" t="n">
        <f aca="false">'4D Schedule'!$AF$139</f>
        <v>46510</v>
      </c>
      <c r="F139" s="3" t="str">
        <f aca="false">'4D Schedule'!$AG$139</f>
        <v>Not Started</v>
      </c>
      <c r="G139" s="66" t="n">
        <f aca="false">'4D Schedule'!$AC$139</f>
        <v>0</v>
      </c>
    </row>
    <row r="140" customFormat="false" ht="15" hidden="false" customHeight="false" outlineLevel="0" collapsed="false">
      <c r="A140" s="69" t="str">
        <f aca="false">'4D Schedule'!$A$140</f>
        <v>CHP.A</v>
      </c>
      <c r="B140" s="69" t="str">
        <f aca="false">'4D Schedule'!$C$140</f>
        <v>ADDITIONAL SCOPE – NOT IN P6 (planned by 4D team)</v>
      </c>
      <c r="C140" s="69" t="s">
        <v>1669</v>
      </c>
      <c r="D140" s="70" t="n">
        <f aca="false">'4D Schedule'!$AE$140</f>
        <v>46300</v>
      </c>
      <c r="E140" s="70" t="n">
        <f aca="false">'4D Schedule'!$AF$140</f>
        <v>46391</v>
      </c>
      <c r="F140" s="69" t="str">
        <f aca="false">'4D Schedule'!$AG$140</f>
        <v>Not Started</v>
      </c>
      <c r="G140" s="71" t="n">
        <f aca="false">'4D Schedule'!$AC$140</f>
        <v>0</v>
      </c>
    </row>
    <row r="141" customFormat="false" ht="15" hidden="false" customHeight="false" outlineLevel="0" collapsed="false">
      <c r="A141" s="72" t="str">
        <f aca="false">'4D Schedule'!$A$141</f>
        <v>CHP.A1</v>
      </c>
      <c r="B141" s="72" t="str">
        <f aca="false">'4D Schedule'!$C$141</f>
        <v>Masonry, lintels &amp; architectural finishes</v>
      </c>
      <c r="C141" s="72" t="s">
        <v>1670</v>
      </c>
      <c r="D141" s="73" t="n">
        <f aca="false">'4D Schedule'!$AE$141</f>
        <v>46300</v>
      </c>
      <c r="E141" s="73" t="n">
        <f aca="false">'4D Schedule'!$AF$141</f>
        <v>46391</v>
      </c>
      <c r="F141" s="72" t="str">
        <f aca="false">'4D Schedule'!$AG$141</f>
        <v>Not Started</v>
      </c>
      <c r="G141" s="74" t="n">
        <f aca="false">'4D Schedule'!$AC$141</f>
        <v>0</v>
      </c>
    </row>
    <row r="142" customFormat="false" ht="15" hidden="false" customHeight="false" outlineLevel="0" collapsed="false">
      <c r="A142" s="3" t="str">
        <f aca="false">'4D Schedule'!$A$142</f>
        <v>CHP-ARC-010</v>
      </c>
      <c r="B142" s="3" t="str">
        <f aca="false">'4D Schedule'!$C$142</f>
        <v>Brickwork 230 thk – GF Row E–D block up to lintel level</v>
      </c>
      <c r="C142" s="3" t="s">
        <v>1672</v>
      </c>
      <c r="D142" s="75" t="n">
        <f aca="false">'4D Schedule'!$AE$142</f>
        <v>46300</v>
      </c>
      <c r="E142" s="75" t="n">
        <f aca="false">'4D Schedule'!$AF$142</f>
        <v>46312</v>
      </c>
      <c r="F142" s="3" t="str">
        <f aca="false">'4D Schedule'!$AG$142</f>
        <v>Not Started</v>
      </c>
      <c r="G142" s="66" t="n">
        <f aca="false">'4D Schedule'!$AC$142</f>
        <v>0</v>
      </c>
    </row>
    <row r="143" customFormat="false" ht="15" hidden="false" customHeight="false" outlineLevel="0" collapsed="false">
      <c r="A143" s="3" t="str">
        <f aca="false">'4D Schedule'!$A$143</f>
        <v>CHP-ARC-020</v>
      </c>
      <c r="B143" s="3" t="str">
        <f aca="false">'4D Schedule'!$C$143</f>
        <v>Lintels &amp; chajjas – GF (LB1–LB6)</v>
      </c>
      <c r="C143" s="3" t="s">
        <v>1672</v>
      </c>
      <c r="D143" s="75" t="n">
        <f aca="false">'4D Schedule'!$AE$143</f>
        <v>46309</v>
      </c>
      <c r="E143" s="75" t="n">
        <f aca="false">'4D Schedule'!$AF$143</f>
        <v>46316</v>
      </c>
      <c r="F143" s="3" t="str">
        <f aca="false">'4D Schedule'!$AG$143</f>
        <v>Not Started</v>
      </c>
      <c r="G143" s="66" t="n">
        <f aca="false">'4D Schedule'!$AC$143</f>
        <v>0</v>
      </c>
    </row>
    <row r="144" customFormat="false" ht="15" hidden="false" customHeight="false" outlineLevel="0" collapsed="false">
      <c r="A144" s="3" t="str">
        <f aca="false">'4D Schedule'!$A$144</f>
        <v>CHP-ARC-030</v>
      </c>
      <c r="B144" s="3" t="str">
        <f aca="false">'4D Schedule'!$C$144</f>
        <v>Brickwork – GF above lintel up to first-floor soffit</v>
      </c>
      <c r="C144" s="3" t="s">
        <v>1672</v>
      </c>
      <c r="D144" s="75" t="n">
        <f aca="false">'4D Schedule'!$AE$144</f>
        <v>46317</v>
      </c>
      <c r="E144" s="75" t="n">
        <f aca="false">'4D Schedule'!$AF$144</f>
        <v>46325</v>
      </c>
      <c r="F144" s="3" t="str">
        <f aca="false">'4D Schedule'!$AG$144</f>
        <v>Not Started</v>
      </c>
      <c r="G144" s="66" t="n">
        <f aca="false">'4D Schedule'!$AC$144</f>
        <v>0</v>
      </c>
    </row>
    <row r="145" customFormat="false" ht="15" hidden="false" customHeight="false" outlineLevel="0" collapsed="false">
      <c r="A145" s="3" t="str">
        <f aca="false">'4D Schedule'!$A$145</f>
        <v>CHP-ARC-040</v>
      </c>
      <c r="B145" s="3" t="str">
        <f aca="false">'4D Schedule'!$C$145</f>
        <v>Brickwork – FF (switchgear, AC &amp; AHU rooms, ante rooms) up to lintel</v>
      </c>
      <c r="C145" s="3" t="s">
        <v>1672</v>
      </c>
      <c r="D145" s="75" t="n">
        <f aca="false">'4D Schedule'!$AE$145</f>
        <v>46322</v>
      </c>
      <c r="E145" s="75" t="n">
        <f aca="false">'4D Schedule'!$AF$145</f>
        <v>46332</v>
      </c>
      <c r="F145" s="3" t="str">
        <f aca="false">'4D Schedule'!$AG$145</f>
        <v>Not Started</v>
      </c>
      <c r="G145" s="66" t="n">
        <f aca="false">'4D Schedule'!$AC$145</f>
        <v>0</v>
      </c>
    </row>
    <row r="146" customFormat="false" ht="15" hidden="false" customHeight="false" outlineLevel="0" collapsed="false">
      <c r="A146" s="3" t="str">
        <f aca="false">'4D Schedule'!$A$146</f>
        <v>CHP-ARC-050</v>
      </c>
      <c r="B146" s="3" t="str">
        <f aca="false">'4D Schedule'!$C$146</f>
        <v>Lintels &amp; chajjas – FF (LB7–LB9B)</v>
      </c>
      <c r="C146" s="3" t="s">
        <v>1672</v>
      </c>
      <c r="D146" s="75" t="n">
        <f aca="false">'4D Schedule'!$AE$146</f>
        <v>46330</v>
      </c>
      <c r="E146" s="75" t="n">
        <f aca="false">'4D Schedule'!$AF$146</f>
        <v>46336</v>
      </c>
      <c r="F146" s="3" t="str">
        <f aca="false">'4D Schedule'!$AG$146</f>
        <v>Not Started</v>
      </c>
      <c r="G146" s="66" t="n">
        <f aca="false">'4D Schedule'!$AC$146</f>
        <v>0</v>
      </c>
    </row>
    <row r="147" customFormat="false" ht="15" hidden="false" customHeight="false" outlineLevel="0" collapsed="false">
      <c r="A147" s="3" t="str">
        <f aca="false">'4D Schedule'!$A$147</f>
        <v>CHP-ARC-060</v>
      </c>
      <c r="B147" s="3" t="str">
        <f aca="false">'4D Schedule'!$C$147</f>
        <v>Brickwork – chiller hall external walls (Row A, Grid 1 &amp; 6) incl. LB1A lintels &amp; monorail-door openings</v>
      </c>
      <c r="C147" s="3" t="s">
        <v>1672</v>
      </c>
      <c r="D147" s="75" t="n">
        <f aca="false">'4D Schedule'!$AE$147</f>
        <v>46307</v>
      </c>
      <c r="E147" s="75" t="n">
        <f aca="false">'4D Schedule'!$AF$147</f>
        <v>46330</v>
      </c>
      <c r="F147" s="3" t="str">
        <f aca="false">'4D Schedule'!$AG$147</f>
        <v>Not Started</v>
      </c>
      <c r="G147" s="66" t="n">
        <f aca="false">'4D Schedule'!$AC$147</f>
        <v>0</v>
      </c>
    </row>
    <row r="148" customFormat="false" ht="15" hidden="false" customHeight="false" outlineLevel="0" collapsed="false">
      <c r="A148" s="3" t="str">
        <f aca="false">'4D Schedule'!$A$148</f>
        <v>CHP-ARC-070</v>
      </c>
      <c r="B148" s="3" t="str">
        <f aca="false">'4D Schedule'!$C$148</f>
        <v>Mumty brickwork &amp; lintels LB10–LB12 – ST-1 &amp; ST-2</v>
      </c>
      <c r="C148" s="3" t="s">
        <v>1672</v>
      </c>
      <c r="D148" s="75" t="n">
        <f aca="false">'4D Schedule'!$AE$148</f>
        <v>46300</v>
      </c>
      <c r="E148" s="75" t="n">
        <f aca="false">'4D Schedule'!$AF$148</f>
        <v>46310</v>
      </c>
      <c r="F148" s="3" t="str">
        <f aca="false">'4D Schedule'!$AG$148</f>
        <v>Not Started</v>
      </c>
      <c r="G148" s="66" t="n">
        <f aca="false">'4D Schedule'!$AC$148</f>
        <v>0</v>
      </c>
    </row>
    <row r="149" customFormat="false" ht="15" hidden="false" customHeight="false" outlineLevel="0" collapsed="false">
      <c r="A149" s="3" t="str">
        <f aca="false">'4D Schedule'!$A$149</f>
        <v>CHP-ARC-080</v>
      </c>
      <c r="B149" s="3" t="str">
        <f aca="false">'4D Schedule'!$C$149</f>
        <v>Parapet wall, roof waterproofing, PCC wearing course &amp; rainwater pipes</v>
      </c>
      <c r="C149" s="3" t="s">
        <v>1672</v>
      </c>
      <c r="D149" s="75" t="n">
        <f aca="false">'4D Schedule'!$AE$149</f>
        <v>46303</v>
      </c>
      <c r="E149" s="75" t="n">
        <f aca="false">'4D Schedule'!$AF$149</f>
        <v>46321</v>
      </c>
      <c r="F149" s="3" t="str">
        <f aca="false">'4D Schedule'!$AG$149</f>
        <v>Not Started</v>
      </c>
      <c r="G149" s="66" t="n">
        <f aca="false">'4D Schedule'!$AC$149</f>
        <v>0</v>
      </c>
    </row>
    <row r="150" customFormat="false" ht="15" hidden="false" customHeight="false" outlineLevel="0" collapsed="false">
      <c r="A150" s="3" t="str">
        <f aca="false">'4D Schedule'!$A$150</f>
        <v>CHP-ARC-090</v>
      </c>
      <c r="B150" s="3" t="str">
        <f aca="false">'4D Schedule'!$C$150</f>
        <v>Plastering – internal &amp; external</v>
      </c>
      <c r="C150" s="3" t="s">
        <v>1672</v>
      </c>
      <c r="D150" s="75" t="n">
        <f aca="false">'4D Schedule'!$AE$150</f>
        <v>46337</v>
      </c>
      <c r="E150" s="75" t="n">
        <f aca="false">'4D Schedule'!$AF$150</f>
        <v>46365</v>
      </c>
      <c r="F150" s="3" t="str">
        <f aca="false">'4D Schedule'!$AG$150</f>
        <v>Not Started</v>
      </c>
      <c r="G150" s="66" t="n">
        <f aca="false">'4D Schedule'!$AC$150</f>
        <v>0</v>
      </c>
    </row>
    <row r="151" customFormat="false" ht="15" hidden="false" customHeight="false" outlineLevel="0" collapsed="false">
      <c r="A151" s="3" t="str">
        <f aca="false">'4D Schedule'!$A$151</f>
        <v>CHP-ARC-100</v>
      </c>
      <c r="B151" s="3" t="str">
        <f aca="false">'4D Schedule'!$C$151</f>
        <v>Flooring &amp; floor finishes (GF rooms, FF, staircases)</v>
      </c>
      <c r="C151" s="3" t="s">
        <v>1672</v>
      </c>
      <c r="D151" s="75" t="n">
        <f aca="false">'4D Schedule'!$AE$151</f>
        <v>46352</v>
      </c>
      <c r="E151" s="75" t="n">
        <f aca="false">'4D Schedule'!$AF$151</f>
        <v>46368</v>
      </c>
      <c r="F151" s="3" t="str">
        <f aca="false">'4D Schedule'!$AG$151</f>
        <v>Not Started</v>
      </c>
      <c r="G151" s="66" t="n">
        <f aca="false">'4D Schedule'!$AC$151</f>
        <v>0</v>
      </c>
    </row>
    <row r="152" customFormat="false" ht="15" hidden="false" customHeight="false" outlineLevel="0" collapsed="false">
      <c r="A152" s="3" t="str">
        <f aca="false">'4D Schedule'!$A$152</f>
        <v>CHP-ARC-110</v>
      </c>
      <c r="B152" s="3" t="str">
        <f aca="false">'4D Schedule'!$C$152</f>
        <v>Doors, windows, rolling shutters &amp; monorail doors</v>
      </c>
      <c r="C152" s="3" t="s">
        <v>1672</v>
      </c>
      <c r="D152" s="75" t="n">
        <f aca="false">'4D Schedule'!$AE$152</f>
        <v>46354</v>
      </c>
      <c r="E152" s="75" t="n">
        <f aca="false">'4D Schedule'!$AF$152</f>
        <v>46371</v>
      </c>
      <c r="F152" s="3" t="str">
        <f aca="false">'4D Schedule'!$AG$152</f>
        <v>Not Started</v>
      </c>
      <c r="G152" s="66" t="n">
        <f aca="false">'4D Schedule'!$AC$152</f>
        <v>0</v>
      </c>
    </row>
    <row r="153" customFormat="false" ht="15" hidden="false" customHeight="false" outlineLevel="0" collapsed="false">
      <c r="A153" s="3" t="str">
        <f aca="false">'4D Schedule'!$A$153</f>
        <v>CHP-ARC-120</v>
      </c>
      <c r="B153" s="3" t="str">
        <f aca="false">'4D Schedule'!$C$153</f>
        <v>Painting – internal &amp; external</v>
      </c>
      <c r="C153" s="3" t="s">
        <v>1672</v>
      </c>
      <c r="D153" s="75" t="n">
        <f aca="false">'4D Schedule'!$AE$153</f>
        <v>46366</v>
      </c>
      <c r="E153" s="75" t="n">
        <f aca="false">'4D Schedule'!$AF$153</f>
        <v>46391</v>
      </c>
      <c r="F153" s="3" t="str">
        <f aca="false">'4D Schedule'!$AG$153</f>
        <v>Not Started</v>
      </c>
      <c r="G153" s="66" t="n">
        <f aca="false">'4D Schedule'!$AC$153</f>
        <v>0</v>
      </c>
    </row>
    <row r="154" customFormat="false" ht="15" hidden="false" customHeight="false" outlineLevel="0" collapsed="false">
      <c r="A154" s="72" t="str">
        <f aca="false">'4D Schedule'!$A$154</f>
        <v>CHP.A2</v>
      </c>
      <c r="B154" s="72" t="str">
        <f aca="false">'4D Schedule'!$C$154</f>
        <v>Structural steel &amp; miscellaneous</v>
      </c>
      <c r="C154" s="72" t="s">
        <v>1670</v>
      </c>
      <c r="D154" s="73" t="n">
        <f aca="false">'4D Schedule'!$AE$154</f>
        <v>46328</v>
      </c>
      <c r="E154" s="73" t="n">
        <f aca="false">'4D Schedule'!$AF$154</f>
        <v>46353</v>
      </c>
      <c r="F154" s="72" t="str">
        <f aca="false">'4D Schedule'!$AG$154</f>
        <v>Not Started</v>
      </c>
      <c r="G154" s="74" t="n">
        <f aca="false">'4D Schedule'!$AC$154</f>
        <v>0</v>
      </c>
    </row>
    <row r="155" customFormat="false" ht="15" hidden="false" customHeight="false" outlineLevel="0" collapsed="false">
      <c r="A155" s="3" t="str">
        <f aca="false">'4D Schedule'!$A$155</f>
        <v>CHP-STL-010</v>
      </c>
      <c r="B155" s="3" t="str">
        <f aca="false">'4D Schedule'!$C$155</f>
        <v>Monorail beams MR-1 (NPB 300×150, B.O.MR +8.100) &amp; MR-2 (NPB 500×200, B.O.MR +7.900) incl. end stoppers</v>
      </c>
      <c r="C155" s="3" t="s">
        <v>1672</v>
      </c>
      <c r="D155" s="75" t="n">
        <f aca="false">'4D Schedule'!$AE$155</f>
        <v>46328</v>
      </c>
      <c r="E155" s="75" t="n">
        <f aca="false">'4D Schedule'!$AF$155</f>
        <v>46338</v>
      </c>
      <c r="F155" s="3" t="str">
        <f aca="false">'4D Schedule'!$AG$155</f>
        <v>Not Started</v>
      </c>
      <c r="G155" s="66" t="n">
        <f aca="false">'4D Schedule'!$AC$155</f>
        <v>0</v>
      </c>
    </row>
    <row r="156" customFormat="false" ht="15" hidden="false" customHeight="false" outlineLevel="0" collapsed="false">
      <c r="A156" s="3" t="str">
        <f aca="false">'4D Schedule'!$A$156</f>
        <v>CHP-STL-020</v>
      </c>
      <c r="B156" s="3" t="str">
        <f aca="false">'4D Schedule'!$C$156</f>
        <v>Handrails – staircases ST-1/ST-2 &amp; removable handrails at FF openings / platforms</v>
      </c>
      <c r="C156" s="3" t="s">
        <v>1672</v>
      </c>
      <c r="D156" s="75" t="n">
        <f aca="false">'4D Schedule'!$AE$156</f>
        <v>46343</v>
      </c>
      <c r="E156" s="75" t="n">
        <f aca="false">'4D Schedule'!$AF$156</f>
        <v>46353</v>
      </c>
      <c r="F156" s="3" t="str">
        <f aca="false">'4D Schedule'!$AG$156</f>
        <v>Not Started</v>
      </c>
      <c r="G156" s="66" t="n">
        <f aca="false">'4D Schedule'!$AC$156</f>
        <v>0</v>
      </c>
    </row>
  </sheetData>
  <conditionalFormatting sqref="H6:CL156">
    <cfRule type="expression" priority="2" aboveAverage="0" equalAverage="0" bottom="0" percent="0" rank="0" text="" dxfId="21">
      <formula>AND($C6="WBS",H$5&lt;=$E6,H$5+6&gt;=$D6)</formula>
    </cfRule>
    <cfRule type="expression" priority="3" aboveAverage="0" equalAverage="0" bottom="0" percent="0" rank="0" text="" dxfId="22">
      <formula>AND($C6="GRP",H$5&lt;=$E6,H$5+6&gt;=$D6)</formula>
    </cfRule>
    <cfRule type="expression" priority="4" aboveAverage="0" equalAverage="0" bottom="0" percent="0" rank="0" text="" dxfId="23">
      <formula>AND($C6="MS",$D6&gt;=H$5,$D6&lt;=H$5+6)</formula>
    </cfRule>
    <cfRule type="expression" priority="5" aboveAverage="0" equalAverage="0" bottom="0" percent="0" rank="0" text="" dxfId="24">
      <formula>AND($F6="Completed",H$5&lt;=$E6,H$5+6&gt;=$D6)</formula>
    </cfRule>
    <cfRule type="expression" priority="6" aboveAverage="0" equalAverage="0" bottom="0" percent="0" rank="0" text="" dxfId="25">
      <formula>AND($F6="In Progress",H$5&lt;=$E6,H$5+6&gt;=$D6,H$5&lt;=DataDate)</formula>
    </cfRule>
    <cfRule type="expression" priority="7" aboveAverage="0" equalAverage="0" bottom="0" percent="0" rank="0" text="" dxfId="26">
      <formula>AND($F6="In Progress",H$5&lt;=$E6,H$5+6&gt;=$D6)</formula>
    </cfRule>
    <cfRule type="expression" priority="8" aboveAverage="0" equalAverage="0" bottom="0" percent="0" rank="0" text="" dxfId="27">
      <formula>AND(LEFT($F6,3)="Not",H$5&lt;=$E6,H$5+6&gt;=$D6)</formula>
    </cfRule>
    <cfRule type="expression" priority="9" aboveAverage="0" equalAverage="0" bottom="0" percent="0" rank="0" text="" dxfId="28">
      <formula>AND(H$5&lt;=DataDate,H$5+6&gt;=DataDate)</formula>
    </cfRule>
  </conditionalFormatting>
  <printOptions headings="false" gridLines="false" gridLinesSet="true" horizontalCentered="false" verticalCentered="false"/>
  <pageMargins left="0.3" right="0.3" top="0.4" bottom="0.4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&amp;A –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7" min="5" style="0" width="5"/>
    <col collapsed="false" customWidth="true" hidden="false" outlineLevel="0" max="13" min="8" style="0" width="9"/>
    <col collapsed="false" customWidth="true" hidden="false" outlineLevel="0" max="14" min="14" style="0" width="5"/>
    <col collapsed="false" customWidth="true" hidden="false" outlineLevel="0" max="16" min="15" style="0" width="7"/>
    <col collapsed="false" customWidth="true" hidden="false" outlineLevel="0" max="22" min="17" style="0" width="9"/>
    <col collapsed="false" customWidth="true" hidden="false" outlineLevel="0" max="23" min="23" style="0" width="7"/>
    <col collapsed="false" customWidth="true" hidden="false" outlineLevel="0" max="27" min="24" style="0" width="5"/>
    <col collapsed="false" customWidth="true" hidden="false" outlineLevel="0" max="28" min="28" style="0" width="22"/>
  </cols>
  <sheetData>
    <row r="1" customFormat="false" ht="17.35" hidden="false" customHeight="false" outlineLevel="0" collapsed="false">
      <c r="A1" s="27" t="s">
        <v>1673</v>
      </c>
    </row>
    <row r="2" customFormat="false" ht="15" hidden="false" customHeight="false" outlineLevel="0" collapsed="false">
      <c r="A2" s="3" t="s">
        <v>1674</v>
      </c>
    </row>
    <row r="3" customFormat="false" ht="15" hidden="false" customHeight="true" outlineLevel="0" collapsed="false">
      <c r="A3" s="30" t="s">
        <v>1675</v>
      </c>
      <c r="B3" s="30"/>
      <c r="C3" s="30"/>
      <c r="D3" s="30"/>
      <c r="E3" s="30"/>
      <c r="F3" s="30"/>
      <c r="G3" s="30"/>
      <c r="H3" s="30" t="s">
        <v>1676</v>
      </c>
      <c r="I3" s="30"/>
      <c r="J3" s="30"/>
      <c r="K3" s="30"/>
      <c r="L3" s="30"/>
      <c r="M3" s="30"/>
      <c r="N3" s="30"/>
      <c r="O3" s="30" t="s">
        <v>1677</v>
      </c>
      <c r="P3" s="30"/>
      <c r="Q3" s="30"/>
      <c r="R3" s="30"/>
      <c r="S3" s="30"/>
      <c r="T3" s="30"/>
      <c r="U3" s="30"/>
      <c r="V3" s="30"/>
      <c r="W3" s="30"/>
      <c r="X3" s="30" t="s">
        <v>1678</v>
      </c>
      <c r="Y3" s="30"/>
      <c r="Z3" s="30"/>
      <c r="AA3" s="30"/>
      <c r="AB3" s="30"/>
    </row>
    <row r="4" customFormat="false" ht="51.75" hidden="false" customHeight="true" outlineLevel="0" collapsed="false">
      <c r="A4" s="31" t="s">
        <v>1679</v>
      </c>
      <c r="B4" s="31" t="s">
        <v>123</v>
      </c>
      <c r="C4" s="31" t="s">
        <v>1680</v>
      </c>
      <c r="D4" s="31" t="s">
        <v>1681</v>
      </c>
      <c r="E4" s="31" t="s">
        <v>1682</v>
      </c>
      <c r="F4" s="31" t="s">
        <v>1683</v>
      </c>
      <c r="G4" s="31" t="s">
        <v>1684</v>
      </c>
      <c r="H4" s="31" t="s">
        <v>1685</v>
      </c>
      <c r="I4" s="31" t="s">
        <v>1686</v>
      </c>
      <c r="J4" s="31" t="s">
        <v>1687</v>
      </c>
      <c r="K4" s="31" t="s">
        <v>1688</v>
      </c>
      <c r="L4" s="31" t="s">
        <v>1689</v>
      </c>
      <c r="M4" s="31" t="s">
        <v>1690</v>
      </c>
      <c r="N4" s="31" t="s">
        <v>1691</v>
      </c>
      <c r="O4" s="31" t="s">
        <v>1692</v>
      </c>
      <c r="P4" s="31" t="s">
        <v>1693</v>
      </c>
      <c r="Q4" s="31" t="s">
        <v>1694</v>
      </c>
      <c r="R4" s="31" t="s">
        <v>1695</v>
      </c>
      <c r="S4" s="31" t="s">
        <v>1696</v>
      </c>
      <c r="T4" s="31" t="s">
        <v>1697</v>
      </c>
      <c r="U4" s="31" t="s">
        <v>1698</v>
      </c>
      <c r="V4" s="31" t="s">
        <v>1699</v>
      </c>
      <c r="W4" s="31" t="s">
        <v>1700</v>
      </c>
      <c r="X4" s="31" t="s">
        <v>1701</v>
      </c>
      <c r="Y4" s="31" t="s">
        <v>1702</v>
      </c>
      <c r="Z4" s="31" t="s">
        <v>1703</v>
      </c>
      <c r="AA4" s="31" t="s">
        <v>1704</v>
      </c>
      <c r="AB4" s="31" t="s">
        <v>1705</v>
      </c>
    </row>
    <row r="5" customFormat="false" ht="15" hidden="false" customHeight="false" outlineLevel="0" collapsed="false">
      <c r="A5" s="56" t="s">
        <v>161</v>
      </c>
      <c r="B5" s="55" t="s">
        <v>162</v>
      </c>
      <c r="C5" s="56" t="s">
        <v>171</v>
      </c>
      <c r="D5" s="56" t="s">
        <v>1706</v>
      </c>
      <c r="E5" s="56" t="n">
        <v>0</v>
      </c>
      <c r="F5" s="56" t="n">
        <v>0</v>
      </c>
      <c r="G5" s="76" t="n">
        <v>1</v>
      </c>
      <c r="H5" s="61" t="n">
        <v>46043</v>
      </c>
      <c r="I5" s="61" t="n">
        <v>46042</v>
      </c>
      <c r="J5" s="61" t="n">
        <v>45950</v>
      </c>
      <c r="K5" s="61" t="n">
        <v>45950</v>
      </c>
      <c r="L5" s="61" t="n">
        <v>45950</v>
      </c>
      <c r="M5" s="61" t="n">
        <v>45950</v>
      </c>
      <c r="N5" s="56"/>
      <c r="O5" s="56" t="n">
        <f aca="false">COUNTIF('4D Schedule'!$N$6:$N$156,$A5)</f>
        <v>1</v>
      </c>
      <c r="P5" s="56" t="n">
        <f aca="false">COUNTIFS('4D Schedule'!$N$6:$N$156,$A5,'4D Schedule'!$AG$6:$AG$156,"Completed")</f>
        <v>1</v>
      </c>
      <c r="Q5" s="61" t="n">
        <f aca="false">INDEX('4D Schedule'!$Y$6:$Y$156,MATCH($A5,'4D Schedule'!$A$6:$A$156,0))</f>
        <v>46042</v>
      </c>
      <c r="R5" s="61" t="n">
        <f aca="false">INDEX('4D Schedule'!$Z$6:$Z$156,MATCH($A5,'4D Schedule'!$A$6:$A$156,0))</f>
        <v>46042</v>
      </c>
      <c r="S5" s="61" t="n">
        <f aca="false">INDEX('4D Schedule'!$AE$6:$AE$156,MATCH($A5,'4D Schedule'!$A$6:$A$156,0))</f>
        <v>45950</v>
      </c>
      <c r="T5" s="61" t="n">
        <f aca="false">INDEX('4D Schedule'!$AF$6:$AF$156,MATCH($A5,'4D Schedule'!$A$6:$A$156,0))</f>
        <v>45950</v>
      </c>
      <c r="U5" s="61" t="n">
        <f aca="false">INDEX('4D Schedule'!$AA$6:$AA$156,MATCH($A5,'4D Schedule'!$A$6:$A$156,0))</f>
        <v>45950</v>
      </c>
      <c r="V5" s="61" t="n">
        <f aca="false">INDEX('4D Schedule'!$AB$6:$AB$156,MATCH($A5,'4D Schedule'!$A$6:$A$156,0))</f>
        <v>45950</v>
      </c>
      <c r="W5" s="76" t="n">
        <f aca="false">INDEX('4D Schedule'!$AC$6:$AC$156,MATCH($A5,'4D Schedule'!$A$6:$A$156,0))</f>
        <v>1</v>
      </c>
      <c r="X5" s="56" t="n">
        <f aca="false">MATCH($Q5,WorkDays,1)-MATCH($H5,WorkDays,1)</f>
        <v>-1</v>
      </c>
      <c r="Y5" s="56" t="n">
        <f aca="false">MATCH($R5,WorkDays,1)-MATCH($I5,WorkDays,1)</f>
        <v>0</v>
      </c>
      <c r="Z5" s="56" t="n">
        <f aca="false">MATCH($S5,WorkDays,1)-MATCH($J5,WorkDays,1)</f>
        <v>0</v>
      </c>
      <c r="AA5" s="56" t="n">
        <f aca="false">MATCH($T5,WorkDays,1)-MATCH($K5,WorkDays,1)</f>
        <v>0</v>
      </c>
      <c r="AB5" s="56" t="str">
        <f aca="false">IF(AND(AND(OR($E5=0,$X5=0),$Y5=0),AND($Z5=0,$AA5=0),AND(IF($L5="",$U5="",$U5=$L5),IF($M5="",$V5="",$V5=$M5))),"✔ Same as P6","Δ "&amp;IF(AND(OR($E5=0,$X5=0),$Y5=0),"","BL ")&amp;IF(AND($Z5=0,$AA5=0),"","Current ")&amp;IF(AND(IF($L5="",$U5="",$U5=$L5),IF($M5="",$V5="",$V5=$M5)),"","Actual"))</f>
        <v>✔ Same as P6</v>
      </c>
    </row>
    <row r="6" customFormat="false" ht="15" hidden="false" customHeight="false" outlineLevel="0" collapsed="false">
      <c r="A6" s="56" t="s">
        <v>167</v>
      </c>
      <c r="B6" s="55" t="s">
        <v>168</v>
      </c>
      <c r="C6" s="56" t="s">
        <v>171</v>
      </c>
      <c r="D6" s="56" t="s">
        <v>1706</v>
      </c>
      <c r="E6" s="56" t="n">
        <v>20</v>
      </c>
      <c r="F6" s="56" t="n">
        <v>0</v>
      </c>
      <c r="G6" s="76" t="n">
        <v>1</v>
      </c>
      <c r="H6" s="61" t="n">
        <v>46060</v>
      </c>
      <c r="I6" s="61" t="n">
        <v>46083</v>
      </c>
      <c r="J6" s="61" t="n">
        <v>45990</v>
      </c>
      <c r="K6" s="61" t="n">
        <v>46013</v>
      </c>
      <c r="L6" s="61" t="n">
        <v>45990</v>
      </c>
      <c r="M6" s="61" t="n">
        <v>46013</v>
      </c>
      <c r="N6" s="56"/>
      <c r="O6" s="56" t="n">
        <f aca="false">COUNTIF('4D Schedule'!$N$6:$N$156,$A6)</f>
        <v>3</v>
      </c>
      <c r="P6" s="56" t="n">
        <f aca="false">COUNTIFS('4D Schedule'!$N$6:$N$156,$A6,'4D Schedule'!$AG$6:$AG$156,"Completed")</f>
        <v>3</v>
      </c>
      <c r="Q6" s="61" t="n">
        <f aca="false">INDEX('4D Schedule'!$Y$6:$Y$156,MATCH($A6,'4D Schedule'!$A$6:$A$156,0))</f>
        <v>46060</v>
      </c>
      <c r="R6" s="61" t="n">
        <f aca="false">INDEX('4D Schedule'!$Z$6:$Z$156,MATCH($A6,'4D Schedule'!$A$6:$A$156,0))</f>
        <v>46083</v>
      </c>
      <c r="S6" s="61" t="n">
        <f aca="false">INDEX('4D Schedule'!$AE$6:$AE$156,MATCH($A6,'4D Schedule'!$A$6:$A$156,0))</f>
        <v>45990</v>
      </c>
      <c r="T6" s="61" t="n">
        <f aca="false">INDEX('4D Schedule'!$AF$6:$AF$156,MATCH($A6,'4D Schedule'!$A$6:$A$156,0))</f>
        <v>46013</v>
      </c>
      <c r="U6" s="61" t="n">
        <f aca="false">INDEX('4D Schedule'!$AA$6:$AA$156,MATCH($A6,'4D Schedule'!$A$6:$A$156,0))</f>
        <v>45990</v>
      </c>
      <c r="V6" s="61" t="n">
        <f aca="false">INDEX('4D Schedule'!$AB$6:$AB$156,MATCH($A6,'4D Schedule'!$A$6:$A$156,0))</f>
        <v>46013</v>
      </c>
      <c r="W6" s="76" t="n">
        <f aca="false">INDEX('4D Schedule'!$AC$6:$AC$156,MATCH($A6,'4D Schedule'!$A$6:$A$156,0))</f>
        <v>1</v>
      </c>
      <c r="X6" s="56" t="n">
        <f aca="false">MATCH($Q6,WorkDays,1)-MATCH($H6,WorkDays,1)</f>
        <v>0</v>
      </c>
      <c r="Y6" s="56" t="n">
        <f aca="false">MATCH($R6,WorkDays,1)-MATCH($I6,WorkDays,1)</f>
        <v>0</v>
      </c>
      <c r="Z6" s="56" t="n">
        <f aca="false">MATCH($S6,WorkDays,1)-MATCH($J6,WorkDays,1)</f>
        <v>0</v>
      </c>
      <c r="AA6" s="56" t="n">
        <f aca="false">MATCH($T6,WorkDays,1)-MATCH($K6,WorkDays,1)</f>
        <v>0</v>
      </c>
      <c r="AB6" s="56" t="str">
        <f aca="false">IF(AND(AND(OR($E6=0,$X6=0),$Y6=0),AND($Z6=0,$AA6=0),AND(IF($L6="",$U6="",$U6=$L6),IF($M6="",$V6="",$V6=$M6))),"✔ Same as P6","Δ "&amp;IF(AND(OR($E6=0,$X6=0),$Y6=0),"","BL ")&amp;IF(AND($Z6=0,$AA6=0),"","Current ")&amp;IF(AND(IF($L6="",$U6="",$U6=$L6),IF($M6="",$V6="",$V6=$M6)),"","Actual"))</f>
        <v>✔ Same as P6</v>
      </c>
    </row>
    <row r="7" customFormat="false" ht="15" hidden="false" customHeight="false" outlineLevel="0" collapsed="false">
      <c r="A7" s="56" t="s">
        <v>180</v>
      </c>
      <c r="B7" s="55" t="s">
        <v>181</v>
      </c>
      <c r="C7" s="56" t="s">
        <v>171</v>
      </c>
      <c r="D7" s="56" t="s">
        <v>1706</v>
      </c>
      <c r="E7" s="56" t="n">
        <v>30</v>
      </c>
      <c r="F7" s="56" t="n">
        <v>0</v>
      </c>
      <c r="G7" s="76" t="n">
        <v>1</v>
      </c>
      <c r="H7" s="61" t="n">
        <v>46042</v>
      </c>
      <c r="I7" s="61" t="n">
        <v>46077</v>
      </c>
      <c r="J7" s="61" t="n">
        <v>46014</v>
      </c>
      <c r="K7" s="61" t="n">
        <v>46029</v>
      </c>
      <c r="L7" s="61" t="n">
        <v>46014</v>
      </c>
      <c r="M7" s="61" t="n">
        <v>46029</v>
      </c>
      <c r="N7" s="56"/>
      <c r="O7" s="56" t="n">
        <f aca="false">COUNTIF('4D Schedule'!$N$6:$N$156,$A7)</f>
        <v>3</v>
      </c>
      <c r="P7" s="56" t="n">
        <f aca="false">COUNTIFS('4D Schedule'!$N$6:$N$156,$A7,'4D Schedule'!$AG$6:$AG$156,"Completed")</f>
        <v>3</v>
      </c>
      <c r="Q7" s="61" t="n">
        <f aca="false">INDEX('4D Schedule'!$Y$6:$Y$156,MATCH($A7,'4D Schedule'!$A$6:$A$156,0))</f>
        <v>46042</v>
      </c>
      <c r="R7" s="61" t="n">
        <f aca="false">INDEX('4D Schedule'!$Z$6:$Z$156,MATCH($A7,'4D Schedule'!$A$6:$A$156,0))</f>
        <v>46077</v>
      </c>
      <c r="S7" s="61" t="n">
        <f aca="false">INDEX('4D Schedule'!$AE$6:$AE$156,MATCH($A7,'4D Schedule'!$A$6:$A$156,0))</f>
        <v>46014</v>
      </c>
      <c r="T7" s="61" t="n">
        <f aca="false">INDEX('4D Schedule'!$AF$6:$AF$156,MATCH($A7,'4D Schedule'!$A$6:$A$156,0))</f>
        <v>46029</v>
      </c>
      <c r="U7" s="61" t="n">
        <f aca="false">INDEX('4D Schedule'!$AA$6:$AA$156,MATCH($A7,'4D Schedule'!$A$6:$A$156,0))</f>
        <v>46014</v>
      </c>
      <c r="V7" s="61" t="n">
        <f aca="false">INDEX('4D Schedule'!$AB$6:$AB$156,MATCH($A7,'4D Schedule'!$A$6:$A$156,0))</f>
        <v>46029</v>
      </c>
      <c r="W7" s="76" t="n">
        <f aca="false">INDEX('4D Schedule'!$AC$6:$AC$156,MATCH($A7,'4D Schedule'!$A$6:$A$156,0))</f>
        <v>1</v>
      </c>
      <c r="X7" s="56" t="n">
        <f aca="false">MATCH($Q7,WorkDays,1)-MATCH($H7,WorkDays,1)</f>
        <v>0</v>
      </c>
      <c r="Y7" s="56" t="n">
        <f aca="false">MATCH($R7,WorkDays,1)-MATCH($I7,WorkDays,1)</f>
        <v>0</v>
      </c>
      <c r="Z7" s="56" t="n">
        <f aca="false">MATCH($S7,WorkDays,1)-MATCH($J7,WorkDays,1)</f>
        <v>0</v>
      </c>
      <c r="AA7" s="56" t="n">
        <f aca="false">MATCH($T7,WorkDays,1)-MATCH($K7,WorkDays,1)</f>
        <v>0</v>
      </c>
      <c r="AB7" s="56" t="str">
        <f aca="false">IF(AND(AND(OR($E7=0,$X7=0),$Y7=0),AND($Z7=0,$AA7=0),AND(IF($L7="",$U7="",$U7=$L7),IF($M7="",$V7="",$V7=$M7))),"✔ Same as P6","Δ "&amp;IF(AND(OR($E7=0,$X7=0),$Y7=0),"","BL ")&amp;IF(AND($Z7=0,$AA7=0),"","Current ")&amp;IF(AND(IF($L7="",$U7="",$U7=$L7),IF($M7="",$V7="",$V7=$M7)),"","Actual"))</f>
        <v>✔ Same as P6</v>
      </c>
    </row>
    <row r="8" customFormat="false" ht="15" hidden="false" customHeight="false" outlineLevel="0" collapsed="false">
      <c r="A8" s="56" t="s">
        <v>189</v>
      </c>
      <c r="B8" s="55" t="s">
        <v>190</v>
      </c>
      <c r="C8" s="56" t="s">
        <v>171</v>
      </c>
      <c r="D8" s="56" t="s">
        <v>1706</v>
      </c>
      <c r="E8" s="56" t="n">
        <v>35</v>
      </c>
      <c r="F8" s="56" t="n">
        <v>0</v>
      </c>
      <c r="G8" s="76" t="n">
        <v>1</v>
      </c>
      <c r="H8" s="61" t="n">
        <v>46265</v>
      </c>
      <c r="I8" s="61" t="n">
        <v>46305</v>
      </c>
      <c r="J8" s="61" t="n">
        <v>46265</v>
      </c>
      <c r="K8" s="61" t="n">
        <v>46289</v>
      </c>
      <c r="L8" s="61" t="n">
        <v>46265</v>
      </c>
      <c r="M8" s="61" t="n">
        <v>46289</v>
      </c>
      <c r="N8" s="56"/>
      <c r="O8" s="56" t="n">
        <f aca="false">COUNTIF('4D Schedule'!$N$6:$N$156,$A8)</f>
        <v>3</v>
      </c>
      <c r="P8" s="56" t="n">
        <f aca="false">COUNTIFS('4D Schedule'!$N$6:$N$156,$A8,'4D Schedule'!$AG$6:$AG$156,"Completed")</f>
        <v>3</v>
      </c>
      <c r="Q8" s="61" t="n">
        <f aca="false">INDEX('4D Schedule'!$Y$6:$Y$156,MATCH($A8,'4D Schedule'!$A$6:$A$156,0))</f>
        <v>46265</v>
      </c>
      <c r="R8" s="61" t="n">
        <f aca="false">INDEX('4D Schedule'!$Z$6:$Z$156,MATCH($A8,'4D Schedule'!$A$6:$A$156,0))</f>
        <v>46305</v>
      </c>
      <c r="S8" s="61" t="n">
        <f aca="false">INDEX('4D Schedule'!$AE$6:$AE$156,MATCH($A8,'4D Schedule'!$A$6:$A$156,0))</f>
        <v>46265</v>
      </c>
      <c r="T8" s="61" t="n">
        <f aca="false">INDEX('4D Schedule'!$AF$6:$AF$156,MATCH($A8,'4D Schedule'!$A$6:$A$156,0))</f>
        <v>46289</v>
      </c>
      <c r="U8" s="61" t="n">
        <f aca="false">INDEX('4D Schedule'!$AA$6:$AA$156,MATCH($A8,'4D Schedule'!$A$6:$A$156,0))</f>
        <v>46265</v>
      </c>
      <c r="V8" s="61" t="n">
        <f aca="false">INDEX('4D Schedule'!$AB$6:$AB$156,MATCH($A8,'4D Schedule'!$A$6:$A$156,0))</f>
        <v>46289</v>
      </c>
      <c r="W8" s="76" t="n">
        <f aca="false">INDEX('4D Schedule'!$AC$6:$AC$156,MATCH($A8,'4D Schedule'!$A$6:$A$156,0))</f>
        <v>1</v>
      </c>
      <c r="X8" s="56" t="n">
        <f aca="false">MATCH($Q8,WorkDays,1)-MATCH($H8,WorkDays,1)</f>
        <v>0</v>
      </c>
      <c r="Y8" s="56" t="n">
        <f aca="false">MATCH($R8,WorkDays,1)-MATCH($I8,WorkDays,1)</f>
        <v>0</v>
      </c>
      <c r="Z8" s="56" t="n">
        <f aca="false">MATCH($S8,WorkDays,1)-MATCH($J8,WorkDays,1)</f>
        <v>0</v>
      </c>
      <c r="AA8" s="56" t="n">
        <f aca="false">MATCH($T8,WorkDays,1)-MATCH($K8,WorkDays,1)</f>
        <v>0</v>
      </c>
      <c r="AB8" s="56" t="str">
        <f aca="false">IF(AND(AND(OR($E8=0,$X8=0),$Y8=0),AND($Z8=0,$AA8=0),AND(IF($L8="",$U8="",$U8=$L8),IF($M8="",$V8="",$V8=$M8))),"✔ Same as P6","Δ "&amp;IF(AND(OR($E8=0,$X8=0),$Y8=0),"","BL ")&amp;IF(AND($Z8=0,$AA8=0),"","Current ")&amp;IF(AND(IF($L8="",$U8="",$U8=$L8),IF($M8="",$V8="",$V8=$M8)),"","Actual"))</f>
        <v>✔ Same as P6</v>
      </c>
    </row>
    <row r="9" customFormat="false" ht="15" hidden="false" customHeight="false" outlineLevel="0" collapsed="false">
      <c r="A9" s="56" t="s">
        <v>197</v>
      </c>
      <c r="B9" s="55" t="s">
        <v>198</v>
      </c>
      <c r="C9" s="56" t="s">
        <v>171</v>
      </c>
      <c r="D9" s="56" t="s">
        <v>1707</v>
      </c>
      <c r="E9" s="56" t="n">
        <v>45</v>
      </c>
      <c r="F9" s="56" t="n">
        <v>40</v>
      </c>
      <c r="G9" s="76" t="n">
        <v>0</v>
      </c>
      <c r="H9" s="61" t="n">
        <v>46307</v>
      </c>
      <c r="I9" s="61" t="n">
        <v>46359</v>
      </c>
      <c r="J9" s="61" t="n">
        <v>46298</v>
      </c>
      <c r="K9" s="61" t="n">
        <v>46345</v>
      </c>
      <c r="L9" s="61"/>
      <c r="M9" s="61"/>
      <c r="N9" s="56" t="n">
        <v>229</v>
      </c>
      <c r="O9" s="56" t="n">
        <f aca="false">COUNTIF('4D Schedule'!$N$6:$N$156,$A9)</f>
        <v>3</v>
      </c>
      <c r="P9" s="56" t="n">
        <f aca="false">COUNTIFS('4D Schedule'!$N$6:$N$156,$A9,'4D Schedule'!$AG$6:$AG$156,"Completed")</f>
        <v>0</v>
      </c>
      <c r="Q9" s="61" t="n">
        <f aca="false">INDEX('4D Schedule'!$Y$6:$Y$156,MATCH($A9,'4D Schedule'!$A$6:$A$156,0))</f>
        <v>46307</v>
      </c>
      <c r="R9" s="61" t="n">
        <f aca="false">INDEX('4D Schedule'!$Z$6:$Z$156,MATCH($A9,'4D Schedule'!$A$6:$A$156,0))</f>
        <v>46359</v>
      </c>
      <c r="S9" s="61" t="n">
        <f aca="false">INDEX('4D Schedule'!$AE$6:$AE$156,MATCH($A9,'4D Schedule'!$A$6:$A$156,0))</f>
        <v>46298</v>
      </c>
      <c r="T9" s="61" t="n">
        <f aca="false">INDEX('4D Schedule'!$AF$6:$AF$156,MATCH($A9,'4D Schedule'!$A$6:$A$156,0))</f>
        <v>46345</v>
      </c>
      <c r="U9" s="61" t="str">
        <f aca="false">INDEX('4D Schedule'!$AA$6:$AA$156,MATCH($A9,'4D Schedule'!$A$6:$A$156,0))</f>
        <v/>
      </c>
      <c r="V9" s="61" t="str">
        <f aca="false">INDEX('4D Schedule'!$AB$6:$AB$156,MATCH($A9,'4D Schedule'!$A$6:$A$156,0))</f>
        <v/>
      </c>
      <c r="W9" s="76" t="n">
        <f aca="false">INDEX('4D Schedule'!$AC$6:$AC$156,MATCH($A9,'4D Schedule'!$A$6:$A$156,0))</f>
        <v>0</v>
      </c>
      <c r="X9" s="56" t="n">
        <f aca="false">MATCH($Q9,WorkDays,1)-MATCH($H9,WorkDays,1)</f>
        <v>0</v>
      </c>
      <c r="Y9" s="56" t="n">
        <f aca="false">MATCH($R9,WorkDays,1)-MATCH($I9,WorkDays,1)</f>
        <v>0</v>
      </c>
      <c r="Z9" s="56" t="n">
        <f aca="false">MATCH($S9,WorkDays,1)-MATCH($J9,WorkDays,1)</f>
        <v>0</v>
      </c>
      <c r="AA9" s="56" t="n">
        <f aca="false">MATCH($T9,WorkDays,1)-MATCH($K9,WorkDays,1)</f>
        <v>0</v>
      </c>
      <c r="AB9" s="56" t="str">
        <f aca="false">IF(AND(AND(OR($E9=0,$X9=0),$Y9=0),AND($Z9=0,$AA9=0),AND(IF($L9="",$U9="",$U9=$L9),IF($M9="",$V9="",$V9=$M9))),"✔ Same as P6","Δ "&amp;IF(AND(OR($E9=0,$X9=0),$Y9=0),"","BL ")&amp;IF(AND($Z9=0,$AA9=0),"","Current ")&amp;IF(AND(IF($L9="",$U9="",$U9=$L9),IF($M9="",$V9="",$V9=$M9)),"","Actual"))</f>
        <v>✔ Same as P6</v>
      </c>
    </row>
    <row r="10" customFormat="false" ht="15" hidden="false" customHeight="false" outlineLevel="0" collapsed="false">
      <c r="A10" s="56" t="s">
        <v>206</v>
      </c>
      <c r="B10" s="55" t="s">
        <v>207</v>
      </c>
      <c r="C10" s="56" t="s">
        <v>171</v>
      </c>
      <c r="D10" s="56" t="s">
        <v>1708</v>
      </c>
      <c r="E10" s="56" t="n">
        <v>30</v>
      </c>
      <c r="F10" s="56" t="n">
        <v>19</v>
      </c>
      <c r="G10" s="76" t="n">
        <v>0.38</v>
      </c>
      <c r="H10" s="61" t="n">
        <v>46360</v>
      </c>
      <c r="I10" s="61" t="n">
        <v>46396</v>
      </c>
      <c r="J10" s="61" t="n">
        <v>46296</v>
      </c>
      <c r="K10" s="61" t="n">
        <v>46367</v>
      </c>
      <c r="L10" s="61" t="n">
        <v>46296</v>
      </c>
      <c r="M10" s="61"/>
      <c r="N10" s="56" t="n">
        <v>229</v>
      </c>
      <c r="O10" s="56" t="n">
        <f aca="false">COUNTIF('4D Schedule'!$N$6:$N$156,$A10)</f>
        <v>3</v>
      </c>
      <c r="P10" s="56" t="n">
        <f aca="false">COUNTIFS('4D Schedule'!$N$6:$N$156,$A10,'4D Schedule'!$AG$6:$AG$156,"Completed")</f>
        <v>0</v>
      </c>
      <c r="Q10" s="61" t="n">
        <f aca="false">INDEX('4D Schedule'!$Y$6:$Y$156,MATCH($A10,'4D Schedule'!$A$6:$A$156,0))</f>
        <v>46360</v>
      </c>
      <c r="R10" s="61" t="n">
        <f aca="false">INDEX('4D Schedule'!$Z$6:$Z$156,MATCH($A10,'4D Schedule'!$A$6:$A$156,0))</f>
        <v>46396</v>
      </c>
      <c r="S10" s="61" t="n">
        <f aca="false">INDEX('4D Schedule'!$AE$6:$AE$156,MATCH($A10,'4D Schedule'!$A$6:$A$156,0))</f>
        <v>46296</v>
      </c>
      <c r="T10" s="61" t="n">
        <f aca="false">INDEX('4D Schedule'!$AF$6:$AF$156,MATCH($A10,'4D Schedule'!$A$6:$A$156,0))</f>
        <v>46367</v>
      </c>
      <c r="U10" s="61" t="n">
        <f aca="false">INDEX('4D Schedule'!$AA$6:$AA$156,MATCH($A10,'4D Schedule'!$A$6:$A$156,0))</f>
        <v>46296</v>
      </c>
      <c r="V10" s="61" t="str">
        <f aca="false">INDEX('4D Schedule'!$AB$6:$AB$156,MATCH($A10,'4D Schedule'!$A$6:$A$156,0))</f>
        <v/>
      </c>
      <c r="W10" s="76" t="n">
        <f aca="false">INDEX('4D Schedule'!$AC$6:$AC$156,MATCH($A10,'4D Schedule'!$A$6:$A$156,0))</f>
        <v>0.23265306122449</v>
      </c>
      <c r="X10" s="56" t="n">
        <f aca="false">MATCH($Q10,WorkDays,1)-MATCH($H10,WorkDays,1)</f>
        <v>0</v>
      </c>
      <c r="Y10" s="56" t="n">
        <f aca="false">MATCH($R10,WorkDays,1)-MATCH($I10,WorkDays,1)</f>
        <v>0</v>
      </c>
      <c r="Z10" s="56" t="n">
        <f aca="false">MATCH($S10,WorkDays,1)-MATCH($J10,WorkDays,1)</f>
        <v>0</v>
      </c>
      <c r="AA10" s="56" t="n">
        <f aca="false">MATCH($T10,WorkDays,1)-MATCH($K10,WorkDays,1)</f>
        <v>0</v>
      </c>
      <c r="AB10" s="56" t="str">
        <f aca="false">IF(AND(AND(OR($E10=0,$X10=0),$Y10=0),AND($Z10=0,$AA10=0),AND(IF($L10="",$U10="",$U10=$L10),IF($M10="",$V10="",$V10=$M10))),"✔ Same as P6","Δ "&amp;IF(AND(OR($E10=0,$X10=0),$Y10=0),"","BL ")&amp;IF(AND($Z10=0,$AA10=0),"","Current ")&amp;IF(AND(IF($L10="",$U10="",$U10=$L10),IF($M10="",$V10="",$V10=$M10)),"","Actual"))</f>
        <v>✔ Same as P6</v>
      </c>
    </row>
    <row r="11" customFormat="false" ht="15" hidden="false" customHeight="false" outlineLevel="0" collapsed="false">
      <c r="A11" s="56" t="s">
        <v>218</v>
      </c>
      <c r="B11" s="55" t="s">
        <v>219</v>
      </c>
      <c r="C11" s="56" t="s">
        <v>222</v>
      </c>
      <c r="D11" s="56" t="s">
        <v>1706</v>
      </c>
      <c r="E11" s="56" t="n">
        <v>60</v>
      </c>
      <c r="F11" s="56" t="n">
        <v>0</v>
      </c>
      <c r="G11" s="76" t="n">
        <v>1</v>
      </c>
      <c r="H11" s="61" t="n">
        <v>46081</v>
      </c>
      <c r="I11" s="61" t="n">
        <v>46154</v>
      </c>
      <c r="J11" s="61" t="n">
        <v>46056</v>
      </c>
      <c r="K11" s="61" t="n">
        <v>46162</v>
      </c>
      <c r="L11" s="61" t="n">
        <v>46056</v>
      </c>
      <c r="M11" s="61" t="n">
        <v>46162</v>
      </c>
      <c r="N11" s="56"/>
      <c r="O11" s="56" t="n">
        <f aca="false">COUNTIF('4D Schedule'!$N$6:$N$156,$A11)</f>
        <v>3</v>
      </c>
      <c r="P11" s="56" t="n">
        <f aca="false">COUNTIFS('4D Schedule'!$N$6:$N$156,$A11,'4D Schedule'!$AG$6:$AG$156,"Completed")</f>
        <v>3</v>
      </c>
      <c r="Q11" s="61" t="n">
        <f aca="false">INDEX('4D Schedule'!$Y$6:$Y$156,MATCH($A11,'4D Schedule'!$A$6:$A$156,0))</f>
        <v>46081</v>
      </c>
      <c r="R11" s="61" t="n">
        <f aca="false">INDEX('4D Schedule'!$Z$6:$Z$156,MATCH($A11,'4D Schedule'!$A$6:$A$156,0))</f>
        <v>46154</v>
      </c>
      <c r="S11" s="61" t="n">
        <f aca="false">INDEX('4D Schedule'!$AE$6:$AE$156,MATCH($A11,'4D Schedule'!$A$6:$A$156,0))</f>
        <v>46056</v>
      </c>
      <c r="T11" s="61" t="n">
        <f aca="false">INDEX('4D Schedule'!$AF$6:$AF$156,MATCH($A11,'4D Schedule'!$A$6:$A$156,0))</f>
        <v>46162</v>
      </c>
      <c r="U11" s="61" t="n">
        <f aca="false">INDEX('4D Schedule'!$AA$6:$AA$156,MATCH($A11,'4D Schedule'!$A$6:$A$156,0))</f>
        <v>46056</v>
      </c>
      <c r="V11" s="61" t="n">
        <f aca="false">INDEX('4D Schedule'!$AB$6:$AB$156,MATCH($A11,'4D Schedule'!$A$6:$A$156,0))</f>
        <v>46162</v>
      </c>
      <c r="W11" s="76" t="n">
        <f aca="false">INDEX('4D Schedule'!$AC$6:$AC$156,MATCH($A11,'4D Schedule'!$A$6:$A$156,0))</f>
        <v>1</v>
      </c>
      <c r="X11" s="56" t="n">
        <f aca="false">MATCH($Q11,WorkDays,1)-MATCH($H11,WorkDays,1)</f>
        <v>0</v>
      </c>
      <c r="Y11" s="56" t="n">
        <f aca="false">MATCH($R11,WorkDays,1)-MATCH($I11,WorkDays,1)</f>
        <v>0</v>
      </c>
      <c r="Z11" s="56" t="n">
        <f aca="false">MATCH($S11,WorkDays,1)-MATCH($J11,WorkDays,1)</f>
        <v>0</v>
      </c>
      <c r="AA11" s="56" t="n">
        <f aca="false">MATCH($T11,WorkDays,1)-MATCH($K11,WorkDays,1)</f>
        <v>0</v>
      </c>
      <c r="AB11" s="56" t="str">
        <f aca="false">IF(AND(AND(OR($E11=0,$X11=0),$Y11=0),AND($Z11=0,$AA11=0),AND(IF($L11="",$U11="",$U11=$L11),IF($M11="",$V11="",$V11=$M11))),"✔ Same as P6","Δ "&amp;IF(AND(OR($E11=0,$X11=0),$Y11=0),"","BL ")&amp;IF(AND($Z11=0,$AA11=0),"","Current ")&amp;IF(AND(IF($L11="",$U11="",$U11=$L11),IF($M11="",$V11="",$V11=$M11)),"","Actual"))</f>
        <v>✔ Same as P6</v>
      </c>
    </row>
    <row r="12" customFormat="false" ht="22.35" hidden="false" customHeight="false" outlineLevel="0" collapsed="false">
      <c r="A12" s="56" t="s">
        <v>227</v>
      </c>
      <c r="B12" s="55" t="s">
        <v>228</v>
      </c>
      <c r="C12" s="56" t="s">
        <v>222</v>
      </c>
      <c r="D12" s="56" t="s">
        <v>1708</v>
      </c>
      <c r="E12" s="56" t="n">
        <v>150</v>
      </c>
      <c r="F12" s="56" t="n">
        <v>75</v>
      </c>
      <c r="G12" s="76" t="n">
        <v>0.5</v>
      </c>
      <c r="H12" s="61" t="n">
        <v>46203</v>
      </c>
      <c r="I12" s="61" t="n">
        <v>46380</v>
      </c>
      <c r="J12" s="61" t="n">
        <v>46164</v>
      </c>
      <c r="K12" s="61" t="n">
        <v>46387</v>
      </c>
      <c r="L12" s="61" t="n">
        <v>46164</v>
      </c>
      <c r="M12" s="61"/>
      <c r="N12" s="56" t="n">
        <v>188</v>
      </c>
      <c r="O12" s="56" t="n">
        <f aca="false">COUNTIF('4D Schedule'!$N$6:$N$156,$A12)</f>
        <v>4</v>
      </c>
      <c r="P12" s="56" t="n">
        <f aca="false">COUNTIFS('4D Schedule'!$N$6:$N$156,$A12,'4D Schedule'!$AG$6:$AG$156,"Completed")</f>
        <v>0</v>
      </c>
      <c r="Q12" s="61" t="n">
        <f aca="false">INDEX('4D Schedule'!$Y$6:$Y$156,MATCH($A12,'4D Schedule'!$A$6:$A$156,0))</f>
        <v>46203</v>
      </c>
      <c r="R12" s="61" t="n">
        <f aca="false">INDEX('4D Schedule'!$Z$6:$Z$156,MATCH($A12,'4D Schedule'!$A$6:$A$156,0))</f>
        <v>46380</v>
      </c>
      <c r="S12" s="61" t="n">
        <f aca="false">INDEX('4D Schedule'!$AE$6:$AE$156,MATCH($A12,'4D Schedule'!$A$6:$A$156,0))</f>
        <v>46164</v>
      </c>
      <c r="T12" s="61" t="n">
        <f aca="false">INDEX('4D Schedule'!$AF$6:$AF$156,MATCH($A12,'4D Schedule'!$A$6:$A$156,0))</f>
        <v>46387</v>
      </c>
      <c r="U12" s="61" t="n">
        <f aca="false">INDEX('4D Schedule'!$AA$6:$AA$156,MATCH($A12,'4D Schedule'!$A$6:$A$156,0))</f>
        <v>46164</v>
      </c>
      <c r="V12" s="61" t="str">
        <f aca="false">INDEX('4D Schedule'!$AB$6:$AB$156,MATCH($A12,'4D Schedule'!$A$6:$A$156,0))</f>
        <v/>
      </c>
      <c r="W12" s="76" t="n">
        <f aca="false">INDEX('4D Schedule'!$AC$6:$AC$156,MATCH($A12,'4D Schedule'!$A$6:$A$156,0))</f>
        <v>0.601021276595745</v>
      </c>
      <c r="X12" s="56" t="n">
        <f aca="false">MATCH($Q12,WorkDays,1)-MATCH($H12,WorkDays,1)</f>
        <v>0</v>
      </c>
      <c r="Y12" s="56" t="n">
        <f aca="false">MATCH($R12,WorkDays,1)-MATCH($I12,WorkDays,1)</f>
        <v>0</v>
      </c>
      <c r="Z12" s="56" t="n">
        <f aca="false">MATCH($S12,WorkDays,1)-MATCH($J12,WorkDays,1)</f>
        <v>0</v>
      </c>
      <c r="AA12" s="56" t="n">
        <f aca="false">MATCH($T12,WorkDays,1)-MATCH($K12,WorkDays,1)</f>
        <v>0</v>
      </c>
      <c r="AB12" s="56" t="str">
        <f aca="false">IF(AND(AND(OR($E12=0,$X12=0),$Y12=0),AND($Z12=0,$AA12=0),AND(IF($L12="",$U12="",$U12=$L12),IF($M12="",$V12="",$V12=$M12))),"✔ Same as P6","Δ "&amp;IF(AND(OR($E12=0,$X12=0),$Y12=0),"","BL ")&amp;IF(AND($Z12=0,$AA12=0),"","Current ")&amp;IF(AND(IF($L12="",$U12="",$U12=$L12),IF($M12="",$V12="",$V12=$M12)),"","Actual"))</f>
        <v>✔ Same as P6</v>
      </c>
    </row>
    <row r="13" customFormat="false" ht="15" hidden="false" customHeight="false" outlineLevel="0" collapsed="false">
      <c r="A13" s="56" t="s">
        <v>238</v>
      </c>
      <c r="B13" s="55" t="s">
        <v>239</v>
      </c>
      <c r="C13" s="56" t="s">
        <v>222</v>
      </c>
      <c r="D13" s="56" t="s">
        <v>1706</v>
      </c>
      <c r="E13" s="56" t="n">
        <v>60</v>
      </c>
      <c r="F13" s="56" t="n">
        <v>0</v>
      </c>
      <c r="G13" s="76" t="n">
        <v>1</v>
      </c>
      <c r="H13" s="61" t="n">
        <v>46081</v>
      </c>
      <c r="I13" s="61" t="n">
        <v>46154</v>
      </c>
      <c r="J13" s="61" t="n">
        <v>46056</v>
      </c>
      <c r="K13" s="61" t="n">
        <v>46139</v>
      </c>
      <c r="L13" s="61" t="n">
        <v>46056</v>
      </c>
      <c r="M13" s="61" t="n">
        <v>46139</v>
      </c>
      <c r="N13" s="56"/>
      <c r="O13" s="56" t="n">
        <f aca="false">COUNTIF('4D Schedule'!$N$6:$N$156,$A13)</f>
        <v>3</v>
      </c>
      <c r="P13" s="56" t="n">
        <f aca="false">COUNTIFS('4D Schedule'!$N$6:$N$156,$A13,'4D Schedule'!$AG$6:$AG$156,"Completed")</f>
        <v>3</v>
      </c>
      <c r="Q13" s="61" t="n">
        <f aca="false">INDEX('4D Schedule'!$Y$6:$Y$156,MATCH($A13,'4D Schedule'!$A$6:$A$156,0))</f>
        <v>46081</v>
      </c>
      <c r="R13" s="61" t="n">
        <f aca="false">INDEX('4D Schedule'!$Z$6:$Z$156,MATCH($A13,'4D Schedule'!$A$6:$A$156,0))</f>
        <v>46154</v>
      </c>
      <c r="S13" s="61" t="n">
        <f aca="false">INDEX('4D Schedule'!$AE$6:$AE$156,MATCH($A13,'4D Schedule'!$A$6:$A$156,0))</f>
        <v>46056</v>
      </c>
      <c r="T13" s="61" t="n">
        <f aca="false">INDEX('4D Schedule'!$AF$6:$AF$156,MATCH($A13,'4D Schedule'!$A$6:$A$156,0))</f>
        <v>46139</v>
      </c>
      <c r="U13" s="61" t="n">
        <f aca="false">INDEX('4D Schedule'!$AA$6:$AA$156,MATCH($A13,'4D Schedule'!$A$6:$A$156,0))</f>
        <v>46056</v>
      </c>
      <c r="V13" s="61" t="n">
        <f aca="false">INDEX('4D Schedule'!$AB$6:$AB$156,MATCH($A13,'4D Schedule'!$A$6:$A$156,0))</f>
        <v>46139</v>
      </c>
      <c r="W13" s="76" t="n">
        <f aca="false">INDEX('4D Schedule'!$AC$6:$AC$156,MATCH($A13,'4D Schedule'!$A$6:$A$156,0))</f>
        <v>1</v>
      </c>
      <c r="X13" s="56" t="n">
        <f aca="false">MATCH($Q13,WorkDays,1)-MATCH($H13,WorkDays,1)</f>
        <v>0</v>
      </c>
      <c r="Y13" s="56" t="n">
        <f aca="false">MATCH($R13,WorkDays,1)-MATCH($I13,WorkDays,1)</f>
        <v>0</v>
      </c>
      <c r="Z13" s="56" t="n">
        <f aca="false">MATCH($S13,WorkDays,1)-MATCH($J13,WorkDays,1)</f>
        <v>0</v>
      </c>
      <c r="AA13" s="56" t="n">
        <f aca="false">MATCH($T13,WorkDays,1)-MATCH($K13,WorkDays,1)</f>
        <v>0</v>
      </c>
      <c r="AB13" s="56" t="str">
        <f aca="false">IF(AND(AND(OR($E13=0,$X13=0),$Y13=0),AND($Z13=0,$AA13=0),AND(IF($L13="",$U13="",$U13=$L13),IF($M13="",$V13="",$V13=$M13))),"✔ Same as P6","Δ "&amp;IF(AND(OR($E13=0,$X13=0),$Y13=0),"","BL ")&amp;IF(AND($Z13=0,$AA13=0),"","Current ")&amp;IF(AND(IF($L13="",$U13="",$U13=$L13),IF($M13="",$V13="",$V13=$M13)),"","Actual"))</f>
        <v>✔ Same as P6</v>
      </c>
    </row>
    <row r="14" customFormat="false" ht="15" hidden="false" customHeight="false" outlineLevel="0" collapsed="false">
      <c r="A14" s="56" t="s">
        <v>246</v>
      </c>
      <c r="B14" s="55" t="s">
        <v>247</v>
      </c>
      <c r="C14" s="56" t="s">
        <v>222</v>
      </c>
      <c r="D14" s="56" t="s">
        <v>1708</v>
      </c>
      <c r="E14" s="56" t="n">
        <v>120</v>
      </c>
      <c r="F14" s="56" t="n">
        <v>75</v>
      </c>
      <c r="G14" s="76" t="n">
        <v>0.38</v>
      </c>
      <c r="H14" s="61" t="n">
        <v>46142</v>
      </c>
      <c r="I14" s="61" t="n">
        <v>46283</v>
      </c>
      <c r="J14" s="61" t="n">
        <v>46141</v>
      </c>
      <c r="K14" s="61" t="n">
        <v>46387</v>
      </c>
      <c r="L14" s="61" t="n">
        <v>46141</v>
      </c>
      <c r="M14" s="61"/>
      <c r="N14" s="56" t="n">
        <v>188</v>
      </c>
      <c r="O14" s="56" t="n">
        <f aca="false">COUNTIF('4D Schedule'!$N$6:$N$156,$A14)</f>
        <v>4</v>
      </c>
      <c r="P14" s="56" t="n">
        <f aca="false">COUNTIFS('4D Schedule'!$N$6:$N$156,$A14,'4D Schedule'!$AG$6:$AG$156,"Completed")</f>
        <v>0</v>
      </c>
      <c r="Q14" s="61" t="n">
        <f aca="false">INDEX('4D Schedule'!$Y$6:$Y$156,MATCH($A14,'4D Schedule'!$A$6:$A$156,0))</f>
        <v>46142</v>
      </c>
      <c r="R14" s="61" t="n">
        <f aca="false">INDEX('4D Schedule'!$Z$6:$Z$156,MATCH($A14,'4D Schedule'!$A$6:$A$156,0))</f>
        <v>46283</v>
      </c>
      <c r="S14" s="61" t="n">
        <f aca="false">INDEX('4D Schedule'!$AE$6:$AE$156,MATCH($A14,'4D Schedule'!$A$6:$A$156,0))</f>
        <v>46141</v>
      </c>
      <c r="T14" s="61" t="n">
        <f aca="false">INDEX('4D Schedule'!$AF$6:$AF$156,MATCH($A14,'4D Schedule'!$A$6:$A$156,0))</f>
        <v>46387</v>
      </c>
      <c r="U14" s="61" t="n">
        <f aca="false">INDEX('4D Schedule'!$AA$6:$AA$156,MATCH($A14,'4D Schedule'!$A$6:$A$156,0))</f>
        <v>46141</v>
      </c>
      <c r="V14" s="61" t="str">
        <f aca="false">INDEX('4D Schedule'!$AB$6:$AB$156,MATCH($A14,'4D Schedule'!$A$6:$A$156,0))</f>
        <v/>
      </c>
      <c r="W14" s="76" t="n">
        <f aca="false">INDEX('4D Schedule'!$AC$6:$AC$156,MATCH($A14,'4D Schedule'!$A$6:$A$156,0))</f>
        <v>0.637697101449275</v>
      </c>
      <c r="X14" s="56" t="n">
        <f aca="false">MATCH($Q14,WorkDays,1)-MATCH($H14,WorkDays,1)</f>
        <v>0</v>
      </c>
      <c r="Y14" s="56" t="n">
        <f aca="false">MATCH($R14,WorkDays,1)-MATCH($I14,WorkDays,1)</f>
        <v>0</v>
      </c>
      <c r="Z14" s="56" t="n">
        <f aca="false">MATCH($S14,WorkDays,1)-MATCH($J14,WorkDays,1)</f>
        <v>0</v>
      </c>
      <c r="AA14" s="56" t="n">
        <f aca="false">MATCH($T14,WorkDays,1)-MATCH($K14,WorkDays,1)</f>
        <v>0</v>
      </c>
      <c r="AB14" s="56" t="str">
        <f aca="false">IF(AND(AND(OR($E14=0,$X14=0),$Y14=0),AND($Z14=0,$AA14=0),AND(IF($L14="",$U14="",$U14=$L14),IF($M14="",$V14="",$V14=$M14))),"✔ Same as P6","Δ "&amp;IF(AND(OR($E14=0,$X14=0),$Y14=0),"","BL ")&amp;IF(AND($Z14=0,$AA14=0),"","Current ")&amp;IF(AND(IF($L14="",$U14="",$U14=$L14),IF($M14="",$V14="",$V14=$M14)),"","Actual"))</f>
        <v>✔ Same as P6</v>
      </c>
    </row>
    <row r="15" customFormat="false" ht="15" hidden="false" customHeight="false" outlineLevel="0" collapsed="false">
      <c r="A15" s="56" t="s">
        <v>258</v>
      </c>
      <c r="B15" s="55" t="s">
        <v>259</v>
      </c>
      <c r="C15" s="56" t="s">
        <v>1709</v>
      </c>
      <c r="D15" s="56" t="s">
        <v>1706</v>
      </c>
      <c r="E15" s="56" t="n">
        <v>30</v>
      </c>
      <c r="F15" s="56" t="n">
        <v>0</v>
      </c>
      <c r="G15" s="76" t="n">
        <v>1</v>
      </c>
      <c r="H15" s="61" t="n">
        <v>46042</v>
      </c>
      <c r="I15" s="61" t="n">
        <v>46077</v>
      </c>
      <c r="J15" s="61" t="n">
        <v>46008</v>
      </c>
      <c r="K15" s="61" t="n">
        <v>46041</v>
      </c>
      <c r="L15" s="61" t="n">
        <v>46008</v>
      </c>
      <c r="M15" s="61" t="n">
        <v>46041</v>
      </c>
      <c r="N15" s="56"/>
      <c r="O15" s="56" t="n">
        <f aca="false">COUNTIF('4D Schedule'!$N$6:$N$156,$A15)</f>
        <v>6</v>
      </c>
      <c r="P15" s="56" t="n">
        <f aca="false">COUNTIFS('4D Schedule'!$N$6:$N$156,$A15,'4D Schedule'!$AG$6:$AG$156,"Completed")</f>
        <v>6</v>
      </c>
      <c r="Q15" s="61" t="n">
        <f aca="false">INDEX('4D Schedule'!$Y$6:$Y$156,MATCH($A15,'4D Schedule'!$A$6:$A$156,0))</f>
        <v>46042</v>
      </c>
      <c r="R15" s="61" t="n">
        <f aca="false">INDEX('4D Schedule'!$Z$6:$Z$156,MATCH($A15,'4D Schedule'!$A$6:$A$156,0))</f>
        <v>46077</v>
      </c>
      <c r="S15" s="61" t="n">
        <f aca="false">INDEX('4D Schedule'!$AE$6:$AE$156,MATCH($A15,'4D Schedule'!$A$6:$A$156,0))</f>
        <v>46008</v>
      </c>
      <c r="T15" s="61" t="n">
        <f aca="false">INDEX('4D Schedule'!$AF$6:$AF$156,MATCH($A15,'4D Schedule'!$A$6:$A$156,0))</f>
        <v>46041</v>
      </c>
      <c r="U15" s="61" t="n">
        <f aca="false">INDEX('4D Schedule'!$AA$6:$AA$156,MATCH($A15,'4D Schedule'!$A$6:$A$156,0))</f>
        <v>46008</v>
      </c>
      <c r="V15" s="61" t="n">
        <f aca="false">INDEX('4D Schedule'!$AB$6:$AB$156,MATCH($A15,'4D Schedule'!$A$6:$A$156,0))</f>
        <v>46041</v>
      </c>
      <c r="W15" s="76" t="n">
        <f aca="false">INDEX('4D Schedule'!$AC$6:$AC$156,MATCH($A15,'4D Schedule'!$A$6:$A$156,0))</f>
        <v>1</v>
      </c>
      <c r="X15" s="56" t="n">
        <f aca="false">MATCH($Q15,WorkDays,1)-MATCH($H15,WorkDays,1)</f>
        <v>0</v>
      </c>
      <c r="Y15" s="56" t="n">
        <f aca="false">MATCH($R15,WorkDays,1)-MATCH($I15,WorkDays,1)</f>
        <v>0</v>
      </c>
      <c r="Z15" s="56" t="n">
        <f aca="false">MATCH($S15,WorkDays,1)-MATCH($J15,WorkDays,1)</f>
        <v>0</v>
      </c>
      <c r="AA15" s="56" t="n">
        <f aca="false">MATCH($T15,WorkDays,1)-MATCH($K15,WorkDays,1)</f>
        <v>0</v>
      </c>
      <c r="AB15" s="56" t="str">
        <f aca="false">IF(AND(AND(OR($E15=0,$X15=0),$Y15=0),AND($Z15=0,$AA15=0),AND(IF($L15="",$U15="",$U15=$L15),IF($M15="",$V15="",$V15=$M15))),"✔ Same as P6","Δ "&amp;IF(AND(OR($E15=0,$X15=0),$Y15=0),"","BL ")&amp;IF(AND($Z15=0,$AA15=0),"","Current ")&amp;IF(AND(IF($L15="",$U15="",$U15=$L15),IF($M15="",$V15="",$V15=$M15)),"","Actual"))</f>
        <v>✔ Same as P6</v>
      </c>
    </row>
    <row r="16" customFormat="false" ht="15" hidden="false" customHeight="false" outlineLevel="0" collapsed="false">
      <c r="A16" s="56" t="s">
        <v>294</v>
      </c>
      <c r="B16" s="55" t="s">
        <v>295</v>
      </c>
      <c r="C16" s="56" t="s">
        <v>1709</v>
      </c>
      <c r="D16" s="56" t="s">
        <v>1706</v>
      </c>
      <c r="E16" s="56" t="n">
        <v>60</v>
      </c>
      <c r="F16" s="56" t="n">
        <v>0</v>
      </c>
      <c r="G16" s="76" t="n">
        <v>1</v>
      </c>
      <c r="H16" s="61" t="n">
        <v>46112</v>
      </c>
      <c r="I16" s="61" t="n">
        <v>46182</v>
      </c>
      <c r="J16" s="61" t="n">
        <v>46071</v>
      </c>
      <c r="K16" s="61" t="n">
        <v>46111</v>
      </c>
      <c r="L16" s="61" t="n">
        <v>46071</v>
      </c>
      <c r="M16" s="61" t="n">
        <v>46111</v>
      </c>
      <c r="N16" s="56"/>
      <c r="O16" s="56" t="n">
        <f aca="false">COUNTIF('4D Schedule'!$N$6:$N$156,$A16)</f>
        <v>3</v>
      </c>
      <c r="P16" s="56" t="n">
        <f aca="false">COUNTIFS('4D Schedule'!$N$6:$N$156,$A16,'4D Schedule'!$AG$6:$AG$156,"Completed")</f>
        <v>3</v>
      </c>
      <c r="Q16" s="61" t="n">
        <f aca="false">INDEX('4D Schedule'!$Y$6:$Y$156,MATCH($A16,'4D Schedule'!$A$6:$A$156,0))</f>
        <v>46112</v>
      </c>
      <c r="R16" s="61" t="n">
        <f aca="false">INDEX('4D Schedule'!$Z$6:$Z$156,MATCH($A16,'4D Schedule'!$A$6:$A$156,0))</f>
        <v>46182</v>
      </c>
      <c r="S16" s="61" t="n">
        <f aca="false">INDEX('4D Schedule'!$AE$6:$AE$156,MATCH($A16,'4D Schedule'!$A$6:$A$156,0))</f>
        <v>46071</v>
      </c>
      <c r="T16" s="61" t="n">
        <f aca="false">INDEX('4D Schedule'!$AF$6:$AF$156,MATCH($A16,'4D Schedule'!$A$6:$A$156,0))</f>
        <v>46111</v>
      </c>
      <c r="U16" s="61" t="n">
        <f aca="false">INDEX('4D Schedule'!$AA$6:$AA$156,MATCH($A16,'4D Schedule'!$A$6:$A$156,0))</f>
        <v>46071</v>
      </c>
      <c r="V16" s="61" t="n">
        <f aca="false">INDEX('4D Schedule'!$AB$6:$AB$156,MATCH($A16,'4D Schedule'!$A$6:$A$156,0))</f>
        <v>46111</v>
      </c>
      <c r="W16" s="76" t="n">
        <f aca="false">INDEX('4D Schedule'!$AC$6:$AC$156,MATCH($A16,'4D Schedule'!$A$6:$A$156,0))</f>
        <v>1</v>
      </c>
      <c r="X16" s="56" t="n">
        <f aca="false">MATCH($Q16,WorkDays,1)-MATCH($H16,WorkDays,1)</f>
        <v>0</v>
      </c>
      <c r="Y16" s="56" t="n">
        <f aca="false">MATCH($R16,WorkDays,1)-MATCH($I16,WorkDays,1)</f>
        <v>0</v>
      </c>
      <c r="Z16" s="56" t="n">
        <f aca="false">MATCH($S16,WorkDays,1)-MATCH($J16,WorkDays,1)</f>
        <v>0</v>
      </c>
      <c r="AA16" s="56" t="n">
        <f aca="false">MATCH($T16,WorkDays,1)-MATCH($K16,WorkDays,1)</f>
        <v>0</v>
      </c>
      <c r="AB16" s="56" t="str">
        <f aca="false">IF(AND(AND(OR($E16=0,$X16=0),$Y16=0),AND($Z16=0,$AA16=0),AND(IF($L16="",$U16="",$U16=$L16),IF($M16="",$V16="",$V16=$M16))),"✔ Same as P6","Δ "&amp;IF(AND(OR($E16=0,$X16=0),$Y16=0),"","BL ")&amp;IF(AND($Z16=0,$AA16=0),"","Current ")&amp;IF(AND(IF($L16="",$U16="",$U16=$L16),IF($M16="",$V16="",$V16=$M16)),"","Actual"))</f>
        <v>✔ Same as P6</v>
      </c>
    </row>
    <row r="17" customFormat="false" ht="22.35" hidden="false" customHeight="false" outlineLevel="0" collapsed="false">
      <c r="A17" s="56" t="s">
        <v>311</v>
      </c>
      <c r="B17" s="55" t="s">
        <v>312</v>
      </c>
      <c r="C17" s="56" t="s">
        <v>1709</v>
      </c>
      <c r="D17" s="56" t="s">
        <v>1708</v>
      </c>
      <c r="E17" s="56" t="n">
        <v>150</v>
      </c>
      <c r="F17" s="56" t="n">
        <v>45</v>
      </c>
      <c r="G17" s="76" t="n">
        <v>0.7</v>
      </c>
      <c r="H17" s="61" t="n">
        <v>46129</v>
      </c>
      <c r="I17" s="61" t="n">
        <v>46307</v>
      </c>
      <c r="J17" s="61" t="n">
        <v>46089</v>
      </c>
      <c r="K17" s="61" t="n">
        <v>46351</v>
      </c>
      <c r="L17" s="61" t="n">
        <v>46089</v>
      </c>
      <c r="M17" s="61"/>
      <c r="N17" s="56" t="n">
        <v>143</v>
      </c>
      <c r="O17" s="56" t="n">
        <f aca="false">COUNTIF('4D Schedule'!$N$6:$N$156,$A17)</f>
        <v>49</v>
      </c>
      <c r="P17" s="56" t="n">
        <f aca="false">COUNTIFS('4D Schedule'!$N$6:$N$156,$A17,'4D Schedule'!$AG$6:$AG$156,"Completed")</f>
        <v>36</v>
      </c>
      <c r="Q17" s="61" t="n">
        <f aca="false">INDEX('4D Schedule'!$Y$6:$Y$156,MATCH($A17,'4D Schedule'!$A$6:$A$156,0))</f>
        <v>46129</v>
      </c>
      <c r="R17" s="61" t="n">
        <f aca="false">INDEX('4D Schedule'!$Z$6:$Z$156,MATCH($A17,'4D Schedule'!$A$6:$A$156,0))</f>
        <v>46307</v>
      </c>
      <c r="S17" s="61" t="n">
        <f aca="false">INDEX('4D Schedule'!$AE$6:$AE$156,MATCH($A17,'4D Schedule'!$A$6:$A$156,0))</f>
        <v>46089</v>
      </c>
      <c r="T17" s="61" t="n">
        <f aca="false">INDEX('4D Schedule'!$AF$6:$AF$156,MATCH($A17,'4D Schedule'!$A$6:$A$156,0))</f>
        <v>46351</v>
      </c>
      <c r="U17" s="61" t="n">
        <f aca="false">INDEX('4D Schedule'!$AA$6:$AA$156,MATCH($A17,'4D Schedule'!$A$6:$A$156,0))</f>
        <v>46089</v>
      </c>
      <c r="V17" s="61" t="str">
        <f aca="false">INDEX('4D Schedule'!$AB$6:$AB$156,MATCH($A17,'4D Schedule'!$A$6:$A$156,0))</f>
        <v/>
      </c>
      <c r="W17" s="76" t="n">
        <f aca="false">INDEX('4D Schedule'!$AC$6:$AC$156,MATCH($A17,'4D Schedule'!$A$6:$A$156,0))</f>
        <v>0.737362355953905</v>
      </c>
      <c r="X17" s="56" t="n">
        <f aca="false">MATCH($Q17,WorkDays,1)-MATCH($H17,WorkDays,1)</f>
        <v>0</v>
      </c>
      <c r="Y17" s="56" t="n">
        <f aca="false">MATCH($R17,WorkDays,1)-MATCH($I17,WorkDays,1)</f>
        <v>0</v>
      </c>
      <c r="Z17" s="56" t="n">
        <f aca="false">MATCH($S17,WorkDays,1)-MATCH($J17,WorkDays,1)</f>
        <v>0</v>
      </c>
      <c r="AA17" s="56" t="n">
        <f aca="false">MATCH($T17,WorkDays,1)-MATCH($K17,WorkDays,1)</f>
        <v>0</v>
      </c>
      <c r="AB17" s="56" t="str">
        <f aca="false">IF(AND(AND(OR($E17=0,$X17=0),$Y17=0),AND($Z17=0,$AA17=0),AND(IF($L17="",$U17="",$U17=$L17),IF($M17="",$V17="",$V17=$M17))),"✔ Same as P6","Δ "&amp;IF(AND(OR($E17=0,$X17=0),$Y17=0),"","BL ")&amp;IF(AND($Z17=0,$AA17=0),"","Current ")&amp;IF(AND(IF($L17="",$U17="",$U17=$L17),IF($M17="",$V17="",$V17=$M17)),"","Actual"))</f>
        <v>✔ Same as P6</v>
      </c>
    </row>
    <row r="18" customFormat="false" ht="22.35" hidden="false" customHeight="false" outlineLevel="0" collapsed="false">
      <c r="A18" s="56" t="s">
        <v>521</v>
      </c>
      <c r="B18" s="55" t="s">
        <v>522</v>
      </c>
      <c r="C18" s="56" t="s">
        <v>1709</v>
      </c>
      <c r="D18" s="56" t="s">
        <v>1707</v>
      </c>
      <c r="E18" s="56" t="n">
        <v>65</v>
      </c>
      <c r="F18" s="56" t="n">
        <v>65</v>
      </c>
      <c r="G18" s="76" t="n">
        <v>0</v>
      </c>
      <c r="H18" s="61" t="n">
        <v>46402</v>
      </c>
      <c r="I18" s="61" t="n">
        <v>46480</v>
      </c>
      <c r="J18" s="61" t="n">
        <v>46389</v>
      </c>
      <c r="K18" s="61" t="n">
        <v>46466</v>
      </c>
      <c r="L18" s="61"/>
      <c r="M18" s="61"/>
      <c r="N18" s="56" t="n">
        <v>188</v>
      </c>
      <c r="O18" s="56" t="n">
        <f aca="false">COUNTIF('4D Schedule'!$N$6:$N$156,$A18)</f>
        <v>10</v>
      </c>
      <c r="P18" s="56" t="n">
        <f aca="false">COUNTIFS('4D Schedule'!$N$6:$N$156,$A18,'4D Schedule'!$AG$6:$AG$156,"Completed")</f>
        <v>0</v>
      </c>
      <c r="Q18" s="61" t="n">
        <f aca="false">INDEX('4D Schedule'!$Y$6:$Y$156,MATCH($A18,'4D Schedule'!$A$6:$A$156,0))</f>
        <v>46402</v>
      </c>
      <c r="R18" s="61" t="n">
        <f aca="false">INDEX('4D Schedule'!$Z$6:$Z$156,MATCH($A18,'4D Schedule'!$A$6:$A$156,0))</f>
        <v>46480</v>
      </c>
      <c r="S18" s="61" t="n">
        <f aca="false">INDEX('4D Schedule'!$AE$6:$AE$156,MATCH($A18,'4D Schedule'!$A$6:$A$156,0))</f>
        <v>46389</v>
      </c>
      <c r="T18" s="61" t="n">
        <f aca="false">INDEX('4D Schedule'!$AF$6:$AF$156,MATCH($A18,'4D Schedule'!$A$6:$A$156,0))</f>
        <v>46466</v>
      </c>
      <c r="U18" s="61" t="str">
        <f aca="false">INDEX('4D Schedule'!$AA$6:$AA$156,MATCH($A18,'4D Schedule'!$A$6:$A$156,0))</f>
        <v/>
      </c>
      <c r="V18" s="61" t="str">
        <f aca="false">INDEX('4D Schedule'!$AB$6:$AB$156,MATCH($A18,'4D Schedule'!$A$6:$A$156,0))</f>
        <v/>
      </c>
      <c r="W18" s="76" t="n">
        <f aca="false">INDEX('4D Schedule'!$AC$6:$AC$156,MATCH($A18,'4D Schedule'!$A$6:$A$156,0))</f>
        <v>0</v>
      </c>
      <c r="X18" s="56" t="n">
        <f aca="false">MATCH($Q18,WorkDays,1)-MATCH($H18,WorkDays,1)</f>
        <v>0</v>
      </c>
      <c r="Y18" s="56" t="n">
        <f aca="false">MATCH($R18,WorkDays,1)-MATCH($I18,WorkDays,1)</f>
        <v>0</v>
      </c>
      <c r="Z18" s="56" t="n">
        <f aca="false">MATCH($S18,WorkDays,1)-MATCH($J18,WorkDays,1)</f>
        <v>0</v>
      </c>
      <c r="AA18" s="56" t="n">
        <f aca="false">MATCH($T18,WorkDays,1)-MATCH($K18,WorkDays,1)</f>
        <v>0</v>
      </c>
      <c r="AB18" s="56" t="str">
        <f aca="false">IF(AND(AND(OR($E18=0,$X18=0),$Y18=0),AND($Z18=0,$AA18=0),AND(IF($L18="",$U18="",$U18=$L18),IF($M18="",$V18="",$V18=$M18))),"✔ Same as P6","Δ "&amp;IF(AND(OR($E18=0,$X18=0),$Y18=0),"","BL ")&amp;IF(AND($Z18=0,$AA18=0),"","Current ")&amp;IF(AND(IF($L18="",$U18="",$U18=$L18),IF($M18="",$V18="",$V18=$M18)),"","Actual"))</f>
        <v>✔ Same as P6</v>
      </c>
    </row>
    <row r="19" customFormat="false" ht="15" hidden="false" customHeight="false" outlineLevel="0" collapsed="false">
      <c r="A19" s="56" t="s">
        <v>571</v>
      </c>
      <c r="B19" s="55" t="s">
        <v>572</v>
      </c>
      <c r="C19" s="56" t="s">
        <v>1709</v>
      </c>
      <c r="D19" s="56" t="s">
        <v>1707</v>
      </c>
      <c r="E19" s="56" t="n">
        <v>60</v>
      </c>
      <c r="F19" s="56" t="n">
        <v>60</v>
      </c>
      <c r="G19" s="76" t="n">
        <v>0</v>
      </c>
      <c r="H19" s="61" t="n">
        <v>46427</v>
      </c>
      <c r="I19" s="61" t="n">
        <v>46498</v>
      </c>
      <c r="J19" s="61" t="n">
        <v>46414</v>
      </c>
      <c r="K19" s="61" t="n">
        <v>46485</v>
      </c>
      <c r="L19" s="61"/>
      <c r="M19" s="61"/>
      <c r="N19" s="56" t="n">
        <v>193</v>
      </c>
      <c r="O19" s="56" t="n">
        <f aca="false">COUNTIF('4D Schedule'!$N$6:$N$156,$A19)</f>
        <v>5</v>
      </c>
      <c r="P19" s="56" t="n">
        <f aca="false">COUNTIFS('4D Schedule'!$N$6:$N$156,$A19,'4D Schedule'!$AG$6:$AG$156,"Completed")</f>
        <v>0</v>
      </c>
      <c r="Q19" s="61" t="n">
        <f aca="false">INDEX('4D Schedule'!$Y$6:$Y$156,MATCH($A19,'4D Schedule'!$A$6:$A$156,0))</f>
        <v>46427</v>
      </c>
      <c r="R19" s="61" t="n">
        <f aca="false">INDEX('4D Schedule'!$Z$6:$Z$156,MATCH($A19,'4D Schedule'!$A$6:$A$156,0))</f>
        <v>46498</v>
      </c>
      <c r="S19" s="61" t="n">
        <f aca="false">INDEX('4D Schedule'!$AE$6:$AE$156,MATCH($A19,'4D Schedule'!$A$6:$A$156,0))</f>
        <v>46414</v>
      </c>
      <c r="T19" s="61" t="n">
        <f aca="false">INDEX('4D Schedule'!$AF$6:$AF$156,MATCH($A19,'4D Schedule'!$A$6:$A$156,0))</f>
        <v>46485</v>
      </c>
      <c r="U19" s="61" t="str">
        <f aca="false">INDEX('4D Schedule'!$AA$6:$AA$156,MATCH($A19,'4D Schedule'!$A$6:$A$156,0))</f>
        <v/>
      </c>
      <c r="V19" s="61" t="str">
        <f aca="false">INDEX('4D Schedule'!$AB$6:$AB$156,MATCH($A19,'4D Schedule'!$A$6:$A$156,0))</f>
        <v/>
      </c>
      <c r="W19" s="76" t="n">
        <f aca="false">INDEX('4D Schedule'!$AC$6:$AC$156,MATCH($A19,'4D Schedule'!$A$6:$A$156,0))</f>
        <v>0</v>
      </c>
      <c r="X19" s="56" t="n">
        <f aca="false">MATCH($Q19,WorkDays,1)-MATCH($H19,WorkDays,1)</f>
        <v>0</v>
      </c>
      <c r="Y19" s="56" t="n">
        <f aca="false">MATCH($R19,WorkDays,1)-MATCH($I19,WorkDays,1)</f>
        <v>0</v>
      </c>
      <c r="Z19" s="56" t="n">
        <f aca="false">MATCH($S19,WorkDays,1)-MATCH($J19,WorkDays,1)</f>
        <v>0</v>
      </c>
      <c r="AA19" s="56" t="n">
        <f aca="false">MATCH($T19,WorkDays,1)-MATCH($K19,WorkDays,1)</f>
        <v>0</v>
      </c>
      <c r="AB19" s="56" t="str">
        <f aca="false">IF(AND(AND(OR($E19=0,$X19=0),$Y19=0),AND($Z19=0,$AA19=0),AND(IF($L19="",$U19="",$U19=$L19),IF($M19="",$V19="",$V19=$M19))),"✔ Same as P6","Δ "&amp;IF(AND(OR($E19=0,$X19=0),$Y19=0),"","BL ")&amp;IF(AND($Z19=0,$AA19=0),"","Current ")&amp;IF(AND(IF($L19="",$U19="",$U19=$L19),IF($M19="",$V19="",$V19=$M19)),"","Actual"))</f>
        <v>✔ Same as P6</v>
      </c>
    </row>
    <row r="20" customFormat="false" ht="15" hidden="false" customHeight="false" outlineLevel="0" collapsed="false">
      <c r="A20" s="56" t="s">
        <v>599</v>
      </c>
      <c r="B20" s="55" t="s">
        <v>600</v>
      </c>
      <c r="C20" s="56" t="s">
        <v>1709</v>
      </c>
      <c r="D20" s="56" t="s">
        <v>1707</v>
      </c>
      <c r="E20" s="56" t="n">
        <v>45</v>
      </c>
      <c r="F20" s="56" t="n">
        <v>45</v>
      </c>
      <c r="G20" s="76" t="n">
        <v>0</v>
      </c>
      <c r="H20" s="61" t="n">
        <v>46433</v>
      </c>
      <c r="I20" s="61" t="n">
        <v>46486</v>
      </c>
      <c r="J20" s="61" t="n">
        <v>46420</v>
      </c>
      <c r="K20" s="61" t="n">
        <v>46473</v>
      </c>
      <c r="L20" s="61"/>
      <c r="M20" s="61"/>
      <c r="N20" s="56" t="n">
        <v>188</v>
      </c>
      <c r="O20" s="56" t="n">
        <f aca="false">COUNTIF('4D Schedule'!$N$6:$N$156,$A20)</f>
        <v>3</v>
      </c>
      <c r="P20" s="56" t="n">
        <f aca="false">COUNTIFS('4D Schedule'!$N$6:$N$156,$A20,'4D Schedule'!$AG$6:$AG$156,"Completed")</f>
        <v>0</v>
      </c>
      <c r="Q20" s="61" t="n">
        <f aca="false">INDEX('4D Schedule'!$Y$6:$Y$156,MATCH($A20,'4D Schedule'!$A$6:$A$156,0))</f>
        <v>46433</v>
      </c>
      <c r="R20" s="61" t="n">
        <f aca="false">INDEX('4D Schedule'!$Z$6:$Z$156,MATCH($A20,'4D Schedule'!$A$6:$A$156,0))</f>
        <v>46486</v>
      </c>
      <c r="S20" s="61" t="n">
        <f aca="false">INDEX('4D Schedule'!$AE$6:$AE$156,MATCH($A20,'4D Schedule'!$A$6:$A$156,0))</f>
        <v>46420</v>
      </c>
      <c r="T20" s="61" t="n">
        <f aca="false">INDEX('4D Schedule'!$AF$6:$AF$156,MATCH($A20,'4D Schedule'!$A$6:$A$156,0))</f>
        <v>46473</v>
      </c>
      <c r="U20" s="61" t="str">
        <f aca="false">INDEX('4D Schedule'!$AA$6:$AA$156,MATCH($A20,'4D Schedule'!$A$6:$A$156,0))</f>
        <v/>
      </c>
      <c r="V20" s="61" t="str">
        <f aca="false">INDEX('4D Schedule'!$AB$6:$AB$156,MATCH($A20,'4D Schedule'!$A$6:$A$156,0))</f>
        <v/>
      </c>
      <c r="W20" s="76" t="n">
        <f aca="false">INDEX('4D Schedule'!$AC$6:$AC$156,MATCH($A20,'4D Schedule'!$A$6:$A$156,0))</f>
        <v>0</v>
      </c>
      <c r="X20" s="56" t="n">
        <f aca="false">MATCH($Q20,WorkDays,1)-MATCH($H20,WorkDays,1)</f>
        <v>0</v>
      </c>
      <c r="Y20" s="56" t="n">
        <f aca="false">MATCH($R20,WorkDays,1)-MATCH($I20,WorkDays,1)</f>
        <v>0</v>
      </c>
      <c r="Z20" s="56" t="n">
        <f aca="false">MATCH($S20,WorkDays,1)-MATCH($J20,WorkDays,1)</f>
        <v>0</v>
      </c>
      <c r="AA20" s="56" t="n">
        <f aca="false">MATCH($T20,WorkDays,1)-MATCH($K20,WorkDays,1)</f>
        <v>0</v>
      </c>
      <c r="AB20" s="56" t="str">
        <f aca="false">IF(AND(AND(OR($E20=0,$X20=0),$Y20=0),AND($Z20=0,$AA20=0),AND(IF($L20="",$U20="",$U20=$L20),IF($M20="",$V20="",$V20=$M20))),"✔ Same as P6","Δ "&amp;IF(AND(OR($E20=0,$X20=0),$Y20=0),"","BL ")&amp;IF(AND($Z20=0,$AA20=0),"","Current ")&amp;IF(AND(IF($L20="",$U20="",$U20=$L20),IF($M20="",$V20="",$V20=$M20)),"","Actual"))</f>
        <v>✔ Same as P6</v>
      </c>
    </row>
    <row r="21" customFormat="false" ht="15" hidden="false" customHeight="false" outlineLevel="0" collapsed="false">
      <c r="A21" s="56" t="s">
        <v>617</v>
      </c>
      <c r="B21" s="55" t="s">
        <v>618</v>
      </c>
      <c r="C21" s="56" t="s">
        <v>1709</v>
      </c>
      <c r="D21" s="56" t="s">
        <v>1707</v>
      </c>
      <c r="E21" s="56" t="n">
        <v>45</v>
      </c>
      <c r="F21" s="56" t="n">
        <v>45</v>
      </c>
      <c r="G21" s="76" t="n">
        <v>0</v>
      </c>
      <c r="H21" s="61" t="n">
        <v>46450</v>
      </c>
      <c r="I21" s="61" t="n">
        <v>46504</v>
      </c>
      <c r="J21" s="61" t="n">
        <v>46437</v>
      </c>
      <c r="K21" s="61" t="n">
        <v>46491</v>
      </c>
      <c r="L21" s="61"/>
      <c r="M21" s="61"/>
      <c r="N21" s="56" t="n">
        <v>188</v>
      </c>
      <c r="O21" s="56" t="n">
        <f aca="false">COUNTIF('4D Schedule'!$N$6:$N$156,$A21)</f>
        <v>3</v>
      </c>
      <c r="P21" s="56" t="n">
        <f aca="false">COUNTIFS('4D Schedule'!$N$6:$N$156,$A21,'4D Schedule'!$AG$6:$AG$156,"Completed")</f>
        <v>0</v>
      </c>
      <c r="Q21" s="61" t="n">
        <f aca="false">INDEX('4D Schedule'!$Y$6:$Y$156,MATCH($A21,'4D Schedule'!$A$6:$A$156,0))</f>
        <v>46450</v>
      </c>
      <c r="R21" s="61" t="n">
        <f aca="false">INDEX('4D Schedule'!$Z$6:$Z$156,MATCH($A21,'4D Schedule'!$A$6:$A$156,0))</f>
        <v>46504</v>
      </c>
      <c r="S21" s="61" t="n">
        <f aca="false">INDEX('4D Schedule'!$AE$6:$AE$156,MATCH($A21,'4D Schedule'!$A$6:$A$156,0))</f>
        <v>46437</v>
      </c>
      <c r="T21" s="61" t="n">
        <f aca="false">INDEX('4D Schedule'!$AF$6:$AF$156,MATCH($A21,'4D Schedule'!$A$6:$A$156,0))</f>
        <v>46491</v>
      </c>
      <c r="U21" s="61" t="str">
        <f aca="false">INDEX('4D Schedule'!$AA$6:$AA$156,MATCH($A21,'4D Schedule'!$A$6:$A$156,0))</f>
        <v/>
      </c>
      <c r="V21" s="61" t="str">
        <f aca="false">INDEX('4D Schedule'!$AB$6:$AB$156,MATCH($A21,'4D Schedule'!$A$6:$A$156,0))</f>
        <v/>
      </c>
      <c r="W21" s="76" t="n">
        <f aca="false">INDEX('4D Schedule'!$AC$6:$AC$156,MATCH($A21,'4D Schedule'!$A$6:$A$156,0))</f>
        <v>0</v>
      </c>
      <c r="X21" s="56" t="n">
        <f aca="false">MATCH($Q21,WorkDays,1)-MATCH($H21,WorkDays,1)</f>
        <v>0</v>
      </c>
      <c r="Y21" s="56" t="n">
        <f aca="false">MATCH($R21,WorkDays,1)-MATCH($I21,WorkDays,1)</f>
        <v>0</v>
      </c>
      <c r="Z21" s="56" t="n">
        <f aca="false">MATCH($S21,WorkDays,1)-MATCH($J21,WorkDays,1)</f>
        <v>0</v>
      </c>
      <c r="AA21" s="56" t="n">
        <f aca="false">MATCH($T21,WorkDays,1)-MATCH($K21,WorkDays,1)</f>
        <v>0</v>
      </c>
      <c r="AB21" s="56" t="str">
        <f aca="false">IF(AND(AND(OR($E21=0,$X21=0),$Y21=0),AND($Z21=0,$AA21=0),AND(IF($L21="",$U21="",$U21=$L21),IF($M21="",$V21="",$V21=$M21))),"✔ Same as P6","Δ "&amp;IF(AND(OR($E21=0,$X21=0),$Y21=0),"","BL ")&amp;IF(AND($Z21=0,$AA21=0),"","Current ")&amp;IF(AND(IF($L21="",$U21="",$U21=$L21),IF($M21="",$V21="",$V21=$M21)),"","Actual"))</f>
        <v>✔ Same as P6</v>
      </c>
    </row>
    <row r="22" customFormat="false" ht="15" hidden="false" customHeight="false" outlineLevel="0" collapsed="false">
      <c r="A22" s="56" t="s">
        <v>634</v>
      </c>
      <c r="B22" s="55" t="s">
        <v>635</v>
      </c>
      <c r="C22" s="56" t="s">
        <v>1709</v>
      </c>
      <c r="D22" s="56" t="s">
        <v>1707</v>
      </c>
      <c r="E22" s="56" t="n">
        <v>45</v>
      </c>
      <c r="F22" s="56" t="n">
        <v>45</v>
      </c>
      <c r="G22" s="76" t="n">
        <v>0</v>
      </c>
      <c r="H22" s="61" t="n">
        <v>46470</v>
      </c>
      <c r="I22" s="61" t="n">
        <v>46522</v>
      </c>
      <c r="J22" s="61" t="n">
        <v>46456</v>
      </c>
      <c r="K22" s="61" t="n">
        <v>46510</v>
      </c>
      <c r="L22" s="61"/>
      <c r="M22" s="61"/>
      <c r="N22" s="56" t="n">
        <v>188</v>
      </c>
      <c r="O22" s="56" t="n">
        <f aca="false">COUNTIF('4D Schedule'!$N$6:$N$156,$A22)</f>
        <v>3</v>
      </c>
      <c r="P22" s="56" t="n">
        <f aca="false">COUNTIFS('4D Schedule'!$N$6:$N$156,$A22,'4D Schedule'!$AG$6:$AG$156,"Completed")</f>
        <v>0</v>
      </c>
      <c r="Q22" s="61" t="n">
        <f aca="false">INDEX('4D Schedule'!$Y$6:$Y$156,MATCH($A22,'4D Schedule'!$A$6:$A$156,0))</f>
        <v>46470</v>
      </c>
      <c r="R22" s="61" t="n">
        <f aca="false">INDEX('4D Schedule'!$Z$6:$Z$156,MATCH($A22,'4D Schedule'!$A$6:$A$156,0))</f>
        <v>46522</v>
      </c>
      <c r="S22" s="61" t="n">
        <f aca="false">INDEX('4D Schedule'!$AE$6:$AE$156,MATCH($A22,'4D Schedule'!$A$6:$A$156,0))</f>
        <v>46456</v>
      </c>
      <c r="T22" s="61" t="n">
        <f aca="false">INDEX('4D Schedule'!$AF$6:$AF$156,MATCH($A22,'4D Schedule'!$A$6:$A$156,0))</f>
        <v>46510</v>
      </c>
      <c r="U22" s="61" t="str">
        <f aca="false">INDEX('4D Schedule'!$AA$6:$AA$156,MATCH($A22,'4D Schedule'!$A$6:$A$156,0))</f>
        <v/>
      </c>
      <c r="V22" s="61" t="str">
        <f aca="false">INDEX('4D Schedule'!$AB$6:$AB$156,MATCH($A22,'4D Schedule'!$A$6:$A$156,0))</f>
        <v/>
      </c>
      <c r="W22" s="76" t="n">
        <f aca="false">INDEX('4D Schedule'!$AC$6:$AC$156,MATCH($A22,'4D Schedule'!$A$6:$A$156,0))</f>
        <v>0</v>
      </c>
      <c r="X22" s="56" t="n">
        <f aca="false">MATCH($Q22,WorkDays,1)-MATCH($H22,WorkDays,1)</f>
        <v>0</v>
      </c>
      <c r="Y22" s="56" t="n">
        <f aca="false">MATCH($R22,WorkDays,1)-MATCH($I22,WorkDays,1)</f>
        <v>0</v>
      </c>
      <c r="Z22" s="56" t="n">
        <f aca="false">MATCH($S22,WorkDays,1)-MATCH($J22,WorkDays,1)</f>
        <v>0</v>
      </c>
      <c r="AA22" s="56" t="n">
        <f aca="false">MATCH($T22,WorkDays,1)-MATCH($K22,WorkDays,1)</f>
        <v>0</v>
      </c>
      <c r="AB22" s="56" t="str">
        <f aca="false">IF(AND(AND(OR($E22=0,$X22=0),$Y22=0),AND($Z22=0,$AA22=0),AND(IF($L22="",$U22="",$U22=$L22),IF($M22="",$V22="",$V22=$M22))),"✔ Same as P6","Δ "&amp;IF(AND(OR($E22=0,$X22=0),$Y22=0),"","BL ")&amp;IF(AND($Z22=0,$AA22=0),"","Current ")&amp;IF(AND(IF($L22="",$U22="",$U22=$L22),IF($M22="",$V22="",$V22=$M22)),"","Actual"))</f>
        <v>✔ Same as P6</v>
      </c>
    </row>
    <row r="23" customFormat="false" ht="15" hidden="false" customHeight="false" outlineLevel="0" collapsed="false">
      <c r="A23" s="26" t="s">
        <v>1710</v>
      </c>
    </row>
    <row r="26" customFormat="false" ht="15" hidden="false" customHeight="false" outlineLevel="0" collapsed="false">
      <c r="A26" s="2" t="s">
        <v>1711</v>
      </c>
    </row>
    <row r="27" customFormat="false" ht="15" hidden="false" customHeight="false" outlineLevel="0" collapsed="false">
      <c r="A27" s="77" t="s">
        <v>1712</v>
      </c>
      <c r="B27" s="77"/>
      <c r="C27" s="78" t="n">
        <f aca="false">DataDate</f>
        <v>46297</v>
      </c>
    </row>
    <row r="28" customFormat="false" ht="15" hidden="false" customHeight="false" outlineLevel="0" collapsed="false">
      <c r="A28" s="77" t="s">
        <v>1713</v>
      </c>
      <c r="B28" s="77"/>
      <c r="C28" s="79" t="str">
        <f aca="false">COUNTIF('4D Schedule'!$B$6:$B$156,3)&amp;" / "&amp;COUNTIF('4D Schedule'!$B$6:$B$156,4)</f>
        <v>20 / 126</v>
      </c>
    </row>
    <row r="29" customFormat="false" ht="15" hidden="false" customHeight="false" outlineLevel="0" collapsed="false">
      <c r="A29" s="77" t="s">
        <v>1714</v>
      </c>
      <c r="B29" s="77"/>
      <c r="C29" s="80" t="n">
        <f aca="false">COUNTIFS('4D Schedule'!$AG$6:$AG$156,"Completed",'4D Schedule'!$B$6:$B$156,4)</f>
        <v>61</v>
      </c>
    </row>
    <row r="30" customFormat="false" ht="15" hidden="false" customHeight="false" outlineLevel="0" collapsed="false">
      <c r="A30" s="77" t="s">
        <v>1715</v>
      </c>
      <c r="B30" s="77"/>
      <c r="C30" s="80" t="n">
        <f aca="false">COUNTIFS('4D Schedule'!$AG$6:$AG$156,"In Progress",'4D Schedule'!$B$6:$B$156,4)</f>
        <v>4</v>
      </c>
    </row>
    <row r="31" customFormat="false" ht="15" hidden="false" customHeight="false" outlineLevel="0" collapsed="false">
      <c r="A31" s="77" t="s">
        <v>1716</v>
      </c>
      <c r="B31" s="77"/>
      <c r="C31" s="80" t="n">
        <f aca="false">COUNTIFS('4D Schedule'!$AG$6:$AG$156,"Not Started*",'4D Schedule'!$B$6:$B$156,4)</f>
        <v>61</v>
      </c>
    </row>
    <row r="32" customFormat="false" ht="15" hidden="false" customHeight="false" outlineLevel="0" collapsed="false">
      <c r="A32" s="77" t="s">
        <v>1717</v>
      </c>
      <c r="B32" s="77"/>
      <c r="C32" s="80" t="n">
        <f aca="false">COUNTA('BIM Element Map'!$A$6:$A$416)</f>
        <v>411</v>
      </c>
    </row>
    <row r="33" customFormat="false" ht="15" hidden="false" customHeight="false" outlineLevel="0" collapsed="false">
      <c r="A33" s="77" t="s">
        <v>1718</v>
      </c>
      <c r="B33" s="77"/>
      <c r="C33" s="80" t="n">
        <f aca="false">COUNTIF('BIM Element Map'!$N$6:$N$416,"Completed")</f>
        <v>337</v>
      </c>
    </row>
    <row r="34" customFormat="false" ht="15" hidden="false" customHeight="false" outlineLevel="0" collapsed="false">
      <c r="A34" s="77" t="s">
        <v>1719</v>
      </c>
      <c r="B34" s="77"/>
      <c r="C34" s="80" t="n">
        <f aca="false">COUNTIF('BIM Element Map'!$N$6:$N$416,"In Progress")</f>
        <v>2</v>
      </c>
    </row>
    <row r="35" customFormat="false" ht="15" hidden="false" customHeight="false" outlineLevel="0" collapsed="false">
      <c r="A35" s="77" t="s">
        <v>1720</v>
      </c>
      <c r="B35" s="77"/>
      <c r="C35" s="80" t="n">
        <f aca="false">COUNTIF('BIM Element Map'!$N$6:$N$416,"Not Started*")</f>
        <v>72</v>
      </c>
    </row>
    <row r="36" customFormat="false" ht="15" hidden="false" customHeight="false" outlineLevel="0" collapsed="false">
      <c r="A36" s="77" t="s">
        <v>1721</v>
      </c>
      <c r="B36" s="77"/>
      <c r="C36" s="81" t="n">
        <f aca="false">SUMIF('4D Schedule'!$N$6:$N$156,"JSW USL-CON-CHI-1020",'4D Schedule'!$O$6:$O$156)</f>
        <v>1171.5</v>
      </c>
    </row>
    <row r="37" customFormat="false" ht="15" hidden="false" customHeight="false" outlineLevel="0" collapsed="false">
      <c r="A37" s="77" t="s">
        <v>1722</v>
      </c>
      <c r="B37" s="77"/>
      <c r="C37" s="81" t="n">
        <f aca="false">SUMIF('4D Schedule'!$N$6:$N$156,"JSW USL-CON-CHI-1020",'4D Schedule'!$AI$6:$AI$156)</f>
        <v>863.82</v>
      </c>
    </row>
    <row r="38" customFormat="false" ht="15" hidden="false" customHeight="false" outlineLevel="0" collapsed="false">
      <c r="A38" s="77" t="s">
        <v>1723</v>
      </c>
      <c r="B38" s="77"/>
      <c r="C38" s="82" t="n">
        <f aca="false">C37/C36</f>
        <v>0.737362355953905</v>
      </c>
    </row>
    <row r="39" customFormat="false" ht="15" hidden="false" customHeight="false" outlineLevel="0" collapsed="false">
      <c r="A39" s="77" t="s">
        <v>1724</v>
      </c>
      <c r="B39" s="77"/>
      <c r="C39" s="82" t="n">
        <f aca="false">INDEX($G$5:$G$22,MATCH("JSW USL-CON-CHI-1020",$A$5:$A$22,0))</f>
        <v>0.7</v>
      </c>
    </row>
    <row r="40" customFormat="false" ht="15" hidden="false" customHeight="false" outlineLevel="0" collapsed="false">
      <c r="A40" s="77" t="s">
        <v>1725</v>
      </c>
      <c r="B40" s="77"/>
      <c r="C40" s="78" t="n">
        <f aca="false">INDEX($T$5:$T$22,MATCH("JSW USL-CON-CHI-1020",$A$5:$A$22,0))</f>
        <v>46351</v>
      </c>
    </row>
    <row r="42" customFormat="false" ht="15" hidden="false" customHeight="false" outlineLevel="0" collapsed="false">
      <c r="A42" s="26" t="s">
        <v>1726</v>
      </c>
    </row>
    <row r="44" customFormat="false" ht="15" hidden="false" customHeight="false" outlineLevel="0" collapsed="false">
      <c r="A44" s="2" t="s">
        <v>1727</v>
      </c>
    </row>
    <row r="45" customFormat="false" ht="32.8" hidden="false" customHeight="true" outlineLevel="0" collapsed="false">
      <c r="A45" s="31" t="s">
        <v>1728</v>
      </c>
      <c r="B45" s="31"/>
      <c r="C45" s="31" t="s">
        <v>1729</v>
      </c>
      <c r="D45" s="31" t="s">
        <v>1706</v>
      </c>
      <c r="E45" s="31" t="s">
        <v>1708</v>
      </c>
      <c r="F45" s="31" t="s">
        <v>1707</v>
      </c>
      <c r="G45" s="31" t="s">
        <v>1730</v>
      </c>
    </row>
    <row r="46" customFormat="false" ht="15" hidden="false" customHeight="false" outlineLevel="0" collapsed="false">
      <c r="A46" s="77" t="s">
        <v>1731</v>
      </c>
      <c r="B46" s="77"/>
      <c r="C46" s="83" t="n">
        <f aca="false">COUNTIF('BIM Element Map'!$B$6:$B$416,"Structural Foundations (Pile)")</f>
        <v>53</v>
      </c>
      <c r="D46" s="83" t="n">
        <f aca="false">COUNTIFS('BIM Element Map'!$B$6:$B$416,"Structural Foundations (Pile)",'BIM Element Map'!$N$6:$N$416,"Completed")</f>
        <v>53</v>
      </c>
      <c r="E46" s="83" t="n">
        <f aca="false">COUNTIFS('BIM Element Map'!$B$6:$B$416,"Structural Foundations (Pile)",'BIM Element Map'!$N$6:$N$416,"In Progress")</f>
        <v>0</v>
      </c>
      <c r="F46" s="83" t="n">
        <f aca="false">COUNTIFS('BIM Element Map'!$B$6:$B$416,"Structural Foundations (Pile)",'BIM Element Map'!$N$6:$N$416,"Not Started*")</f>
        <v>0</v>
      </c>
      <c r="G46" s="84" t="n">
        <f aca="false">IF($C46=0,"",$D46/$C46)</f>
        <v>1</v>
      </c>
    </row>
    <row r="47" customFormat="false" ht="15" hidden="false" customHeight="false" outlineLevel="0" collapsed="false">
      <c r="A47" s="77" t="s">
        <v>1732</v>
      </c>
      <c r="B47" s="77"/>
      <c r="C47" s="83" t="n">
        <f aca="false">COUNTIF('BIM Element Map'!$B$6:$B$416,"Structural Foundations (Pile Cap)")</f>
        <v>35</v>
      </c>
      <c r="D47" s="83" t="n">
        <f aca="false">COUNTIFS('BIM Element Map'!$B$6:$B$416,"Structural Foundations (Pile Cap)",'BIM Element Map'!$N$6:$N$416,"Completed")</f>
        <v>35</v>
      </c>
      <c r="E47" s="83" t="n">
        <f aca="false">COUNTIFS('BIM Element Map'!$B$6:$B$416,"Structural Foundations (Pile Cap)",'BIM Element Map'!$N$6:$N$416,"In Progress")</f>
        <v>0</v>
      </c>
      <c r="F47" s="83" t="n">
        <f aca="false">COUNTIFS('BIM Element Map'!$B$6:$B$416,"Structural Foundations (Pile Cap)",'BIM Element Map'!$N$6:$N$416,"Not Started*")</f>
        <v>0</v>
      </c>
      <c r="G47" s="84" t="n">
        <f aca="false">IF($C47=0,"",$D47/$C47)</f>
        <v>1</v>
      </c>
    </row>
    <row r="48" customFormat="false" ht="15" hidden="false" customHeight="false" outlineLevel="0" collapsed="false">
      <c r="A48" s="77" t="s">
        <v>1733</v>
      </c>
      <c r="B48" s="77"/>
      <c r="C48" s="83" t="n">
        <f aca="false">COUNTIF('BIM Element Map'!$B$6:$B$416,"Structural Columns")</f>
        <v>116</v>
      </c>
      <c r="D48" s="83" t="n">
        <f aca="false">COUNTIFS('BIM Element Map'!$B$6:$B$416,"Structural Columns",'BIM Element Map'!$N$6:$N$416,"Completed")</f>
        <v>116</v>
      </c>
      <c r="E48" s="83" t="n">
        <f aca="false">COUNTIFS('BIM Element Map'!$B$6:$B$416,"Structural Columns",'BIM Element Map'!$N$6:$N$416,"In Progress")</f>
        <v>0</v>
      </c>
      <c r="F48" s="83" t="n">
        <f aca="false">COUNTIFS('BIM Element Map'!$B$6:$B$416,"Structural Columns",'BIM Element Map'!$N$6:$N$416,"Not Started*")</f>
        <v>0</v>
      </c>
      <c r="G48" s="84" t="n">
        <f aca="false">IF($C48=0,"",$D48/$C48)</f>
        <v>1</v>
      </c>
    </row>
    <row r="49" customFormat="false" ht="15" hidden="false" customHeight="false" outlineLevel="0" collapsed="false">
      <c r="A49" s="77" t="s">
        <v>1734</v>
      </c>
      <c r="B49" s="77"/>
      <c r="C49" s="83" t="n">
        <f aca="false">COUNTIF('BIM Element Map'!$B$6:$B$416,"Structural Framing (*Beam)")</f>
        <v>108</v>
      </c>
      <c r="D49" s="83" t="n">
        <f aca="false">COUNTIFS('BIM Element Map'!$B$6:$B$416,"Structural Framing (*Beam)",'BIM Element Map'!$N$6:$N$416,"Completed")</f>
        <v>107</v>
      </c>
      <c r="E49" s="83" t="n">
        <f aca="false">COUNTIFS('BIM Element Map'!$B$6:$B$416,"Structural Framing (*Beam)",'BIM Element Map'!$N$6:$N$416,"In Progress")</f>
        <v>1</v>
      </c>
      <c r="F49" s="83" t="n">
        <f aca="false">COUNTIFS('BIM Element Map'!$B$6:$B$416,"Structural Framing (*Beam)",'BIM Element Map'!$N$6:$N$416,"Not Started*")</f>
        <v>0</v>
      </c>
      <c r="G49" s="84" t="n">
        <f aca="false">IF($C49=0,"",$D49/$C49)</f>
        <v>0.990740740740741</v>
      </c>
    </row>
    <row r="50" customFormat="false" ht="15" hidden="false" customHeight="false" outlineLevel="0" collapsed="false">
      <c r="A50" s="77" t="s">
        <v>1735</v>
      </c>
      <c r="B50" s="77"/>
      <c r="C50" s="83" t="n">
        <f aca="false">COUNTIF('BIM Element Map'!$B$6:$B$416,"Floors*")</f>
        <v>17</v>
      </c>
      <c r="D50" s="83" t="n">
        <f aca="false">COUNTIFS('BIM Element Map'!$B$6:$B$416,"Floors*",'BIM Element Map'!$N$6:$N$416,"Completed")</f>
        <v>13</v>
      </c>
      <c r="E50" s="83" t="n">
        <f aca="false">COUNTIFS('BIM Element Map'!$B$6:$B$416,"Floors*",'BIM Element Map'!$N$6:$N$416,"In Progress")</f>
        <v>1</v>
      </c>
      <c r="F50" s="83" t="n">
        <f aca="false">COUNTIFS('BIM Element Map'!$B$6:$B$416,"Floors*",'BIM Element Map'!$N$6:$N$416,"Not Started*")</f>
        <v>3</v>
      </c>
      <c r="G50" s="84" t="n">
        <f aca="false">IF($C50=0,"",$D50/$C50)</f>
        <v>0.764705882352941</v>
      </c>
    </row>
    <row r="51" customFormat="false" ht="15" hidden="false" customHeight="false" outlineLevel="0" collapsed="false">
      <c r="A51" s="77" t="s">
        <v>1736</v>
      </c>
      <c r="B51" s="77"/>
      <c r="C51" s="83" t="n">
        <f aca="false">COUNTIF('BIM Element Map'!$B$6:$B$416,"Stairs")</f>
        <v>4</v>
      </c>
      <c r="D51" s="83" t="n">
        <f aca="false">COUNTIFS('BIM Element Map'!$B$6:$B$416,"Stairs",'BIM Element Map'!$N$6:$N$416,"Completed")</f>
        <v>4</v>
      </c>
      <c r="E51" s="83" t="n">
        <f aca="false">COUNTIFS('BIM Element Map'!$B$6:$B$416,"Stairs",'BIM Element Map'!$N$6:$N$416,"In Progress")</f>
        <v>0</v>
      </c>
      <c r="F51" s="83" t="n">
        <f aca="false">COUNTIFS('BIM Element Map'!$B$6:$B$416,"Stairs",'BIM Element Map'!$N$6:$N$416,"Not Started*")</f>
        <v>0</v>
      </c>
      <c r="G51" s="84" t="n">
        <f aca="false">IF($C51=0,"",$D51/$C51)</f>
        <v>1</v>
      </c>
    </row>
    <row r="52" customFormat="false" ht="15" hidden="false" customHeight="false" outlineLevel="0" collapsed="false">
      <c r="A52" s="77" t="s">
        <v>1737</v>
      </c>
      <c r="B52" s="77"/>
      <c r="C52" s="83" t="n">
        <f aca="false">COUNTIF('BIM Element Map'!$B$6:$B$416,"Structural Foundations (Equipment)")</f>
        <v>15</v>
      </c>
      <c r="D52" s="83" t="n">
        <f aca="false">COUNTIFS('BIM Element Map'!$B$6:$B$416,"Structural Foundations (Equipment)",'BIM Element Map'!$N$6:$N$416,"Completed")</f>
        <v>0</v>
      </c>
      <c r="E52" s="83" t="n">
        <f aca="false">COUNTIFS('BIM Element Map'!$B$6:$B$416,"Structural Foundations (Equipment)",'BIM Element Map'!$N$6:$N$416,"In Progress")</f>
        <v>0</v>
      </c>
      <c r="F52" s="83" t="n">
        <f aca="false">COUNTIFS('BIM Element Map'!$B$6:$B$416,"Structural Foundations (Equipment)",'BIM Element Map'!$N$6:$N$416,"Not Started*")</f>
        <v>15</v>
      </c>
      <c r="G52" s="84" t="n">
        <f aca="false">IF($C52=0,"",$D52/$C52)</f>
        <v>0</v>
      </c>
    </row>
    <row r="53" customFormat="false" ht="15" hidden="false" customHeight="false" outlineLevel="0" collapsed="false">
      <c r="A53" s="77" t="s">
        <v>1738</v>
      </c>
      <c r="B53" s="77"/>
      <c r="C53" s="83" t="n">
        <f aca="false">COUNTIF('BIM Element Map'!$B$6:$B$416,"Generic Models*")</f>
        <v>11</v>
      </c>
      <c r="D53" s="83" t="n">
        <f aca="false">COUNTIFS('BIM Element Map'!$B$6:$B$416,"Generic Models*",'BIM Element Map'!$N$6:$N$416,"Completed")</f>
        <v>3</v>
      </c>
      <c r="E53" s="83" t="n">
        <f aca="false">COUNTIFS('BIM Element Map'!$B$6:$B$416,"Generic Models*",'BIM Element Map'!$N$6:$N$416,"In Progress")</f>
        <v>0</v>
      </c>
      <c r="F53" s="83" t="n">
        <f aca="false">COUNTIFS('BIM Element Map'!$B$6:$B$416,"Generic Models*",'BIM Element Map'!$N$6:$N$416,"Not Started*")</f>
        <v>8</v>
      </c>
      <c r="G53" s="84" t="n">
        <f aca="false">IF($C53=0,"",$D53/$C53)</f>
        <v>0.272727272727273</v>
      </c>
    </row>
    <row r="54" customFormat="false" ht="15" hidden="false" customHeight="false" outlineLevel="0" collapsed="false">
      <c r="A54" s="77" t="s">
        <v>1739</v>
      </c>
      <c r="B54" s="77"/>
      <c r="C54" s="83" t="n">
        <f aca="false">COUNTIF('BIM Element Map'!$B$6:$B$416,"Mechanical Equipment*")</f>
        <v>19</v>
      </c>
      <c r="D54" s="83" t="n">
        <f aca="false">COUNTIFS('BIM Element Map'!$B$6:$B$416,"Mechanical Equipment*",'BIM Element Map'!$N$6:$N$416,"Completed")</f>
        <v>0</v>
      </c>
      <c r="E54" s="83" t="n">
        <f aca="false">COUNTIFS('BIM Element Map'!$B$6:$B$416,"Mechanical Equipment*",'BIM Element Map'!$N$6:$N$416,"In Progress")</f>
        <v>0</v>
      </c>
      <c r="F54" s="83" t="n">
        <f aca="false">COUNTIFS('BIM Element Map'!$B$6:$B$416,"Mechanical Equipment*",'BIM Element Map'!$N$6:$N$416,"Not Started*")</f>
        <v>19</v>
      </c>
      <c r="G54" s="84" t="n">
        <f aca="false">IF($C54=0,"",$D54/$C54)</f>
        <v>0</v>
      </c>
    </row>
    <row r="55" customFormat="false" ht="15" hidden="false" customHeight="false" outlineLevel="0" collapsed="false">
      <c r="A55" s="77" t="s">
        <v>1740</v>
      </c>
      <c r="B55" s="77"/>
      <c r="C55" s="83" t="n">
        <f aca="false">COUNTIF('BIM Element Map'!$B$6:$B$416,"Structural Framing (Steel)")</f>
        <v>2</v>
      </c>
      <c r="D55" s="83" t="n">
        <f aca="false">COUNTIFS('BIM Element Map'!$B$6:$B$416,"Structural Framing (Steel)",'BIM Element Map'!$N$6:$N$416,"Completed")</f>
        <v>0</v>
      </c>
      <c r="E55" s="83" t="n">
        <f aca="false">COUNTIFS('BIM Element Map'!$B$6:$B$416,"Structural Framing (Steel)",'BIM Element Map'!$N$6:$N$416,"In Progress")</f>
        <v>0</v>
      </c>
      <c r="F55" s="83" t="n">
        <f aca="false">COUNTIFS('BIM Element Map'!$B$6:$B$416,"Structural Framing (Steel)",'BIM Element Map'!$N$6:$N$416,"Not Started*")</f>
        <v>2</v>
      </c>
      <c r="G55" s="84" t="n">
        <f aca="false">IF($C55=0,"",$D55/$C55)</f>
        <v>0</v>
      </c>
    </row>
  </sheetData>
  <mergeCells count="29">
    <mergeCell ref="A3:G3"/>
    <mergeCell ref="H3:N3"/>
    <mergeCell ref="O3:W3"/>
    <mergeCell ref="X3:AB3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</mergeCells>
  <conditionalFormatting sqref="AB5:AB22">
    <cfRule type="expression" priority="2" aboveAverage="0" equalAverage="0" bottom="0" percent="0" rank="0" text="" dxfId="16">
      <formula>LEFT(AB5,1)="✔"</formula>
    </cfRule>
    <cfRule type="expression" priority="3" aboveAverage="0" equalAverage="0" bottom="0" percent="0" rank="0" text="" dxfId="29">
      <formula>LEFT(AB5,1)="Δ"</formula>
    </cfRule>
  </conditionalFormatting>
  <printOptions headings="false" gridLines="false" gridLinesSet="true" horizontalCentered="false" verticalCentered="false"/>
  <pageMargins left="0.3" right="0.3" top="0.4" bottom="0.4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&amp;A –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3" style="0" width="14"/>
    <col collapsed="false" customWidth="true" hidden="false" outlineLevel="0" max="4" min="4" style="0" width="6"/>
  </cols>
  <sheetData>
    <row r="1" customFormat="false" ht="17.35" hidden="false" customHeight="false" outlineLevel="0" collapsed="false">
      <c r="A1" s="27" t="s">
        <v>1741</v>
      </c>
    </row>
    <row r="2" customFormat="false" ht="15" hidden="false" customHeight="false" outlineLevel="0" collapsed="false">
      <c r="A2" s="3" t="s">
        <v>1742</v>
      </c>
    </row>
    <row r="3" customFormat="false" ht="15" hidden="false" customHeight="false" outlineLevel="0" collapsed="false">
      <c r="A3" s="3" t="s">
        <v>1743</v>
      </c>
    </row>
    <row r="5" customFormat="false" ht="15" hidden="false" customHeight="false" outlineLevel="0" collapsed="false">
      <c r="A5" s="19" t="s">
        <v>1744</v>
      </c>
      <c r="C5" s="19" t="s">
        <v>1745</v>
      </c>
      <c r="D5" s="19" t="s">
        <v>1746</v>
      </c>
    </row>
    <row r="6" customFormat="false" ht="15" hidden="false" customHeight="false" outlineLevel="0" collapsed="false">
      <c r="A6" s="85" t="n">
        <v>45901</v>
      </c>
      <c r="C6" s="86" t="n">
        <v>45932</v>
      </c>
      <c r="D6" s="3" t="s">
        <v>1747</v>
      </c>
    </row>
    <row r="7" customFormat="false" ht="15" hidden="false" customHeight="false" outlineLevel="0" collapsed="false">
      <c r="A7" s="85" t="n">
        <v>45902</v>
      </c>
      <c r="C7" s="86" t="n">
        <v>45950</v>
      </c>
      <c r="D7" s="3" t="s">
        <v>1748</v>
      </c>
    </row>
    <row r="8" customFormat="false" ht="15" hidden="false" customHeight="false" outlineLevel="0" collapsed="false">
      <c r="A8" s="85" t="n">
        <v>45903</v>
      </c>
      <c r="C8" s="86" t="n">
        <v>46016</v>
      </c>
      <c r="D8" s="3" t="s">
        <v>1747</v>
      </c>
    </row>
    <row r="9" customFormat="false" ht="15" hidden="false" customHeight="false" outlineLevel="0" collapsed="false">
      <c r="A9" s="85" t="n">
        <v>45904</v>
      </c>
      <c r="C9" s="86" t="n">
        <v>46023</v>
      </c>
      <c r="D9" s="3" t="s">
        <v>1747</v>
      </c>
    </row>
    <row r="10" customFormat="false" ht="15" hidden="false" customHeight="false" outlineLevel="0" collapsed="false">
      <c r="A10" s="85" t="n">
        <v>45905</v>
      </c>
      <c r="C10" s="86" t="n">
        <v>46048</v>
      </c>
      <c r="D10" s="3" t="s">
        <v>1748</v>
      </c>
    </row>
    <row r="11" customFormat="false" ht="15" hidden="false" customHeight="false" outlineLevel="0" collapsed="false">
      <c r="A11" s="85" t="n">
        <v>45906</v>
      </c>
      <c r="C11" s="86" t="n">
        <v>46085</v>
      </c>
      <c r="D11" s="3" t="s">
        <v>1749</v>
      </c>
    </row>
    <row r="12" customFormat="false" ht="15" hidden="false" customHeight="false" outlineLevel="0" collapsed="false">
      <c r="A12" s="85" t="n">
        <v>45908</v>
      </c>
      <c r="C12" s="86" t="n">
        <v>46102</v>
      </c>
      <c r="D12" s="3" t="s">
        <v>1750</v>
      </c>
    </row>
    <row r="13" customFormat="false" ht="15" hidden="false" customHeight="false" outlineLevel="0" collapsed="false">
      <c r="A13" s="85" t="n">
        <v>45909</v>
      </c>
      <c r="C13" s="86" t="n">
        <v>46143</v>
      </c>
      <c r="D13" s="3" t="s">
        <v>1751</v>
      </c>
    </row>
    <row r="14" customFormat="false" ht="15" hidden="false" customHeight="false" outlineLevel="0" collapsed="false">
      <c r="A14" s="85" t="n">
        <v>45910</v>
      </c>
      <c r="C14" s="86" t="n">
        <v>46249</v>
      </c>
      <c r="D14" s="3" t="s">
        <v>1750</v>
      </c>
    </row>
    <row r="15" customFormat="false" ht="15" hidden="false" customHeight="false" outlineLevel="0" collapsed="false">
      <c r="A15" s="85" t="n">
        <v>45911</v>
      </c>
      <c r="C15" s="86" t="n">
        <v>46297</v>
      </c>
      <c r="D15" s="3" t="s">
        <v>1751</v>
      </c>
    </row>
    <row r="16" customFormat="false" ht="15" hidden="false" customHeight="false" outlineLevel="0" collapsed="false">
      <c r="A16" s="85" t="n">
        <v>45912</v>
      </c>
      <c r="C16" s="86" t="n">
        <v>46315</v>
      </c>
      <c r="D16" s="3" t="s">
        <v>1752</v>
      </c>
    </row>
    <row r="17" customFormat="false" ht="15" hidden="false" customHeight="false" outlineLevel="0" collapsed="false">
      <c r="A17" s="85" t="n">
        <v>45913</v>
      </c>
      <c r="C17" s="86" t="n">
        <v>46381</v>
      </c>
      <c r="D17" s="3" t="s">
        <v>1751</v>
      </c>
    </row>
    <row r="18" customFormat="false" ht="15" hidden="false" customHeight="false" outlineLevel="0" collapsed="false">
      <c r="A18" s="85" t="n">
        <v>45915</v>
      </c>
      <c r="C18" s="86" t="n">
        <v>46388</v>
      </c>
      <c r="D18" s="3" t="s">
        <v>1751</v>
      </c>
    </row>
    <row r="19" customFormat="false" ht="15" hidden="false" customHeight="false" outlineLevel="0" collapsed="false">
      <c r="A19" s="85" t="n">
        <v>45916</v>
      </c>
      <c r="C19" s="86" t="n">
        <v>46413</v>
      </c>
      <c r="D19" s="3" t="s">
        <v>1752</v>
      </c>
    </row>
    <row r="20" customFormat="false" ht="15" hidden="false" customHeight="false" outlineLevel="0" collapsed="false">
      <c r="A20" s="85" t="n">
        <v>45917</v>
      </c>
      <c r="C20" s="86" t="n">
        <v>46455</v>
      </c>
      <c r="D20" s="3" t="s">
        <v>1752</v>
      </c>
    </row>
    <row r="21" customFormat="false" ht="15" hidden="false" customHeight="false" outlineLevel="0" collapsed="false">
      <c r="A21" s="85" t="n">
        <v>45918</v>
      </c>
      <c r="C21" s="86" t="n">
        <v>46468</v>
      </c>
      <c r="D21" s="3" t="s">
        <v>1748</v>
      </c>
    </row>
    <row r="22" customFormat="false" ht="15" hidden="false" customHeight="false" outlineLevel="0" collapsed="false">
      <c r="A22" s="85" t="n">
        <v>45919</v>
      </c>
      <c r="C22" s="86" t="n">
        <v>46508</v>
      </c>
      <c r="D22" s="3" t="s">
        <v>1750</v>
      </c>
    </row>
    <row r="23" customFormat="false" ht="15" hidden="false" customHeight="false" outlineLevel="0" collapsed="false">
      <c r="A23" s="85" t="n">
        <v>45920</v>
      </c>
      <c r="C23" s="86" t="n">
        <v>46662</v>
      </c>
      <c r="D23" s="3" t="s">
        <v>1750</v>
      </c>
    </row>
    <row r="24" customFormat="false" ht="15" hidden="false" customHeight="false" outlineLevel="0" collapsed="false">
      <c r="A24" s="85" t="n">
        <v>45922</v>
      </c>
      <c r="C24" s="86" t="n">
        <v>46669</v>
      </c>
      <c r="D24" s="3" t="s">
        <v>1750</v>
      </c>
    </row>
    <row r="25" customFormat="false" ht="15" hidden="false" customHeight="false" outlineLevel="0" collapsed="false">
      <c r="A25" s="85" t="n">
        <v>45923</v>
      </c>
      <c r="C25" s="86" t="n">
        <v>46689</v>
      </c>
      <c r="D25" s="3" t="s">
        <v>1751</v>
      </c>
    </row>
    <row r="26" customFormat="false" ht="15" hidden="false" customHeight="false" outlineLevel="0" collapsed="false">
      <c r="A26" s="85" t="n">
        <v>45924</v>
      </c>
      <c r="C26" s="86" t="n">
        <v>46746</v>
      </c>
      <c r="D26" s="3" t="s">
        <v>1750</v>
      </c>
    </row>
    <row r="27" customFormat="false" ht="15" hidden="false" customHeight="false" outlineLevel="0" collapsed="false">
      <c r="A27" s="85" t="n">
        <v>45925</v>
      </c>
      <c r="C27" s="86" t="n">
        <v>46753</v>
      </c>
      <c r="D27" s="3" t="s">
        <v>1750</v>
      </c>
    </row>
    <row r="28" customFormat="false" ht="15" hidden="false" customHeight="false" outlineLevel="0" collapsed="false">
      <c r="A28" s="85" t="n">
        <v>45926</v>
      </c>
      <c r="C28" s="86" t="n">
        <v>46778</v>
      </c>
      <c r="D28" s="3" t="s">
        <v>1749</v>
      </c>
    </row>
    <row r="29" customFormat="false" ht="15" hidden="false" customHeight="false" outlineLevel="0" collapsed="false">
      <c r="A29" s="85" t="n">
        <v>45927</v>
      </c>
      <c r="C29" s="86" t="n">
        <v>46809</v>
      </c>
      <c r="D29" s="3" t="s">
        <v>1750</v>
      </c>
    </row>
    <row r="30" customFormat="false" ht="15" hidden="false" customHeight="false" outlineLevel="0" collapsed="false">
      <c r="A30" s="85" t="n">
        <v>45929</v>
      </c>
      <c r="C30" s="86" t="n">
        <v>46823</v>
      </c>
      <c r="D30" s="3" t="s">
        <v>1750</v>
      </c>
    </row>
    <row r="31" customFormat="false" ht="15" hidden="false" customHeight="false" outlineLevel="0" collapsed="false">
      <c r="A31" s="85" t="n">
        <v>45930</v>
      </c>
      <c r="C31" s="86" t="n">
        <v>46874</v>
      </c>
      <c r="D31" s="3" t="s">
        <v>1748</v>
      </c>
    </row>
    <row r="32" customFormat="false" ht="15" hidden="false" customHeight="false" outlineLevel="0" collapsed="false">
      <c r="A32" s="85" t="n">
        <v>45931</v>
      </c>
      <c r="C32" s="86" t="n">
        <v>46980</v>
      </c>
      <c r="D32" s="3" t="s">
        <v>1752</v>
      </c>
    </row>
    <row r="33" customFormat="false" ht="15" hidden="false" customHeight="false" outlineLevel="0" collapsed="false">
      <c r="A33" s="85" t="n">
        <v>45933</v>
      </c>
      <c r="C33" s="86" t="n">
        <v>47023</v>
      </c>
      <c r="D33" s="3" t="s">
        <v>1749</v>
      </c>
    </row>
    <row r="34" customFormat="false" ht="15" hidden="false" customHeight="false" outlineLevel="0" collapsed="false">
      <c r="A34" s="85" t="n">
        <v>45934</v>
      </c>
      <c r="C34" s="86" t="n">
        <v>47028</v>
      </c>
      <c r="D34" s="3" t="s">
        <v>1748</v>
      </c>
    </row>
    <row r="35" customFormat="false" ht="15" hidden="false" customHeight="false" outlineLevel="0" collapsed="false">
      <c r="A35" s="85" t="n">
        <v>45936</v>
      </c>
      <c r="C35" s="86" t="n">
        <v>47043</v>
      </c>
      <c r="D35" s="3" t="s">
        <v>1752</v>
      </c>
    </row>
    <row r="36" customFormat="false" ht="15" hidden="false" customHeight="false" outlineLevel="0" collapsed="false">
      <c r="A36" s="85" t="n">
        <v>45937</v>
      </c>
      <c r="C36" s="86" t="n">
        <v>47112</v>
      </c>
      <c r="D36" s="3" t="s">
        <v>1748</v>
      </c>
    </row>
    <row r="37" customFormat="false" ht="15" hidden="false" customHeight="false" outlineLevel="0" collapsed="false">
      <c r="A37" s="85" t="n">
        <v>45938</v>
      </c>
    </row>
    <row r="38" customFormat="false" ht="15" hidden="false" customHeight="false" outlineLevel="0" collapsed="false">
      <c r="A38" s="85" t="n">
        <v>45939</v>
      </c>
    </row>
    <row r="39" customFormat="false" ht="15" hidden="false" customHeight="false" outlineLevel="0" collapsed="false">
      <c r="A39" s="85" t="n">
        <v>45940</v>
      </c>
    </row>
    <row r="40" customFormat="false" ht="15" hidden="false" customHeight="false" outlineLevel="0" collapsed="false">
      <c r="A40" s="85" t="n">
        <v>45941</v>
      </c>
    </row>
    <row r="41" customFormat="false" ht="15" hidden="false" customHeight="false" outlineLevel="0" collapsed="false">
      <c r="A41" s="85" t="n">
        <v>45943</v>
      </c>
    </row>
    <row r="42" customFormat="false" ht="15" hidden="false" customHeight="false" outlineLevel="0" collapsed="false">
      <c r="A42" s="85" t="n">
        <v>45944</v>
      </c>
    </row>
    <row r="43" customFormat="false" ht="15" hidden="false" customHeight="false" outlineLevel="0" collapsed="false">
      <c r="A43" s="85" t="n">
        <v>45945</v>
      </c>
    </row>
    <row r="44" customFormat="false" ht="15" hidden="false" customHeight="false" outlineLevel="0" collapsed="false">
      <c r="A44" s="85" t="n">
        <v>45946</v>
      </c>
    </row>
    <row r="45" customFormat="false" ht="15" hidden="false" customHeight="false" outlineLevel="0" collapsed="false">
      <c r="A45" s="85" t="n">
        <v>45947</v>
      </c>
    </row>
    <row r="46" customFormat="false" ht="15" hidden="false" customHeight="false" outlineLevel="0" collapsed="false">
      <c r="A46" s="85" t="n">
        <v>45948</v>
      </c>
    </row>
    <row r="47" customFormat="false" ht="15" hidden="false" customHeight="false" outlineLevel="0" collapsed="false">
      <c r="A47" s="85" t="n">
        <v>45951</v>
      </c>
    </row>
    <row r="48" customFormat="false" ht="15" hidden="false" customHeight="false" outlineLevel="0" collapsed="false">
      <c r="A48" s="85" t="n">
        <v>45952</v>
      </c>
    </row>
    <row r="49" customFormat="false" ht="15" hidden="false" customHeight="false" outlineLevel="0" collapsed="false">
      <c r="A49" s="85" t="n">
        <v>45953</v>
      </c>
    </row>
    <row r="50" customFormat="false" ht="15" hidden="false" customHeight="false" outlineLevel="0" collapsed="false">
      <c r="A50" s="85" t="n">
        <v>45954</v>
      </c>
    </row>
    <row r="51" customFormat="false" ht="15" hidden="false" customHeight="false" outlineLevel="0" collapsed="false">
      <c r="A51" s="85" t="n">
        <v>45955</v>
      </c>
    </row>
    <row r="52" customFormat="false" ht="15" hidden="false" customHeight="false" outlineLevel="0" collapsed="false">
      <c r="A52" s="85" t="n">
        <v>45957</v>
      </c>
    </row>
    <row r="53" customFormat="false" ht="15" hidden="false" customHeight="false" outlineLevel="0" collapsed="false">
      <c r="A53" s="85" t="n">
        <v>45958</v>
      </c>
    </row>
    <row r="54" customFormat="false" ht="15" hidden="false" customHeight="false" outlineLevel="0" collapsed="false">
      <c r="A54" s="85" t="n">
        <v>45959</v>
      </c>
    </row>
    <row r="55" customFormat="false" ht="15" hidden="false" customHeight="false" outlineLevel="0" collapsed="false">
      <c r="A55" s="85" t="n">
        <v>45960</v>
      </c>
    </row>
    <row r="56" customFormat="false" ht="15" hidden="false" customHeight="false" outlineLevel="0" collapsed="false">
      <c r="A56" s="85" t="n">
        <v>45961</v>
      </c>
    </row>
    <row r="57" customFormat="false" ht="15" hidden="false" customHeight="false" outlineLevel="0" collapsed="false">
      <c r="A57" s="85" t="n">
        <v>45962</v>
      </c>
    </row>
    <row r="58" customFormat="false" ht="15" hidden="false" customHeight="false" outlineLevel="0" collapsed="false">
      <c r="A58" s="85" t="n">
        <v>45964</v>
      </c>
    </row>
    <row r="59" customFormat="false" ht="15" hidden="false" customHeight="false" outlineLevel="0" collapsed="false">
      <c r="A59" s="85" t="n">
        <v>45965</v>
      </c>
    </row>
    <row r="60" customFormat="false" ht="15" hidden="false" customHeight="false" outlineLevel="0" collapsed="false">
      <c r="A60" s="85" t="n">
        <v>45966</v>
      </c>
    </row>
    <row r="61" customFormat="false" ht="15" hidden="false" customHeight="false" outlineLevel="0" collapsed="false">
      <c r="A61" s="85" t="n">
        <v>45967</v>
      </c>
    </row>
    <row r="62" customFormat="false" ht="15" hidden="false" customHeight="false" outlineLevel="0" collapsed="false">
      <c r="A62" s="85" t="n">
        <v>45968</v>
      </c>
    </row>
    <row r="63" customFormat="false" ht="15" hidden="false" customHeight="false" outlineLevel="0" collapsed="false">
      <c r="A63" s="85" t="n">
        <v>45969</v>
      </c>
    </row>
    <row r="64" customFormat="false" ht="15" hidden="false" customHeight="false" outlineLevel="0" collapsed="false">
      <c r="A64" s="85" t="n">
        <v>45971</v>
      </c>
    </row>
    <row r="65" customFormat="false" ht="15" hidden="false" customHeight="false" outlineLevel="0" collapsed="false">
      <c r="A65" s="85" t="n">
        <v>45972</v>
      </c>
    </row>
    <row r="66" customFormat="false" ht="15" hidden="false" customHeight="false" outlineLevel="0" collapsed="false">
      <c r="A66" s="85" t="n">
        <v>45973</v>
      </c>
    </row>
    <row r="67" customFormat="false" ht="15" hidden="false" customHeight="false" outlineLevel="0" collapsed="false">
      <c r="A67" s="85" t="n">
        <v>45974</v>
      </c>
    </row>
    <row r="68" customFormat="false" ht="15" hidden="false" customHeight="false" outlineLevel="0" collapsed="false">
      <c r="A68" s="85" t="n">
        <v>45975</v>
      </c>
    </row>
    <row r="69" customFormat="false" ht="15" hidden="false" customHeight="false" outlineLevel="0" collapsed="false">
      <c r="A69" s="85" t="n">
        <v>45976</v>
      </c>
    </row>
    <row r="70" customFormat="false" ht="15" hidden="false" customHeight="false" outlineLevel="0" collapsed="false">
      <c r="A70" s="85" t="n">
        <v>45978</v>
      </c>
    </row>
    <row r="71" customFormat="false" ht="15" hidden="false" customHeight="false" outlineLevel="0" collapsed="false">
      <c r="A71" s="85" t="n">
        <v>45979</v>
      </c>
    </row>
    <row r="72" customFormat="false" ht="15" hidden="false" customHeight="false" outlineLevel="0" collapsed="false">
      <c r="A72" s="85" t="n">
        <v>45980</v>
      </c>
    </row>
    <row r="73" customFormat="false" ht="15" hidden="false" customHeight="false" outlineLevel="0" collapsed="false">
      <c r="A73" s="85" t="n">
        <v>45981</v>
      </c>
    </row>
    <row r="74" customFormat="false" ht="15" hidden="false" customHeight="false" outlineLevel="0" collapsed="false">
      <c r="A74" s="85" t="n">
        <v>45982</v>
      </c>
    </row>
    <row r="75" customFormat="false" ht="15" hidden="false" customHeight="false" outlineLevel="0" collapsed="false">
      <c r="A75" s="85" t="n">
        <v>45983</v>
      </c>
    </row>
    <row r="76" customFormat="false" ht="15" hidden="false" customHeight="false" outlineLevel="0" collapsed="false">
      <c r="A76" s="85" t="n">
        <v>45985</v>
      </c>
    </row>
    <row r="77" customFormat="false" ht="15" hidden="false" customHeight="false" outlineLevel="0" collapsed="false">
      <c r="A77" s="85" t="n">
        <v>45986</v>
      </c>
    </row>
    <row r="78" customFormat="false" ht="15" hidden="false" customHeight="false" outlineLevel="0" collapsed="false">
      <c r="A78" s="85" t="n">
        <v>45987</v>
      </c>
    </row>
    <row r="79" customFormat="false" ht="15" hidden="false" customHeight="false" outlineLevel="0" collapsed="false">
      <c r="A79" s="85" t="n">
        <v>45988</v>
      </c>
    </row>
    <row r="80" customFormat="false" ht="15" hidden="false" customHeight="false" outlineLevel="0" collapsed="false">
      <c r="A80" s="85" t="n">
        <v>45989</v>
      </c>
    </row>
    <row r="81" customFormat="false" ht="15" hidden="false" customHeight="false" outlineLevel="0" collapsed="false">
      <c r="A81" s="85" t="n">
        <v>45990</v>
      </c>
    </row>
    <row r="82" customFormat="false" ht="15" hidden="false" customHeight="false" outlineLevel="0" collapsed="false">
      <c r="A82" s="85" t="n">
        <v>45992</v>
      </c>
    </row>
    <row r="83" customFormat="false" ht="15" hidden="false" customHeight="false" outlineLevel="0" collapsed="false">
      <c r="A83" s="85" t="n">
        <v>45993</v>
      </c>
    </row>
    <row r="84" customFormat="false" ht="15" hidden="false" customHeight="false" outlineLevel="0" collapsed="false">
      <c r="A84" s="85" t="n">
        <v>45994</v>
      </c>
    </row>
    <row r="85" customFormat="false" ht="15" hidden="false" customHeight="false" outlineLevel="0" collapsed="false">
      <c r="A85" s="85" t="n">
        <v>45995</v>
      </c>
    </row>
    <row r="86" customFormat="false" ht="15" hidden="false" customHeight="false" outlineLevel="0" collapsed="false">
      <c r="A86" s="85" t="n">
        <v>45996</v>
      </c>
    </row>
    <row r="87" customFormat="false" ht="15" hidden="false" customHeight="false" outlineLevel="0" collapsed="false">
      <c r="A87" s="85" t="n">
        <v>45997</v>
      </c>
    </row>
    <row r="88" customFormat="false" ht="15" hidden="false" customHeight="false" outlineLevel="0" collapsed="false">
      <c r="A88" s="85" t="n">
        <v>45999</v>
      </c>
    </row>
    <row r="89" customFormat="false" ht="15" hidden="false" customHeight="false" outlineLevel="0" collapsed="false">
      <c r="A89" s="85" t="n">
        <v>46000</v>
      </c>
    </row>
    <row r="90" customFormat="false" ht="15" hidden="false" customHeight="false" outlineLevel="0" collapsed="false">
      <c r="A90" s="85" t="n">
        <v>46001</v>
      </c>
    </row>
    <row r="91" customFormat="false" ht="15" hidden="false" customHeight="false" outlineLevel="0" collapsed="false">
      <c r="A91" s="85" t="n">
        <v>46002</v>
      </c>
    </row>
    <row r="92" customFormat="false" ht="15" hidden="false" customHeight="false" outlineLevel="0" collapsed="false">
      <c r="A92" s="85" t="n">
        <v>46003</v>
      </c>
    </row>
    <row r="93" customFormat="false" ht="15" hidden="false" customHeight="false" outlineLevel="0" collapsed="false">
      <c r="A93" s="85" t="n">
        <v>46004</v>
      </c>
    </row>
    <row r="94" customFormat="false" ht="15" hidden="false" customHeight="false" outlineLevel="0" collapsed="false">
      <c r="A94" s="85" t="n">
        <v>46006</v>
      </c>
    </row>
    <row r="95" customFormat="false" ht="15" hidden="false" customHeight="false" outlineLevel="0" collapsed="false">
      <c r="A95" s="85" t="n">
        <v>46007</v>
      </c>
    </row>
    <row r="96" customFormat="false" ht="15" hidden="false" customHeight="false" outlineLevel="0" collapsed="false">
      <c r="A96" s="85" t="n">
        <v>46008</v>
      </c>
    </row>
    <row r="97" customFormat="false" ht="15" hidden="false" customHeight="false" outlineLevel="0" collapsed="false">
      <c r="A97" s="85" t="n">
        <v>46009</v>
      </c>
    </row>
    <row r="98" customFormat="false" ht="15" hidden="false" customHeight="false" outlineLevel="0" collapsed="false">
      <c r="A98" s="85" t="n">
        <v>46010</v>
      </c>
    </row>
    <row r="99" customFormat="false" ht="15" hidden="false" customHeight="false" outlineLevel="0" collapsed="false">
      <c r="A99" s="85" t="n">
        <v>46011</v>
      </c>
    </row>
    <row r="100" customFormat="false" ht="15" hidden="false" customHeight="false" outlineLevel="0" collapsed="false">
      <c r="A100" s="85" t="n">
        <v>46013</v>
      </c>
    </row>
    <row r="101" customFormat="false" ht="15" hidden="false" customHeight="false" outlineLevel="0" collapsed="false">
      <c r="A101" s="85" t="n">
        <v>46014</v>
      </c>
    </row>
    <row r="102" customFormat="false" ht="15" hidden="false" customHeight="false" outlineLevel="0" collapsed="false">
      <c r="A102" s="85" t="n">
        <v>46015</v>
      </c>
    </row>
    <row r="103" customFormat="false" ht="15" hidden="false" customHeight="false" outlineLevel="0" collapsed="false">
      <c r="A103" s="85" t="n">
        <v>46017</v>
      </c>
    </row>
    <row r="104" customFormat="false" ht="15" hidden="false" customHeight="false" outlineLevel="0" collapsed="false">
      <c r="A104" s="85" t="n">
        <v>46018</v>
      </c>
    </row>
    <row r="105" customFormat="false" ht="15" hidden="false" customHeight="false" outlineLevel="0" collapsed="false">
      <c r="A105" s="85" t="n">
        <v>46020</v>
      </c>
    </row>
    <row r="106" customFormat="false" ht="15" hidden="false" customHeight="false" outlineLevel="0" collapsed="false">
      <c r="A106" s="85" t="n">
        <v>46021</v>
      </c>
    </row>
    <row r="107" customFormat="false" ht="15" hidden="false" customHeight="false" outlineLevel="0" collapsed="false">
      <c r="A107" s="85" t="n">
        <v>46022</v>
      </c>
    </row>
    <row r="108" customFormat="false" ht="15" hidden="false" customHeight="false" outlineLevel="0" collapsed="false">
      <c r="A108" s="85" t="n">
        <v>46024</v>
      </c>
    </row>
    <row r="109" customFormat="false" ht="15" hidden="false" customHeight="false" outlineLevel="0" collapsed="false">
      <c r="A109" s="85" t="n">
        <v>46025</v>
      </c>
    </row>
    <row r="110" customFormat="false" ht="15" hidden="false" customHeight="false" outlineLevel="0" collapsed="false">
      <c r="A110" s="85" t="n">
        <v>46027</v>
      </c>
    </row>
    <row r="111" customFormat="false" ht="15" hidden="false" customHeight="false" outlineLevel="0" collapsed="false">
      <c r="A111" s="85" t="n">
        <v>46028</v>
      </c>
    </row>
    <row r="112" customFormat="false" ht="15" hidden="false" customHeight="false" outlineLevel="0" collapsed="false">
      <c r="A112" s="85" t="n">
        <v>46029</v>
      </c>
    </row>
    <row r="113" customFormat="false" ht="15" hidden="false" customHeight="false" outlineLevel="0" collapsed="false">
      <c r="A113" s="85" t="n">
        <v>46030</v>
      </c>
    </row>
    <row r="114" customFormat="false" ht="15" hidden="false" customHeight="false" outlineLevel="0" collapsed="false">
      <c r="A114" s="85" t="n">
        <v>46031</v>
      </c>
    </row>
    <row r="115" customFormat="false" ht="15" hidden="false" customHeight="false" outlineLevel="0" collapsed="false">
      <c r="A115" s="85" t="n">
        <v>46032</v>
      </c>
    </row>
    <row r="116" customFormat="false" ht="15" hidden="false" customHeight="false" outlineLevel="0" collapsed="false">
      <c r="A116" s="85" t="n">
        <v>46034</v>
      </c>
    </row>
    <row r="117" customFormat="false" ht="15" hidden="false" customHeight="false" outlineLevel="0" collapsed="false">
      <c r="A117" s="85" t="n">
        <v>46035</v>
      </c>
    </row>
    <row r="118" customFormat="false" ht="15" hidden="false" customHeight="false" outlineLevel="0" collapsed="false">
      <c r="A118" s="85" t="n">
        <v>46036</v>
      </c>
    </row>
    <row r="119" customFormat="false" ht="15" hidden="false" customHeight="false" outlineLevel="0" collapsed="false">
      <c r="A119" s="85" t="n">
        <v>46037</v>
      </c>
    </row>
    <row r="120" customFormat="false" ht="15" hidden="false" customHeight="false" outlineLevel="0" collapsed="false">
      <c r="A120" s="85" t="n">
        <v>46038</v>
      </c>
    </row>
    <row r="121" customFormat="false" ht="15" hidden="false" customHeight="false" outlineLevel="0" collapsed="false">
      <c r="A121" s="85" t="n">
        <v>46039</v>
      </c>
    </row>
    <row r="122" customFormat="false" ht="15" hidden="false" customHeight="false" outlineLevel="0" collapsed="false">
      <c r="A122" s="85" t="n">
        <v>46041</v>
      </c>
    </row>
    <row r="123" customFormat="false" ht="15" hidden="false" customHeight="false" outlineLevel="0" collapsed="false">
      <c r="A123" s="85" t="n">
        <v>46042</v>
      </c>
    </row>
    <row r="124" customFormat="false" ht="15" hidden="false" customHeight="false" outlineLevel="0" collapsed="false">
      <c r="A124" s="85" t="n">
        <v>46043</v>
      </c>
    </row>
    <row r="125" customFormat="false" ht="15" hidden="false" customHeight="false" outlineLevel="0" collapsed="false">
      <c r="A125" s="85" t="n">
        <v>46044</v>
      </c>
    </row>
    <row r="126" customFormat="false" ht="15" hidden="false" customHeight="false" outlineLevel="0" collapsed="false">
      <c r="A126" s="85" t="n">
        <v>46045</v>
      </c>
    </row>
    <row r="127" customFormat="false" ht="15" hidden="false" customHeight="false" outlineLevel="0" collapsed="false">
      <c r="A127" s="85" t="n">
        <v>46046</v>
      </c>
    </row>
    <row r="128" customFormat="false" ht="15" hidden="false" customHeight="false" outlineLevel="0" collapsed="false">
      <c r="A128" s="85" t="n">
        <v>46049</v>
      </c>
    </row>
    <row r="129" customFormat="false" ht="15" hidden="false" customHeight="false" outlineLevel="0" collapsed="false">
      <c r="A129" s="85" t="n">
        <v>46050</v>
      </c>
    </row>
    <row r="130" customFormat="false" ht="15" hidden="false" customHeight="false" outlineLevel="0" collapsed="false">
      <c r="A130" s="85" t="n">
        <v>46051</v>
      </c>
    </row>
    <row r="131" customFormat="false" ht="15" hidden="false" customHeight="false" outlineLevel="0" collapsed="false">
      <c r="A131" s="85" t="n">
        <v>46052</v>
      </c>
    </row>
    <row r="132" customFormat="false" ht="15" hidden="false" customHeight="false" outlineLevel="0" collapsed="false">
      <c r="A132" s="85" t="n">
        <v>46053</v>
      </c>
    </row>
    <row r="133" customFormat="false" ht="15" hidden="false" customHeight="false" outlineLevel="0" collapsed="false">
      <c r="A133" s="85" t="n">
        <v>46055</v>
      </c>
    </row>
    <row r="134" customFormat="false" ht="15" hidden="false" customHeight="false" outlineLevel="0" collapsed="false">
      <c r="A134" s="85" t="n">
        <v>46056</v>
      </c>
    </row>
    <row r="135" customFormat="false" ht="15" hidden="false" customHeight="false" outlineLevel="0" collapsed="false">
      <c r="A135" s="85" t="n">
        <v>46057</v>
      </c>
    </row>
    <row r="136" customFormat="false" ht="15" hidden="false" customHeight="false" outlineLevel="0" collapsed="false">
      <c r="A136" s="85" t="n">
        <v>46058</v>
      </c>
    </row>
    <row r="137" customFormat="false" ht="15" hidden="false" customHeight="false" outlineLevel="0" collapsed="false">
      <c r="A137" s="85" t="n">
        <v>46059</v>
      </c>
    </row>
    <row r="138" customFormat="false" ht="15" hidden="false" customHeight="false" outlineLevel="0" collapsed="false">
      <c r="A138" s="85" t="n">
        <v>46060</v>
      </c>
    </row>
    <row r="139" customFormat="false" ht="15" hidden="false" customHeight="false" outlineLevel="0" collapsed="false">
      <c r="A139" s="85" t="n">
        <v>46062</v>
      </c>
    </row>
    <row r="140" customFormat="false" ht="15" hidden="false" customHeight="false" outlineLevel="0" collapsed="false">
      <c r="A140" s="85" t="n">
        <v>46063</v>
      </c>
    </row>
    <row r="141" customFormat="false" ht="15" hidden="false" customHeight="false" outlineLevel="0" collapsed="false">
      <c r="A141" s="85" t="n">
        <v>46064</v>
      </c>
    </row>
    <row r="142" customFormat="false" ht="15" hidden="false" customHeight="false" outlineLevel="0" collapsed="false">
      <c r="A142" s="85" t="n">
        <v>46065</v>
      </c>
    </row>
    <row r="143" customFormat="false" ht="15" hidden="false" customHeight="false" outlineLevel="0" collapsed="false">
      <c r="A143" s="85" t="n">
        <v>46066</v>
      </c>
    </row>
    <row r="144" customFormat="false" ht="15" hidden="false" customHeight="false" outlineLevel="0" collapsed="false">
      <c r="A144" s="85" t="n">
        <v>46067</v>
      </c>
    </row>
    <row r="145" customFormat="false" ht="15" hidden="false" customHeight="false" outlineLevel="0" collapsed="false">
      <c r="A145" s="85" t="n">
        <v>46069</v>
      </c>
    </row>
    <row r="146" customFormat="false" ht="15" hidden="false" customHeight="false" outlineLevel="0" collapsed="false">
      <c r="A146" s="85" t="n">
        <v>46070</v>
      </c>
    </row>
    <row r="147" customFormat="false" ht="15" hidden="false" customHeight="false" outlineLevel="0" collapsed="false">
      <c r="A147" s="85" t="n">
        <v>46071</v>
      </c>
    </row>
    <row r="148" customFormat="false" ht="15" hidden="false" customHeight="false" outlineLevel="0" collapsed="false">
      <c r="A148" s="85" t="n">
        <v>46072</v>
      </c>
    </row>
    <row r="149" customFormat="false" ht="15" hidden="false" customHeight="false" outlineLevel="0" collapsed="false">
      <c r="A149" s="85" t="n">
        <v>46073</v>
      </c>
    </row>
    <row r="150" customFormat="false" ht="15" hidden="false" customHeight="false" outlineLevel="0" collapsed="false">
      <c r="A150" s="85" t="n">
        <v>46074</v>
      </c>
    </row>
    <row r="151" customFormat="false" ht="15" hidden="false" customHeight="false" outlineLevel="0" collapsed="false">
      <c r="A151" s="85" t="n">
        <v>46076</v>
      </c>
    </row>
    <row r="152" customFormat="false" ht="15" hidden="false" customHeight="false" outlineLevel="0" collapsed="false">
      <c r="A152" s="85" t="n">
        <v>46077</v>
      </c>
    </row>
    <row r="153" customFormat="false" ht="15" hidden="false" customHeight="false" outlineLevel="0" collapsed="false">
      <c r="A153" s="85" t="n">
        <v>46078</v>
      </c>
    </row>
    <row r="154" customFormat="false" ht="15" hidden="false" customHeight="false" outlineLevel="0" collapsed="false">
      <c r="A154" s="85" t="n">
        <v>46079</v>
      </c>
    </row>
    <row r="155" customFormat="false" ht="15" hidden="false" customHeight="false" outlineLevel="0" collapsed="false">
      <c r="A155" s="85" t="n">
        <v>46080</v>
      </c>
    </row>
    <row r="156" customFormat="false" ht="15" hidden="false" customHeight="false" outlineLevel="0" collapsed="false">
      <c r="A156" s="85" t="n">
        <v>46081</v>
      </c>
    </row>
    <row r="157" customFormat="false" ht="15" hidden="false" customHeight="false" outlineLevel="0" collapsed="false">
      <c r="A157" s="85" t="n">
        <v>46083</v>
      </c>
    </row>
    <row r="158" customFormat="false" ht="15" hidden="false" customHeight="false" outlineLevel="0" collapsed="false">
      <c r="A158" s="85" t="n">
        <v>46084</v>
      </c>
    </row>
    <row r="159" customFormat="false" ht="15" hidden="false" customHeight="false" outlineLevel="0" collapsed="false">
      <c r="A159" s="85" t="n">
        <v>46086</v>
      </c>
    </row>
    <row r="160" customFormat="false" ht="15" hidden="false" customHeight="false" outlineLevel="0" collapsed="false">
      <c r="A160" s="85" t="n">
        <v>46087</v>
      </c>
    </row>
    <row r="161" customFormat="false" ht="15" hidden="false" customHeight="false" outlineLevel="0" collapsed="false">
      <c r="A161" s="85" t="n">
        <v>46088</v>
      </c>
    </row>
    <row r="162" customFormat="false" ht="15" hidden="false" customHeight="false" outlineLevel="0" collapsed="false">
      <c r="A162" s="85" t="n">
        <v>46090</v>
      </c>
    </row>
    <row r="163" customFormat="false" ht="15" hidden="false" customHeight="false" outlineLevel="0" collapsed="false">
      <c r="A163" s="85" t="n">
        <v>46091</v>
      </c>
    </row>
    <row r="164" customFormat="false" ht="15" hidden="false" customHeight="false" outlineLevel="0" collapsed="false">
      <c r="A164" s="85" t="n">
        <v>46092</v>
      </c>
    </row>
    <row r="165" customFormat="false" ht="15" hidden="false" customHeight="false" outlineLevel="0" collapsed="false">
      <c r="A165" s="85" t="n">
        <v>46093</v>
      </c>
    </row>
    <row r="166" customFormat="false" ht="15" hidden="false" customHeight="false" outlineLevel="0" collapsed="false">
      <c r="A166" s="85" t="n">
        <v>46094</v>
      </c>
    </row>
    <row r="167" customFormat="false" ht="15" hidden="false" customHeight="false" outlineLevel="0" collapsed="false">
      <c r="A167" s="85" t="n">
        <v>46095</v>
      </c>
    </row>
    <row r="168" customFormat="false" ht="15" hidden="false" customHeight="false" outlineLevel="0" collapsed="false">
      <c r="A168" s="85" t="n">
        <v>46097</v>
      </c>
    </row>
    <row r="169" customFormat="false" ht="15" hidden="false" customHeight="false" outlineLevel="0" collapsed="false">
      <c r="A169" s="85" t="n">
        <v>46098</v>
      </c>
    </row>
    <row r="170" customFormat="false" ht="15" hidden="false" customHeight="false" outlineLevel="0" collapsed="false">
      <c r="A170" s="85" t="n">
        <v>46099</v>
      </c>
    </row>
    <row r="171" customFormat="false" ht="15" hidden="false" customHeight="false" outlineLevel="0" collapsed="false">
      <c r="A171" s="85" t="n">
        <v>46100</v>
      </c>
    </row>
    <row r="172" customFormat="false" ht="15" hidden="false" customHeight="false" outlineLevel="0" collapsed="false">
      <c r="A172" s="85" t="n">
        <v>46101</v>
      </c>
    </row>
    <row r="173" customFormat="false" ht="15" hidden="false" customHeight="false" outlineLevel="0" collapsed="false">
      <c r="A173" s="85" t="n">
        <v>46104</v>
      </c>
    </row>
    <row r="174" customFormat="false" ht="15" hidden="false" customHeight="false" outlineLevel="0" collapsed="false">
      <c r="A174" s="85" t="n">
        <v>46105</v>
      </c>
    </row>
    <row r="175" customFormat="false" ht="15" hidden="false" customHeight="false" outlineLevel="0" collapsed="false">
      <c r="A175" s="85" t="n">
        <v>46106</v>
      </c>
    </row>
    <row r="176" customFormat="false" ht="15" hidden="false" customHeight="false" outlineLevel="0" collapsed="false">
      <c r="A176" s="85" t="n">
        <v>46107</v>
      </c>
    </row>
    <row r="177" customFormat="false" ht="15" hidden="false" customHeight="false" outlineLevel="0" collapsed="false">
      <c r="A177" s="85" t="n">
        <v>46108</v>
      </c>
    </row>
    <row r="178" customFormat="false" ht="15" hidden="false" customHeight="false" outlineLevel="0" collapsed="false">
      <c r="A178" s="85" t="n">
        <v>46109</v>
      </c>
    </row>
    <row r="179" customFormat="false" ht="15" hidden="false" customHeight="false" outlineLevel="0" collapsed="false">
      <c r="A179" s="85" t="n">
        <v>46111</v>
      </c>
    </row>
    <row r="180" customFormat="false" ht="15" hidden="false" customHeight="false" outlineLevel="0" collapsed="false">
      <c r="A180" s="85" t="n">
        <v>46112</v>
      </c>
    </row>
    <row r="181" customFormat="false" ht="15" hidden="false" customHeight="false" outlineLevel="0" collapsed="false">
      <c r="A181" s="85" t="n">
        <v>46113</v>
      </c>
    </row>
    <row r="182" customFormat="false" ht="15" hidden="false" customHeight="false" outlineLevel="0" collapsed="false">
      <c r="A182" s="85" t="n">
        <v>46114</v>
      </c>
    </row>
    <row r="183" customFormat="false" ht="15" hidden="false" customHeight="false" outlineLevel="0" collapsed="false">
      <c r="A183" s="85" t="n">
        <v>46115</v>
      </c>
    </row>
    <row r="184" customFormat="false" ht="15" hidden="false" customHeight="false" outlineLevel="0" collapsed="false">
      <c r="A184" s="85" t="n">
        <v>46116</v>
      </c>
    </row>
    <row r="185" customFormat="false" ht="15" hidden="false" customHeight="false" outlineLevel="0" collapsed="false">
      <c r="A185" s="85" t="n">
        <v>46118</v>
      </c>
    </row>
    <row r="186" customFormat="false" ht="15" hidden="false" customHeight="false" outlineLevel="0" collapsed="false">
      <c r="A186" s="85" t="n">
        <v>46119</v>
      </c>
    </row>
    <row r="187" customFormat="false" ht="15" hidden="false" customHeight="false" outlineLevel="0" collapsed="false">
      <c r="A187" s="85" t="n">
        <v>46120</v>
      </c>
    </row>
    <row r="188" customFormat="false" ht="15" hidden="false" customHeight="false" outlineLevel="0" collapsed="false">
      <c r="A188" s="85" t="n">
        <v>46121</v>
      </c>
    </row>
    <row r="189" customFormat="false" ht="15" hidden="false" customHeight="false" outlineLevel="0" collapsed="false">
      <c r="A189" s="85" t="n">
        <v>46122</v>
      </c>
    </row>
    <row r="190" customFormat="false" ht="15" hidden="false" customHeight="false" outlineLevel="0" collapsed="false">
      <c r="A190" s="85" t="n">
        <v>46123</v>
      </c>
    </row>
    <row r="191" customFormat="false" ht="15" hidden="false" customHeight="false" outlineLevel="0" collapsed="false">
      <c r="A191" s="85" t="n">
        <v>46125</v>
      </c>
    </row>
    <row r="192" customFormat="false" ht="15" hidden="false" customHeight="false" outlineLevel="0" collapsed="false">
      <c r="A192" s="85" t="n">
        <v>46126</v>
      </c>
    </row>
    <row r="193" customFormat="false" ht="15" hidden="false" customHeight="false" outlineLevel="0" collapsed="false">
      <c r="A193" s="85" t="n">
        <v>46127</v>
      </c>
    </row>
    <row r="194" customFormat="false" ht="15" hidden="false" customHeight="false" outlineLevel="0" collapsed="false">
      <c r="A194" s="85" t="n">
        <v>46128</v>
      </c>
    </row>
    <row r="195" customFormat="false" ht="15" hidden="false" customHeight="false" outlineLevel="0" collapsed="false">
      <c r="A195" s="85" t="n">
        <v>46129</v>
      </c>
    </row>
    <row r="196" customFormat="false" ht="15" hidden="false" customHeight="false" outlineLevel="0" collapsed="false">
      <c r="A196" s="85" t="n">
        <v>46130</v>
      </c>
    </row>
    <row r="197" customFormat="false" ht="15" hidden="false" customHeight="false" outlineLevel="0" collapsed="false">
      <c r="A197" s="85" t="n">
        <v>46132</v>
      </c>
    </row>
    <row r="198" customFormat="false" ht="15" hidden="false" customHeight="false" outlineLevel="0" collapsed="false">
      <c r="A198" s="85" t="n">
        <v>46133</v>
      </c>
    </row>
    <row r="199" customFormat="false" ht="15" hidden="false" customHeight="false" outlineLevel="0" collapsed="false">
      <c r="A199" s="85" t="n">
        <v>46134</v>
      </c>
    </row>
    <row r="200" customFormat="false" ht="15" hidden="false" customHeight="false" outlineLevel="0" collapsed="false">
      <c r="A200" s="85" t="n">
        <v>46135</v>
      </c>
    </row>
    <row r="201" customFormat="false" ht="15" hidden="false" customHeight="false" outlineLevel="0" collapsed="false">
      <c r="A201" s="85" t="n">
        <v>46136</v>
      </c>
    </row>
    <row r="202" customFormat="false" ht="15" hidden="false" customHeight="false" outlineLevel="0" collapsed="false">
      <c r="A202" s="85" t="n">
        <v>46137</v>
      </c>
    </row>
    <row r="203" customFormat="false" ht="15" hidden="false" customHeight="false" outlineLevel="0" collapsed="false">
      <c r="A203" s="85" t="n">
        <v>46139</v>
      </c>
    </row>
    <row r="204" customFormat="false" ht="15" hidden="false" customHeight="false" outlineLevel="0" collapsed="false">
      <c r="A204" s="85" t="n">
        <v>46140</v>
      </c>
    </row>
    <row r="205" customFormat="false" ht="15" hidden="false" customHeight="false" outlineLevel="0" collapsed="false">
      <c r="A205" s="85" t="n">
        <v>46141</v>
      </c>
    </row>
    <row r="206" customFormat="false" ht="15" hidden="false" customHeight="false" outlineLevel="0" collapsed="false">
      <c r="A206" s="85" t="n">
        <v>46142</v>
      </c>
    </row>
    <row r="207" customFormat="false" ht="15" hidden="false" customHeight="false" outlineLevel="0" collapsed="false">
      <c r="A207" s="85" t="n">
        <v>46144</v>
      </c>
    </row>
    <row r="208" customFormat="false" ht="15" hidden="false" customHeight="false" outlineLevel="0" collapsed="false">
      <c r="A208" s="85" t="n">
        <v>46146</v>
      </c>
    </row>
    <row r="209" customFormat="false" ht="15" hidden="false" customHeight="false" outlineLevel="0" collapsed="false">
      <c r="A209" s="85" t="n">
        <v>46147</v>
      </c>
    </row>
    <row r="210" customFormat="false" ht="15" hidden="false" customHeight="false" outlineLevel="0" collapsed="false">
      <c r="A210" s="85" t="n">
        <v>46148</v>
      </c>
    </row>
    <row r="211" customFormat="false" ht="15" hidden="false" customHeight="false" outlineLevel="0" collapsed="false">
      <c r="A211" s="85" t="n">
        <v>46149</v>
      </c>
    </row>
    <row r="212" customFormat="false" ht="15" hidden="false" customHeight="false" outlineLevel="0" collapsed="false">
      <c r="A212" s="85" t="n">
        <v>46150</v>
      </c>
    </row>
    <row r="213" customFormat="false" ht="15" hidden="false" customHeight="false" outlineLevel="0" collapsed="false">
      <c r="A213" s="85" t="n">
        <v>46151</v>
      </c>
    </row>
    <row r="214" customFormat="false" ht="15" hidden="false" customHeight="false" outlineLevel="0" collapsed="false">
      <c r="A214" s="85" t="n">
        <v>46153</v>
      </c>
    </row>
    <row r="215" customFormat="false" ht="15" hidden="false" customHeight="false" outlineLevel="0" collapsed="false">
      <c r="A215" s="85" t="n">
        <v>46154</v>
      </c>
    </row>
    <row r="216" customFormat="false" ht="15" hidden="false" customHeight="false" outlineLevel="0" collapsed="false">
      <c r="A216" s="85" t="n">
        <v>46155</v>
      </c>
    </row>
    <row r="217" customFormat="false" ht="15" hidden="false" customHeight="false" outlineLevel="0" collapsed="false">
      <c r="A217" s="85" t="n">
        <v>46156</v>
      </c>
    </row>
    <row r="218" customFormat="false" ht="15" hidden="false" customHeight="false" outlineLevel="0" collapsed="false">
      <c r="A218" s="85" t="n">
        <v>46157</v>
      </c>
    </row>
    <row r="219" customFormat="false" ht="15" hidden="false" customHeight="false" outlineLevel="0" collapsed="false">
      <c r="A219" s="85" t="n">
        <v>46158</v>
      </c>
    </row>
    <row r="220" customFormat="false" ht="15" hidden="false" customHeight="false" outlineLevel="0" collapsed="false">
      <c r="A220" s="85" t="n">
        <v>46160</v>
      </c>
    </row>
    <row r="221" customFormat="false" ht="15" hidden="false" customHeight="false" outlineLevel="0" collapsed="false">
      <c r="A221" s="85" t="n">
        <v>46161</v>
      </c>
    </row>
    <row r="222" customFormat="false" ht="15" hidden="false" customHeight="false" outlineLevel="0" collapsed="false">
      <c r="A222" s="85" t="n">
        <v>46162</v>
      </c>
    </row>
    <row r="223" customFormat="false" ht="15" hidden="false" customHeight="false" outlineLevel="0" collapsed="false">
      <c r="A223" s="85" t="n">
        <v>46163</v>
      </c>
    </row>
    <row r="224" customFormat="false" ht="15" hidden="false" customHeight="false" outlineLevel="0" collapsed="false">
      <c r="A224" s="85" t="n">
        <v>46164</v>
      </c>
    </row>
    <row r="225" customFormat="false" ht="15" hidden="false" customHeight="false" outlineLevel="0" collapsed="false">
      <c r="A225" s="85" t="n">
        <v>46165</v>
      </c>
    </row>
    <row r="226" customFormat="false" ht="15" hidden="false" customHeight="false" outlineLevel="0" collapsed="false">
      <c r="A226" s="85" t="n">
        <v>46167</v>
      </c>
    </row>
    <row r="227" customFormat="false" ht="15" hidden="false" customHeight="false" outlineLevel="0" collapsed="false">
      <c r="A227" s="85" t="n">
        <v>46168</v>
      </c>
    </row>
    <row r="228" customFormat="false" ht="15" hidden="false" customHeight="false" outlineLevel="0" collapsed="false">
      <c r="A228" s="85" t="n">
        <v>46169</v>
      </c>
    </row>
    <row r="229" customFormat="false" ht="15" hidden="false" customHeight="false" outlineLevel="0" collapsed="false">
      <c r="A229" s="85" t="n">
        <v>46170</v>
      </c>
    </row>
    <row r="230" customFormat="false" ht="15" hidden="false" customHeight="false" outlineLevel="0" collapsed="false">
      <c r="A230" s="85" t="n">
        <v>46171</v>
      </c>
    </row>
    <row r="231" customFormat="false" ht="15" hidden="false" customHeight="false" outlineLevel="0" collapsed="false">
      <c r="A231" s="85" t="n">
        <v>46172</v>
      </c>
    </row>
    <row r="232" customFormat="false" ht="15" hidden="false" customHeight="false" outlineLevel="0" collapsed="false">
      <c r="A232" s="85" t="n">
        <v>46174</v>
      </c>
    </row>
    <row r="233" customFormat="false" ht="15" hidden="false" customHeight="false" outlineLevel="0" collapsed="false">
      <c r="A233" s="85" t="n">
        <v>46175</v>
      </c>
    </row>
    <row r="234" customFormat="false" ht="15" hidden="false" customHeight="false" outlineLevel="0" collapsed="false">
      <c r="A234" s="85" t="n">
        <v>46176</v>
      </c>
    </row>
    <row r="235" customFormat="false" ht="15" hidden="false" customHeight="false" outlineLevel="0" collapsed="false">
      <c r="A235" s="85" t="n">
        <v>46177</v>
      </c>
    </row>
    <row r="236" customFormat="false" ht="15" hidden="false" customHeight="false" outlineLevel="0" collapsed="false">
      <c r="A236" s="85" t="n">
        <v>46178</v>
      </c>
    </row>
    <row r="237" customFormat="false" ht="15" hidden="false" customHeight="false" outlineLevel="0" collapsed="false">
      <c r="A237" s="85" t="n">
        <v>46179</v>
      </c>
    </row>
    <row r="238" customFormat="false" ht="15" hidden="false" customHeight="false" outlineLevel="0" collapsed="false">
      <c r="A238" s="85" t="n">
        <v>46181</v>
      </c>
    </row>
    <row r="239" customFormat="false" ht="15" hidden="false" customHeight="false" outlineLevel="0" collapsed="false">
      <c r="A239" s="85" t="n">
        <v>46182</v>
      </c>
    </row>
    <row r="240" customFormat="false" ht="15" hidden="false" customHeight="false" outlineLevel="0" collapsed="false">
      <c r="A240" s="85" t="n">
        <v>46183</v>
      </c>
    </row>
    <row r="241" customFormat="false" ht="15" hidden="false" customHeight="false" outlineLevel="0" collapsed="false">
      <c r="A241" s="85" t="n">
        <v>46184</v>
      </c>
    </row>
    <row r="242" customFormat="false" ht="15" hidden="false" customHeight="false" outlineLevel="0" collapsed="false">
      <c r="A242" s="85" t="n">
        <v>46185</v>
      </c>
    </row>
    <row r="243" customFormat="false" ht="15" hidden="false" customHeight="false" outlineLevel="0" collapsed="false">
      <c r="A243" s="85" t="n">
        <v>46186</v>
      </c>
    </row>
    <row r="244" customFormat="false" ht="15" hidden="false" customHeight="false" outlineLevel="0" collapsed="false">
      <c r="A244" s="85" t="n">
        <v>46188</v>
      </c>
    </row>
    <row r="245" customFormat="false" ht="15" hidden="false" customHeight="false" outlineLevel="0" collapsed="false">
      <c r="A245" s="85" t="n">
        <v>46189</v>
      </c>
    </row>
    <row r="246" customFormat="false" ht="15" hidden="false" customHeight="false" outlineLevel="0" collapsed="false">
      <c r="A246" s="85" t="n">
        <v>46190</v>
      </c>
    </row>
    <row r="247" customFormat="false" ht="15" hidden="false" customHeight="false" outlineLevel="0" collapsed="false">
      <c r="A247" s="85" t="n">
        <v>46191</v>
      </c>
    </row>
    <row r="248" customFormat="false" ht="15" hidden="false" customHeight="false" outlineLevel="0" collapsed="false">
      <c r="A248" s="85" t="n">
        <v>46192</v>
      </c>
    </row>
    <row r="249" customFormat="false" ht="15" hidden="false" customHeight="false" outlineLevel="0" collapsed="false">
      <c r="A249" s="85" t="n">
        <v>46193</v>
      </c>
    </row>
    <row r="250" customFormat="false" ht="15" hidden="false" customHeight="false" outlineLevel="0" collapsed="false">
      <c r="A250" s="85" t="n">
        <v>46195</v>
      </c>
    </row>
    <row r="251" customFormat="false" ht="15" hidden="false" customHeight="false" outlineLevel="0" collapsed="false">
      <c r="A251" s="85" t="n">
        <v>46196</v>
      </c>
    </row>
    <row r="252" customFormat="false" ht="15" hidden="false" customHeight="false" outlineLevel="0" collapsed="false">
      <c r="A252" s="85" t="n">
        <v>46197</v>
      </c>
    </row>
    <row r="253" customFormat="false" ht="15" hidden="false" customHeight="false" outlineLevel="0" collapsed="false">
      <c r="A253" s="85" t="n">
        <v>46198</v>
      </c>
    </row>
    <row r="254" customFormat="false" ht="15" hidden="false" customHeight="false" outlineLevel="0" collapsed="false">
      <c r="A254" s="85" t="n">
        <v>46199</v>
      </c>
    </row>
    <row r="255" customFormat="false" ht="15" hidden="false" customHeight="false" outlineLevel="0" collapsed="false">
      <c r="A255" s="85" t="n">
        <v>46200</v>
      </c>
    </row>
    <row r="256" customFormat="false" ht="15" hidden="false" customHeight="false" outlineLevel="0" collapsed="false">
      <c r="A256" s="85" t="n">
        <v>46202</v>
      </c>
    </row>
    <row r="257" customFormat="false" ht="15" hidden="false" customHeight="false" outlineLevel="0" collapsed="false">
      <c r="A257" s="85" t="n">
        <v>46203</v>
      </c>
    </row>
    <row r="258" customFormat="false" ht="15" hidden="false" customHeight="false" outlineLevel="0" collapsed="false">
      <c r="A258" s="85" t="n">
        <v>46204</v>
      </c>
    </row>
    <row r="259" customFormat="false" ht="15" hidden="false" customHeight="false" outlineLevel="0" collapsed="false">
      <c r="A259" s="85" t="n">
        <v>46205</v>
      </c>
    </row>
    <row r="260" customFormat="false" ht="15" hidden="false" customHeight="false" outlineLevel="0" collapsed="false">
      <c r="A260" s="85" t="n">
        <v>46206</v>
      </c>
    </row>
    <row r="261" customFormat="false" ht="15" hidden="false" customHeight="false" outlineLevel="0" collapsed="false">
      <c r="A261" s="85" t="n">
        <v>46207</v>
      </c>
    </row>
    <row r="262" customFormat="false" ht="15" hidden="false" customHeight="false" outlineLevel="0" collapsed="false">
      <c r="A262" s="85" t="n">
        <v>46209</v>
      </c>
    </row>
    <row r="263" customFormat="false" ht="15" hidden="false" customHeight="false" outlineLevel="0" collapsed="false">
      <c r="A263" s="85" t="n">
        <v>46210</v>
      </c>
    </row>
    <row r="264" customFormat="false" ht="15" hidden="false" customHeight="false" outlineLevel="0" collapsed="false">
      <c r="A264" s="85" t="n">
        <v>46211</v>
      </c>
    </row>
    <row r="265" customFormat="false" ht="15" hidden="false" customHeight="false" outlineLevel="0" collapsed="false">
      <c r="A265" s="85" t="n">
        <v>46212</v>
      </c>
    </row>
    <row r="266" customFormat="false" ht="15" hidden="false" customHeight="false" outlineLevel="0" collapsed="false">
      <c r="A266" s="85" t="n">
        <v>46213</v>
      </c>
    </row>
    <row r="267" customFormat="false" ht="15" hidden="false" customHeight="false" outlineLevel="0" collapsed="false">
      <c r="A267" s="85" t="n">
        <v>46214</v>
      </c>
    </row>
    <row r="268" customFormat="false" ht="15" hidden="false" customHeight="false" outlineLevel="0" collapsed="false">
      <c r="A268" s="85" t="n">
        <v>46216</v>
      </c>
    </row>
    <row r="269" customFormat="false" ht="15" hidden="false" customHeight="false" outlineLevel="0" collapsed="false">
      <c r="A269" s="85" t="n">
        <v>46217</v>
      </c>
    </row>
    <row r="270" customFormat="false" ht="15" hidden="false" customHeight="false" outlineLevel="0" collapsed="false">
      <c r="A270" s="85" t="n">
        <v>46218</v>
      </c>
    </row>
    <row r="271" customFormat="false" ht="15" hidden="false" customHeight="false" outlineLevel="0" collapsed="false">
      <c r="A271" s="85" t="n">
        <v>46219</v>
      </c>
    </row>
    <row r="272" customFormat="false" ht="15" hidden="false" customHeight="false" outlineLevel="0" collapsed="false">
      <c r="A272" s="85" t="n">
        <v>46220</v>
      </c>
    </row>
    <row r="273" customFormat="false" ht="15" hidden="false" customHeight="false" outlineLevel="0" collapsed="false">
      <c r="A273" s="85" t="n">
        <v>46221</v>
      </c>
    </row>
    <row r="274" customFormat="false" ht="15" hidden="false" customHeight="false" outlineLevel="0" collapsed="false">
      <c r="A274" s="85" t="n">
        <v>46223</v>
      </c>
    </row>
    <row r="275" customFormat="false" ht="15" hidden="false" customHeight="false" outlineLevel="0" collapsed="false">
      <c r="A275" s="85" t="n">
        <v>46224</v>
      </c>
    </row>
    <row r="276" customFormat="false" ht="15" hidden="false" customHeight="false" outlineLevel="0" collapsed="false">
      <c r="A276" s="85" t="n">
        <v>46225</v>
      </c>
    </row>
    <row r="277" customFormat="false" ht="15" hidden="false" customHeight="false" outlineLevel="0" collapsed="false">
      <c r="A277" s="85" t="n">
        <v>46226</v>
      </c>
    </row>
    <row r="278" customFormat="false" ht="15" hidden="false" customHeight="false" outlineLevel="0" collapsed="false">
      <c r="A278" s="85" t="n">
        <v>46227</v>
      </c>
    </row>
    <row r="279" customFormat="false" ht="15" hidden="false" customHeight="false" outlineLevel="0" collapsed="false">
      <c r="A279" s="85" t="n">
        <v>46228</v>
      </c>
    </row>
    <row r="280" customFormat="false" ht="15" hidden="false" customHeight="false" outlineLevel="0" collapsed="false">
      <c r="A280" s="85" t="n">
        <v>46230</v>
      </c>
    </row>
    <row r="281" customFormat="false" ht="15" hidden="false" customHeight="false" outlineLevel="0" collapsed="false">
      <c r="A281" s="85" t="n">
        <v>46231</v>
      </c>
    </row>
    <row r="282" customFormat="false" ht="15" hidden="false" customHeight="false" outlineLevel="0" collapsed="false">
      <c r="A282" s="85" t="n">
        <v>46232</v>
      </c>
    </row>
    <row r="283" customFormat="false" ht="15" hidden="false" customHeight="false" outlineLevel="0" collapsed="false">
      <c r="A283" s="85" t="n">
        <v>46233</v>
      </c>
    </row>
    <row r="284" customFormat="false" ht="15" hidden="false" customHeight="false" outlineLevel="0" collapsed="false">
      <c r="A284" s="85" t="n">
        <v>46234</v>
      </c>
    </row>
    <row r="285" customFormat="false" ht="15" hidden="false" customHeight="false" outlineLevel="0" collapsed="false">
      <c r="A285" s="85" t="n">
        <v>46235</v>
      </c>
    </row>
    <row r="286" customFormat="false" ht="15" hidden="false" customHeight="false" outlineLevel="0" collapsed="false">
      <c r="A286" s="85" t="n">
        <v>46237</v>
      </c>
    </row>
    <row r="287" customFormat="false" ht="15" hidden="false" customHeight="false" outlineLevel="0" collapsed="false">
      <c r="A287" s="85" t="n">
        <v>46238</v>
      </c>
    </row>
    <row r="288" customFormat="false" ht="15" hidden="false" customHeight="false" outlineLevel="0" collapsed="false">
      <c r="A288" s="85" t="n">
        <v>46239</v>
      </c>
    </row>
    <row r="289" customFormat="false" ht="15" hidden="false" customHeight="false" outlineLevel="0" collapsed="false">
      <c r="A289" s="85" t="n">
        <v>46240</v>
      </c>
    </row>
    <row r="290" customFormat="false" ht="15" hidden="false" customHeight="false" outlineLevel="0" collapsed="false">
      <c r="A290" s="85" t="n">
        <v>46241</v>
      </c>
    </row>
    <row r="291" customFormat="false" ht="15" hidden="false" customHeight="false" outlineLevel="0" collapsed="false">
      <c r="A291" s="85" t="n">
        <v>46242</v>
      </c>
    </row>
    <row r="292" customFormat="false" ht="15" hidden="false" customHeight="false" outlineLevel="0" collapsed="false">
      <c r="A292" s="85" t="n">
        <v>46244</v>
      </c>
    </row>
    <row r="293" customFormat="false" ht="15" hidden="false" customHeight="false" outlineLevel="0" collapsed="false">
      <c r="A293" s="85" t="n">
        <v>46245</v>
      </c>
    </row>
    <row r="294" customFormat="false" ht="15" hidden="false" customHeight="false" outlineLevel="0" collapsed="false">
      <c r="A294" s="85" t="n">
        <v>46246</v>
      </c>
    </row>
    <row r="295" customFormat="false" ht="15" hidden="false" customHeight="false" outlineLevel="0" collapsed="false">
      <c r="A295" s="85" t="n">
        <v>46247</v>
      </c>
    </row>
    <row r="296" customFormat="false" ht="15" hidden="false" customHeight="false" outlineLevel="0" collapsed="false">
      <c r="A296" s="85" t="n">
        <v>46248</v>
      </c>
    </row>
    <row r="297" customFormat="false" ht="15" hidden="false" customHeight="false" outlineLevel="0" collapsed="false">
      <c r="A297" s="85" t="n">
        <v>46251</v>
      </c>
    </row>
    <row r="298" customFormat="false" ht="15" hidden="false" customHeight="false" outlineLevel="0" collapsed="false">
      <c r="A298" s="85" t="n">
        <v>46252</v>
      </c>
    </row>
    <row r="299" customFormat="false" ht="15" hidden="false" customHeight="false" outlineLevel="0" collapsed="false">
      <c r="A299" s="85" t="n">
        <v>46253</v>
      </c>
    </row>
    <row r="300" customFormat="false" ht="15" hidden="false" customHeight="false" outlineLevel="0" collapsed="false">
      <c r="A300" s="85" t="n">
        <v>46254</v>
      </c>
    </row>
    <row r="301" customFormat="false" ht="15" hidden="false" customHeight="false" outlineLevel="0" collapsed="false">
      <c r="A301" s="85" t="n">
        <v>46255</v>
      </c>
    </row>
    <row r="302" customFormat="false" ht="15" hidden="false" customHeight="false" outlineLevel="0" collapsed="false">
      <c r="A302" s="85" t="n">
        <v>46256</v>
      </c>
    </row>
    <row r="303" customFormat="false" ht="15" hidden="false" customHeight="false" outlineLevel="0" collapsed="false">
      <c r="A303" s="85" t="n">
        <v>46258</v>
      </c>
    </row>
    <row r="304" customFormat="false" ht="15" hidden="false" customHeight="false" outlineLevel="0" collapsed="false">
      <c r="A304" s="85" t="n">
        <v>46259</v>
      </c>
    </row>
    <row r="305" customFormat="false" ht="15" hidden="false" customHeight="false" outlineLevel="0" collapsed="false">
      <c r="A305" s="85" t="n">
        <v>46260</v>
      </c>
    </row>
    <row r="306" customFormat="false" ht="15" hidden="false" customHeight="false" outlineLevel="0" collapsed="false">
      <c r="A306" s="85" t="n">
        <v>46261</v>
      </c>
    </row>
    <row r="307" customFormat="false" ht="15" hidden="false" customHeight="false" outlineLevel="0" collapsed="false">
      <c r="A307" s="85" t="n">
        <v>46262</v>
      </c>
    </row>
    <row r="308" customFormat="false" ht="15" hidden="false" customHeight="false" outlineLevel="0" collapsed="false">
      <c r="A308" s="85" t="n">
        <v>46263</v>
      </c>
    </row>
    <row r="309" customFormat="false" ht="15" hidden="false" customHeight="false" outlineLevel="0" collapsed="false">
      <c r="A309" s="85" t="n">
        <v>46265</v>
      </c>
    </row>
    <row r="310" customFormat="false" ht="15" hidden="false" customHeight="false" outlineLevel="0" collapsed="false">
      <c r="A310" s="85" t="n">
        <v>46266</v>
      </c>
    </row>
    <row r="311" customFormat="false" ht="15" hidden="false" customHeight="false" outlineLevel="0" collapsed="false">
      <c r="A311" s="85" t="n">
        <v>46267</v>
      </c>
    </row>
    <row r="312" customFormat="false" ht="15" hidden="false" customHeight="false" outlineLevel="0" collapsed="false">
      <c r="A312" s="85" t="n">
        <v>46268</v>
      </c>
    </row>
    <row r="313" customFormat="false" ht="15" hidden="false" customHeight="false" outlineLevel="0" collapsed="false">
      <c r="A313" s="85" t="n">
        <v>46269</v>
      </c>
    </row>
    <row r="314" customFormat="false" ht="15" hidden="false" customHeight="false" outlineLevel="0" collapsed="false">
      <c r="A314" s="85" t="n">
        <v>46270</v>
      </c>
    </row>
    <row r="315" customFormat="false" ht="15" hidden="false" customHeight="false" outlineLevel="0" collapsed="false">
      <c r="A315" s="85" t="n">
        <v>46272</v>
      </c>
    </row>
    <row r="316" customFormat="false" ht="15" hidden="false" customHeight="false" outlineLevel="0" collapsed="false">
      <c r="A316" s="85" t="n">
        <v>46273</v>
      </c>
    </row>
    <row r="317" customFormat="false" ht="15" hidden="false" customHeight="false" outlineLevel="0" collapsed="false">
      <c r="A317" s="85" t="n">
        <v>46274</v>
      </c>
    </row>
    <row r="318" customFormat="false" ht="15" hidden="false" customHeight="false" outlineLevel="0" collapsed="false">
      <c r="A318" s="85" t="n">
        <v>46275</v>
      </c>
    </row>
    <row r="319" customFormat="false" ht="15" hidden="false" customHeight="false" outlineLevel="0" collapsed="false">
      <c r="A319" s="85" t="n">
        <v>46276</v>
      </c>
    </row>
    <row r="320" customFormat="false" ht="15" hidden="false" customHeight="false" outlineLevel="0" collapsed="false">
      <c r="A320" s="85" t="n">
        <v>46277</v>
      </c>
    </row>
    <row r="321" customFormat="false" ht="15" hidden="false" customHeight="false" outlineLevel="0" collapsed="false">
      <c r="A321" s="85" t="n">
        <v>46279</v>
      </c>
    </row>
    <row r="322" customFormat="false" ht="15" hidden="false" customHeight="false" outlineLevel="0" collapsed="false">
      <c r="A322" s="85" t="n">
        <v>46280</v>
      </c>
    </row>
    <row r="323" customFormat="false" ht="15" hidden="false" customHeight="false" outlineLevel="0" collapsed="false">
      <c r="A323" s="85" t="n">
        <v>46281</v>
      </c>
    </row>
    <row r="324" customFormat="false" ht="15" hidden="false" customHeight="false" outlineLevel="0" collapsed="false">
      <c r="A324" s="85" t="n">
        <v>46282</v>
      </c>
    </row>
    <row r="325" customFormat="false" ht="15" hidden="false" customHeight="false" outlineLevel="0" collapsed="false">
      <c r="A325" s="85" t="n">
        <v>46283</v>
      </c>
    </row>
    <row r="326" customFormat="false" ht="15" hidden="false" customHeight="false" outlineLevel="0" collapsed="false">
      <c r="A326" s="85" t="n">
        <v>46284</v>
      </c>
    </row>
    <row r="327" customFormat="false" ht="15" hidden="false" customHeight="false" outlineLevel="0" collapsed="false">
      <c r="A327" s="85" t="n">
        <v>46286</v>
      </c>
    </row>
    <row r="328" customFormat="false" ht="15" hidden="false" customHeight="false" outlineLevel="0" collapsed="false">
      <c r="A328" s="85" t="n">
        <v>46287</v>
      </c>
    </row>
    <row r="329" customFormat="false" ht="15" hidden="false" customHeight="false" outlineLevel="0" collapsed="false">
      <c r="A329" s="85" t="n">
        <v>46288</v>
      </c>
    </row>
    <row r="330" customFormat="false" ht="15" hidden="false" customHeight="false" outlineLevel="0" collapsed="false">
      <c r="A330" s="85" t="n">
        <v>46289</v>
      </c>
    </row>
    <row r="331" customFormat="false" ht="15" hidden="false" customHeight="false" outlineLevel="0" collapsed="false">
      <c r="A331" s="85" t="n">
        <v>46290</v>
      </c>
    </row>
    <row r="332" customFormat="false" ht="15" hidden="false" customHeight="false" outlineLevel="0" collapsed="false">
      <c r="A332" s="85" t="n">
        <v>46291</v>
      </c>
    </row>
    <row r="333" customFormat="false" ht="15" hidden="false" customHeight="false" outlineLevel="0" collapsed="false">
      <c r="A333" s="85" t="n">
        <v>46293</v>
      </c>
    </row>
    <row r="334" customFormat="false" ht="15" hidden="false" customHeight="false" outlineLevel="0" collapsed="false">
      <c r="A334" s="85" t="n">
        <v>46294</v>
      </c>
    </row>
    <row r="335" customFormat="false" ht="15" hidden="false" customHeight="false" outlineLevel="0" collapsed="false">
      <c r="A335" s="85" t="n">
        <v>46295</v>
      </c>
    </row>
    <row r="336" customFormat="false" ht="15" hidden="false" customHeight="false" outlineLevel="0" collapsed="false">
      <c r="A336" s="85" t="n">
        <v>46296</v>
      </c>
    </row>
    <row r="337" customFormat="false" ht="15" hidden="false" customHeight="false" outlineLevel="0" collapsed="false">
      <c r="A337" s="85" t="n">
        <v>46298</v>
      </c>
    </row>
    <row r="338" customFormat="false" ht="15" hidden="false" customHeight="false" outlineLevel="0" collapsed="false">
      <c r="A338" s="85" t="n">
        <v>46300</v>
      </c>
    </row>
    <row r="339" customFormat="false" ht="15" hidden="false" customHeight="false" outlineLevel="0" collapsed="false">
      <c r="A339" s="85" t="n">
        <v>46301</v>
      </c>
    </row>
    <row r="340" customFormat="false" ht="15" hidden="false" customHeight="false" outlineLevel="0" collapsed="false">
      <c r="A340" s="85" t="n">
        <v>46302</v>
      </c>
    </row>
    <row r="341" customFormat="false" ht="15" hidden="false" customHeight="false" outlineLevel="0" collapsed="false">
      <c r="A341" s="85" t="n">
        <v>46303</v>
      </c>
    </row>
    <row r="342" customFormat="false" ht="15" hidden="false" customHeight="false" outlineLevel="0" collapsed="false">
      <c r="A342" s="85" t="n">
        <v>46304</v>
      </c>
    </row>
    <row r="343" customFormat="false" ht="15" hidden="false" customHeight="false" outlineLevel="0" collapsed="false">
      <c r="A343" s="85" t="n">
        <v>46305</v>
      </c>
    </row>
    <row r="344" customFormat="false" ht="15" hidden="false" customHeight="false" outlineLevel="0" collapsed="false">
      <c r="A344" s="85" t="n">
        <v>46307</v>
      </c>
    </row>
    <row r="345" customFormat="false" ht="15" hidden="false" customHeight="false" outlineLevel="0" collapsed="false">
      <c r="A345" s="85" t="n">
        <v>46308</v>
      </c>
    </row>
    <row r="346" customFormat="false" ht="15" hidden="false" customHeight="false" outlineLevel="0" collapsed="false">
      <c r="A346" s="85" t="n">
        <v>46309</v>
      </c>
    </row>
    <row r="347" customFormat="false" ht="15" hidden="false" customHeight="false" outlineLevel="0" collapsed="false">
      <c r="A347" s="85" t="n">
        <v>46310</v>
      </c>
    </row>
    <row r="348" customFormat="false" ht="15" hidden="false" customHeight="false" outlineLevel="0" collapsed="false">
      <c r="A348" s="85" t="n">
        <v>46311</v>
      </c>
    </row>
    <row r="349" customFormat="false" ht="15" hidden="false" customHeight="false" outlineLevel="0" collapsed="false">
      <c r="A349" s="85" t="n">
        <v>46312</v>
      </c>
    </row>
    <row r="350" customFormat="false" ht="15" hidden="false" customHeight="false" outlineLevel="0" collapsed="false">
      <c r="A350" s="85" t="n">
        <v>46314</v>
      </c>
    </row>
    <row r="351" customFormat="false" ht="15" hidden="false" customHeight="false" outlineLevel="0" collapsed="false">
      <c r="A351" s="85" t="n">
        <v>46316</v>
      </c>
    </row>
    <row r="352" customFormat="false" ht="15" hidden="false" customHeight="false" outlineLevel="0" collapsed="false">
      <c r="A352" s="85" t="n">
        <v>46317</v>
      </c>
    </row>
    <row r="353" customFormat="false" ht="15" hidden="false" customHeight="false" outlineLevel="0" collapsed="false">
      <c r="A353" s="85" t="n">
        <v>46318</v>
      </c>
    </row>
    <row r="354" customFormat="false" ht="15" hidden="false" customHeight="false" outlineLevel="0" collapsed="false">
      <c r="A354" s="85" t="n">
        <v>46319</v>
      </c>
    </row>
    <row r="355" customFormat="false" ht="15" hidden="false" customHeight="false" outlineLevel="0" collapsed="false">
      <c r="A355" s="85" t="n">
        <v>46321</v>
      </c>
    </row>
    <row r="356" customFormat="false" ht="15" hidden="false" customHeight="false" outlineLevel="0" collapsed="false">
      <c r="A356" s="85" t="n">
        <v>46322</v>
      </c>
    </row>
    <row r="357" customFormat="false" ht="15" hidden="false" customHeight="false" outlineLevel="0" collapsed="false">
      <c r="A357" s="85" t="n">
        <v>46323</v>
      </c>
    </row>
    <row r="358" customFormat="false" ht="15" hidden="false" customHeight="false" outlineLevel="0" collapsed="false">
      <c r="A358" s="85" t="n">
        <v>46324</v>
      </c>
    </row>
    <row r="359" customFormat="false" ht="15" hidden="false" customHeight="false" outlineLevel="0" collapsed="false">
      <c r="A359" s="85" t="n">
        <v>46325</v>
      </c>
    </row>
    <row r="360" customFormat="false" ht="15" hidden="false" customHeight="false" outlineLevel="0" collapsed="false">
      <c r="A360" s="85" t="n">
        <v>46326</v>
      </c>
    </row>
    <row r="361" customFormat="false" ht="15" hidden="false" customHeight="false" outlineLevel="0" collapsed="false">
      <c r="A361" s="85" t="n">
        <v>46328</v>
      </c>
    </row>
    <row r="362" customFormat="false" ht="15" hidden="false" customHeight="false" outlineLevel="0" collapsed="false">
      <c r="A362" s="85" t="n">
        <v>46329</v>
      </c>
    </row>
    <row r="363" customFormat="false" ht="15" hidden="false" customHeight="false" outlineLevel="0" collapsed="false">
      <c r="A363" s="85" t="n">
        <v>46330</v>
      </c>
    </row>
    <row r="364" customFormat="false" ht="15" hidden="false" customHeight="false" outlineLevel="0" collapsed="false">
      <c r="A364" s="85" t="n">
        <v>46331</v>
      </c>
    </row>
    <row r="365" customFormat="false" ht="15" hidden="false" customHeight="false" outlineLevel="0" collapsed="false">
      <c r="A365" s="85" t="n">
        <v>46332</v>
      </c>
    </row>
    <row r="366" customFormat="false" ht="15" hidden="false" customHeight="false" outlineLevel="0" collapsed="false">
      <c r="A366" s="85" t="n">
        <v>46333</v>
      </c>
    </row>
    <row r="367" customFormat="false" ht="15" hidden="false" customHeight="false" outlineLevel="0" collapsed="false">
      <c r="A367" s="85" t="n">
        <v>46335</v>
      </c>
    </row>
    <row r="368" customFormat="false" ht="15" hidden="false" customHeight="false" outlineLevel="0" collapsed="false">
      <c r="A368" s="85" t="n">
        <v>46336</v>
      </c>
    </row>
    <row r="369" customFormat="false" ht="15" hidden="false" customHeight="false" outlineLevel="0" collapsed="false">
      <c r="A369" s="85" t="n">
        <v>46337</v>
      </c>
    </row>
    <row r="370" customFormat="false" ht="15" hidden="false" customHeight="false" outlineLevel="0" collapsed="false">
      <c r="A370" s="85" t="n">
        <v>46338</v>
      </c>
    </row>
    <row r="371" customFormat="false" ht="15" hidden="false" customHeight="false" outlineLevel="0" collapsed="false">
      <c r="A371" s="85" t="n">
        <v>46339</v>
      </c>
    </row>
    <row r="372" customFormat="false" ht="15" hidden="false" customHeight="false" outlineLevel="0" collapsed="false">
      <c r="A372" s="85" t="n">
        <v>46340</v>
      </c>
    </row>
    <row r="373" customFormat="false" ht="15" hidden="false" customHeight="false" outlineLevel="0" collapsed="false">
      <c r="A373" s="85" t="n">
        <v>46342</v>
      </c>
    </row>
    <row r="374" customFormat="false" ht="15" hidden="false" customHeight="false" outlineLevel="0" collapsed="false">
      <c r="A374" s="85" t="n">
        <v>46343</v>
      </c>
    </row>
    <row r="375" customFormat="false" ht="15" hidden="false" customHeight="false" outlineLevel="0" collapsed="false">
      <c r="A375" s="85" t="n">
        <v>46344</v>
      </c>
    </row>
    <row r="376" customFormat="false" ht="15" hidden="false" customHeight="false" outlineLevel="0" collapsed="false">
      <c r="A376" s="85" t="n">
        <v>46345</v>
      </c>
    </row>
    <row r="377" customFormat="false" ht="15" hidden="false" customHeight="false" outlineLevel="0" collapsed="false">
      <c r="A377" s="85" t="n">
        <v>46346</v>
      </c>
    </row>
    <row r="378" customFormat="false" ht="15" hidden="false" customHeight="false" outlineLevel="0" collapsed="false">
      <c r="A378" s="85" t="n">
        <v>46347</v>
      </c>
    </row>
    <row r="379" customFormat="false" ht="15" hidden="false" customHeight="false" outlineLevel="0" collapsed="false">
      <c r="A379" s="85" t="n">
        <v>46349</v>
      </c>
    </row>
    <row r="380" customFormat="false" ht="15" hidden="false" customHeight="false" outlineLevel="0" collapsed="false">
      <c r="A380" s="85" t="n">
        <v>46350</v>
      </c>
    </row>
    <row r="381" customFormat="false" ht="15" hidden="false" customHeight="false" outlineLevel="0" collapsed="false">
      <c r="A381" s="85" t="n">
        <v>46351</v>
      </c>
    </row>
    <row r="382" customFormat="false" ht="15" hidden="false" customHeight="false" outlineLevel="0" collapsed="false">
      <c r="A382" s="85" t="n">
        <v>46352</v>
      </c>
    </row>
    <row r="383" customFormat="false" ht="15" hidden="false" customHeight="false" outlineLevel="0" collapsed="false">
      <c r="A383" s="85" t="n">
        <v>46353</v>
      </c>
    </row>
    <row r="384" customFormat="false" ht="15" hidden="false" customHeight="false" outlineLevel="0" collapsed="false">
      <c r="A384" s="85" t="n">
        <v>46354</v>
      </c>
    </row>
    <row r="385" customFormat="false" ht="15" hidden="false" customHeight="false" outlineLevel="0" collapsed="false">
      <c r="A385" s="85" t="n">
        <v>46356</v>
      </c>
    </row>
    <row r="386" customFormat="false" ht="15" hidden="false" customHeight="false" outlineLevel="0" collapsed="false">
      <c r="A386" s="85" t="n">
        <v>46357</v>
      </c>
    </row>
    <row r="387" customFormat="false" ht="15" hidden="false" customHeight="false" outlineLevel="0" collapsed="false">
      <c r="A387" s="85" t="n">
        <v>46358</v>
      </c>
    </row>
    <row r="388" customFormat="false" ht="15" hidden="false" customHeight="false" outlineLevel="0" collapsed="false">
      <c r="A388" s="85" t="n">
        <v>46359</v>
      </c>
    </row>
    <row r="389" customFormat="false" ht="15" hidden="false" customHeight="false" outlineLevel="0" collapsed="false">
      <c r="A389" s="85" t="n">
        <v>46360</v>
      </c>
    </row>
    <row r="390" customFormat="false" ht="15" hidden="false" customHeight="false" outlineLevel="0" collapsed="false">
      <c r="A390" s="85" t="n">
        <v>46361</v>
      </c>
    </row>
    <row r="391" customFormat="false" ht="15" hidden="false" customHeight="false" outlineLevel="0" collapsed="false">
      <c r="A391" s="85" t="n">
        <v>46363</v>
      </c>
    </row>
    <row r="392" customFormat="false" ht="15" hidden="false" customHeight="false" outlineLevel="0" collapsed="false">
      <c r="A392" s="85" t="n">
        <v>46364</v>
      </c>
    </row>
    <row r="393" customFormat="false" ht="15" hidden="false" customHeight="false" outlineLevel="0" collapsed="false">
      <c r="A393" s="85" t="n">
        <v>46365</v>
      </c>
    </row>
    <row r="394" customFormat="false" ht="15" hidden="false" customHeight="false" outlineLevel="0" collapsed="false">
      <c r="A394" s="85" t="n">
        <v>46366</v>
      </c>
    </row>
    <row r="395" customFormat="false" ht="15" hidden="false" customHeight="false" outlineLevel="0" collapsed="false">
      <c r="A395" s="85" t="n">
        <v>46367</v>
      </c>
    </row>
    <row r="396" customFormat="false" ht="15" hidden="false" customHeight="false" outlineLevel="0" collapsed="false">
      <c r="A396" s="85" t="n">
        <v>46368</v>
      </c>
    </row>
    <row r="397" customFormat="false" ht="15" hidden="false" customHeight="false" outlineLevel="0" collapsed="false">
      <c r="A397" s="85" t="n">
        <v>46370</v>
      </c>
    </row>
    <row r="398" customFormat="false" ht="15" hidden="false" customHeight="false" outlineLevel="0" collapsed="false">
      <c r="A398" s="85" t="n">
        <v>46371</v>
      </c>
    </row>
    <row r="399" customFormat="false" ht="15" hidden="false" customHeight="false" outlineLevel="0" collapsed="false">
      <c r="A399" s="85" t="n">
        <v>46372</v>
      </c>
    </row>
    <row r="400" customFormat="false" ht="15" hidden="false" customHeight="false" outlineLevel="0" collapsed="false">
      <c r="A400" s="85" t="n">
        <v>46373</v>
      </c>
    </row>
    <row r="401" customFormat="false" ht="15" hidden="false" customHeight="false" outlineLevel="0" collapsed="false">
      <c r="A401" s="85" t="n">
        <v>46374</v>
      </c>
    </row>
    <row r="402" customFormat="false" ht="15" hidden="false" customHeight="false" outlineLevel="0" collapsed="false">
      <c r="A402" s="85" t="n">
        <v>46375</v>
      </c>
    </row>
    <row r="403" customFormat="false" ht="15" hidden="false" customHeight="false" outlineLevel="0" collapsed="false">
      <c r="A403" s="85" t="n">
        <v>46377</v>
      </c>
    </row>
    <row r="404" customFormat="false" ht="15" hidden="false" customHeight="false" outlineLevel="0" collapsed="false">
      <c r="A404" s="85" t="n">
        <v>46378</v>
      </c>
    </row>
    <row r="405" customFormat="false" ht="15" hidden="false" customHeight="false" outlineLevel="0" collapsed="false">
      <c r="A405" s="85" t="n">
        <v>46379</v>
      </c>
    </row>
    <row r="406" customFormat="false" ht="15" hidden="false" customHeight="false" outlineLevel="0" collapsed="false">
      <c r="A406" s="85" t="n">
        <v>46380</v>
      </c>
    </row>
    <row r="407" customFormat="false" ht="15" hidden="false" customHeight="false" outlineLevel="0" collapsed="false">
      <c r="A407" s="85" t="n">
        <v>46382</v>
      </c>
    </row>
    <row r="408" customFormat="false" ht="15" hidden="false" customHeight="false" outlineLevel="0" collapsed="false">
      <c r="A408" s="85" t="n">
        <v>46384</v>
      </c>
    </row>
    <row r="409" customFormat="false" ht="15" hidden="false" customHeight="false" outlineLevel="0" collapsed="false">
      <c r="A409" s="85" t="n">
        <v>46385</v>
      </c>
    </row>
    <row r="410" customFormat="false" ht="15" hidden="false" customHeight="false" outlineLevel="0" collapsed="false">
      <c r="A410" s="85" t="n">
        <v>46386</v>
      </c>
    </row>
    <row r="411" customFormat="false" ht="15" hidden="false" customHeight="false" outlineLevel="0" collapsed="false">
      <c r="A411" s="85" t="n">
        <v>46387</v>
      </c>
    </row>
    <row r="412" customFormat="false" ht="15" hidden="false" customHeight="false" outlineLevel="0" collapsed="false">
      <c r="A412" s="85" t="n">
        <v>46389</v>
      </c>
    </row>
    <row r="413" customFormat="false" ht="15" hidden="false" customHeight="false" outlineLevel="0" collapsed="false">
      <c r="A413" s="85" t="n">
        <v>46391</v>
      </c>
    </row>
    <row r="414" customFormat="false" ht="15" hidden="false" customHeight="false" outlineLevel="0" collapsed="false">
      <c r="A414" s="85" t="n">
        <v>46392</v>
      </c>
    </row>
    <row r="415" customFormat="false" ht="15" hidden="false" customHeight="false" outlineLevel="0" collapsed="false">
      <c r="A415" s="85" t="n">
        <v>46393</v>
      </c>
    </row>
    <row r="416" customFormat="false" ht="15" hidden="false" customHeight="false" outlineLevel="0" collapsed="false">
      <c r="A416" s="85" t="n">
        <v>46394</v>
      </c>
    </row>
    <row r="417" customFormat="false" ht="15" hidden="false" customHeight="false" outlineLevel="0" collapsed="false">
      <c r="A417" s="85" t="n">
        <v>46395</v>
      </c>
    </row>
    <row r="418" customFormat="false" ht="15" hidden="false" customHeight="false" outlineLevel="0" collapsed="false">
      <c r="A418" s="85" t="n">
        <v>46396</v>
      </c>
    </row>
    <row r="419" customFormat="false" ht="15" hidden="false" customHeight="false" outlineLevel="0" collapsed="false">
      <c r="A419" s="85" t="n">
        <v>46398</v>
      </c>
    </row>
    <row r="420" customFormat="false" ht="15" hidden="false" customHeight="false" outlineLevel="0" collapsed="false">
      <c r="A420" s="85" t="n">
        <v>46399</v>
      </c>
    </row>
    <row r="421" customFormat="false" ht="15" hidden="false" customHeight="false" outlineLevel="0" collapsed="false">
      <c r="A421" s="85" t="n">
        <v>46400</v>
      </c>
    </row>
    <row r="422" customFormat="false" ht="15" hidden="false" customHeight="false" outlineLevel="0" collapsed="false">
      <c r="A422" s="85" t="n">
        <v>46401</v>
      </c>
    </row>
    <row r="423" customFormat="false" ht="15" hidden="false" customHeight="false" outlineLevel="0" collapsed="false">
      <c r="A423" s="85" t="n">
        <v>46402</v>
      </c>
    </row>
    <row r="424" customFormat="false" ht="15" hidden="false" customHeight="false" outlineLevel="0" collapsed="false">
      <c r="A424" s="85" t="n">
        <v>46403</v>
      </c>
    </row>
    <row r="425" customFormat="false" ht="15" hidden="false" customHeight="false" outlineLevel="0" collapsed="false">
      <c r="A425" s="85" t="n">
        <v>46405</v>
      </c>
    </row>
    <row r="426" customFormat="false" ht="15" hidden="false" customHeight="false" outlineLevel="0" collapsed="false">
      <c r="A426" s="85" t="n">
        <v>46406</v>
      </c>
    </row>
    <row r="427" customFormat="false" ht="15" hidden="false" customHeight="false" outlineLevel="0" collapsed="false">
      <c r="A427" s="85" t="n">
        <v>46407</v>
      </c>
    </row>
    <row r="428" customFormat="false" ht="15" hidden="false" customHeight="false" outlineLevel="0" collapsed="false">
      <c r="A428" s="85" t="n">
        <v>46408</v>
      </c>
    </row>
    <row r="429" customFormat="false" ht="15" hidden="false" customHeight="false" outlineLevel="0" collapsed="false">
      <c r="A429" s="85" t="n">
        <v>46409</v>
      </c>
    </row>
    <row r="430" customFormat="false" ht="15" hidden="false" customHeight="false" outlineLevel="0" collapsed="false">
      <c r="A430" s="85" t="n">
        <v>46410</v>
      </c>
    </row>
    <row r="431" customFormat="false" ht="15" hidden="false" customHeight="false" outlineLevel="0" collapsed="false">
      <c r="A431" s="85" t="n">
        <v>46412</v>
      </c>
    </row>
    <row r="432" customFormat="false" ht="15" hidden="false" customHeight="false" outlineLevel="0" collapsed="false">
      <c r="A432" s="85" t="n">
        <v>46414</v>
      </c>
    </row>
    <row r="433" customFormat="false" ht="15" hidden="false" customHeight="false" outlineLevel="0" collapsed="false">
      <c r="A433" s="85" t="n">
        <v>46415</v>
      </c>
    </row>
    <row r="434" customFormat="false" ht="15" hidden="false" customHeight="false" outlineLevel="0" collapsed="false">
      <c r="A434" s="85" t="n">
        <v>46416</v>
      </c>
    </row>
    <row r="435" customFormat="false" ht="15" hidden="false" customHeight="false" outlineLevel="0" collapsed="false">
      <c r="A435" s="85" t="n">
        <v>46417</v>
      </c>
    </row>
    <row r="436" customFormat="false" ht="15" hidden="false" customHeight="false" outlineLevel="0" collapsed="false">
      <c r="A436" s="85" t="n">
        <v>46419</v>
      </c>
    </row>
    <row r="437" customFormat="false" ht="15" hidden="false" customHeight="false" outlineLevel="0" collapsed="false">
      <c r="A437" s="85" t="n">
        <v>46420</v>
      </c>
    </row>
    <row r="438" customFormat="false" ht="15" hidden="false" customHeight="false" outlineLevel="0" collapsed="false">
      <c r="A438" s="85" t="n">
        <v>46421</v>
      </c>
    </row>
    <row r="439" customFormat="false" ht="15" hidden="false" customHeight="false" outlineLevel="0" collapsed="false">
      <c r="A439" s="85" t="n">
        <v>46422</v>
      </c>
    </row>
    <row r="440" customFormat="false" ht="15" hidden="false" customHeight="false" outlineLevel="0" collapsed="false">
      <c r="A440" s="85" t="n">
        <v>46423</v>
      </c>
    </row>
    <row r="441" customFormat="false" ht="15" hidden="false" customHeight="false" outlineLevel="0" collapsed="false">
      <c r="A441" s="85" t="n">
        <v>46424</v>
      </c>
    </row>
    <row r="442" customFormat="false" ht="15" hidden="false" customHeight="false" outlineLevel="0" collapsed="false">
      <c r="A442" s="85" t="n">
        <v>46426</v>
      </c>
    </row>
    <row r="443" customFormat="false" ht="15" hidden="false" customHeight="false" outlineLevel="0" collapsed="false">
      <c r="A443" s="85" t="n">
        <v>46427</v>
      </c>
    </row>
    <row r="444" customFormat="false" ht="15" hidden="false" customHeight="false" outlineLevel="0" collapsed="false">
      <c r="A444" s="85" t="n">
        <v>46428</v>
      </c>
    </row>
    <row r="445" customFormat="false" ht="15" hidden="false" customHeight="false" outlineLevel="0" collapsed="false">
      <c r="A445" s="85" t="n">
        <v>46429</v>
      </c>
    </row>
    <row r="446" customFormat="false" ht="15" hidden="false" customHeight="false" outlineLevel="0" collapsed="false">
      <c r="A446" s="85" t="n">
        <v>46430</v>
      </c>
    </row>
    <row r="447" customFormat="false" ht="15" hidden="false" customHeight="false" outlineLevel="0" collapsed="false">
      <c r="A447" s="85" t="n">
        <v>46431</v>
      </c>
    </row>
    <row r="448" customFormat="false" ht="15" hidden="false" customHeight="false" outlineLevel="0" collapsed="false">
      <c r="A448" s="85" t="n">
        <v>46433</v>
      </c>
    </row>
    <row r="449" customFormat="false" ht="15" hidden="false" customHeight="false" outlineLevel="0" collapsed="false">
      <c r="A449" s="85" t="n">
        <v>46434</v>
      </c>
    </row>
    <row r="450" customFormat="false" ht="15" hidden="false" customHeight="false" outlineLevel="0" collapsed="false">
      <c r="A450" s="85" t="n">
        <v>46435</v>
      </c>
    </row>
    <row r="451" customFormat="false" ht="15" hidden="false" customHeight="false" outlineLevel="0" collapsed="false">
      <c r="A451" s="85" t="n">
        <v>46436</v>
      </c>
    </row>
    <row r="452" customFormat="false" ht="15" hidden="false" customHeight="false" outlineLevel="0" collapsed="false">
      <c r="A452" s="85" t="n">
        <v>46437</v>
      </c>
    </row>
    <row r="453" customFormat="false" ht="15" hidden="false" customHeight="false" outlineLevel="0" collapsed="false">
      <c r="A453" s="85" t="n">
        <v>46438</v>
      </c>
    </row>
    <row r="454" customFormat="false" ht="15" hidden="false" customHeight="false" outlineLevel="0" collapsed="false">
      <c r="A454" s="85" t="n">
        <v>46440</v>
      </c>
    </row>
    <row r="455" customFormat="false" ht="15" hidden="false" customHeight="false" outlineLevel="0" collapsed="false">
      <c r="A455" s="85" t="n">
        <v>46441</v>
      </c>
    </row>
    <row r="456" customFormat="false" ht="15" hidden="false" customHeight="false" outlineLevel="0" collapsed="false">
      <c r="A456" s="85" t="n">
        <v>46442</v>
      </c>
    </row>
    <row r="457" customFormat="false" ht="15" hidden="false" customHeight="false" outlineLevel="0" collapsed="false">
      <c r="A457" s="85" t="n">
        <v>46443</v>
      </c>
    </row>
    <row r="458" customFormat="false" ht="15" hidden="false" customHeight="false" outlineLevel="0" collapsed="false">
      <c r="A458" s="85" t="n">
        <v>46444</v>
      </c>
    </row>
    <row r="459" customFormat="false" ht="15" hidden="false" customHeight="false" outlineLevel="0" collapsed="false">
      <c r="A459" s="85" t="n">
        <v>46445</v>
      </c>
    </row>
    <row r="460" customFormat="false" ht="15" hidden="false" customHeight="false" outlineLevel="0" collapsed="false">
      <c r="A460" s="85" t="n">
        <v>46447</v>
      </c>
    </row>
    <row r="461" customFormat="false" ht="15" hidden="false" customHeight="false" outlineLevel="0" collapsed="false">
      <c r="A461" s="85" t="n">
        <v>46448</v>
      </c>
    </row>
    <row r="462" customFormat="false" ht="15" hidden="false" customHeight="false" outlineLevel="0" collapsed="false">
      <c r="A462" s="85" t="n">
        <v>46449</v>
      </c>
    </row>
    <row r="463" customFormat="false" ht="15" hidden="false" customHeight="false" outlineLevel="0" collapsed="false">
      <c r="A463" s="85" t="n">
        <v>46450</v>
      </c>
    </row>
    <row r="464" customFormat="false" ht="15" hidden="false" customHeight="false" outlineLevel="0" collapsed="false">
      <c r="A464" s="85" t="n">
        <v>46451</v>
      </c>
    </row>
    <row r="465" customFormat="false" ht="15" hidden="false" customHeight="false" outlineLevel="0" collapsed="false">
      <c r="A465" s="85" t="n">
        <v>46452</v>
      </c>
    </row>
    <row r="466" customFormat="false" ht="15" hidden="false" customHeight="false" outlineLevel="0" collapsed="false">
      <c r="A466" s="85" t="n">
        <v>46454</v>
      </c>
    </row>
    <row r="467" customFormat="false" ht="15" hidden="false" customHeight="false" outlineLevel="0" collapsed="false">
      <c r="A467" s="85" t="n">
        <v>46456</v>
      </c>
    </row>
    <row r="468" customFormat="false" ht="15" hidden="false" customHeight="false" outlineLevel="0" collapsed="false">
      <c r="A468" s="85" t="n">
        <v>46457</v>
      </c>
    </row>
    <row r="469" customFormat="false" ht="15" hidden="false" customHeight="false" outlineLevel="0" collapsed="false">
      <c r="A469" s="85" t="n">
        <v>46458</v>
      </c>
    </row>
    <row r="470" customFormat="false" ht="15" hidden="false" customHeight="false" outlineLevel="0" collapsed="false">
      <c r="A470" s="85" t="n">
        <v>46459</v>
      </c>
    </row>
    <row r="471" customFormat="false" ht="15" hidden="false" customHeight="false" outlineLevel="0" collapsed="false">
      <c r="A471" s="85" t="n">
        <v>46461</v>
      </c>
    </row>
    <row r="472" customFormat="false" ht="15" hidden="false" customHeight="false" outlineLevel="0" collapsed="false">
      <c r="A472" s="85" t="n">
        <v>46462</v>
      </c>
    </row>
    <row r="473" customFormat="false" ht="15" hidden="false" customHeight="false" outlineLevel="0" collapsed="false">
      <c r="A473" s="85" t="n">
        <v>46463</v>
      </c>
    </row>
    <row r="474" customFormat="false" ht="15" hidden="false" customHeight="false" outlineLevel="0" collapsed="false">
      <c r="A474" s="85" t="n">
        <v>46464</v>
      </c>
    </row>
    <row r="475" customFormat="false" ht="15" hidden="false" customHeight="false" outlineLevel="0" collapsed="false">
      <c r="A475" s="85" t="n">
        <v>46465</v>
      </c>
    </row>
    <row r="476" customFormat="false" ht="15" hidden="false" customHeight="false" outlineLevel="0" collapsed="false">
      <c r="A476" s="85" t="n">
        <v>46466</v>
      </c>
    </row>
    <row r="477" customFormat="false" ht="15" hidden="false" customHeight="false" outlineLevel="0" collapsed="false">
      <c r="A477" s="85" t="n">
        <v>46469</v>
      </c>
    </row>
    <row r="478" customFormat="false" ht="15" hidden="false" customHeight="false" outlineLevel="0" collapsed="false">
      <c r="A478" s="85" t="n">
        <v>46470</v>
      </c>
    </row>
    <row r="479" customFormat="false" ht="15" hidden="false" customHeight="false" outlineLevel="0" collapsed="false">
      <c r="A479" s="85" t="n">
        <v>46471</v>
      </c>
    </row>
    <row r="480" customFormat="false" ht="15" hidden="false" customHeight="false" outlineLevel="0" collapsed="false">
      <c r="A480" s="85" t="n">
        <v>46472</v>
      </c>
    </row>
    <row r="481" customFormat="false" ht="15" hidden="false" customHeight="false" outlineLevel="0" collapsed="false">
      <c r="A481" s="85" t="n">
        <v>46473</v>
      </c>
    </row>
    <row r="482" customFormat="false" ht="15" hidden="false" customHeight="false" outlineLevel="0" collapsed="false">
      <c r="A482" s="85" t="n">
        <v>46475</v>
      </c>
    </row>
    <row r="483" customFormat="false" ht="15" hidden="false" customHeight="false" outlineLevel="0" collapsed="false">
      <c r="A483" s="85" t="n">
        <v>46476</v>
      </c>
    </row>
    <row r="484" customFormat="false" ht="15" hidden="false" customHeight="false" outlineLevel="0" collapsed="false">
      <c r="A484" s="85" t="n">
        <v>46477</v>
      </c>
    </row>
    <row r="485" customFormat="false" ht="15" hidden="false" customHeight="false" outlineLevel="0" collapsed="false">
      <c r="A485" s="85" t="n">
        <v>46478</v>
      </c>
    </row>
    <row r="486" customFormat="false" ht="15" hidden="false" customHeight="false" outlineLevel="0" collapsed="false">
      <c r="A486" s="85" t="n">
        <v>46479</v>
      </c>
    </row>
    <row r="487" customFormat="false" ht="15" hidden="false" customHeight="false" outlineLevel="0" collapsed="false">
      <c r="A487" s="85" t="n">
        <v>46480</v>
      </c>
    </row>
    <row r="488" customFormat="false" ht="15" hidden="false" customHeight="false" outlineLevel="0" collapsed="false">
      <c r="A488" s="85" t="n">
        <v>46482</v>
      </c>
    </row>
    <row r="489" customFormat="false" ht="15" hidden="false" customHeight="false" outlineLevel="0" collapsed="false">
      <c r="A489" s="85" t="n">
        <v>46483</v>
      </c>
    </row>
    <row r="490" customFormat="false" ht="15" hidden="false" customHeight="false" outlineLevel="0" collapsed="false">
      <c r="A490" s="85" t="n">
        <v>46484</v>
      </c>
    </row>
    <row r="491" customFormat="false" ht="15" hidden="false" customHeight="false" outlineLevel="0" collapsed="false">
      <c r="A491" s="85" t="n">
        <v>46485</v>
      </c>
    </row>
    <row r="492" customFormat="false" ht="15" hidden="false" customHeight="false" outlineLevel="0" collapsed="false">
      <c r="A492" s="85" t="n">
        <v>46486</v>
      </c>
    </row>
    <row r="493" customFormat="false" ht="15" hidden="false" customHeight="false" outlineLevel="0" collapsed="false">
      <c r="A493" s="85" t="n">
        <v>46487</v>
      </c>
    </row>
    <row r="494" customFormat="false" ht="15" hidden="false" customHeight="false" outlineLevel="0" collapsed="false">
      <c r="A494" s="85" t="n">
        <v>46489</v>
      </c>
    </row>
    <row r="495" customFormat="false" ht="15" hidden="false" customHeight="false" outlineLevel="0" collapsed="false">
      <c r="A495" s="85" t="n">
        <v>46490</v>
      </c>
    </row>
    <row r="496" customFormat="false" ht="15" hidden="false" customHeight="false" outlineLevel="0" collapsed="false">
      <c r="A496" s="85" t="n">
        <v>46491</v>
      </c>
    </row>
    <row r="497" customFormat="false" ht="15" hidden="false" customHeight="false" outlineLevel="0" collapsed="false">
      <c r="A497" s="85" t="n">
        <v>46492</v>
      </c>
    </row>
    <row r="498" customFormat="false" ht="15" hidden="false" customHeight="false" outlineLevel="0" collapsed="false">
      <c r="A498" s="85" t="n">
        <v>46493</v>
      </c>
    </row>
    <row r="499" customFormat="false" ht="15" hidden="false" customHeight="false" outlineLevel="0" collapsed="false">
      <c r="A499" s="85" t="n">
        <v>46494</v>
      </c>
    </row>
    <row r="500" customFormat="false" ht="15" hidden="false" customHeight="false" outlineLevel="0" collapsed="false">
      <c r="A500" s="85" t="n">
        <v>46496</v>
      </c>
    </row>
    <row r="501" customFormat="false" ht="15" hidden="false" customHeight="false" outlineLevel="0" collapsed="false">
      <c r="A501" s="85" t="n">
        <v>46497</v>
      </c>
    </row>
    <row r="502" customFormat="false" ht="15" hidden="false" customHeight="false" outlineLevel="0" collapsed="false">
      <c r="A502" s="85" t="n">
        <v>46498</v>
      </c>
    </row>
    <row r="503" customFormat="false" ht="15" hidden="false" customHeight="false" outlineLevel="0" collapsed="false">
      <c r="A503" s="85" t="n">
        <v>46499</v>
      </c>
    </row>
    <row r="504" customFormat="false" ht="15" hidden="false" customHeight="false" outlineLevel="0" collapsed="false">
      <c r="A504" s="85" t="n">
        <v>46500</v>
      </c>
    </row>
    <row r="505" customFormat="false" ht="15" hidden="false" customHeight="false" outlineLevel="0" collapsed="false">
      <c r="A505" s="85" t="n">
        <v>46501</v>
      </c>
    </row>
    <row r="506" customFormat="false" ht="15" hidden="false" customHeight="false" outlineLevel="0" collapsed="false">
      <c r="A506" s="85" t="n">
        <v>46503</v>
      </c>
    </row>
    <row r="507" customFormat="false" ht="15" hidden="false" customHeight="false" outlineLevel="0" collapsed="false">
      <c r="A507" s="85" t="n">
        <v>46504</v>
      </c>
    </row>
    <row r="508" customFormat="false" ht="15" hidden="false" customHeight="false" outlineLevel="0" collapsed="false">
      <c r="A508" s="85" t="n">
        <v>46505</v>
      </c>
    </row>
    <row r="509" customFormat="false" ht="15" hidden="false" customHeight="false" outlineLevel="0" collapsed="false">
      <c r="A509" s="85" t="n">
        <v>46506</v>
      </c>
    </row>
    <row r="510" customFormat="false" ht="15" hidden="false" customHeight="false" outlineLevel="0" collapsed="false">
      <c r="A510" s="85" t="n">
        <v>46507</v>
      </c>
    </row>
    <row r="511" customFormat="false" ht="15" hidden="false" customHeight="false" outlineLevel="0" collapsed="false">
      <c r="A511" s="85" t="n">
        <v>46510</v>
      </c>
    </row>
    <row r="512" customFormat="false" ht="15" hidden="false" customHeight="false" outlineLevel="0" collapsed="false">
      <c r="A512" s="85" t="n">
        <v>46511</v>
      </c>
    </row>
    <row r="513" customFormat="false" ht="15" hidden="false" customHeight="false" outlineLevel="0" collapsed="false">
      <c r="A513" s="85" t="n">
        <v>46512</v>
      </c>
    </row>
    <row r="514" customFormat="false" ht="15" hidden="false" customHeight="false" outlineLevel="0" collapsed="false">
      <c r="A514" s="85" t="n">
        <v>46513</v>
      </c>
    </row>
    <row r="515" customFormat="false" ht="15" hidden="false" customHeight="false" outlineLevel="0" collapsed="false">
      <c r="A515" s="85" t="n">
        <v>46514</v>
      </c>
    </row>
    <row r="516" customFormat="false" ht="15" hidden="false" customHeight="false" outlineLevel="0" collapsed="false">
      <c r="A516" s="85" t="n">
        <v>46515</v>
      </c>
    </row>
    <row r="517" customFormat="false" ht="15" hidden="false" customHeight="false" outlineLevel="0" collapsed="false">
      <c r="A517" s="85" t="n">
        <v>46517</v>
      </c>
    </row>
    <row r="518" customFormat="false" ht="15" hidden="false" customHeight="false" outlineLevel="0" collapsed="false">
      <c r="A518" s="85" t="n">
        <v>46518</v>
      </c>
    </row>
    <row r="519" customFormat="false" ht="15" hidden="false" customHeight="false" outlineLevel="0" collapsed="false">
      <c r="A519" s="85" t="n">
        <v>46519</v>
      </c>
    </row>
    <row r="520" customFormat="false" ht="15" hidden="false" customHeight="false" outlineLevel="0" collapsed="false">
      <c r="A520" s="85" t="n">
        <v>46520</v>
      </c>
    </row>
    <row r="521" customFormat="false" ht="15" hidden="false" customHeight="false" outlineLevel="0" collapsed="false">
      <c r="A521" s="85" t="n">
        <v>46521</v>
      </c>
    </row>
    <row r="522" customFormat="false" ht="15" hidden="false" customHeight="false" outlineLevel="0" collapsed="false">
      <c r="A522" s="85" t="n">
        <v>46522</v>
      </c>
    </row>
    <row r="523" customFormat="false" ht="15" hidden="false" customHeight="false" outlineLevel="0" collapsed="false">
      <c r="A523" s="85" t="n">
        <v>46524</v>
      </c>
    </row>
    <row r="524" customFormat="false" ht="15" hidden="false" customHeight="false" outlineLevel="0" collapsed="false">
      <c r="A524" s="85" t="n">
        <v>46525</v>
      </c>
    </row>
    <row r="525" customFormat="false" ht="15" hidden="false" customHeight="false" outlineLevel="0" collapsed="false">
      <c r="A525" s="85" t="n">
        <v>46526</v>
      </c>
    </row>
    <row r="526" customFormat="false" ht="15" hidden="false" customHeight="false" outlineLevel="0" collapsed="false">
      <c r="A526" s="85" t="n">
        <v>46527</v>
      </c>
    </row>
    <row r="527" customFormat="false" ht="15" hidden="false" customHeight="false" outlineLevel="0" collapsed="false">
      <c r="A527" s="85" t="n">
        <v>46528</v>
      </c>
    </row>
    <row r="528" customFormat="false" ht="15" hidden="false" customHeight="false" outlineLevel="0" collapsed="false">
      <c r="A528" s="85" t="n">
        <v>46529</v>
      </c>
    </row>
    <row r="529" customFormat="false" ht="15" hidden="false" customHeight="false" outlineLevel="0" collapsed="false">
      <c r="A529" s="85" t="n">
        <v>46531</v>
      </c>
    </row>
    <row r="530" customFormat="false" ht="15" hidden="false" customHeight="false" outlineLevel="0" collapsed="false">
      <c r="A530" s="85" t="n">
        <v>46532</v>
      </c>
    </row>
    <row r="531" customFormat="false" ht="15" hidden="false" customHeight="false" outlineLevel="0" collapsed="false">
      <c r="A531" s="85" t="n">
        <v>46533</v>
      </c>
    </row>
    <row r="532" customFormat="false" ht="15" hidden="false" customHeight="false" outlineLevel="0" collapsed="false">
      <c r="A532" s="85" t="n">
        <v>46534</v>
      </c>
    </row>
    <row r="533" customFormat="false" ht="15" hidden="false" customHeight="false" outlineLevel="0" collapsed="false">
      <c r="A533" s="85" t="n">
        <v>46535</v>
      </c>
    </row>
    <row r="534" customFormat="false" ht="15" hidden="false" customHeight="false" outlineLevel="0" collapsed="false">
      <c r="A534" s="85" t="n">
        <v>46536</v>
      </c>
    </row>
    <row r="535" customFormat="false" ht="15" hidden="false" customHeight="false" outlineLevel="0" collapsed="false">
      <c r="A535" s="85" t="n">
        <v>46538</v>
      </c>
    </row>
    <row r="536" customFormat="false" ht="15" hidden="false" customHeight="false" outlineLevel="0" collapsed="false">
      <c r="A536" s="85" t="n">
        <v>46539</v>
      </c>
    </row>
    <row r="537" customFormat="false" ht="15" hidden="false" customHeight="false" outlineLevel="0" collapsed="false">
      <c r="A537" s="85" t="n">
        <v>46540</v>
      </c>
    </row>
    <row r="538" customFormat="false" ht="15" hidden="false" customHeight="false" outlineLevel="0" collapsed="false">
      <c r="A538" s="85" t="n">
        <v>46541</v>
      </c>
    </row>
    <row r="539" customFormat="false" ht="15" hidden="false" customHeight="false" outlineLevel="0" collapsed="false">
      <c r="A539" s="85" t="n">
        <v>46542</v>
      </c>
    </row>
    <row r="540" customFormat="false" ht="15" hidden="false" customHeight="false" outlineLevel="0" collapsed="false">
      <c r="A540" s="85" t="n">
        <v>46543</v>
      </c>
    </row>
    <row r="541" customFormat="false" ht="15" hidden="false" customHeight="false" outlineLevel="0" collapsed="false">
      <c r="A541" s="85" t="n">
        <v>46545</v>
      </c>
    </row>
    <row r="542" customFormat="false" ht="15" hidden="false" customHeight="false" outlineLevel="0" collapsed="false">
      <c r="A542" s="85" t="n">
        <v>46546</v>
      </c>
    </row>
    <row r="543" customFormat="false" ht="15" hidden="false" customHeight="false" outlineLevel="0" collapsed="false">
      <c r="A543" s="85" t="n">
        <v>46547</v>
      </c>
    </row>
    <row r="544" customFormat="false" ht="15" hidden="false" customHeight="false" outlineLevel="0" collapsed="false">
      <c r="A544" s="85" t="n">
        <v>46548</v>
      </c>
    </row>
    <row r="545" customFormat="false" ht="15" hidden="false" customHeight="false" outlineLevel="0" collapsed="false">
      <c r="A545" s="85" t="n">
        <v>46549</v>
      </c>
    </row>
    <row r="546" customFormat="false" ht="15" hidden="false" customHeight="false" outlineLevel="0" collapsed="false">
      <c r="A546" s="85" t="n">
        <v>46550</v>
      </c>
    </row>
    <row r="547" customFormat="false" ht="15" hidden="false" customHeight="false" outlineLevel="0" collapsed="false">
      <c r="A547" s="85" t="n">
        <v>46552</v>
      </c>
    </row>
    <row r="548" customFormat="false" ht="15" hidden="false" customHeight="false" outlineLevel="0" collapsed="false">
      <c r="A548" s="85" t="n">
        <v>46553</v>
      </c>
    </row>
    <row r="549" customFormat="false" ht="15" hidden="false" customHeight="false" outlineLevel="0" collapsed="false">
      <c r="A549" s="85" t="n">
        <v>46554</v>
      </c>
    </row>
    <row r="550" customFormat="false" ht="15" hidden="false" customHeight="false" outlineLevel="0" collapsed="false">
      <c r="A550" s="85" t="n">
        <v>46555</v>
      </c>
    </row>
    <row r="551" customFormat="false" ht="15" hidden="false" customHeight="false" outlineLevel="0" collapsed="false">
      <c r="A551" s="85" t="n">
        <v>46556</v>
      </c>
    </row>
    <row r="552" customFormat="false" ht="15" hidden="false" customHeight="false" outlineLevel="0" collapsed="false">
      <c r="A552" s="85" t="n">
        <v>46557</v>
      </c>
    </row>
    <row r="553" customFormat="false" ht="15" hidden="false" customHeight="false" outlineLevel="0" collapsed="false">
      <c r="A553" s="85" t="n">
        <v>46559</v>
      </c>
    </row>
    <row r="554" customFormat="false" ht="15" hidden="false" customHeight="false" outlineLevel="0" collapsed="false">
      <c r="A554" s="85" t="n">
        <v>46560</v>
      </c>
    </row>
    <row r="555" customFormat="false" ht="15" hidden="false" customHeight="false" outlineLevel="0" collapsed="false">
      <c r="A555" s="85" t="n">
        <v>46561</v>
      </c>
    </row>
    <row r="556" customFormat="false" ht="15" hidden="false" customHeight="false" outlineLevel="0" collapsed="false">
      <c r="A556" s="85" t="n">
        <v>46562</v>
      </c>
    </row>
    <row r="557" customFormat="false" ht="15" hidden="false" customHeight="false" outlineLevel="0" collapsed="false">
      <c r="A557" s="85" t="n">
        <v>46563</v>
      </c>
    </row>
    <row r="558" customFormat="false" ht="15" hidden="false" customHeight="false" outlineLevel="0" collapsed="false">
      <c r="A558" s="85" t="n">
        <v>46564</v>
      </c>
    </row>
    <row r="559" customFormat="false" ht="15" hidden="false" customHeight="false" outlineLevel="0" collapsed="false">
      <c r="A559" s="85" t="n">
        <v>46566</v>
      </c>
    </row>
    <row r="560" customFormat="false" ht="15" hidden="false" customHeight="false" outlineLevel="0" collapsed="false">
      <c r="A560" s="85" t="n">
        <v>46567</v>
      </c>
    </row>
    <row r="561" customFormat="false" ht="15" hidden="false" customHeight="false" outlineLevel="0" collapsed="false">
      <c r="A561" s="85" t="n">
        <v>46568</v>
      </c>
    </row>
    <row r="562" customFormat="false" ht="15" hidden="false" customHeight="false" outlineLevel="0" collapsed="false">
      <c r="A562" s="85" t="n">
        <v>46569</v>
      </c>
    </row>
    <row r="563" customFormat="false" ht="15" hidden="false" customHeight="false" outlineLevel="0" collapsed="false">
      <c r="A563" s="85" t="n">
        <v>46570</v>
      </c>
    </row>
    <row r="564" customFormat="false" ht="15" hidden="false" customHeight="false" outlineLevel="0" collapsed="false">
      <c r="A564" s="85" t="n">
        <v>46571</v>
      </c>
    </row>
    <row r="565" customFormat="false" ht="15" hidden="false" customHeight="false" outlineLevel="0" collapsed="false">
      <c r="A565" s="85" t="n">
        <v>46573</v>
      </c>
    </row>
    <row r="566" customFormat="false" ht="15" hidden="false" customHeight="false" outlineLevel="0" collapsed="false">
      <c r="A566" s="85" t="n">
        <v>46574</v>
      </c>
    </row>
    <row r="567" customFormat="false" ht="15" hidden="false" customHeight="false" outlineLevel="0" collapsed="false">
      <c r="A567" s="85" t="n">
        <v>46575</v>
      </c>
    </row>
    <row r="568" customFormat="false" ht="15" hidden="false" customHeight="false" outlineLevel="0" collapsed="false">
      <c r="A568" s="85" t="n">
        <v>46576</v>
      </c>
    </row>
    <row r="569" customFormat="false" ht="15" hidden="false" customHeight="false" outlineLevel="0" collapsed="false">
      <c r="A569" s="85" t="n">
        <v>46577</v>
      </c>
    </row>
    <row r="570" customFormat="false" ht="15" hidden="false" customHeight="false" outlineLevel="0" collapsed="false">
      <c r="A570" s="85" t="n">
        <v>46578</v>
      </c>
    </row>
    <row r="571" customFormat="false" ht="15" hidden="false" customHeight="false" outlineLevel="0" collapsed="false">
      <c r="A571" s="85" t="n">
        <v>46580</v>
      </c>
    </row>
    <row r="572" customFormat="false" ht="15" hidden="false" customHeight="false" outlineLevel="0" collapsed="false">
      <c r="A572" s="85" t="n">
        <v>46581</v>
      </c>
    </row>
    <row r="573" customFormat="false" ht="15" hidden="false" customHeight="false" outlineLevel="0" collapsed="false">
      <c r="A573" s="85" t="n">
        <v>46582</v>
      </c>
    </row>
    <row r="574" customFormat="false" ht="15" hidden="false" customHeight="false" outlineLevel="0" collapsed="false">
      <c r="A574" s="85" t="n">
        <v>46583</v>
      </c>
    </row>
    <row r="575" customFormat="false" ht="15" hidden="false" customHeight="false" outlineLevel="0" collapsed="false">
      <c r="A575" s="85" t="n">
        <v>46584</v>
      </c>
    </row>
    <row r="576" customFormat="false" ht="15" hidden="false" customHeight="false" outlineLevel="0" collapsed="false">
      <c r="A576" s="85" t="n">
        <v>46585</v>
      </c>
    </row>
    <row r="577" customFormat="false" ht="15" hidden="false" customHeight="false" outlineLevel="0" collapsed="false">
      <c r="A577" s="85" t="n">
        <v>46587</v>
      </c>
    </row>
    <row r="578" customFormat="false" ht="15" hidden="false" customHeight="false" outlineLevel="0" collapsed="false">
      <c r="A578" s="85" t="n">
        <v>46588</v>
      </c>
    </row>
    <row r="579" customFormat="false" ht="15" hidden="false" customHeight="false" outlineLevel="0" collapsed="false">
      <c r="A579" s="85" t="n">
        <v>46589</v>
      </c>
    </row>
    <row r="580" customFormat="false" ht="15" hidden="false" customHeight="false" outlineLevel="0" collapsed="false">
      <c r="A580" s="85" t="n">
        <v>46590</v>
      </c>
    </row>
    <row r="581" customFormat="false" ht="15" hidden="false" customHeight="false" outlineLevel="0" collapsed="false">
      <c r="A581" s="85" t="n">
        <v>46591</v>
      </c>
    </row>
    <row r="582" customFormat="false" ht="15" hidden="false" customHeight="false" outlineLevel="0" collapsed="false">
      <c r="A582" s="85" t="n">
        <v>46592</v>
      </c>
    </row>
    <row r="583" customFormat="false" ht="15" hidden="false" customHeight="false" outlineLevel="0" collapsed="false">
      <c r="A583" s="85" t="n">
        <v>46594</v>
      </c>
    </row>
    <row r="584" customFormat="false" ht="15" hidden="false" customHeight="false" outlineLevel="0" collapsed="false">
      <c r="A584" s="85" t="n">
        <v>46595</v>
      </c>
    </row>
    <row r="585" customFormat="false" ht="15" hidden="false" customHeight="false" outlineLevel="0" collapsed="false">
      <c r="A585" s="85" t="n">
        <v>46596</v>
      </c>
    </row>
    <row r="586" customFormat="false" ht="15" hidden="false" customHeight="false" outlineLevel="0" collapsed="false">
      <c r="A586" s="85" t="n">
        <v>46597</v>
      </c>
    </row>
    <row r="587" customFormat="false" ht="15" hidden="false" customHeight="false" outlineLevel="0" collapsed="false">
      <c r="A587" s="85" t="n">
        <v>46598</v>
      </c>
    </row>
    <row r="588" customFormat="false" ht="15" hidden="false" customHeight="false" outlineLevel="0" collapsed="false">
      <c r="A588" s="85" t="n">
        <v>46599</v>
      </c>
    </row>
    <row r="589" customFormat="false" ht="15" hidden="false" customHeight="false" outlineLevel="0" collapsed="false">
      <c r="A589" s="85" t="n">
        <v>46601</v>
      </c>
    </row>
    <row r="590" customFormat="false" ht="15" hidden="false" customHeight="false" outlineLevel="0" collapsed="false">
      <c r="A590" s="85" t="n">
        <v>46602</v>
      </c>
    </row>
    <row r="591" customFormat="false" ht="15" hidden="false" customHeight="false" outlineLevel="0" collapsed="false">
      <c r="A591" s="85" t="n">
        <v>46603</v>
      </c>
    </row>
    <row r="592" customFormat="false" ht="15" hidden="false" customHeight="false" outlineLevel="0" collapsed="false">
      <c r="A592" s="85" t="n">
        <v>46604</v>
      </c>
    </row>
    <row r="593" customFormat="false" ht="15" hidden="false" customHeight="false" outlineLevel="0" collapsed="false">
      <c r="A593" s="85" t="n">
        <v>46605</v>
      </c>
    </row>
    <row r="594" customFormat="false" ht="15" hidden="false" customHeight="false" outlineLevel="0" collapsed="false">
      <c r="A594" s="85" t="n">
        <v>46606</v>
      </c>
    </row>
    <row r="595" customFormat="false" ht="15" hidden="false" customHeight="false" outlineLevel="0" collapsed="false">
      <c r="A595" s="85" t="n">
        <v>46608</v>
      </c>
    </row>
    <row r="596" customFormat="false" ht="15" hidden="false" customHeight="false" outlineLevel="0" collapsed="false">
      <c r="A596" s="85" t="n">
        <v>46609</v>
      </c>
    </row>
    <row r="597" customFormat="false" ht="15" hidden="false" customHeight="false" outlineLevel="0" collapsed="false">
      <c r="A597" s="85" t="n">
        <v>46610</v>
      </c>
    </row>
    <row r="598" customFormat="false" ht="15" hidden="false" customHeight="false" outlineLevel="0" collapsed="false">
      <c r="A598" s="85" t="n">
        <v>46611</v>
      </c>
    </row>
    <row r="599" customFormat="false" ht="15" hidden="false" customHeight="false" outlineLevel="0" collapsed="false">
      <c r="A599" s="85" t="n">
        <v>46612</v>
      </c>
    </row>
    <row r="600" customFormat="false" ht="15" hidden="false" customHeight="false" outlineLevel="0" collapsed="false">
      <c r="A600" s="85" t="n">
        <v>46613</v>
      </c>
    </row>
    <row r="601" customFormat="false" ht="15" hidden="false" customHeight="false" outlineLevel="0" collapsed="false">
      <c r="A601" s="85" t="n">
        <v>46615</v>
      </c>
    </row>
    <row r="602" customFormat="false" ht="15" hidden="false" customHeight="false" outlineLevel="0" collapsed="false">
      <c r="A602" s="85" t="n">
        <v>46616</v>
      </c>
    </row>
    <row r="603" customFormat="false" ht="15" hidden="false" customHeight="false" outlineLevel="0" collapsed="false">
      <c r="A603" s="85" t="n">
        <v>46617</v>
      </c>
    </row>
    <row r="604" customFormat="false" ht="15" hidden="false" customHeight="false" outlineLevel="0" collapsed="false">
      <c r="A604" s="85" t="n">
        <v>46618</v>
      </c>
    </row>
    <row r="605" customFormat="false" ht="15" hidden="false" customHeight="false" outlineLevel="0" collapsed="false">
      <c r="A605" s="85" t="n">
        <v>46619</v>
      </c>
    </row>
    <row r="606" customFormat="false" ht="15" hidden="false" customHeight="false" outlineLevel="0" collapsed="false">
      <c r="A606" s="85" t="n">
        <v>46620</v>
      </c>
    </row>
    <row r="607" customFormat="false" ht="15" hidden="false" customHeight="false" outlineLevel="0" collapsed="false">
      <c r="A607" s="85" t="n">
        <v>46622</v>
      </c>
    </row>
    <row r="608" customFormat="false" ht="15" hidden="false" customHeight="false" outlineLevel="0" collapsed="false">
      <c r="A608" s="85" t="n">
        <v>46623</v>
      </c>
    </row>
    <row r="609" customFormat="false" ht="15" hidden="false" customHeight="false" outlineLevel="0" collapsed="false">
      <c r="A609" s="85" t="n">
        <v>46624</v>
      </c>
    </row>
    <row r="610" customFormat="false" ht="15" hidden="false" customHeight="false" outlineLevel="0" collapsed="false">
      <c r="A610" s="85" t="n">
        <v>46625</v>
      </c>
    </row>
    <row r="611" customFormat="false" ht="15" hidden="false" customHeight="false" outlineLevel="0" collapsed="false">
      <c r="A611" s="85" t="n">
        <v>46626</v>
      </c>
    </row>
    <row r="612" customFormat="false" ht="15" hidden="false" customHeight="false" outlineLevel="0" collapsed="false">
      <c r="A612" s="85" t="n">
        <v>46627</v>
      </c>
    </row>
    <row r="613" customFormat="false" ht="15" hidden="false" customHeight="false" outlineLevel="0" collapsed="false">
      <c r="A613" s="85" t="n">
        <v>46629</v>
      </c>
    </row>
    <row r="614" customFormat="false" ht="15" hidden="false" customHeight="false" outlineLevel="0" collapsed="false">
      <c r="A614" s="85" t="n">
        <v>46630</v>
      </c>
    </row>
    <row r="615" customFormat="false" ht="15" hidden="false" customHeight="false" outlineLevel="0" collapsed="false">
      <c r="A615" s="85" t="n">
        <v>46631</v>
      </c>
    </row>
    <row r="616" customFormat="false" ht="15" hidden="false" customHeight="false" outlineLevel="0" collapsed="false">
      <c r="A616" s="85" t="n">
        <v>46632</v>
      </c>
    </row>
    <row r="617" customFormat="false" ht="15" hidden="false" customHeight="false" outlineLevel="0" collapsed="false">
      <c r="A617" s="85" t="n">
        <v>46633</v>
      </c>
    </row>
    <row r="618" customFormat="false" ht="15" hidden="false" customHeight="false" outlineLevel="0" collapsed="false">
      <c r="A618" s="85" t="n">
        <v>46634</v>
      </c>
    </row>
    <row r="619" customFormat="false" ht="15" hidden="false" customHeight="false" outlineLevel="0" collapsed="false">
      <c r="A619" s="85" t="n">
        <v>46636</v>
      </c>
    </row>
    <row r="620" customFormat="false" ht="15" hidden="false" customHeight="false" outlineLevel="0" collapsed="false">
      <c r="A620" s="85" t="n">
        <v>46637</v>
      </c>
    </row>
    <row r="621" customFormat="false" ht="15" hidden="false" customHeight="false" outlineLevel="0" collapsed="false">
      <c r="A621" s="85" t="n">
        <v>46638</v>
      </c>
    </row>
    <row r="622" customFormat="false" ht="15" hidden="false" customHeight="false" outlineLevel="0" collapsed="false">
      <c r="A622" s="85" t="n">
        <v>46639</v>
      </c>
    </row>
    <row r="623" customFormat="false" ht="15" hidden="false" customHeight="false" outlineLevel="0" collapsed="false">
      <c r="A623" s="85" t="n">
        <v>46640</v>
      </c>
    </row>
    <row r="624" customFormat="false" ht="15" hidden="false" customHeight="false" outlineLevel="0" collapsed="false">
      <c r="A624" s="85" t="n">
        <v>46641</v>
      </c>
    </row>
    <row r="625" customFormat="false" ht="15" hidden="false" customHeight="false" outlineLevel="0" collapsed="false">
      <c r="A625" s="85" t="n">
        <v>46643</v>
      </c>
    </row>
    <row r="626" customFormat="false" ht="15" hidden="false" customHeight="false" outlineLevel="0" collapsed="false">
      <c r="A626" s="85" t="n">
        <v>46644</v>
      </c>
    </row>
    <row r="627" customFormat="false" ht="15" hidden="false" customHeight="false" outlineLevel="0" collapsed="false">
      <c r="A627" s="85" t="n">
        <v>46645</v>
      </c>
    </row>
    <row r="628" customFormat="false" ht="15" hidden="false" customHeight="false" outlineLevel="0" collapsed="false">
      <c r="A628" s="85" t="n">
        <v>46646</v>
      </c>
    </row>
    <row r="629" customFormat="false" ht="15" hidden="false" customHeight="false" outlineLevel="0" collapsed="false">
      <c r="A629" s="85" t="n">
        <v>46647</v>
      </c>
    </row>
    <row r="630" customFormat="false" ht="15" hidden="false" customHeight="false" outlineLevel="0" collapsed="false">
      <c r="A630" s="85" t="n">
        <v>46648</v>
      </c>
    </row>
    <row r="631" customFormat="false" ht="15" hidden="false" customHeight="false" outlineLevel="0" collapsed="false">
      <c r="A631" s="85" t="n">
        <v>46650</v>
      </c>
    </row>
    <row r="632" customFormat="false" ht="15" hidden="false" customHeight="false" outlineLevel="0" collapsed="false">
      <c r="A632" s="85" t="n">
        <v>46651</v>
      </c>
    </row>
    <row r="633" customFormat="false" ht="15" hidden="false" customHeight="false" outlineLevel="0" collapsed="false">
      <c r="A633" s="85" t="n">
        <v>46652</v>
      </c>
    </row>
    <row r="634" customFormat="false" ht="15" hidden="false" customHeight="false" outlineLevel="0" collapsed="false">
      <c r="A634" s="85" t="n">
        <v>46653</v>
      </c>
    </row>
    <row r="635" customFormat="false" ht="15" hidden="false" customHeight="false" outlineLevel="0" collapsed="false">
      <c r="A635" s="85" t="n">
        <v>46654</v>
      </c>
    </row>
    <row r="636" customFormat="false" ht="15" hidden="false" customHeight="false" outlineLevel="0" collapsed="false">
      <c r="A636" s="85" t="n">
        <v>46655</v>
      </c>
    </row>
    <row r="637" customFormat="false" ht="15" hidden="false" customHeight="false" outlineLevel="0" collapsed="false">
      <c r="A637" s="85" t="n">
        <v>46657</v>
      </c>
    </row>
    <row r="638" customFormat="false" ht="15" hidden="false" customHeight="false" outlineLevel="0" collapsed="false">
      <c r="A638" s="85" t="n">
        <v>46658</v>
      </c>
    </row>
    <row r="639" customFormat="false" ht="15" hidden="false" customHeight="false" outlineLevel="0" collapsed="false">
      <c r="A639" s="85" t="n">
        <v>46659</v>
      </c>
    </row>
    <row r="640" customFormat="false" ht="15" hidden="false" customHeight="false" outlineLevel="0" collapsed="false">
      <c r="A640" s="85" t="n">
        <v>46660</v>
      </c>
    </row>
    <row r="641" customFormat="false" ht="15" hidden="false" customHeight="false" outlineLevel="0" collapsed="false">
      <c r="A641" s="85" t="n">
        <v>46661</v>
      </c>
    </row>
    <row r="642" customFormat="false" ht="15" hidden="false" customHeight="false" outlineLevel="0" collapsed="false">
      <c r="A642" s="85" t="n">
        <v>46664</v>
      </c>
    </row>
    <row r="643" customFormat="false" ht="15" hidden="false" customHeight="false" outlineLevel="0" collapsed="false">
      <c r="A643" s="85" t="n">
        <v>46665</v>
      </c>
    </row>
    <row r="644" customFormat="false" ht="15" hidden="false" customHeight="false" outlineLevel="0" collapsed="false">
      <c r="A644" s="85" t="n">
        <v>46666</v>
      </c>
    </row>
    <row r="645" customFormat="false" ht="15" hidden="false" customHeight="false" outlineLevel="0" collapsed="false">
      <c r="A645" s="85" t="n">
        <v>46667</v>
      </c>
    </row>
    <row r="646" customFormat="false" ht="15" hidden="false" customHeight="false" outlineLevel="0" collapsed="false">
      <c r="A646" s="85" t="n">
        <v>46668</v>
      </c>
    </row>
    <row r="647" customFormat="false" ht="15" hidden="false" customHeight="false" outlineLevel="0" collapsed="false">
      <c r="A647" s="85" t="n">
        <v>46671</v>
      </c>
    </row>
    <row r="648" customFormat="false" ht="15" hidden="false" customHeight="false" outlineLevel="0" collapsed="false">
      <c r="A648" s="85" t="n">
        <v>46672</v>
      </c>
    </row>
    <row r="649" customFormat="false" ht="15" hidden="false" customHeight="false" outlineLevel="0" collapsed="false">
      <c r="A649" s="85" t="n">
        <v>46673</v>
      </c>
    </row>
    <row r="650" customFormat="false" ht="15" hidden="false" customHeight="false" outlineLevel="0" collapsed="false">
      <c r="A650" s="85" t="n">
        <v>46674</v>
      </c>
    </row>
    <row r="651" customFormat="false" ht="15" hidden="false" customHeight="false" outlineLevel="0" collapsed="false">
      <c r="A651" s="85" t="n">
        <v>46675</v>
      </c>
    </row>
    <row r="652" customFormat="false" ht="15" hidden="false" customHeight="false" outlineLevel="0" collapsed="false">
      <c r="A652" s="85" t="n">
        <v>46676</v>
      </c>
    </row>
    <row r="653" customFormat="false" ht="15" hidden="false" customHeight="false" outlineLevel="0" collapsed="false">
      <c r="A653" s="85" t="n">
        <v>46678</v>
      </c>
    </row>
    <row r="654" customFormat="false" ht="15" hidden="false" customHeight="false" outlineLevel="0" collapsed="false">
      <c r="A654" s="85" t="n">
        <v>46679</v>
      </c>
    </row>
    <row r="655" customFormat="false" ht="15" hidden="false" customHeight="false" outlineLevel="0" collapsed="false">
      <c r="A655" s="85" t="n">
        <v>46680</v>
      </c>
    </row>
    <row r="656" customFormat="false" ht="15" hidden="false" customHeight="false" outlineLevel="0" collapsed="false">
      <c r="A656" s="85" t="n">
        <v>46681</v>
      </c>
    </row>
    <row r="657" customFormat="false" ht="15" hidden="false" customHeight="false" outlineLevel="0" collapsed="false">
      <c r="A657" s="85" t="n">
        <v>46682</v>
      </c>
    </row>
    <row r="658" customFormat="false" ht="15" hidden="false" customHeight="false" outlineLevel="0" collapsed="false">
      <c r="A658" s="85" t="n">
        <v>46683</v>
      </c>
    </row>
    <row r="659" customFormat="false" ht="15" hidden="false" customHeight="false" outlineLevel="0" collapsed="false">
      <c r="A659" s="85" t="n">
        <v>46685</v>
      </c>
    </row>
    <row r="660" customFormat="false" ht="15" hidden="false" customHeight="false" outlineLevel="0" collapsed="false">
      <c r="A660" s="85" t="n">
        <v>46686</v>
      </c>
    </row>
    <row r="661" customFormat="false" ht="15" hidden="false" customHeight="false" outlineLevel="0" collapsed="false">
      <c r="A661" s="85" t="n">
        <v>46687</v>
      </c>
    </row>
    <row r="662" customFormat="false" ht="15" hidden="false" customHeight="false" outlineLevel="0" collapsed="false">
      <c r="A662" s="85" t="n">
        <v>46688</v>
      </c>
    </row>
    <row r="663" customFormat="false" ht="15" hidden="false" customHeight="false" outlineLevel="0" collapsed="false">
      <c r="A663" s="85" t="n">
        <v>46690</v>
      </c>
    </row>
    <row r="664" customFormat="false" ht="15" hidden="false" customHeight="false" outlineLevel="0" collapsed="false">
      <c r="A664" s="85" t="n">
        <v>46692</v>
      </c>
    </row>
    <row r="665" customFormat="false" ht="15" hidden="false" customHeight="false" outlineLevel="0" collapsed="false">
      <c r="A665" s="85" t="n">
        <v>46693</v>
      </c>
    </row>
    <row r="666" customFormat="false" ht="15" hidden="false" customHeight="false" outlineLevel="0" collapsed="false">
      <c r="A666" s="85" t="n">
        <v>46694</v>
      </c>
    </row>
    <row r="667" customFormat="false" ht="15" hidden="false" customHeight="false" outlineLevel="0" collapsed="false">
      <c r="A667" s="85" t="n">
        <v>46695</v>
      </c>
    </row>
    <row r="668" customFormat="false" ht="15" hidden="false" customHeight="false" outlineLevel="0" collapsed="false">
      <c r="A668" s="85" t="n">
        <v>46696</v>
      </c>
    </row>
    <row r="669" customFormat="false" ht="15" hidden="false" customHeight="false" outlineLevel="0" collapsed="false">
      <c r="A669" s="85" t="n">
        <v>46697</v>
      </c>
    </row>
    <row r="670" customFormat="false" ht="15" hidden="false" customHeight="false" outlineLevel="0" collapsed="false">
      <c r="A670" s="85" t="n">
        <v>46699</v>
      </c>
    </row>
    <row r="671" customFormat="false" ht="15" hidden="false" customHeight="false" outlineLevel="0" collapsed="false">
      <c r="A671" s="85" t="n">
        <v>46700</v>
      </c>
    </row>
    <row r="672" customFormat="false" ht="15" hidden="false" customHeight="false" outlineLevel="0" collapsed="false">
      <c r="A672" s="85" t="n">
        <v>46701</v>
      </c>
    </row>
    <row r="673" customFormat="false" ht="15" hidden="false" customHeight="false" outlineLevel="0" collapsed="false">
      <c r="A673" s="85" t="n">
        <v>46702</v>
      </c>
    </row>
    <row r="674" customFormat="false" ht="15" hidden="false" customHeight="false" outlineLevel="0" collapsed="false">
      <c r="A674" s="85" t="n">
        <v>46703</v>
      </c>
    </row>
    <row r="675" customFormat="false" ht="15" hidden="false" customHeight="false" outlineLevel="0" collapsed="false">
      <c r="A675" s="85" t="n">
        <v>46704</v>
      </c>
    </row>
    <row r="676" customFormat="false" ht="15" hidden="false" customHeight="false" outlineLevel="0" collapsed="false">
      <c r="A676" s="85" t="n">
        <v>46706</v>
      </c>
    </row>
    <row r="677" customFormat="false" ht="15" hidden="false" customHeight="false" outlineLevel="0" collapsed="false">
      <c r="A677" s="85" t="n">
        <v>46707</v>
      </c>
    </row>
    <row r="678" customFormat="false" ht="15" hidden="false" customHeight="false" outlineLevel="0" collapsed="false">
      <c r="A678" s="85" t="n">
        <v>46708</v>
      </c>
    </row>
    <row r="679" customFormat="false" ht="15" hidden="false" customHeight="false" outlineLevel="0" collapsed="false">
      <c r="A679" s="85" t="n">
        <v>46709</v>
      </c>
    </row>
    <row r="680" customFormat="false" ht="15" hidden="false" customHeight="false" outlineLevel="0" collapsed="false">
      <c r="A680" s="85" t="n">
        <v>46710</v>
      </c>
    </row>
    <row r="681" customFormat="false" ht="15" hidden="false" customHeight="false" outlineLevel="0" collapsed="false">
      <c r="A681" s="85" t="n">
        <v>46711</v>
      </c>
    </row>
    <row r="682" customFormat="false" ht="15" hidden="false" customHeight="false" outlineLevel="0" collapsed="false">
      <c r="A682" s="85" t="n">
        <v>46713</v>
      </c>
    </row>
    <row r="683" customFormat="false" ht="15" hidden="false" customHeight="false" outlineLevel="0" collapsed="false">
      <c r="A683" s="85" t="n">
        <v>46714</v>
      </c>
    </row>
    <row r="684" customFormat="false" ht="15" hidden="false" customHeight="false" outlineLevel="0" collapsed="false">
      <c r="A684" s="85" t="n">
        <v>46715</v>
      </c>
    </row>
    <row r="685" customFormat="false" ht="15" hidden="false" customHeight="false" outlineLevel="0" collapsed="false">
      <c r="A685" s="85" t="n">
        <v>46716</v>
      </c>
    </row>
    <row r="686" customFormat="false" ht="15" hidden="false" customHeight="false" outlineLevel="0" collapsed="false">
      <c r="A686" s="85" t="n">
        <v>46717</v>
      </c>
    </row>
    <row r="687" customFormat="false" ht="15" hidden="false" customHeight="false" outlineLevel="0" collapsed="false">
      <c r="A687" s="85" t="n">
        <v>46718</v>
      </c>
    </row>
    <row r="688" customFormat="false" ht="15" hidden="false" customHeight="false" outlineLevel="0" collapsed="false">
      <c r="A688" s="85" t="n">
        <v>46720</v>
      </c>
    </row>
    <row r="689" customFormat="false" ht="15" hidden="false" customHeight="false" outlineLevel="0" collapsed="false">
      <c r="A689" s="85" t="n">
        <v>46721</v>
      </c>
    </row>
    <row r="690" customFormat="false" ht="15" hidden="false" customHeight="false" outlineLevel="0" collapsed="false">
      <c r="A690" s="85" t="n">
        <v>46722</v>
      </c>
    </row>
    <row r="691" customFormat="false" ht="15" hidden="false" customHeight="false" outlineLevel="0" collapsed="false">
      <c r="A691" s="85" t="n">
        <v>46723</v>
      </c>
    </row>
    <row r="692" customFormat="false" ht="15" hidden="false" customHeight="false" outlineLevel="0" collapsed="false">
      <c r="A692" s="85" t="n">
        <v>46724</v>
      </c>
    </row>
    <row r="693" customFormat="false" ht="15" hidden="false" customHeight="false" outlineLevel="0" collapsed="false">
      <c r="A693" s="85" t="n">
        <v>46725</v>
      </c>
    </row>
    <row r="694" customFormat="false" ht="15" hidden="false" customHeight="false" outlineLevel="0" collapsed="false">
      <c r="A694" s="85" t="n">
        <v>46727</v>
      </c>
    </row>
    <row r="695" customFormat="false" ht="15" hidden="false" customHeight="false" outlineLevel="0" collapsed="false">
      <c r="A695" s="85" t="n">
        <v>46728</v>
      </c>
    </row>
    <row r="696" customFormat="false" ht="15" hidden="false" customHeight="false" outlineLevel="0" collapsed="false">
      <c r="A696" s="85" t="n">
        <v>46729</v>
      </c>
    </row>
    <row r="697" customFormat="false" ht="15" hidden="false" customHeight="false" outlineLevel="0" collapsed="false">
      <c r="A697" s="85" t="n">
        <v>46730</v>
      </c>
    </row>
    <row r="698" customFormat="false" ht="15" hidden="false" customHeight="false" outlineLevel="0" collapsed="false">
      <c r="A698" s="85" t="n">
        <v>46731</v>
      </c>
    </row>
    <row r="699" customFormat="false" ht="15" hidden="false" customHeight="false" outlineLevel="0" collapsed="false">
      <c r="A699" s="85" t="n">
        <v>46732</v>
      </c>
    </row>
    <row r="700" customFormat="false" ht="15" hidden="false" customHeight="false" outlineLevel="0" collapsed="false">
      <c r="A700" s="85" t="n">
        <v>46734</v>
      </c>
    </row>
    <row r="701" customFormat="false" ht="15" hidden="false" customHeight="false" outlineLevel="0" collapsed="false">
      <c r="A701" s="85" t="n">
        <v>46735</v>
      </c>
    </row>
    <row r="702" customFormat="false" ht="15" hidden="false" customHeight="false" outlineLevel="0" collapsed="false">
      <c r="A702" s="85" t="n">
        <v>46736</v>
      </c>
    </row>
    <row r="703" customFormat="false" ht="15" hidden="false" customHeight="false" outlineLevel="0" collapsed="false">
      <c r="A703" s="85" t="n">
        <v>46737</v>
      </c>
    </row>
    <row r="704" customFormat="false" ht="15" hidden="false" customHeight="false" outlineLevel="0" collapsed="false">
      <c r="A704" s="85" t="n">
        <v>46738</v>
      </c>
    </row>
    <row r="705" customFormat="false" ht="15" hidden="false" customHeight="false" outlineLevel="0" collapsed="false">
      <c r="A705" s="85" t="n">
        <v>46739</v>
      </c>
    </row>
    <row r="706" customFormat="false" ht="15" hidden="false" customHeight="false" outlineLevel="0" collapsed="false">
      <c r="A706" s="85" t="n">
        <v>46741</v>
      </c>
    </row>
    <row r="707" customFormat="false" ht="15" hidden="false" customHeight="false" outlineLevel="0" collapsed="false">
      <c r="A707" s="85" t="n">
        <v>46742</v>
      </c>
    </row>
    <row r="708" customFormat="false" ht="15" hidden="false" customHeight="false" outlineLevel="0" collapsed="false">
      <c r="A708" s="85" t="n">
        <v>46743</v>
      </c>
    </row>
    <row r="709" customFormat="false" ht="15" hidden="false" customHeight="false" outlineLevel="0" collapsed="false">
      <c r="A709" s="85" t="n">
        <v>46744</v>
      </c>
    </row>
    <row r="710" customFormat="false" ht="15" hidden="false" customHeight="false" outlineLevel="0" collapsed="false">
      <c r="A710" s="85" t="n">
        <v>46745</v>
      </c>
    </row>
    <row r="711" customFormat="false" ht="15" hidden="false" customHeight="false" outlineLevel="0" collapsed="false">
      <c r="A711" s="85" t="n">
        <v>46748</v>
      </c>
    </row>
    <row r="712" customFormat="false" ht="15" hidden="false" customHeight="false" outlineLevel="0" collapsed="false">
      <c r="A712" s="85" t="n">
        <v>46749</v>
      </c>
    </row>
    <row r="713" customFormat="false" ht="15" hidden="false" customHeight="false" outlineLevel="0" collapsed="false">
      <c r="A713" s="85" t="n">
        <v>46750</v>
      </c>
    </row>
    <row r="714" customFormat="false" ht="15" hidden="false" customHeight="false" outlineLevel="0" collapsed="false">
      <c r="A714" s="85" t="n">
        <v>46751</v>
      </c>
    </row>
    <row r="715" customFormat="false" ht="15" hidden="false" customHeight="false" outlineLevel="0" collapsed="false">
      <c r="A715" s="85" t="n">
        <v>46752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2026-10-08T19:54:24Z</dcterms:created>
  <dc:creator>openpyxl</dc:creator>
  <dc:description/>
  <dc:language>en-US</dc:language>
  <cp:lastModifiedBy/>
  <dcterms:modified xsi:type="dcterms:W3CDTF">2026-10-08T19:54:24Z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