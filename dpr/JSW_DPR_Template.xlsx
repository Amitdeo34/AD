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mmary-AreaWise" sheetId="2" state="visible" r:id="rId2"/>
    <sheet name="Piling" sheetId="3" state="visible" r:id="rId3"/>
    <sheet name="Civil" sheetId="4" state="visible" r:id="rId4"/>
    <sheet name="Structural" sheetId="5" state="visible" r:id="rId5"/>
    <sheet name="Equipment" sheetId="6" state="visible" r:id="rId6"/>
    <sheet name="Piping" sheetId="7" state="visible" r:id="rId7"/>
    <sheet name="Cable Trays (Km)" sheetId="8" state="visible" r:id="rId8"/>
    <sheet name="Cabling (Km)" sheetId="9" state="visible" r:id="rId9"/>
    <sheet name="Panels (Nos)" sheetId="10" state="visible" r:id="rId10"/>
    <sheet name="Manpower" sheetId="11" state="visible" r:id="rId11"/>
    <sheet name="Vendor-Import" sheetId="12" state="visible" r:id="rId12"/>
    <sheet name="Mapping" sheetId="13" state="visible" r:id="rId13"/>
    <sheet name="Config" sheetId="14" state="visible" r:id="rId14"/>
  </sheets>
  <definedNames>
    <definedName name="Areas">'Config'!$B$15:$B$214</definedName>
    <definedName name="Activities">'Config'!$C$15:$C$214</definedName>
    <definedName name="Agencies">'Config'!$D$15:$D$214</definedName>
    <definedName name="_xlnm.Print_Titles" localSheetId="1">'Summary-AreaWise'!$6:$7</definedName>
    <definedName name="_xlnm.Print_Area" localSheetId="1">'Summary-AreaWise'!$B$1:$N$157</definedName>
    <definedName name="_xlnm._FilterDatabase" localSheetId="2" hidden="1">'Piling'!$B$7:$V$408</definedName>
    <definedName name="_xlnm.Print_Titles" localSheetId="2">'Piling'!$7:$8</definedName>
    <definedName name="_xlnm._FilterDatabase" localSheetId="3" hidden="1">'Civil'!$B$7:$V$408</definedName>
    <definedName name="_xlnm.Print_Titles" localSheetId="3">'Civil'!$7:$8</definedName>
    <definedName name="_xlnm._FilterDatabase" localSheetId="4" hidden="1">'Structural'!$B$7:$V$408</definedName>
    <definedName name="_xlnm.Print_Titles" localSheetId="4">'Structural'!$7:$8</definedName>
    <definedName name="_xlnm._FilterDatabase" localSheetId="5" hidden="1">'Equipment'!$B$7:$V$408</definedName>
    <definedName name="_xlnm.Print_Titles" localSheetId="5">'Equipment'!$7:$8</definedName>
    <definedName name="_xlnm._FilterDatabase" localSheetId="6" hidden="1">'Piping'!$B$7:$V$408</definedName>
    <definedName name="_xlnm.Print_Titles" localSheetId="6">'Piping'!$7:$8</definedName>
    <definedName name="_xlnm._FilterDatabase" localSheetId="7" hidden="1">'Cable Trays (Km)'!$B$7:$V$408</definedName>
    <definedName name="_xlnm.Print_Titles" localSheetId="7">'Cable Trays (Km)'!$7:$8</definedName>
    <definedName name="_xlnm._FilterDatabase" localSheetId="8" hidden="1">'Cabling (Km)'!$B$7:$V$408</definedName>
    <definedName name="_xlnm.Print_Titles" localSheetId="8">'Cabling (Km)'!$7:$8</definedName>
    <definedName name="_xlnm._FilterDatabase" localSheetId="9" hidden="1">'Panels (Nos)'!$B$7:$V$408</definedName>
    <definedName name="_xlnm.Print_Titles" localSheetId="9">'Panels (Nos)'!$7:$8</definedName>
    <definedName name="_xlnm._FilterDatabase" localSheetId="10" hidden="1">'Manpower'!$B$7:$I$308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-mmm-yy"/>
    <numFmt numFmtId="165" formatCode="#,##0.00;[Red]-#,##0.00;&quot;-&quot;"/>
    <numFmt numFmtId="166" formatCode="#,##0;[Red]-#,##0;&quot;-&quot;"/>
  </numFmts>
  <fonts count="20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sz val="10"/>
    </font>
    <font>
      <name val="Arial"/>
      <sz val="10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b val="1"/>
      <color rgb="001F3864"/>
      <sz val="14"/>
    </font>
    <font>
      <name val="Arial"/>
      <b val="1"/>
      <color rgb="00C00000"/>
      <sz val="16"/>
    </font>
    <font>
      <name val="Arial"/>
      <b val="1"/>
      <sz val="9"/>
    </font>
    <font>
      <name val="Arial"/>
      <b val="1"/>
      <color rgb="00FFFFFF"/>
      <sz val="9"/>
    </font>
    <font>
      <name val="Arial"/>
      <i val="1"/>
      <color rgb="00FFFFFF"/>
      <sz val="8"/>
    </font>
    <font>
      <name val="Arial"/>
      <sz val="9"/>
    </font>
    <font>
      <name val="Arial"/>
      <b val="1"/>
      <color rgb="001F3864"/>
      <sz val="15"/>
    </font>
    <font>
      <name val="Arial"/>
      <color rgb="00595959"/>
      <sz val="9"/>
    </font>
    <font>
      <name val="Arial"/>
      <i val="1"/>
      <color rgb="00595959"/>
      <sz val="9"/>
    </font>
    <font>
      <name val="Consolas"/>
      <sz val="9"/>
    </font>
    <font>
      <name val="Arial"/>
      <b val="1"/>
      <color rgb="001F3864"/>
      <sz val="12"/>
    </font>
    <font>
      <name val="Arial"/>
      <color rgb="00000000"/>
      <sz val="10"/>
    </font>
    <font>
      <name val="Arial"/>
      <b val="1"/>
      <color rgb="00C00000"/>
      <sz val="12"/>
    </font>
    <font>
      <name val="Consolas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2E5395"/>
      </patternFill>
    </fill>
    <fill>
      <patternFill patternType="solid">
        <fgColor rgb="004472C4"/>
      </patternFill>
    </fill>
    <fill>
      <patternFill patternType="solid">
        <fgColor rgb="00E8EDF7"/>
      </patternFill>
    </fill>
    <fill>
      <patternFill patternType="solid">
        <fgColor rgb="00E2EFDA"/>
      </patternFill>
    </fill>
    <fill>
      <patternFill patternType="solid">
        <fgColor rgb="001F3864"/>
      </patternFill>
    </fill>
    <fill>
      <patternFill patternType="solid">
        <fgColor rgb="00808080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2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7" fillId="0" borderId="0" pivotButton="0" quotePrefix="0" xfId="0"/>
    <xf numFmtId="0" fontId="1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right"/>
    </xf>
    <xf numFmtId="164" fontId="8" fillId="0" borderId="0" pivotButton="0" quotePrefix="0" xfId="0"/>
    <xf numFmtId="0" fontId="9" fillId="7" borderId="1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wrapText="1"/>
    </xf>
    <xf numFmtId="0" fontId="10" fillId="4" borderId="1" applyAlignment="1" pivotButton="0" quotePrefix="0" xfId="0">
      <alignment horizontal="center" vertical="center"/>
    </xf>
    <xf numFmtId="1" fontId="11" fillId="5" borderId="1" applyAlignment="1" pivotButton="0" quotePrefix="0" xfId="0">
      <alignment horizontal="center"/>
    </xf>
    <xf numFmtId="0" fontId="11" fillId="6" borderId="1" pivotButton="0" quotePrefix="0" xfId="0"/>
    <xf numFmtId="166" fontId="11" fillId="5" borderId="1" applyAlignment="1" pivotButton="0" quotePrefix="0" xfId="0">
      <alignment horizontal="right"/>
    </xf>
    <xf numFmtId="9" fontId="11" fillId="5" borderId="1" applyAlignment="1" pivotButton="0" quotePrefix="0" xfId="0">
      <alignment horizontal="center"/>
    </xf>
    <xf numFmtId="0" fontId="13" fillId="9" borderId="1" pivotButton="0" quotePrefix="0" xfId="0"/>
    <xf numFmtId="0" fontId="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/>
    </xf>
    <xf numFmtId="165" fontId="11" fillId="2" borderId="1" applyAlignment="1" pivotButton="0" quotePrefix="0" xfId="0">
      <alignment horizontal="right"/>
    </xf>
    <xf numFmtId="165" fontId="11" fillId="5" borderId="1" applyAlignment="1" pivotButton="0" quotePrefix="0" xfId="0">
      <alignment horizontal="right"/>
    </xf>
    <xf numFmtId="0" fontId="11" fillId="2" borderId="1" applyAlignment="1" pivotButton="0" quotePrefix="0" xfId="0">
      <alignment horizontal="left"/>
    </xf>
    <xf numFmtId="9" fontId="11" fillId="5" borderId="1" applyAlignment="1" pivotButton="0" quotePrefix="0" xfId="0">
      <alignment horizontal="right"/>
    </xf>
    <xf numFmtId="166" fontId="11" fillId="5" borderId="1" pivotButton="0" quotePrefix="0" xfId="0"/>
    <xf numFmtId="0" fontId="11" fillId="2" borderId="1" pivotButton="0" quotePrefix="0" xfId="0"/>
    <xf numFmtId="166" fontId="11" fillId="2" borderId="1" pivotButton="0" quotePrefix="0" xfId="0"/>
    <xf numFmtId="0" fontId="1" fillId="0" borderId="0" pivotButton="0" quotePrefix="0" xfId="0"/>
    <xf numFmtId="0" fontId="14" fillId="0" borderId="0" pivotButton="0" quotePrefix="0" xfId="0"/>
    <xf numFmtId="0" fontId="9" fillId="3" borderId="1" applyAlignment="1" pivotButton="0" quotePrefix="0" xfId="0">
      <alignment horizontal="center" wrapText="1"/>
    </xf>
    <xf numFmtId="0" fontId="9" fillId="3" borderId="1" pivotButton="0" quotePrefix="0" xfId="0"/>
    <xf numFmtId="0" fontId="15" fillId="0" borderId="1" pivotButton="0" quotePrefix="0" xfId="0"/>
    <xf numFmtId="0" fontId="8" fillId="0" borderId="1" pivotButton="0" quotePrefix="0" xfId="0"/>
    <xf numFmtId="0" fontId="16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164" fontId="3" fillId="2" borderId="1" pivotButton="0" quotePrefix="0" xfId="0"/>
    <xf numFmtId="0" fontId="4" fillId="0" borderId="0" pivotButton="0" quotePrefix="0" xfId="0"/>
    <xf numFmtId="0" fontId="5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000"/>
    <outlinePr summaryBelow="1" summaryRight="1"/>
    <pageSetUpPr/>
  </sheetPr>
  <dimension ref="B2:B41"/>
  <sheetViews>
    <sheetView showGridLines="0" workbookViewId="0">
      <selection activeCell="A1" sqref="A1"/>
    </sheetView>
  </sheetViews>
  <sheetFormatPr baseColWidth="8" defaultRowHeight="15"/>
  <cols>
    <col width="120" customWidth="1" min="2" max="2"/>
  </cols>
  <sheetData>
    <row r="2">
      <c r="B2" s="1" t="inlineStr">
        <is>
          <t>JSW UTKAL STEEL  —  DAILY PROGRESS REPORT  (consolidation workbook)</t>
        </is>
      </c>
    </row>
    <row r="3">
      <c r="B3" s="2" t="n"/>
    </row>
    <row r="4">
      <c r="B4" s="3" t="inlineStr">
        <is>
          <t>HOW THE PIECES FIT TOGETHER</t>
        </is>
      </c>
    </row>
    <row r="5">
      <c r="B5" s="2" t="inlineStr">
        <is>
          <t>1.  dpr_consolidator.html  — open it in Chrome/Edge.  Drop in every vendor DPR you receive</t>
        </is>
      </c>
    </row>
    <row r="6">
      <c r="B6" s="2" t="inlineStr">
        <is>
          <t xml:space="preserve">     (any layout, .xlsx / .xls / .csv).  It auto-detects the header row, maps the vendor's</t>
        </is>
      </c>
    </row>
    <row r="7">
      <c r="B7" s="2" t="inlineStr">
        <is>
          <t xml:space="preserve">     column names to this format, matches each line to your master scope, and exports the</t>
        </is>
      </c>
    </row>
    <row r="8">
      <c r="B8" s="2" t="inlineStr">
        <is>
          <t xml:space="preserve">     finished DPR in exactly the format of this workbook.</t>
        </is>
      </c>
    </row>
    <row r="9">
      <c r="B9" s="2" t="inlineStr">
        <is>
          <t>2.  This workbook — the approved format.  Use it as (a) the master-scope source you load into</t>
        </is>
      </c>
    </row>
    <row r="10">
      <c r="B10" s="2" t="inlineStr">
        <is>
          <t xml:space="preserve">     the HTML tool, and (b) the manual fallback if you would rather type the numbers in.</t>
        </is>
      </c>
    </row>
    <row r="11">
      <c r="B11" s="2" t="n"/>
    </row>
    <row r="12">
      <c r="B12" s="3" t="inlineStr">
        <is>
          <t>SHEETS</t>
        </is>
      </c>
    </row>
    <row r="13">
      <c r="B13" s="4" t="inlineStr">
        <is>
          <t>Config             Project title, data date, reporting date, and the master drop-down lists.</t>
        </is>
      </c>
    </row>
    <row r="14">
      <c r="B14" s="4" t="inlineStr">
        <is>
          <t>Summary-AreaWise   The printed summary.  Every number is a SUMIFS() pulled from the backup</t>
        </is>
      </c>
    </row>
    <row r="15">
      <c r="B15" s="2" t="inlineStr">
        <is>
          <t xml:space="preserve">                   sheets.  Fill only the green columns (Activity, Agency) plus the two grey</t>
        </is>
      </c>
    </row>
    <row r="16">
      <c r="B16" s="2" t="inlineStr">
        <is>
          <t xml:space="preserve">                   helper columns P (Area) and Q (Source sheet) - they tell the formula where</t>
        </is>
      </c>
    </row>
    <row r="17">
      <c r="B17" s="2" t="inlineStr">
        <is>
          <t xml:space="preserve">                   to look.  Columns P and Q are outside the print area.</t>
        </is>
      </c>
    </row>
    <row r="18">
      <c r="B18" s="4" t="inlineStr">
        <is>
          <t>Piling … Panels    Backup sheets, one per discipline, identical column layout.</t>
        </is>
      </c>
    </row>
    <row r="19">
      <c r="B19" s="4" t="inlineStr">
        <is>
          <t>Manpower           Area / agency / category-wise deployment.</t>
        </is>
      </c>
    </row>
    <row r="20">
      <c r="B20" s="4" t="inlineStr">
        <is>
          <t>Vendor-Import      Staging area - paste the consolidator's normalised output here.</t>
        </is>
      </c>
    </row>
    <row r="21">
      <c r="B21" s="4" t="inlineStr">
        <is>
          <t>Mapping            Header synonyms + name aliases.  Teach it once, it remembers forever.</t>
        </is>
      </c>
    </row>
    <row r="22">
      <c r="B22" s="2" t="n"/>
    </row>
    <row r="23">
      <c r="B23" s="3" t="inlineStr">
        <is>
          <t>COLOUR CODE</t>
        </is>
      </c>
    </row>
    <row r="24">
      <c r="B24" s="2" t="inlineStr">
        <is>
          <t>Yellow  = you type here.      Green = key / matching column (must match the master exactly).</t>
        </is>
      </c>
    </row>
    <row r="25">
      <c r="B25" s="2" t="inlineStr">
        <is>
          <t>Blue    = calculated, do not overwrite.</t>
        </is>
      </c>
    </row>
    <row r="26">
      <c r="B26" s="2" t="n"/>
    </row>
    <row r="27">
      <c r="B27" s="3" t="inlineStr">
        <is>
          <t>THE ARITHMETIC  (unchanged from your existing DPR)</t>
        </is>
      </c>
    </row>
    <row r="28">
      <c r="B28" s="4" t="inlineStr">
        <is>
          <t>Variance for the Day      n = Plan FTD  -  Achieved FTD</t>
        </is>
      </c>
    </row>
    <row r="29">
      <c r="B29" s="4" t="inlineStr">
        <is>
          <t>Achieved FTM till date    p = Achieved FTD  +  Achieved FTM till previous date</t>
        </is>
      </c>
    </row>
    <row r="30">
      <c r="B30" s="4" t="inlineStr">
        <is>
          <t>Workdone Till Date        q = Achieved till last month  +  Achieved FTM till date</t>
        </is>
      </c>
    </row>
    <row r="31">
      <c r="B31" s="4" t="inlineStr">
        <is>
          <t>% Complete                r = Workdone Till Date  /  Scope</t>
        </is>
      </c>
    </row>
    <row r="32">
      <c r="B32" s="4" t="inlineStr">
        <is>
          <t>Balance                   s = Scope  -  Workdone Till Date</t>
        </is>
      </c>
    </row>
    <row r="33">
      <c r="B33" s="2" t="n"/>
    </row>
    <row r="34">
      <c r="B34" s="3" t="inlineStr">
        <is>
          <t>WHAT CHANGED vs. YOUR CURRENT FILE</t>
        </is>
      </c>
    </row>
    <row r="35">
      <c r="B35" s="2" t="inlineStr">
        <is>
          <t>Formulas are pre-filled 400 rows deep on each backup sheet and 150 rows deep on the summary.</t>
        </is>
      </c>
    </row>
    <row r="36">
      <c r="B36" s="2" t="inlineStr">
        <is>
          <t>Need more?  Select the last filled row and drag it down - nothing else has to change.</t>
        </is>
      </c>
    </row>
    <row r="37">
      <c r="B37" s="2" t="n"/>
    </row>
    <row r="38">
      <c r="B38" s="2" t="inlineStr">
        <is>
          <t>Two real columns - Area and Activity - were added to each backup sheet.  In the current file</t>
        </is>
      </c>
    </row>
    <row r="39">
      <c r="B39" s="2" t="inlineStr">
        <is>
          <t>the area is only a bold heading row, so the Summary SUMIFS() has to hard-code row numbers</t>
        </is>
      </c>
    </row>
    <row r="40">
      <c r="B40" s="2" t="inlineStr">
        <is>
          <t>(Structural!H89:H106).  Insert one row anywhere and the summary silently breaks.  With Area and</t>
        </is>
      </c>
    </row>
    <row r="41">
      <c r="B41" s="2" t="inlineStr">
        <is>
          <t>Activity as columns the formulas address whole columns and never need maintenance.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B2:Q157"/>
  <sheetViews>
    <sheetView zoomScale="85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7" customWidth="1" min="2" max="2"/>
    <col width="40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4" customWidth="1" min="16" max="16"/>
    <col width="24" customWidth="1" min="17" max="17"/>
  </cols>
  <sheetData>
    <row r="2">
      <c r="B2" s="5" t="inlineStr">
        <is>
          <t>JSW</t>
        </is>
      </c>
      <c r="C2" s="6">
        <f>Config!$C$5</f>
        <v/>
      </c>
    </row>
    <row r="3">
      <c r="C3" s="7">
        <f>Config!$C$4</f>
        <v/>
      </c>
    </row>
    <row r="4">
      <c r="J4" s="8" t="inlineStr">
        <is>
          <t>Data date:</t>
        </is>
      </c>
      <c r="K4" s="9">
        <f>Config!$C$6</f>
        <v/>
      </c>
    </row>
    <row r="5">
      <c r="J5" s="8" t="inlineStr">
        <is>
          <t>Reporting date:</t>
        </is>
      </c>
      <c r="K5" s="9">
        <f>Config!$C$7</f>
        <v/>
      </c>
    </row>
    <row r="6" ht="40" customHeight="1">
      <c r="B6" s="10" t="inlineStr">
        <is>
          <t>SI No.</t>
        </is>
      </c>
      <c r="C6" s="10" t="inlineStr">
        <is>
          <t>Area / Activities</t>
        </is>
      </c>
      <c r="D6" s="10" t="inlineStr">
        <is>
          <t>Agency / Contractor</t>
        </is>
      </c>
      <c r="E6" s="10" t="inlineStr">
        <is>
          <t>Scope</t>
        </is>
      </c>
      <c r="F6" s="10" t="inlineStr">
        <is>
          <t>Drawing Released</t>
        </is>
      </c>
      <c r="G6" s="10" t="inlineStr">
        <is>
          <t>Front Available</t>
        </is>
      </c>
      <c r="H6" s="10" t="inlineStr">
        <is>
          <t>Workdone Till Date</t>
        </is>
      </c>
      <c r="I6" s="10" t="inlineStr">
        <is>
          <t>% Complete</t>
        </is>
      </c>
      <c r="J6" s="10" t="inlineStr">
        <is>
          <t>Balance</t>
        </is>
      </c>
      <c r="K6" s="10">
        <f>"Plan for "&amp;Config!$C$8</f>
        <v/>
      </c>
      <c r="L6" s="10">
        <f>"Achieved for "&amp;Config!$C$8</f>
        <v/>
      </c>
      <c r="M6" s="10" t="inlineStr">
        <is>
          <t>Achieved FTD</t>
        </is>
      </c>
      <c r="N6" s="10" t="inlineStr">
        <is>
          <t>Available Manpower</t>
        </is>
      </c>
      <c r="P6" s="11" t="inlineStr">
        <is>
          <t>Area  (helper)</t>
        </is>
      </c>
      <c r="Q6" s="11" t="inlineStr">
        <is>
          <t>Source sheet  (helper)</t>
        </is>
      </c>
    </row>
    <row r="7" ht="15" customHeight="1">
      <c r="B7" s="12" t="inlineStr">
        <is>
          <t>a</t>
        </is>
      </c>
      <c r="C7" s="12" t="inlineStr">
        <is>
          <t>b</t>
        </is>
      </c>
      <c r="D7" s="12" t="inlineStr">
        <is>
          <t>c</t>
        </is>
      </c>
      <c r="E7" s="12" t="inlineStr">
        <is>
          <t>d</t>
        </is>
      </c>
      <c r="F7" s="12" t="inlineStr">
        <is>
          <t>e</t>
        </is>
      </c>
      <c r="G7" s="12" t="inlineStr">
        <is>
          <t>f</t>
        </is>
      </c>
      <c r="H7" s="12" t="inlineStr">
        <is>
          <t>g</t>
        </is>
      </c>
      <c r="I7" s="12" t="inlineStr">
        <is>
          <t>h = (g/d)x100</t>
        </is>
      </c>
      <c r="J7" s="12" t="inlineStr">
        <is>
          <t>i = d-g</t>
        </is>
      </c>
      <c r="K7" s="12" t="inlineStr">
        <is>
          <t>j</t>
        </is>
      </c>
      <c r="L7" s="12" t="inlineStr">
        <is>
          <t>k</t>
        </is>
      </c>
      <c r="M7" s="12" t="inlineStr">
        <is>
          <t>l</t>
        </is>
      </c>
      <c r="N7" s="12" t="inlineStr">
        <is>
          <t>m</t>
        </is>
      </c>
    </row>
    <row r="8">
      <c r="B8" s="13">
        <f>IF(OR($C8="",$Q8=""),"",COUNTA($C$8:$C8))</f>
        <v/>
      </c>
      <c r="C8" s="14" t="n"/>
      <c r="D8" s="14" t="n"/>
      <c r="E8" s="15">
        <f>IF(OR($C8="",$Q8=""),"",IFERROR(SUMIFS(INDIRECT("'"&amp;$Q8&amp;"'!$G$9:$G$408"),INDIRECT("'"&amp;$Q8&amp;"'!$D$9:$D$408"),$P8,INDIRECT("'"&amp;$Q8&amp;"'!$E$9:$E$408"),$C8,INDIRECT("'"&amp;$Q8&amp;"'!$F$9:$F$408"),$D8),""))</f>
        <v/>
      </c>
      <c r="F8" s="15">
        <f>IF(OR($C8="",$Q8=""),"",IFERROR(SUMIFS(INDIRECT("'"&amp;$Q8&amp;"'!$H$9:$H$408"),INDIRECT("'"&amp;$Q8&amp;"'!$D$9:$D$408"),$P8,INDIRECT("'"&amp;$Q8&amp;"'!$E$9:$E$408"),$C8,INDIRECT("'"&amp;$Q8&amp;"'!$F$9:$F$408"),$D8),""))</f>
        <v/>
      </c>
      <c r="G8" s="15">
        <f>IF(OR($C8="",$Q8=""),"",IFERROR(SUMIFS(INDIRECT("'"&amp;$Q8&amp;"'!$I$9:$I$408"),INDIRECT("'"&amp;$Q8&amp;"'!$D$9:$D$408"),$P8,INDIRECT("'"&amp;$Q8&amp;"'!$E$9:$E$408"),$C8,INDIRECT("'"&amp;$Q8&amp;"'!$F$9:$F$408"),$D8),""))</f>
        <v/>
      </c>
      <c r="H8" s="15">
        <f>IF(OR($C8="",$Q8=""),"",IFERROR(SUMIFS(INDIRECT("'"&amp;$Q8&amp;"'!$R$9:$R$408"),INDIRECT("'"&amp;$Q8&amp;"'!$D$9:$D$408"),$P8,INDIRECT("'"&amp;$Q8&amp;"'!$E$9:$E$408"),$C8,INDIRECT("'"&amp;$Q8&amp;"'!$F$9:$F$408"),$D8),""))</f>
        <v/>
      </c>
      <c r="I8" s="16">
        <f>IF(OR(OR($C8="",$Q8=""),N(E8)=0),"",H8/E8)</f>
        <v/>
      </c>
      <c r="J8" s="15">
        <f>IF(OR($C8="",$Q8=""),"",N(E8)-N(H8))</f>
        <v/>
      </c>
      <c r="K8" s="15">
        <f>IF(OR($C8="",$Q8=""),"",IFERROR(SUMIFS(INDIRECT("'"&amp;$Q8&amp;"'!$K$9:$K$408"),INDIRECT("'"&amp;$Q8&amp;"'!$D$9:$D$408"),$P8,INDIRECT("'"&amp;$Q8&amp;"'!$E$9:$E$408"),$C8,INDIRECT("'"&amp;$Q8&amp;"'!$F$9:$F$408"),$D8),""))</f>
        <v/>
      </c>
      <c r="L8" s="15">
        <f>IF(OR($C8="",$Q8=""),"",IFERROR(SUMIFS(INDIRECT("'"&amp;$Q8&amp;"'!$Q$9:$Q$408"),INDIRECT("'"&amp;$Q8&amp;"'!$D$9:$D$408"),$P8,INDIRECT("'"&amp;$Q8&amp;"'!$E$9:$E$408"),$C8,INDIRECT("'"&amp;$Q8&amp;"'!$F$9:$F$408"),$D8),""))</f>
        <v/>
      </c>
      <c r="M8" s="15">
        <f>IF(OR($C8="",$Q8=""),"",IFERROR(SUMIFS(INDIRECT("'"&amp;$Q8&amp;"'!$M$9:$M$408"),INDIRECT("'"&amp;$Q8&amp;"'!$D$9:$D$408"),$P8,INDIRECT("'"&amp;$Q8&amp;"'!$E$9:$E$408"),$C8,INDIRECT("'"&amp;$Q8&amp;"'!$F$9:$F$408"),$D8),""))</f>
        <v/>
      </c>
      <c r="N8" s="15">
        <f>IF(OR($C8="",$Q8=""),"",IFERROR(SUMIFS(INDIRECT("'"&amp;$Q8&amp;"'!$V$9:$V$408"),INDIRECT("'"&amp;$Q8&amp;"'!$D$9:$D$408"),$P8,INDIRECT("'"&amp;$Q8&amp;"'!$E$9:$E$408"),$C8,INDIRECT("'"&amp;$Q8&amp;"'!$F$9:$F$408"),$D8),""))</f>
        <v/>
      </c>
      <c r="P8" s="17" t="n"/>
      <c r="Q8" s="17" t="n"/>
    </row>
    <row r="9">
      <c r="B9" s="13">
        <f>IF(OR($C9="",$Q9=""),"",COUNTA($C$8:$C9))</f>
        <v/>
      </c>
      <c r="C9" s="14" t="n"/>
      <c r="D9" s="14" t="n"/>
      <c r="E9" s="15">
        <f>IF(OR($C9="",$Q9=""),"",IFERROR(SUMIFS(INDIRECT("'"&amp;$Q9&amp;"'!$G$9:$G$408"),INDIRECT("'"&amp;$Q9&amp;"'!$D$9:$D$408"),$P9,INDIRECT("'"&amp;$Q9&amp;"'!$E$9:$E$408"),$C9,INDIRECT("'"&amp;$Q9&amp;"'!$F$9:$F$408"),$D9),""))</f>
        <v/>
      </c>
      <c r="F9" s="15">
        <f>IF(OR($C9="",$Q9=""),"",IFERROR(SUMIFS(INDIRECT("'"&amp;$Q9&amp;"'!$H$9:$H$408"),INDIRECT("'"&amp;$Q9&amp;"'!$D$9:$D$408"),$P9,INDIRECT("'"&amp;$Q9&amp;"'!$E$9:$E$408"),$C9,INDIRECT("'"&amp;$Q9&amp;"'!$F$9:$F$408"),$D9),""))</f>
        <v/>
      </c>
      <c r="G9" s="15">
        <f>IF(OR($C9="",$Q9=""),"",IFERROR(SUMIFS(INDIRECT("'"&amp;$Q9&amp;"'!$I$9:$I$408"),INDIRECT("'"&amp;$Q9&amp;"'!$D$9:$D$408"),$P9,INDIRECT("'"&amp;$Q9&amp;"'!$E$9:$E$408"),$C9,INDIRECT("'"&amp;$Q9&amp;"'!$F$9:$F$408"),$D9),""))</f>
        <v/>
      </c>
      <c r="H9" s="15">
        <f>IF(OR($C9="",$Q9=""),"",IFERROR(SUMIFS(INDIRECT("'"&amp;$Q9&amp;"'!$R$9:$R$408"),INDIRECT("'"&amp;$Q9&amp;"'!$D$9:$D$408"),$P9,INDIRECT("'"&amp;$Q9&amp;"'!$E$9:$E$408"),$C9,INDIRECT("'"&amp;$Q9&amp;"'!$F$9:$F$408"),$D9),""))</f>
        <v/>
      </c>
      <c r="I9" s="16">
        <f>IF(OR(OR($C9="",$Q9=""),N(E9)=0),"",H9/E9)</f>
        <v/>
      </c>
      <c r="J9" s="15">
        <f>IF(OR($C9="",$Q9=""),"",N(E9)-N(H9))</f>
        <v/>
      </c>
      <c r="K9" s="15">
        <f>IF(OR($C9="",$Q9=""),"",IFERROR(SUMIFS(INDIRECT("'"&amp;$Q9&amp;"'!$K$9:$K$408"),INDIRECT("'"&amp;$Q9&amp;"'!$D$9:$D$408"),$P9,INDIRECT("'"&amp;$Q9&amp;"'!$E$9:$E$408"),$C9,INDIRECT("'"&amp;$Q9&amp;"'!$F$9:$F$408"),$D9),""))</f>
        <v/>
      </c>
      <c r="L9" s="15">
        <f>IF(OR($C9="",$Q9=""),"",IFERROR(SUMIFS(INDIRECT("'"&amp;$Q9&amp;"'!$Q$9:$Q$408"),INDIRECT("'"&amp;$Q9&amp;"'!$D$9:$D$408"),$P9,INDIRECT("'"&amp;$Q9&amp;"'!$E$9:$E$408"),$C9,INDIRECT("'"&amp;$Q9&amp;"'!$F$9:$F$408"),$D9),""))</f>
        <v/>
      </c>
      <c r="M9" s="15">
        <f>IF(OR($C9="",$Q9=""),"",IFERROR(SUMIFS(INDIRECT("'"&amp;$Q9&amp;"'!$M$9:$M$408"),INDIRECT("'"&amp;$Q9&amp;"'!$D$9:$D$408"),$P9,INDIRECT("'"&amp;$Q9&amp;"'!$E$9:$E$408"),$C9,INDIRECT("'"&amp;$Q9&amp;"'!$F$9:$F$408"),$D9),""))</f>
        <v/>
      </c>
      <c r="N9" s="15">
        <f>IF(OR($C9="",$Q9=""),"",IFERROR(SUMIFS(INDIRECT("'"&amp;$Q9&amp;"'!$V$9:$V$408"),INDIRECT("'"&amp;$Q9&amp;"'!$D$9:$D$408"),$P9,INDIRECT("'"&amp;$Q9&amp;"'!$E$9:$E$408"),$C9,INDIRECT("'"&amp;$Q9&amp;"'!$F$9:$F$408"),$D9),""))</f>
        <v/>
      </c>
      <c r="P9" s="17" t="n"/>
      <c r="Q9" s="17" t="n"/>
    </row>
    <row r="10">
      <c r="B10" s="13">
        <f>IF(OR($C10="",$Q10=""),"",COUNTA($C$8:$C10))</f>
        <v/>
      </c>
      <c r="C10" s="14" t="n"/>
      <c r="D10" s="14" t="n"/>
      <c r="E10" s="15">
        <f>IF(OR($C10="",$Q10=""),"",IFERROR(SUMIFS(INDIRECT("'"&amp;$Q10&amp;"'!$G$9:$G$408"),INDIRECT("'"&amp;$Q10&amp;"'!$D$9:$D$408"),$P10,INDIRECT("'"&amp;$Q10&amp;"'!$E$9:$E$408"),$C10,INDIRECT("'"&amp;$Q10&amp;"'!$F$9:$F$408"),$D10),""))</f>
        <v/>
      </c>
      <c r="F10" s="15">
        <f>IF(OR($C10="",$Q10=""),"",IFERROR(SUMIFS(INDIRECT("'"&amp;$Q10&amp;"'!$H$9:$H$408"),INDIRECT("'"&amp;$Q10&amp;"'!$D$9:$D$408"),$P10,INDIRECT("'"&amp;$Q10&amp;"'!$E$9:$E$408"),$C10,INDIRECT("'"&amp;$Q10&amp;"'!$F$9:$F$408"),$D10),""))</f>
        <v/>
      </c>
      <c r="G10" s="15">
        <f>IF(OR($C10="",$Q10=""),"",IFERROR(SUMIFS(INDIRECT("'"&amp;$Q10&amp;"'!$I$9:$I$408"),INDIRECT("'"&amp;$Q10&amp;"'!$D$9:$D$408"),$P10,INDIRECT("'"&amp;$Q10&amp;"'!$E$9:$E$408"),$C10,INDIRECT("'"&amp;$Q10&amp;"'!$F$9:$F$408"),$D10),""))</f>
        <v/>
      </c>
      <c r="H10" s="15">
        <f>IF(OR($C10="",$Q10=""),"",IFERROR(SUMIFS(INDIRECT("'"&amp;$Q10&amp;"'!$R$9:$R$408"),INDIRECT("'"&amp;$Q10&amp;"'!$D$9:$D$408"),$P10,INDIRECT("'"&amp;$Q10&amp;"'!$E$9:$E$408"),$C10,INDIRECT("'"&amp;$Q10&amp;"'!$F$9:$F$408"),$D10),""))</f>
        <v/>
      </c>
      <c r="I10" s="16">
        <f>IF(OR(OR($C10="",$Q10=""),N(E10)=0),"",H10/E10)</f>
        <v/>
      </c>
      <c r="J10" s="15">
        <f>IF(OR($C10="",$Q10=""),"",N(E10)-N(H10))</f>
        <v/>
      </c>
      <c r="K10" s="15">
        <f>IF(OR($C10="",$Q10=""),"",IFERROR(SUMIFS(INDIRECT("'"&amp;$Q10&amp;"'!$K$9:$K$408"),INDIRECT("'"&amp;$Q10&amp;"'!$D$9:$D$408"),$P10,INDIRECT("'"&amp;$Q10&amp;"'!$E$9:$E$408"),$C10,INDIRECT("'"&amp;$Q10&amp;"'!$F$9:$F$408"),$D10),""))</f>
        <v/>
      </c>
      <c r="L10" s="15">
        <f>IF(OR($C10="",$Q10=""),"",IFERROR(SUMIFS(INDIRECT("'"&amp;$Q10&amp;"'!$Q$9:$Q$408"),INDIRECT("'"&amp;$Q10&amp;"'!$D$9:$D$408"),$P10,INDIRECT("'"&amp;$Q10&amp;"'!$E$9:$E$408"),$C10,INDIRECT("'"&amp;$Q10&amp;"'!$F$9:$F$408"),$D10),""))</f>
        <v/>
      </c>
      <c r="M10" s="15">
        <f>IF(OR($C10="",$Q10=""),"",IFERROR(SUMIFS(INDIRECT("'"&amp;$Q10&amp;"'!$M$9:$M$408"),INDIRECT("'"&amp;$Q10&amp;"'!$D$9:$D$408"),$P10,INDIRECT("'"&amp;$Q10&amp;"'!$E$9:$E$408"),$C10,INDIRECT("'"&amp;$Q10&amp;"'!$F$9:$F$408"),$D10),""))</f>
        <v/>
      </c>
      <c r="N10" s="15">
        <f>IF(OR($C10="",$Q10=""),"",IFERROR(SUMIFS(INDIRECT("'"&amp;$Q10&amp;"'!$V$9:$V$408"),INDIRECT("'"&amp;$Q10&amp;"'!$D$9:$D$408"),$P10,INDIRECT("'"&amp;$Q10&amp;"'!$E$9:$E$408"),$C10,INDIRECT("'"&amp;$Q10&amp;"'!$F$9:$F$408"),$D10),""))</f>
        <v/>
      </c>
      <c r="P10" s="17" t="n"/>
      <c r="Q10" s="17" t="n"/>
    </row>
    <row r="11">
      <c r="B11" s="13">
        <f>IF(OR($C11="",$Q11=""),"",COUNTA($C$8:$C11))</f>
        <v/>
      </c>
      <c r="C11" s="14" t="n"/>
      <c r="D11" s="14" t="n"/>
      <c r="E11" s="15">
        <f>IF(OR($C11="",$Q11=""),"",IFERROR(SUMIFS(INDIRECT("'"&amp;$Q11&amp;"'!$G$9:$G$408"),INDIRECT("'"&amp;$Q11&amp;"'!$D$9:$D$408"),$P11,INDIRECT("'"&amp;$Q11&amp;"'!$E$9:$E$408"),$C11,INDIRECT("'"&amp;$Q11&amp;"'!$F$9:$F$408"),$D11),""))</f>
        <v/>
      </c>
      <c r="F11" s="15">
        <f>IF(OR($C11="",$Q11=""),"",IFERROR(SUMIFS(INDIRECT("'"&amp;$Q11&amp;"'!$H$9:$H$408"),INDIRECT("'"&amp;$Q11&amp;"'!$D$9:$D$408"),$P11,INDIRECT("'"&amp;$Q11&amp;"'!$E$9:$E$408"),$C11,INDIRECT("'"&amp;$Q11&amp;"'!$F$9:$F$408"),$D11),""))</f>
        <v/>
      </c>
      <c r="G11" s="15">
        <f>IF(OR($C11="",$Q11=""),"",IFERROR(SUMIFS(INDIRECT("'"&amp;$Q11&amp;"'!$I$9:$I$408"),INDIRECT("'"&amp;$Q11&amp;"'!$D$9:$D$408"),$P11,INDIRECT("'"&amp;$Q11&amp;"'!$E$9:$E$408"),$C11,INDIRECT("'"&amp;$Q11&amp;"'!$F$9:$F$408"),$D11),""))</f>
        <v/>
      </c>
      <c r="H11" s="15">
        <f>IF(OR($C11="",$Q11=""),"",IFERROR(SUMIFS(INDIRECT("'"&amp;$Q11&amp;"'!$R$9:$R$408"),INDIRECT("'"&amp;$Q11&amp;"'!$D$9:$D$408"),$P11,INDIRECT("'"&amp;$Q11&amp;"'!$E$9:$E$408"),$C11,INDIRECT("'"&amp;$Q11&amp;"'!$F$9:$F$408"),$D11),""))</f>
        <v/>
      </c>
      <c r="I11" s="16">
        <f>IF(OR(OR($C11="",$Q11=""),N(E11)=0),"",H11/E11)</f>
        <v/>
      </c>
      <c r="J11" s="15">
        <f>IF(OR($C11="",$Q11=""),"",N(E11)-N(H11))</f>
        <v/>
      </c>
      <c r="K11" s="15">
        <f>IF(OR($C11="",$Q11=""),"",IFERROR(SUMIFS(INDIRECT("'"&amp;$Q11&amp;"'!$K$9:$K$408"),INDIRECT("'"&amp;$Q11&amp;"'!$D$9:$D$408"),$P11,INDIRECT("'"&amp;$Q11&amp;"'!$E$9:$E$408"),$C11,INDIRECT("'"&amp;$Q11&amp;"'!$F$9:$F$408"),$D11),""))</f>
        <v/>
      </c>
      <c r="L11" s="15">
        <f>IF(OR($C11="",$Q11=""),"",IFERROR(SUMIFS(INDIRECT("'"&amp;$Q11&amp;"'!$Q$9:$Q$408"),INDIRECT("'"&amp;$Q11&amp;"'!$D$9:$D$408"),$P11,INDIRECT("'"&amp;$Q11&amp;"'!$E$9:$E$408"),$C11,INDIRECT("'"&amp;$Q11&amp;"'!$F$9:$F$408"),$D11),""))</f>
        <v/>
      </c>
      <c r="M11" s="15">
        <f>IF(OR($C11="",$Q11=""),"",IFERROR(SUMIFS(INDIRECT("'"&amp;$Q11&amp;"'!$M$9:$M$408"),INDIRECT("'"&amp;$Q11&amp;"'!$D$9:$D$408"),$P11,INDIRECT("'"&amp;$Q11&amp;"'!$E$9:$E$408"),$C11,INDIRECT("'"&amp;$Q11&amp;"'!$F$9:$F$408"),$D11),""))</f>
        <v/>
      </c>
      <c r="N11" s="15">
        <f>IF(OR($C11="",$Q11=""),"",IFERROR(SUMIFS(INDIRECT("'"&amp;$Q11&amp;"'!$V$9:$V$408"),INDIRECT("'"&amp;$Q11&amp;"'!$D$9:$D$408"),$P11,INDIRECT("'"&amp;$Q11&amp;"'!$E$9:$E$408"),$C11,INDIRECT("'"&amp;$Q11&amp;"'!$F$9:$F$408"),$D11),""))</f>
        <v/>
      </c>
      <c r="P11" s="17" t="n"/>
      <c r="Q11" s="17" t="n"/>
    </row>
    <row r="12">
      <c r="B12" s="13">
        <f>IF(OR($C12="",$Q12=""),"",COUNTA($C$8:$C12))</f>
        <v/>
      </c>
      <c r="C12" s="14" t="n"/>
      <c r="D12" s="14" t="n"/>
      <c r="E12" s="15">
        <f>IF(OR($C12="",$Q12=""),"",IFERROR(SUMIFS(INDIRECT("'"&amp;$Q12&amp;"'!$G$9:$G$408"),INDIRECT("'"&amp;$Q12&amp;"'!$D$9:$D$408"),$P12,INDIRECT("'"&amp;$Q12&amp;"'!$E$9:$E$408"),$C12,INDIRECT("'"&amp;$Q12&amp;"'!$F$9:$F$408"),$D12),""))</f>
        <v/>
      </c>
      <c r="F12" s="15">
        <f>IF(OR($C12="",$Q12=""),"",IFERROR(SUMIFS(INDIRECT("'"&amp;$Q12&amp;"'!$H$9:$H$408"),INDIRECT("'"&amp;$Q12&amp;"'!$D$9:$D$408"),$P12,INDIRECT("'"&amp;$Q12&amp;"'!$E$9:$E$408"),$C12,INDIRECT("'"&amp;$Q12&amp;"'!$F$9:$F$408"),$D12),""))</f>
        <v/>
      </c>
      <c r="G12" s="15">
        <f>IF(OR($C12="",$Q12=""),"",IFERROR(SUMIFS(INDIRECT("'"&amp;$Q12&amp;"'!$I$9:$I$408"),INDIRECT("'"&amp;$Q12&amp;"'!$D$9:$D$408"),$P12,INDIRECT("'"&amp;$Q12&amp;"'!$E$9:$E$408"),$C12,INDIRECT("'"&amp;$Q12&amp;"'!$F$9:$F$408"),$D12),""))</f>
        <v/>
      </c>
      <c r="H12" s="15">
        <f>IF(OR($C12="",$Q12=""),"",IFERROR(SUMIFS(INDIRECT("'"&amp;$Q12&amp;"'!$R$9:$R$408"),INDIRECT("'"&amp;$Q12&amp;"'!$D$9:$D$408"),$P12,INDIRECT("'"&amp;$Q12&amp;"'!$E$9:$E$408"),$C12,INDIRECT("'"&amp;$Q12&amp;"'!$F$9:$F$408"),$D12),""))</f>
        <v/>
      </c>
      <c r="I12" s="16">
        <f>IF(OR(OR($C12="",$Q12=""),N(E12)=0),"",H12/E12)</f>
        <v/>
      </c>
      <c r="J12" s="15">
        <f>IF(OR($C12="",$Q12=""),"",N(E12)-N(H12))</f>
        <v/>
      </c>
      <c r="K12" s="15">
        <f>IF(OR($C12="",$Q12=""),"",IFERROR(SUMIFS(INDIRECT("'"&amp;$Q12&amp;"'!$K$9:$K$408"),INDIRECT("'"&amp;$Q12&amp;"'!$D$9:$D$408"),$P12,INDIRECT("'"&amp;$Q12&amp;"'!$E$9:$E$408"),$C12,INDIRECT("'"&amp;$Q12&amp;"'!$F$9:$F$408"),$D12),""))</f>
        <v/>
      </c>
      <c r="L12" s="15">
        <f>IF(OR($C12="",$Q12=""),"",IFERROR(SUMIFS(INDIRECT("'"&amp;$Q12&amp;"'!$Q$9:$Q$408"),INDIRECT("'"&amp;$Q12&amp;"'!$D$9:$D$408"),$P12,INDIRECT("'"&amp;$Q12&amp;"'!$E$9:$E$408"),$C12,INDIRECT("'"&amp;$Q12&amp;"'!$F$9:$F$408"),$D12),""))</f>
        <v/>
      </c>
      <c r="M12" s="15">
        <f>IF(OR($C12="",$Q12=""),"",IFERROR(SUMIFS(INDIRECT("'"&amp;$Q12&amp;"'!$M$9:$M$408"),INDIRECT("'"&amp;$Q12&amp;"'!$D$9:$D$408"),$P12,INDIRECT("'"&amp;$Q12&amp;"'!$E$9:$E$408"),$C12,INDIRECT("'"&amp;$Q12&amp;"'!$F$9:$F$408"),$D12),""))</f>
        <v/>
      </c>
      <c r="N12" s="15">
        <f>IF(OR($C12="",$Q12=""),"",IFERROR(SUMIFS(INDIRECT("'"&amp;$Q12&amp;"'!$V$9:$V$408"),INDIRECT("'"&amp;$Q12&amp;"'!$D$9:$D$408"),$P12,INDIRECT("'"&amp;$Q12&amp;"'!$E$9:$E$408"),$C12,INDIRECT("'"&amp;$Q12&amp;"'!$F$9:$F$408"),$D12),""))</f>
        <v/>
      </c>
      <c r="P12" s="17" t="n"/>
      <c r="Q12" s="17" t="n"/>
    </row>
    <row r="13">
      <c r="B13" s="13">
        <f>IF(OR($C13="",$Q13=""),"",COUNTA($C$8:$C13))</f>
        <v/>
      </c>
      <c r="C13" s="14" t="n"/>
      <c r="D13" s="14" t="n"/>
      <c r="E13" s="15">
        <f>IF(OR($C13="",$Q13=""),"",IFERROR(SUMIFS(INDIRECT("'"&amp;$Q13&amp;"'!$G$9:$G$408"),INDIRECT("'"&amp;$Q13&amp;"'!$D$9:$D$408"),$P13,INDIRECT("'"&amp;$Q13&amp;"'!$E$9:$E$408"),$C13,INDIRECT("'"&amp;$Q13&amp;"'!$F$9:$F$408"),$D13),""))</f>
        <v/>
      </c>
      <c r="F13" s="15">
        <f>IF(OR($C13="",$Q13=""),"",IFERROR(SUMIFS(INDIRECT("'"&amp;$Q13&amp;"'!$H$9:$H$408"),INDIRECT("'"&amp;$Q13&amp;"'!$D$9:$D$408"),$P13,INDIRECT("'"&amp;$Q13&amp;"'!$E$9:$E$408"),$C13,INDIRECT("'"&amp;$Q13&amp;"'!$F$9:$F$408"),$D13),""))</f>
        <v/>
      </c>
      <c r="G13" s="15">
        <f>IF(OR($C13="",$Q13=""),"",IFERROR(SUMIFS(INDIRECT("'"&amp;$Q13&amp;"'!$I$9:$I$408"),INDIRECT("'"&amp;$Q13&amp;"'!$D$9:$D$408"),$P13,INDIRECT("'"&amp;$Q13&amp;"'!$E$9:$E$408"),$C13,INDIRECT("'"&amp;$Q13&amp;"'!$F$9:$F$408"),$D13),""))</f>
        <v/>
      </c>
      <c r="H13" s="15">
        <f>IF(OR($C13="",$Q13=""),"",IFERROR(SUMIFS(INDIRECT("'"&amp;$Q13&amp;"'!$R$9:$R$408"),INDIRECT("'"&amp;$Q13&amp;"'!$D$9:$D$408"),$P13,INDIRECT("'"&amp;$Q13&amp;"'!$E$9:$E$408"),$C13,INDIRECT("'"&amp;$Q13&amp;"'!$F$9:$F$408"),$D13),""))</f>
        <v/>
      </c>
      <c r="I13" s="16">
        <f>IF(OR(OR($C13="",$Q13=""),N(E13)=0),"",H13/E13)</f>
        <v/>
      </c>
      <c r="J13" s="15">
        <f>IF(OR($C13="",$Q13=""),"",N(E13)-N(H13))</f>
        <v/>
      </c>
      <c r="K13" s="15">
        <f>IF(OR($C13="",$Q13=""),"",IFERROR(SUMIFS(INDIRECT("'"&amp;$Q13&amp;"'!$K$9:$K$408"),INDIRECT("'"&amp;$Q13&amp;"'!$D$9:$D$408"),$P13,INDIRECT("'"&amp;$Q13&amp;"'!$E$9:$E$408"),$C13,INDIRECT("'"&amp;$Q13&amp;"'!$F$9:$F$408"),$D13),""))</f>
        <v/>
      </c>
      <c r="L13" s="15">
        <f>IF(OR($C13="",$Q13=""),"",IFERROR(SUMIFS(INDIRECT("'"&amp;$Q13&amp;"'!$Q$9:$Q$408"),INDIRECT("'"&amp;$Q13&amp;"'!$D$9:$D$408"),$P13,INDIRECT("'"&amp;$Q13&amp;"'!$E$9:$E$408"),$C13,INDIRECT("'"&amp;$Q13&amp;"'!$F$9:$F$408"),$D13),""))</f>
        <v/>
      </c>
      <c r="M13" s="15">
        <f>IF(OR($C13="",$Q13=""),"",IFERROR(SUMIFS(INDIRECT("'"&amp;$Q13&amp;"'!$M$9:$M$408"),INDIRECT("'"&amp;$Q13&amp;"'!$D$9:$D$408"),$P13,INDIRECT("'"&amp;$Q13&amp;"'!$E$9:$E$408"),$C13,INDIRECT("'"&amp;$Q13&amp;"'!$F$9:$F$408"),$D13),""))</f>
        <v/>
      </c>
      <c r="N13" s="15">
        <f>IF(OR($C13="",$Q13=""),"",IFERROR(SUMIFS(INDIRECT("'"&amp;$Q13&amp;"'!$V$9:$V$408"),INDIRECT("'"&amp;$Q13&amp;"'!$D$9:$D$408"),$P13,INDIRECT("'"&amp;$Q13&amp;"'!$E$9:$E$408"),$C13,INDIRECT("'"&amp;$Q13&amp;"'!$F$9:$F$408"),$D13),""))</f>
        <v/>
      </c>
      <c r="P13" s="17" t="n"/>
      <c r="Q13" s="17" t="n"/>
    </row>
    <row r="14">
      <c r="B14" s="13">
        <f>IF(OR($C14="",$Q14=""),"",COUNTA($C$8:$C14))</f>
        <v/>
      </c>
      <c r="C14" s="14" t="n"/>
      <c r="D14" s="14" t="n"/>
      <c r="E14" s="15">
        <f>IF(OR($C14="",$Q14=""),"",IFERROR(SUMIFS(INDIRECT("'"&amp;$Q14&amp;"'!$G$9:$G$408"),INDIRECT("'"&amp;$Q14&amp;"'!$D$9:$D$408"),$P14,INDIRECT("'"&amp;$Q14&amp;"'!$E$9:$E$408"),$C14,INDIRECT("'"&amp;$Q14&amp;"'!$F$9:$F$408"),$D14),""))</f>
        <v/>
      </c>
      <c r="F14" s="15">
        <f>IF(OR($C14="",$Q14=""),"",IFERROR(SUMIFS(INDIRECT("'"&amp;$Q14&amp;"'!$H$9:$H$408"),INDIRECT("'"&amp;$Q14&amp;"'!$D$9:$D$408"),$P14,INDIRECT("'"&amp;$Q14&amp;"'!$E$9:$E$408"),$C14,INDIRECT("'"&amp;$Q14&amp;"'!$F$9:$F$408"),$D14),""))</f>
        <v/>
      </c>
      <c r="G14" s="15">
        <f>IF(OR($C14="",$Q14=""),"",IFERROR(SUMIFS(INDIRECT("'"&amp;$Q14&amp;"'!$I$9:$I$408"),INDIRECT("'"&amp;$Q14&amp;"'!$D$9:$D$408"),$P14,INDIRECT("'"&amp;$Q14&amp;"'!$E$9:$E$408"),$C14,INDIRECT("'"&amp;$Q14&amp;"'!$F$9:$F$408"),$D14),""))</f>
        <v/>
      </c>
      <c r="H14" s="15">
        <f>IF(OR($C14="",$Q14=""),"",IFERROR(SUMIFS(INDIRECT("'"&amp;$Q14&amp;"'!$R$9:$R$408"),INDIRECT("'"&amp;$Q14&amp;"'!$D$9:$D$408"),$P14,INDIRECT("'"&amp;$Q14&amp;"'!$E$9:$E$408"),$C14,INDIRECT("'"&amp;$Q14&amp;"'!$F$9:$F$408"),$D14),""))</f>
        <v/>
      </c>
      <c r="I14" s="16">
        <f>IF(OR(OR($C14="",$Q14=""),N(E14)=0),"",H14/E14)</f>
        <v/>
      </c>
      <c r="J14" s="15">
        <f>IF(OR($C14="",$Q14=""),"",N(E14)-N(H14))</f>
        <v/>
      </c>
      <c r="K14" s="15">
        <f>IF(OR($C14="",$Q14=""),"",IFERROR(SUMIFS(INDIRECT("'"&amp;$Q14&amp;"'!$K$9:$K$408"),INDIRECT("'"&amp;$Q14&amp;"'!$D$9:$D$408"),$P14,INDIRECT("'"&amp;$Q14&amp;"'!$E$9:$E$408"),$C14,INDIRECT("'"&amp;$Q14&amp;"'!$F$9:$F$408"),$D14),""))</f>
        <v/>
      </c>
      <c r="L14" s="15">
        <f>IF(OR($C14="",$Q14=""),"",IFERROR(SUMIFS(INDIRECT("'"&amp;$Q14&amp;"'!$Q$9:$Q$408"),INDIRECT("'"&amp;$Q14&amp;"'!$D$9:$D$408"),$P14,INDIRECT("'"&amp;$Q14&amp;"'!$E$9:$E$408"),$C14,INDIRECT("'"&amp;$Q14&amp;"'!$F$9:$F$408"),$D14),""))</f>
        <v/>
      </c>
      <c r="M14" s="15">
        <f>IF(OR($C14="",$Q14=""),"",IFERROR(SUMIFS(INDIRECT("'"&amp;$Q14&amp;"'!$M$9:$M$408"),INDIRECT("'"&amp;$Q14&amp;"'!$D$9:$D$408"),$P14,INDIRECT("'"&amp;$Q14&amp;"'!$E$9:$E$408"),$C14,INDIRECT("'"&amp;$Q14&amp;"'!$F$9:$F$408"),$D14),""))</f>
        <v/>
      </c>
      <c r="N14" s="15">
        <f>IF(OR($C14="",$Q14=""),"",IFERROR(SUMIFS(INDIRECT("'"&amp;$Q14&amp;"'!$V$9:$V$408"),INDIRECT("'"&amp;$Q14&amp;"'!$D$9:$D$408"),$P14,INDIRECT("'"&amp;$Q14&amp;"'!$E$9:$E$408"),$C14,INDIRECT("'"&amp;$Q14&amp;"'!$F$9:$F$408"),$D14),""))</f>
        <v/>
      </c>
      <c r="P14" s="17" t="n"/>
      <c r="Q14" s="17" t="n"/>
    </row>
    <row r="15">
      <c r="B15" s="13">
        <f>IF(OR($C15="",$Q15=""),"",COUNTA($C$8:$C15))</f>
        <v/>
      </c>
      <c r="C15" s="14" t="n"/>
      <c r="D15" s="14" t="n"/>
      <c r="E15" s="15">
        <f>IF(OR($C15="",$Q15=""),"",IFERROR(SUMIFS(INDIRECT("'"&amp;$Q15&amp;"'!$G$9:$G$408"),INDIRECT("'"&amp;$Q15&amp;"'!$D$9:$D$408"),$P15,INDIRECT("'"&amp;$Q15&amp;"'!$E$9:$E$408"),$C15,INDIRECT("'"&amp;$Q15&amp;"'!$F$9:$F$408"),$D15),""))</f>
        <v/>
      </c>
      <c r="F15" s="15">
        <f>IF(OR($C15="",$Q15=""),"",IFERROR(SUMIFS(INDIRECT("'"&amp;$Q15&amp;"'!$H$9:$H$408"),INDIRECT("'"&amp;$Q15&amp;"'!$D$9:$D$408"),$P15,INDIRECT("'"&amp;$Q15&amp;"'!$E$9:$E$408"),$C15,INDIRECT("'"&amp;$Q15&amp;"'!$F$9:$F$408"),$D15),""))</f>
        <v/>
      </c>
      <c r="G15" s="15">
        <f>IF(OR($C15="",$Q15=""),"",IFERROR(SUMIFS(INDIRECT("'"&amp;$Q15&amp;"'!$I$9:$I$408"),INDIRECT("'"&amp;$Q15&amp;"'!$D$9:$D$408"),$P15,INDIRECT("'"&amp;$Q15&amp;"'!$E$9:$E$408"),$C15,INDIRECT("'"&amp;$Q15&amp;"'!$F$9:$F$408"),$D15),""))</f>
        <v/>
      </c>
      <c r="H15" s="15">
        <f>IF(OR($C15="",$Q15=""),"",IFERROR(SUMIFS(INDIRECT("'"&amp;$Q15&amp;"'!$R$9:$R$408"),INDIRECT("'"&amp;$Q15&amp;"'!$D$9:$D$408"),$P15,INDIRECT("'"&amp;$Q15&amp;"'!$E$9:$E$408"),$C15,INDIRECT("'"&amp;$Q15&amp;"'!$F$9:$F$408"),$D15),""))</f>
        <v/>
      </c>
      <c r="I15" s="16">
        <f>IF(OR(OR($C15="",$Q15=""),N(E15)=0),"",H15/E15)</f>
        <v/>
      </c>
      <c r="J15" s="15">
        <f>IF(OR($C15="",$Q15=""),"",N(E15)-N(H15))</f>
        <v/>
      </c>
      <c r="K15" s="15">
        <f>IF(OR($C15="",$Q15=""),"",IFERROR(SUMIFS(INDIRECT("'"&amp;$Q15&amp;"'!$K$9:$K$408"),INDIRECT("'"&amp;$Q15&amp;"'!$D$9:$D$408"),$P15,INDIRECT("'"&amp;$Q15&amp;"'!$E$9:$E$408"),$C15,INDIRECT("'"&amp;$Q15&amp;"'!$F$9:$F$408"),$D15),""))</f>
        <v/>
      </c>
      <c r="L15" s="15">
        <f>IF(OR($C15="",$Q15=""),"",IFERROR(SUMIFS(INDIRECT("'"&amp;$Q15&amp;"'!$Q$9:$Q$408"),INDIRECT("'"&amp;$Q15&amp;"'!$D$9:$D$408"),$P15,INDIRECT("'"&amp;$Q15&amp;"'!$E$9:$E$408"),$C15,INDIRECT("'"&amp;$Q15&amp;"'!$F$9:$F$408"),$D15),""))</f>
        <v/>
      </c>
      <c r="M15" s="15">
        <f>IF(OR($C15="",$Q15=""),"",IFERROR(SUMIFS(INDIRECT("'"&amp;$Q15&amp;"'!$M$9:$M$408"),INDIRECT("'"&amp;$Q15&amp;"'!$D$9:$D$408"),$P15,INDIRECT("'"&amp;$Q15&amp;"'!$E$9:$E$408"),$C15,INDIRECT("'"&amp;$Q15&amp;"'!$F$9:$F$408"),$D15),""))</f>
        <v/>
      </c>
      <c r="N15" s="15">
        <f>IF(OR($C15="",$Q15=""),"",IFERROR(SUMIFS(INDIRECT("'"&amp;$Q15&amp;"'!$V$9:$V$408"),INDIRECT("'"&amp;$Q15&amp;"'!$D$9:$D$408"),$P15,INDIRECT("'"&amp;$Q15&amp;"'!$E$9:$E$408"),$C15,INDIRECT("'"&amp;$Q15&amp;"'!$F$9:$F$408"),$D15),""))</f>
        <v/>
      </c>
      <c r="P15" s="17" t="n"/>
      <c r="Q15" s="17" t="n"/>
    </row>
    <row r="16">
      <c r="B16" s="13">
        <f>IF(OR($C16="",$Q16=""),"",COUNTA($C$8:$C16))</f>
        <v/>
      </c>
      <c r="C16" s="14" t="n"/>
      <c r="D16" s="14" t="n"/>
      <c r="E16" s="15">
        <f>IF(OR($C16="",$Q16=""),"",IFERROR(SUMIFS(INDIRECT("'"&amp;$Q16&amp;"'!$G$9:$G$408"),INDIRECT("'"&amp;$Q16&amp;"'!$D$9:$D$408"),$P16,INDIRECT("'"&amp;$Q16&amp;"'!$E$9:$E$408"),$C16,INDIRECT("'"&amp;$Q16&amp;"'!$F$9:$F$408"),$D16),""))</f>
        <v/>
      </c>
      <c r="F16" s="15">
        <f>IF(OR($C16="",$Q16=""),"",IFERROR(SUMIFS(INDIRECT("'"&amp;$Q16&amp;"'!$H$9:$H$408"),INDIRECT("'"&amp;$Q16&amp;"'!$D$9:$D$408"),$P16,INDIRECT("'"&amp;$Q16&amp;"'!$E$9:$E$408"),$C16,INDIRECT("'"&amp;$Q16&amp;"'!$F$9:$F$408"),$D16),""))</f>
        <v/>
      </c>
      <c r="G16" s="15">
        <f>IF(OR($C16="",$Q16=""),"",IFERROR(SUMIFS(INDIRECT("'"&amp;$Q16&amp;"'!$I$9:$I$408"),INDIRECT("'"&amp;$Q16&amp;"'!$D$9:$D$408"),$P16,INDIRECT("'"&amp;$Q16&amp;"'!$E$9:$E$408"),$C16,INDIRECT("'"&amp;$Q16&amp;"'!$F$9:$F$408"),$D16),""))</f>
        <v/>
      </c>
      <c r="H16" s="15">
        <f>IF(OR($C16="",$Q16=""),"",IFERROR(SUMIFS(INDIRECT("'"&amp;$Q16&amp;"'!$R$9:$R$408"),INDIRECT("'"&amp;$Q16&amp;"'!$D$9:$D$408"),$P16,INDIRECT("'"&amp;$Q16&amp;"'!$E$9:$E$408"),$C16,INDIRECT("'"&amp;$Q16&amp;"'!$F$9:$F$408"),$D16),""))</f>
        <v/>
      </c>
      <c r="I16" s="16">
        <f>IF(OR(OR($C16="",$Q16=""),N(E16)=0),"",H16/E16)</f>
        <v/>
      </c>
      <c r="J16" s="15">
        <f>IF(OR($C16="",$Q16=""),"",N(E16)-N(H16))</f>
        <v/>
      </c>
      <c r="K16" s="15">
        <f>IF(OR($C16="",$Q16=""),"",IFERROR(SUMIFS(INDIRECT("'"&amp;$Q16&amp;"'!$K$9:$K$408"),INDIRECT("'"&amp;$Q16&amp;"'!$D$9:$D$408"),$P16,INDIRECT("'"&amp;$Q16&amp;"'!$E$9:$E$408"),$C16,INDIRECT("'"&amp;$Q16&amp;"'!$F$9:$F$408"),$D16),""))</f>
        <v/>
      </c>
      <c r="L16" s="15">
        <f>IF(OR($C16="",$Q16=""),"",IFERROR(SUMIFS(INDIRECT("'"&amp;$Q16&amp;"'!$Q$9:$Q$408"),INDIRECT("'"&amp;$Q16&amp;"'!$D$9:$D$408"),$P16,INDIRECT("'"&amp;$Q16&amp;"'!$E$9:$E$408"),$C16,INDIRECT("'"&amp;$Q16&amp;"'!$F$9:$F$408"),$D16),""))</f>
        <v/>
      </c>
      <c r="M16" s="15">
        <f>IF(OR($C16="",$Q16=""),"",IFERROR(SUMIFS(INDIRECT("'"&amp;$Q16&amp;"'!$M$9:$M$408"),INDIRECT("'"&amp;$Q16&amp;"'!$D$9:$D$408"),$P16,INDIRECT("'"&amp;$Q16&amp;"'!$E$9:$E$408"),$C16,INDIRECT("'"&amp;$Q16&amp;"'!$F$9:$F$408"),$D16),""))</f>
        <v/>
      </c>
      <c r="N16" s="15">
        <f>IF(OR($C16="",$Q16=""),"",IFERROR(SUMIFS(INDIRECT("'"&amp;$Q16&amp;"'!$V$9:$V$408"),INDIRECT("'"&amp;$Q16&amp;"'!$D$9:$D$408"),$P16,INDIRECT("'"&amp;$Q16&amp;"'!$E$9:$E$408"),$C16,INDIRECT("'"&amp;$Q16&amp;"'!$F$9:$F$408"),$D16),""))</f>
        <v/>
      </c>
      <c r="P16" s="17" t="n"/>
      <c r="Q16" s="17" t="n"/>
    </row>
    <row r="17">
      <c r="B17" s="13">
        <f>IF(OR($C17="",$Q17=""),"",COUNTA($C$8:$C17))</f>
        <v/>
      </c>
      <c r="C17" s="14" t="n"/>
      <c r="D17" s="14" t="n"/>
      <c r="E17" s="15">
        <f>IF(OR($C17="",$Q17=""),"",IFERROR(SUMIFS(INDIRECT("'"&amp;$Q17&amp;"'!$G$9:$G$408"),INDIRECT("'"&amp;$Q17&amp;"'!$D$9:$D$408"),$P17,INDIRECT("'"&amp;$Q17&amp;"'!$E$9:$E$408"),$C17,INDIRECT("'"&amp;$Q17&amp;"'!$F$9:$F$408"),$D17),""))</f>
        <v/>
      </c>
      <c r="F17" s="15">
        <f>IF(OR($C17="",$Q17=""),"",IFERROR(SUMIFS(INDIRECT("'"&amp;$Q17&amp;"'!$H$9:$H$408"),INDIRECT("'"&amp;$Q17&amp;"'!$D$9:$D$408"),$P17,INDIRECT("'"&amp;$Q17&amp;"'!$E$9:$E$408"),$C17,INDIRECT("'"&amp;$Q17&amp;"'!$F$9:$F$408"),$D17),""))</f>
        <v/>
      </c>
      <c r="G17" s="15">
        <f>IF(OR($C17="",$Q17=""),"",IFERROR(SUMIFS(INDIRECT("'"&amp;$Q17&amp;"'!$I$9:$I$408"),INDIRECT("'"&amp;$Q17&amp;"'!$D$9:$D$408"),$P17,INDIRECT("'"&amp;$Q17&amp;"'!$E$9:$E$408"),$C17,INDIRECT("'"&amp;$Q17&amp;"'!$F$9:$F$408"),$D17),""))</f>
        <v/>
      </c>
      <c r="H17" s="15">
        <f>IF(OR($C17="",$Q17=""),"",IFERROR(SUMIFS(INDIRECT("'"&amp;$Q17&amp;"'!$R$9:$R$408"),INDIRECT("'"&amp;$Q17&amp;"'!$D$9:$D$408"),$P17,INDIRECT("'"&amp;$Q17&amp;"'!$E$9:$E$408"),$C17,INDIRECT("'"&amp;$Q17&amp;"'!$F$9:$F$408"),$D17),""))</f>
        <v/>
      </c>
      <c r="I17" s="16">
        <f>IF(OR(OR($C17="",$Q17=""),N(E17)=0),"",H17/E17)</f>
        <v/>
      </c>
      <c r="J17" s="15">
        <f>IF(OR($C17="",$Q17=""),"",N(E17)-N(H17))</f>
        <v/>
      </c>
      <c r="K17" s="15">
        <f>IF(OR($C17="",$Q17=""),"",IFERROR(SUMIFS(INDIRECT("'"&amp;$Q17&amp;"'!$K$9:$K$408"),INDIRECT("'"&amp;$Q17&amp;"'!$D$9:$D$408"),$P17,INDIRECT("'"&amp;$Q17&amp;"'!$E$9:$E$408"),$C17,INDIRECT("'"&amp;$Q17&amp;"'!$F$9:$F$408"),$D17),""))</f>
        <v/>
      </c>
      <c r="L17" s="15">
        <f>IF(OR($C17="",$Q17=""),"",IFERROR(SUMIFS(INDIRECT("'"&amp;$Q17&amp;"'!$Q$9:$Q$408"),INDIRECT("'"&amp;$Q17&amp;"'!$D$9:$D$408"),$P17,INDIRECT("'"&amp;$Q17&amp;"'!$E$9:$E$408"),$C17,INDIRECT("'"&amp;$Q17&amp;"'!$F$9:$F$408"),$D17),""))</f>
        <v/>
      </c>
      <c r="M17" s="15">
        <f>IF(OR($C17="",$Q17=""),"",IFERROR(SUMIFS(INDIRECT("'"&amp;$Q17&amp;"'!$M$9:$M$408"),INDIRECT("'"&amp;$Q17&amp;"'!$D$9:$D$408"),$P17,INDIRECT("'"&amp;$Q17&amp;"'!$E$9:$E$408"),$C17,INDIRECT("'"&amp;$Q17&amp;"'!$F$9:$F$408"),$D17),""))</f>
        <v/>
      </c>
      <c r="N17" s="15">
        <f>IF(OR($C17="",$Q17=""),"",IFERROR(SUMIFS(INDIRECT("'"&amp;$Q17&amp;"'!$V$9:$V$408"),INDIRECT("'"&amp;$Q17&amp;"'!$D$9:$D$408"),$P17,INDIRECT("'"&amp;$Q17&amp;"'!$E$9:$E$408"),$C17,INDIRECT("'"&amp;$Q17&amp;"'!$F$9:$F$408"),$D17),""))</f>
        <v/>
      </c>
      <c r="P17" s="17" t="n"/>
      <c r="Q17" s="17" t="n"/>
    </row>
    <row r="18">
      <c r="B18" s="13">
        <f>IF(OR($C18="",$Q18=""),"",COUNTA($C$8:$C18))</f>
        <v/>
      </c>
      <c r="C18" s="14" t="n"/>
      <c r="D18" s="14" t="n"/>
      <c r="E18" s="15">
        <f>IF(OR($C18="",$Q18=""),"",IFERROR(SUMIFS(INDIRECT("'"&amp;$Q18&amp;"'!$G$9:$G$408"),INDIRECT("'"&amp;$Q18&amp;"'!$D$9:$D$408"),$P18,INDIRECT("'"&amp;$Q18&amp;"'!$E$9:$E$408"),$C18,INDIRECT("'"&amp;$Q18&amp;"'!$F$9:$F$408"),$D18),""))</f>
        <v/>
      </c>
      <c r="F18" s="15">
        <f>IF(OR($C18="",$Q18=""),"",IFERROR(SUMIFS(INDIRECT("'"&amp;$Q18&amp;"'!$H$9:$H$408"),INDIRECT("'"&amp;$Q18&amp;"'!$D$9:$D$408"),$P18,INDIRECT("'"&amp;$Q18&amp;"'!$E$9:$E$408"),$C18,INDIRECT("'"&amp;$Q18&amp;"'!$F$9:$F$408"),$D18),""))</f>
        <v/>
      </c>
      <c r="G18" s="15">
        <f>IF(OR($C18="",$Q18=""),"",IFERROR(SUMIFS(INDIRECT("'"&amp;$Q18&amp;"'!$I$9:$I$408"),INDIRECT("'"&amp;$Q18&amp;"'!$D$9:$D$408"),$P18,INDIRECT("'"&amp;$Q18&amp;"'!$E$9:$E$408"),$C18,INDIRECT("'"&amp;$Q18&amp;"'!$F$9:$F$408"),$D18),""))</f>
        <v/>
      </c>
      <c r="H18" s="15">
        <f>IF(OR($C18="",$Q18=""),"",IFERROR(SUMIFS(INDIRECT("'"&amp;$Q18&amp;"'!$R$9:$R$408"),INDIRECT("'"&amp;$Q18&amp;"'!$D$9:$D$408"),$P18,INDIRECT("'"&amp;$Q18&amp;"'!$E$9:$E$408"),$C18,INDIRECT("'"&amp;$Q18&amp;"'!$F$9:$F$408"),$D18),""))</f>
        <v/>
      </c>
      <c r="I18" s="16">
        <f>IF(OR(OR($C18="",$Q18=""),N(E18)=0),"",H18/E18)</f>
        <v/>
      </c>
      <c r="J18" s="15">
        <f>IF(OR($C18="",$Q18=""),"",N(E18)-N(H18))</f>
        <v/>
      </c>
      <c r="K18" s="15">
        <f>IF(OR($C18="",$Q18=""),"",IFERROR(SUMIFS(INDIRECT("'"&amp;$Q18&amp;"'!$K$9:$K$408"),INDIRECT("'"&amp;$Q18&amp;"'!$D$9:$D$408"),$P18,INDIRECT("'"&amp;$Q18&amp;"'!$E$9:$E$408"),$C18,INDIRECT("'"&amp;$Q18&amp;"'!$F$9:$F$408"),$D18),""))</f>
        <v/>
      </c>
      <c r="L18" s="15">
        <f>IF(OR($C18="",$Q18=""),"",IFERROR(SUMIFS(INDIRECT("'"&amp;$Q18&amp;"'!$Q$9:$Q$408"),INDIRECT("'"&amp;$Q18&amp;"'!$D$9:$D$408"),$P18,INDIRECT("'"&amp;$Q18&amp;"'!$E$9:$E$408"),$C18,INDIRECT("'"&amp;$Q18&amp;"'!$F$9:$F$408"),$D18),""))</f>
        <v/>
      </c>
      <c r="M18" s="15">
        <f>IF(OR($C18="",$Q18=""),"",IFERROR(SUMIFS(INDIRECT("'"&amp;$Q18&amp;"'!$M$9:$M$408"),INDIRECT("'"&amp;$Q18&amp;"'!$D$9:$D$408"),$P18,INDIRECT("'"&amp;$Q18&amp;"'!$E$9:$E$408"),$C18,INDIRECT("'"&amp;$Q18&amp;"'!$F$9:$F$408"),$D18),""))</f>
        <v/>
      </c>
      <c r="N18" s="15">
        <f>IF(OR($C18="",$Q18=""),"",IFERROR(SUMIFS(INDIRECT("'"&amp;$Q18&amp;"'!$V$9:$V$408"),INDIRECT("'"&amp;$Q18&amp;"'!$D$9:$D$408"),$P18,INDIRECT("'"&amp;$Q18&amp;"'!$E$9:$E$408"),$C18,INDIRECT("'"&amp;$Q18&amp;"'!$F$9:$F$408"),$D18),""))</f>
        <v/>
      </c>
      <c r="P18" s="17" t="n"/>
      <c r="Q18" s="17" t="n"/>
    </row>
    <row r="19">
      <c r="B19" s="13">
        <f>IF(OR($C19="",$Q19=""),"",COUNTA($C$8:$C19))</f>
        <v/>
      </c>
      <c r="C19" s="14" t="n"/>
      <c r="D19" s="14" t="n"/>
      <c r="E19" s="15">
        <f>IF(OR($C19="",$Q19=""),"",IFERROR(SUMIFS(INDIRECT("'"&amp;$Q19&amp;"'!$G$9:$G$408"),INDIRECT("'"&amp;$Q19&amp;"'!$D$9:$D$408"),$P19,INDIRECT("'"&amp;$Q19&amp;"'!$E$9:$E$408"),$C19,INDIRECT("'"&amp;$Q19&amp;"'!$F$9:$F$408"),$D19),""))</f>
        <v/>
      </c>
      <c r="F19" s="15">
        <f>IF(OR($C19="",$Q19=""),"",IFERROR(SUMIFS(INDIRECT("'"&amp;$Q19&amp;"'!$H$9:$H$408"),INDIRECT("'"&amp;$Q19&amp;"'!$D$9:$D$408"),$P19,INDIRECT("'"&amp;$Q19&amp;"'!$E$9:$E$408"),$C19,INDIRECT("'"&amp;$Q19&amp;"'!$F$9:$F$408"),$D19),""))</f>
        <v/>
      </c>
      <c r="G19" s="15">
        <f>IF(OR($C19="",$Q19=""),"",IFERROR(SUMIFS(INDIRECT("'"&amp;$Q19&amp;"'!$I$9:$I$408"),INDIRECT("'"&amp;$Q19&amp;"'!$D$9:$D$408"),$P19,INDIRECT("'"&amp;$Q19&amp;"'!$E$9:$E$408"),$C19,INDIRECT("'"&amp;$Q19&amp;"'!$F$9:$F$408"),$D19),""))</f>
        <v/>
      </c>
      <c r="H19" s="15">
        <f>IF(OR($C19="",$Q19=""),"",IFERROR(SUMIFS(INDIRECT("'"&amp;$Q19&amp;"'!$R$9:$R$408"),INDIRECT("'"&amp;$Q19&amp;"'!$D$9:$D$408"),$P19,INDIRECT("'"&amp;$Q19&amp;"'!$E$9:$E$408"),$C19,INDIRECT("'"&amp;$Q19&amp;"'!$F$9:$F$408"),$D19),""))</f>
        <v/>
      </c>
      <c r="I19" s="16">
        <f>IF(OR(OR($C19="",$Q19=""),N(E19)=0),"",H19/E19)</f>
        <v/>
      </c>
      <c r="J19" s="15">
        <f>IF(OR($C19="",$Q19=""),"",N(E19)-N(H19))</f>
        <v/>
      </c>
      <c r="K19" s="15">
        <f>IF(OR($C19="",$Q19=""),"",IFERROR(SUMIFS(INDIRECT("'"&amp;$Q19&amp;"'!$K$9:$K$408"),INDIRECT("'"&amp;$Q19&amp;"'!$D$9:$D$408"),$P19,INDIRECT("'"&amp;$Q19&amp;"'!$E$9:$E$408"),$C19,INDIRECT("'"&amp;$Q19&amp;"'!$F$9:$F$408"),$D19),""))</f>
        <v/>
      </c>
      <c r="L19" s="15">
        <f>IF(OR($C19="",$Q19=""),"",IFERROR(SUMIFS(INDIRECT("'"&amp;$Q19&amp;"'!$Q$9:$Q$408"),INDIRECT("'"&amp;$Q19&amp;"'!$D$9:$D$408"),$P19,INDIRECT("'"&amp;$Q19&amp;"'!$E$9:$E$408"),$C19,INDIRECT("'"&amp;$Q19&amp;"'!$F$9:$F$408"),$D19),""))</f>
        <v/>
      </c>
      <c r="M19" s="15">
        <f>IF(OR($C19="",$Q19=""),"",IFERROR(SUMIFS(INDIRECT("'"&amp;$Q19&amp;"'!$M$9:$M$408"),INDIRECT("'"&amp;$Q19&amp;"'!$D$9:$D$408"),$P19,INDIRECT("'"&amp;$Q19&amp;"'!$E$9:$E$408"),$C19,INDIRECT("'"&amp;$Q19&amp;"'!$F$9:$F$408"),$D19),""))</f>
        <v/>
      </c>
      <c r="N19" s="15">
        <f>IF(OR($C19="",$Q19=""),"",IFERROR(SUMIFS(INDIRECT("'"&amp;$Q19&amp;"'!$V$9:$V$408"),INDIRECT("'"&amp;$Q19&amp;"'!$D$9:$D$408"),$P19,INDIRECT("'"&amp;$Q19&amp;"'!$E$9:$E$408"),$C19,INDIRECT("'"&amp;$Q19&amp;"'!$F$9:$F$408"),$D19),""))</f>
        <v/>
      </c>
      <c r="P19" s="17" t="n"/>
      <c r="Q19" s="17" t="n"/>
    </row>
    <row r="20">
      <c r="B20" s="13">
        <f>IF(OR($C20="",$Q20=""),"",COUNTA($C$8:$C20))</f>
        <v/>
      </c>
      <c r="C20" s="14" t="n"/>
      <c r="D20" s="14" t="n"/>
      <c r="E20" s="15">
        <f>IF(OR($C20="",$Q20=""),"",IFERROR(SUMIFS(INDIRECT("'"&amp;$Q20&amp;"'!$G$9:$G$408"),INDIRECT("'"&amp;$Q20&amp;"'!$D$9:$D$408"),$P20,INDIRECT("'"&amp;$Q20&amp;"'!$E$9:$E$408"),$C20,INDIRECT("'"&amp;$Q20&amp;"'!$F$9:$F$408"),$D20),""))</f>
        <v/>
      </c>
      <c r="F20" s="15">
        <f>IF(OR($C20="",$Q20=""),"",IFERROR(SUMIFS(INDIRECT("'"&amp;$Q20&amp;"'!$H$9:$H$408"),INDIRECT("'"&amp;$Q20&amp;"'!$D$9:$D$408"),$P20,INDIRECT("'"&amp;$Q20&amp;"'!$E$9:$E$408"),$C20,INDIRECT("'"&amp;$Q20&amp;"'!$F$9:$F$408"),$D20),""))</f>
        <v/>
      </c>
      <c r="G20" s="15">
        <f>IF(OR($C20="",$Q20=""),"",IFERROR(SUMIFS(INDIRECT("'"&amp;$Q20&amp;"'!$I$9:$I$408"),INDIRECT("'"&amp;$Q20&amp;"'!$D$9:$D$408"),$P20,INDIRECT("'"&amp;$Q20&amp;"'!$E$9:$E$408"),$C20,INDIRECT("'"&amp;$Q20&amp;"'!$F$9:$F$408"),$D20),""))</f>
        <v/>
      </c>
      <c r="H20" s="15">
        <f>IF(OR($C20="",$Q20=""),"",IFERROR(SUMIFS(INDIRECT("'"&amp;$Q20&amp;"'!$R$9:$R$408"),INDIRECT("'"&amp;$Q20&amp;"'!$D$9:$D$408"),$P20,INDIRECT("'"&amp;$Q20&amp;"'!$E$9:$E$408"),$C20,INDIRECT("'"&amp;$Q20&amp;"'!$F$9:$F$408"),$D20),""))</f>
        <v/>
      </c>
      <c r="I20" s="16">
        <f>IF(OR(OR($C20="",$Q20=""),N(E20)=0),"",H20/E20)</f>
        <v/>
      </c>
      <c r="J20" s="15">
        <f>IF(OR($C20="",$Q20=""),"",N(E20)-N(H20))</f>
        <v/>
      </c>
      <c r="K20" s="15">
        <f>IF(OR($C20="",$Q20=""),"",IFERROR(SUMIFS(INDIRECT("'"&amp;$Q20&amp;"'!$K$9:$K$408"),INDIRECT("'"&amp;$Q20&amp;"'!$D$9:$D$408"),$P20,INDIRECT("'"&amp;$Q20&amp;"'!$E$9:$E$408"),$C20,INDIRECT("'"&amp;$Q20&amp;"'!$F$9:$F$408"),$D20),""))</f>
        <v/>
      </c>
      <c r="L20" s="15">
        <f>IF(OR($C20="",$Q20=""),"",IFERROR(SUMIFS(INDIRECT("'"&amp;$Q20&amp;"'!$Q$9:$Q$408"),INDIRECT("'"&amp;$Q20&amp;"'!$D$9:$D$408"),$P20,INDIRECT("'"&amp;$Q20&amp;"'!$E$9:$E$408"),$C20,INDIRECT("'"&amp;$Q20&amp;"'!$F$9:$F$408"),$D20),""))</f>
        <v/>
      </c>
      <c r="M20" s="15">
        <f>IF(OR($C20="",$Q20=""),"",IFERROR(SUMIFS(INDIRECT("'"&amp;$Q20&amp;"'!$M$9:$M$408"),INDIRECT("'"&amp;$Q20&amp;"'!$D$9:$D$408"),$P20,INDIRECT("'"&amp;$Q20&amp;"'!$E$9:$E$408"),$C20,INDIRECT("'"&amp;$Q20&amp;"'!$F$9:$F$408"),$D20),""))</f>
        <v/>
      </c>
      <c r="N20" s="15">
        <f>IF(OR($C20="",$Q20=""),"",IFERROR(SUMIFS(INDIRECT("'"&amp;$Q20&amp;"'!$V$9:$V$408"),INDIRECT("'"&amp;$Q20&amp;"'!$D$9:$D$408"),$P20,INDIRECT("'"&amp;$Q20&amp;"'!$E$9:$E$408"),$C20,INDIRECT("'"&amp;$Q20&amp;"'!$F$9:$F$408"),$D20),""))</f>
        <v/>
      </c>
      <c r="P20" s="17" t="n"/>
      <c r="Q20" s="17" t="n"/>
    </row>
    <row r="21">
      <c r="B21" s="13">
        <f>IF(OR($C21="",$Q21=""),"",COUNTA($C$8:$C21))</f>
        <v/>
      </c>
      <c r="C21" s="14" t="n"/>
      <c r="D21" s="14" t="n"/>
      <c r="E21" s="15">
        <f>IF(OR($C21="",$Q21=""),"",IFERROR(SUMIFS(INDIRECT("'"&amp;$Q21&amp;"'!$G$9:$G$408"),INDIRECT("'"&amp;$Q21&amp;"'!$D$9:$D$408"),$P21,INDIRECT("'"&amp;$Q21&amp;"'!$E$9:$E$408"),$C21,INDIRECT("'"&amp;$Q21&amp;"'!$F$9:$F$408"),$D21),""))</f>
        <v/>
      </c>
      <c r="F21" s="15">
        <f>IF(OR($C21="",$Q21=""),"",IFERROR(SUMIFS(INDIRECT("'"&amp;$Q21&amp;"'!$H$9:$H$408"),INDIRECT("'"&amp;$Q21&amp;"'!$D$9:$D$408"),$P21,INDIRECT("'"&amp;$Q21&amp;"'!$E$9:$E$408"),$C21,INDIRECT("'"&amp;$Q21&amp;"'!$F$9:$F$408"),$D21),""))</f>
        <v/>
      </c>
      <c r="G21" s="15">
        <f>IF(OR($C21="",$Q21=""),"",IFERROR(SUMIFS(INDIRECT("'"&amp;$Q21&amp;"'!$I$9:$I$408"),INDIRECT("'"&amp;$Q21&amp;"'!$D$9:$D$408"),$P21,INDIRECT("'"&amp;$Q21&amp;"'!$E$9:$E$408"),$C21,INDIRECT("'"&amp;$Q21&amp;"'!$F$9:$F$408"),$D21),""))</f>
        <v/>
      </c>
      <c r="H21" s="15">
        <f>IF(OR($C21="",$Q21=""),"",IFERROR(SUMIFS(INDIRECT("'"&amp;$Q21&amp;"'!$R$9:$R$408"),INDIRECT("'"&amp;$Q21&amp;"'!$D$9:$D$408"),$P21,INDIRECT("'"&amp;$Q21&amp;"'!$E$9:$E$408"),$C21,INDIRECT("'"&amp;$Q21&amp;"'!$F$9:$F$408"),$D21),""))</f>
        <v/>
      </c>
      <c r="I21" s="16">
        <f>IF(OR(OR($C21="",$Q21=""),N(E21)=0),"",H21/E21)</f>
        <v/>
      </c>
      <c r="J21" s="15">
        <f>IF(OR($C21="",$Q21=""),"",N(E21)-N(H21))</f>
        <v/>
      </c>
      <c r="K21" s="15">
        <f>IF(OR($C21="",$Q21=""),"",IFERROR(SUMIFS(INDIRECT("'"&amp;$Q21&amp;"'!$K$9:$K$408"),INDIRECT("'"&amp;$Q21&amp;"'!$D$9:$D$408"),$P21,INDIRECT("'"&amp;$Q21&amp;"'!$E$9:$E$408"),$C21,INDIRECT("'"&amp;$Q21&amp;"'!$F$9:$F$408"),$D21),""))</f>
        <v/>
      </c>
      <c r="L21" s="15">
        <f>IF(OR($C21="",$Q21=""),"",IFERROR(SUMIFS(INDIRECT("'"&amp;$Q21&amp;"'!$Q$9:$Q$408"),INDIRECT("'"&amp;$Q21&amp;"'!$D$9:$D$408"),$P21,INDIRECT("'"&amp;$Q21&amp;"'!$E$9:$E$408"),$C21,INDIRECT("'"&amp;$Q21&amp;"'!$F$9:$F$408"),$D21),""))</f>
        <v/>
      </c>
      <c r="M21" s="15">
        <f>IF(OR($C21="",$Q21=""),"",IFERROR(SUMIFS(INDIRECT("'"&amp;$Q21&amp;"'!$M$9:$M$408"),INDIRECT("'"&amp;$Q21&amp;"'!$D$9:$D$408"),$P21,INDIRECT("'"&amp;$Q21&amp;"'!$E$9:$E$408"),$C21,INDIRECT("'"&amp;$Q21&amp;"'!$F$9:$F$408"),$D21),""))</f>
        <v/>
      </c>
      <c r="N21" s="15">
        <f>IF(OR($C21="",$Q21=""),"",IFERROR(SUMIFS(INDIRECT("'"&amp;$Q21&amp;"'!$V$9:$V$408"),INDIRECT("'"&amp;$Q21&amp;"'!$D$9:$D$408"),$P21,INDIRECT("'"&amp;$Q21&amp;"'!$E$9:$E$408"),$C21,INDIRECT("'"&amp;$Q21&amp;"'!$F$9:$F$408"),$D21),""))</f>
        <v/>
      </c>
      <c r="P21" s="17" t="n"/>
      <c r="Q21" s="17" t="n"/>
    </row>
    <row r="22">
      <c r="B22" s="13">
        <f>IF(OR($C22="",$Q22=""),"",COUNTA($C$8:$C22))</f>
        <v/>
      </c>
      <c r="C22" s="14" t="n"/>
      <c r="D22" s="14" t="n"/>
      <c r="E22" s="15">
        <f>IF(OR($C22="",$Q22=""),"",IFERROR(SUMIFS(INDIRECT("'"&amp;$Q22&amp;"'!$G$9:$G$408"),INDIRECT("'"&amp;$Q22&amp;"'!$D$9:$D$408"),$P22,INDIRECT("'"&amp;$Q22&amp;"'!$E$9:$E$408"),$C22,INDIRECT("'"&amp;$Q22&amp;"'!$F$9:$F$408"),$D22),""))</f>
        <v/>
      </c>
      <c r="F22" s="15">
        <f>IF(OR($C22="",$Q22=""),"",IFERROR(SUMIFS(INDIRECT("'"&amp;$Q22&amp;"'!$H$9:$H$408"),INDIRECT("'"&amp;$Q22&amp;"'!$D$9:$D$408"),$P22,INDIRECT("'"&amp;$Q22&amp;"'!$E$9:$E$408"),$C22,INDIRECT("'"&amp;$Q22&amp;"'!$F$9:$F$408"),$D22),""))</f>
        <v/>
      </c>
      <c r="G22" s="15">
        <f>IF(OR($C22="",$Q22=""),"",IFERROR(SUMIFS(INDIRECT("'"&amp;$Q22&amp;"'!$I$9:$I$408"),INDIRECT("'"&amp;$Q22&amp;"'!$D$9:$D$408"),$P22,INDIRECT("'"&amp;$Q22&amp;"'!$E$9:$E$408"),$C22,INDIRECT("'"&amp;$Q22&amp;"'!$F$9:$F$408"),$D22),""))</f>
        <v/>
      </c>
      <c r="H22" s="15">
        <f>IF(OR($C22="",$Q22=""),"",IFERROR(SUMIFS(INDIRECT("'"&amp;$Q22&amp;"'!$R$9:$R$408"),INDIRECT("'"&amp;$Q22&amp;"'!$D$9:$D$408"),$P22,INDIRECT("'"&amp;$Q22&amp;"'!$E$9:$E$408"),$C22,INDIRECT("'"&amp;$Q22&amp;"'!$F$9:$F$408"),$D22),""))</f>
        <v/>
      </c>
      <c r="I22" s="16">
        <f>IF(OR(OR($C22="",$Q22=""),N(E22)=0),"",H22/E22)</f>
        <v/>
      </c>
      <c r="J22" s="15">
        <f>IF(OR($C22="",$Q22=""),"",N(E22)-N(H22))</f>
        <v/>
      </c>
      <c r="K22" s="15">
        <f>IF(OR($C22="",$Q22=""),"",IFERROR(SUMIFS(INDIRECT("'"&amp;$Q22&amp;"'!$K$9:$K$408"),INDIRECT("'"&amp;$Q22&amp;"'!$D$9:$D$408"),$P22,INDIRECT("'"&amp;$Q22&amp;"'!$E$9:$E$408"),$C22,INDIRECT("'"&amp;$Q22&amp;"'!$F$9:$F$408"),$D22),""))</f>
        <v/>
      </c>
      <c r="L22" s="15">
        <f>IF(OR($C22="",$Q22=""),"",IFERROR(SUMIFS(INDIRECT("'"&amp;$Q22&amp;"'!$Q$9:$Q$408"),INDIRECT("'"&amp;$Q22&amp;"'!$D$9:$D$408"),$P22,INDIRECT("'"&amp;$Q22&amp;"'!$E$9:$E$408"),$C22,INDIRECT("'"&amp;$Q22&amp;"'!$F$9:$F$408"),$D22),""))</f>
        <v/>
      </c>
      <c r="M22" s="15">
        <f>IF(OR($C22="",$Q22=""),"",IFERROR(SUMIFS(INDIRECT("'"&amp;$Q22&amp;"'!$M$9:$M$408"),INDIRECT("'"&amp;$Q22&amp;"'!$D$9:$D$408"),$P22,INDIRECT("'"&amp;$Q22&amp;"'!$E$9:$E$408"),$C22,INDIRECT("'"&amp;$Q22&amp;"'!$F$9:$F$408"),$D22),""))</f>
        <v/>
      </c>
      <c r="N22" s="15">
        <f>IF(OR($C22="",$Q22=""),"",IFERROR(SUMIFS(INDIRECT("'"&amp;$Q22&amp;"'!$V$9:$V$408"),INDIRECT("'"&amp;$Q22&amp;"'!$D$9:$D$408"),$P22,INDIRECT("'"&amp;$Q22&amp;"'!$E$9:$E$408"),$C22,INDIRECT("'"&amp;$Q22&amp;"'!$F$9:$F$408"),$D22),""))</f>
        <v/>
      </c>
      <c r="P22" s="17" t="n"/>
      <c r="Q22" s="17" t="n"/>
    </row>
    <row r="23">
      <c r="B23" s="13">
        <f>IF(OR($C23="",$Q23=""),"",COUNTA($C$8:$C23))</f>
        <v/>
      </c>
      <c r="C23" s="14" t="n"/>
      <c r="D23" s="14" t="n"/>
      <c r="E23" s="15">
        <f>IF(OR($C23="",$Q23=""),"",IFERROR(SUMIFS(INDIRECT("'"&amp;$Q23&amp;"'!$G$9:$G$408"),INDIRECT("'"&amp;$Q23&amp;"'!$D$9:$D$408"),$P23,INDIRECT("'"&amp;$Q23&amp;"'!$E$9:$E$408"),$C23,INDIRECT("'"&amp;$Q23&amp;"'!$F$9:$F$408"),$D23),""))</f>
        <v/>
      </c>
      <c r="F23" s="15">
        <f>IF(OR($C23="",$Q23=""),"",IFERROR(SUMIFS(INDIRECT("'"&amp;$Q23&amp;"'!$H$9:$H$408"),INDIRECT("'"&amp;$Q23&amp;"'!$D$9:$D$408"),$P23,INDIRECT("'"&amp;$Q23&amp;"'!$E$9:$E$408"),$C23,INDIRECT("'"&amp;$Q23&amp;"'!$F$9:$F$408"),$D23),""))</f>
        <v/>
      </c>
      <c r="G23" s="15">
        <f>IF(OR($C23="",$Q23=""),"",IFERROR(SUMIFS(INDIRECT("'"&amp;$Q23&amp;"'!$I$9:$I$408"),INDIRECT("'"&amp;$Q23&amp;"'!$D$9:$D$408"),$P23,INDIRECT("'"&amp;$Q23&amp;"'!$E$9:$E$408"),$C23,INDIRECT("'"&amp;$Q23&amp;"'!$F$9:$F$408"),$D23),""))</f>
        <v/>
      </c>
      <c r="H23" s="15">
        <f>IF(OR($C23="",$Q23=""),"",IFERROR(SUMIFS(INDIRECT("'"&amp;$Q23&amp;"'!$R$9:$R$408"),INDIRECT("'"&amp;$Q23&amp;"'!$D$9:$D$408"),$P23,INDIRECT("'"&amp;$Q23&amp;"'!$E$9:$E$408"),$C23,INDIRECT("'"&amp;$Q23&amp;"'!$F$9:$F$408"),$D23),""))</f>
        <v/>
      </c>
      <c r="I23" s="16">
        <f>IF(OR(OR($C23="",$Q23=""),N(E23)=0),"",H23/E23)</f>
        <v/>
      </c>
      <c r="J23" s="15">
        <f>IF(OR($C23="",$Q23=""),"",N(E23)-N(H23))</f>
        <v/>
      </c>
      <c r="K23" s="15">
        <f>IF(OR($C23="",$Q23=""),"",IFERROR(SUMIFS(INDIRECT("'"&amp;$Q23&amp;"'!$K$9:$K$408"),INDIRECT("'"&amp;$Q23&amp;"'!$D$9:$D$408"),$P23,INDIRECT("'"&amp;$Q23&amp;"'!$E$9:$E$408"),$C23,INDIRECT("'"&amp;$Q23&amp;"'!$F$9:$F$408"),$D23),""))</f>
        <v/>
      </c>
      <c r="L23" s="15">
        <f>IF(OR($C23="",$Q23=""),"",IFERROR(SUMIFS(INDIRECT("'"&amp;$Q23&amp;"'!$Q$9:$Q$408"),INDIRECT("'"&amp;$Q23&amp;"'!$D$9:$D$408"),$P23,INDIRECT("'"&amp;$Q23&amp;"'!$E$9:$E$408"),$C23,INDIRECT("'"&amp;$Q23&amp;"'!$F$9:$F$408"),$D23),""))</f>
        <v/>
      </c>
      <c r="M23" s="15">
        <f>IF(OR($C23="",$Q23=""),"",IFERROR(SUMIFS(INDIRECT("'"&amp;$Q23&amp;"'!$M$9:$M$408"),INDIRECT("'"&amp;$Q23&amp;"'!$D$9:$D$408"),$P23,INDIRECT("'"&amp;$Q23&amp;"'!$E$9:$E$408"),$C23,INDIRECT("'"&amp;$Q23&amp;"'!$F$9:$F$408"),$D23),""))</f>
        <v/>
      </c>
      <c r="N23" s="15">
        <f>IF(OR($C23="",$Q23=""),"",IFERROR(SUMIFS(INDIRECT("'"&amp;$Q23&amp;"'!$V$9:$V$408"),INDIRECT("'"&amp;$Q23&amp;"'!$D$9:$D$408"),$P23,INDIRECT("'"&amp;$Q23&amp;"'!$E$9:$E$408"),$C23,INDIRECT("'"&amp;$Q23&amp;"'!$F$9:$F$408"),$D23),""))</f>
        <v/>
      </c>
      <c r="P23" s="17" t="n"/>
      <c r="Q23" s="17" t="n"/>
    </row>
    <row r="24">
      <c r="B24" s="13">
        <f>IF(OR($C24="",$Q24=""),"",COUNTA($C$8:$C24))</f>
        <v/>
      </c>
      <c r="C24" s="14" t="n"/>
      <c r="D24" s="14" t="n"/>
      <c r="E24" s="15">
        <f>IF(OR($C24="",$Q24=""),"",IFERROR(SUMIFS(INDIRECT("'"&amp;$Q24&amp;"'!$G$9:$G$408"),INDIRECT("'"&amp;$Q24&amp;"'!$D$9:$D$408"),$P24,INDIRECT("'"&amp;$Q24&amp;"'!$E$9:$E$408"),$C24,INDIRECT("'"&amp;$Q24&amp;"'!$F$9:$F$408"),$D24),""))</f>
        <v/>
      </c>
      <c r="F24" s="15">
        <f>IF(OR($C24="",$Q24=""),"",IFERROR(SUMIFS(INDIRECT("'"&amp;$Q24&amp;"'!$H$9:$H$408"),INDIRECT("'"&amp;$Q24&amp;"'!$D$9:$D$408"),$P24,INDIRECT("'"&amp;$Q24&amp;"'!$E$9:$E$408"),$C24,INDIRECT("'"&amp;$Q24&amp;"'!$F$9:$F$408"),$D24),""))</f>
        <v/>
      </c>
      <c r="G24" s="15">
        <f>IF(OR($C24="",$Q24=""),"",IFERROR(SUMIFS(INDIRECT("'"&amp;$Q24&amp;"'!$I$9:$I$408"),INDIRECT("'"&amp;$Q24&amp;"'!$D$9:$D$408"),$P24,INDIRECT("'"&amp;$Q24&amp;"'!$E$9:$E$408"),$C24,INDIRECT("'"&amp;$Q24&amp;"'!$F$9:$F$408"),$D24),""))</f>
        <v/>
      </c>
      <c r="H24" s="15">
        <f>IF(OR($C24="",$Q24=""),"",IFERROR(SUMIFS(INDIRECT("'"&amp;$Q24&amp;"'!$R$9:$R$408"),INDIRECT("'"&amp;$Q24&amp;"'!$D$9:$D$408"),$P24,INDIRECT("'"&amp;$Q24&amp;"'!$E$9:$E$408"),$C24,INDIRECT("'"&amp;$Q24&amp;"'!$F$9:$F$408"),$D24),""))</f>
        <v/>
      </c>
      <c r="I24" s="16">
        <f>IF(OR(OR($C24="",$Q24=""),N(E24)=0),"",H24/E24)</f>
        <v/>
      </c>
      <c r="J24" s="15">
        <f>IF(OR($C24="",$Q24=""),"",N(E24)-N(H24))</f>
        <v/>
      </c>
      <c r="K24" s="15">
        <f>IF(OR($C24="",$Q24=""),"",IFERROR(SUMIFS(INDIRECT("'"&amp;$Q24&amp;"'!$K$9:$K$408"),INDIRECT("'"&amp;$Q24&amp;"'!$D$9:$D$408"),$P24,INDIRECT("'"&amp;$Q24&amp;"'!$E$9:$E$408"),$C24,INDIRECT("'"&amp;$Q24&amp;"'!$F$9:$F$408"),$D24),""))</f>
        <v/>
      </c>
      <c r="L24" s="15">
        <f>IF(OR($C24="",$Q24=""),"",IFERROR(SUMIFS(INDIRECT("'"&amp;$Q24&amp;"'!$Q$9:$Q$408"),INDIRECT("'"&amp;$Q24&amp;"'!$D$9:$D$408"),$P24,INDIRECT("'"&amp;$Q24&amp;"'!$E$9:$E$408"),$C24,INDIRECT("'"&amp;$Q24&amp;"'!$F$9:$F$408"),$D24),""))</f>
        <v/>
      </c>
      <c r="M24" s="15">
        <f>IF(OR($C24="",$Q24=""),"",IFERROR(SUMIFS(INDIRECT("'"&amp;$Q24&amp;"'!$M$9:$M$408"),INDIRECT("'"&amp;$Q24&amp;"'!$D$9:$D$408"),$P24,INDIRECT("'"&amp;$Q24&amp;"'!$E$9:$E$408"),$C24,INDIRECT("'"&amp;$Q24&amp;"'!$F$9:$F$408"),$D24),""))</f>
        <v/>
      </c>
      <c r="N24" s="15">
        <f>IF(OR($C24="",$Q24=""),"",IFERROR(SUMIFS(INDIRECT("'"&amp;$Q24&amp;"'!$V$9:$V$408"),INDIRECT("'"&amp;$Q24&amp;"'!$D$9:$D$408"),$P24,INDIRECT("'"&amp;$Q24&amp;"'!$E$9:$E$408"),$C24,INDIRECT("'"&amp;$Q24&amp;"'!$F$9:$F$408"),$D24),""))</f>
        <v/>
      </c>
      <c r="P24" s="17" t="n"/>
      <c r="Q24" s="17" t="n"/>
    </row>
    <row r="25">
      <c r="B25" s="13">
        <f>IF(OR($C25="",$Q25=""),"",COUNTA($C$8:$C25))</f>
        <v/>
      </c>
      <c r="C25" s="14" t="n"/>
      <c r="D25" s="14" t="n"/>
      <c r="E25" s="15">
        <f>IF(OR($C25="",$Q25=""),"",IFERROR(SUMIFS(INDIRECT("'"&amp;$Q25&amp;"'!$G$9:$G$408"),INDIRECT("'"&amp;$Q25&amp;"'!$D$9:$D$408"),$P25,INDIRECT("'"&amp;$Q25&amp;"'!$E$9:$E$408"),$C25,INDIRECT("'"&amp;$Q25&amp;"'!$F$9:$F$408"),$D25),""))</f>
        <v/>
      </c>
      <c r="F25" s="15">
        <f>IF(OR($C25="",$Q25=""),"",IFERROR(SUMIFS(INDIRECT("'"&amp;$Q25&amp;"'!$H$9:$H$408"),INDIRECT("'"&amp;$Q25&amp;"'!$D$9:$D$408"),$P25,INDIRECT("'"&amp;$Q25&amp;"'!$E$9:$E$408"),$C25,INDIRECT("'"&amp;$Q25&amp;"'!$F$9:$F$408"),$D25),""))</f>
        <v/>
      </c>
      <c r="G25" s="15">
        <f>IF(OR($C25="",$Q25=""),"",IFERROR(SUMIFS(INDIRECT("'"&amp;$Q25&amp;"'!$I$9:$I$408"),INDIRECT("'"&amp;$Q25&amp;"'!$D$9:$D$408"),$P25,INDIRECT("'"&amp;$Q25&amp;"'!$E$9:$E$408"),$C25,INDIRECT("'"&amp;$Q25&amp;"'!$F$9:$F$408"),$D25),""))</f>
        <v/>
      </c>
      <c r="H25" s="15">
        <f>IF(OR($C25="",$Q25=""),"",IFERROR(SUMIFS(INDIRECT("'"&amp;$Q25&amp;"'!$R$9:$R$408"),INDIRECT("'"&amp;$Q25&amp;"'!$D$9:$D$408"),$P25,INDIRECT("'"&amp;$Q25&amp;"'!$E$9:$E$408"),$C25,INDIRECT("'"&amp;$Q25&amp;"'!$F$9:$F$408"),$D25),""))</f>
        <v/>
      </c>
      <c r="I25" s="16">
        <f>IF(OR(OR($C25="",$Q25=""),N(E25)=0),"",H25/E25)</f>
        <v/>
      </c>
      <c r="J25" s="15">
        <f>IF(OR($C25="",$Q25=""),"",N(E25)-N(H25))</f>
        <v/>
      </c>
      <c r="K25" s="15">
        <f>IF(OR($C25="",$Q25=""),"",IFERROR(SUMIFS(INDIRECT("'"&amp;$Q25&amp;"'!$K$9:$K$408"),INDIRECT("'"&amp;$Q25&amp;"'!$D$9:$D$408"),$P25,INDIRECT("'"&amp;$Q25&amp;"'!$E$9:$E$408"),$C25,INDIRECT("'"&amp;$Q25&amp;"'!$F$9:$F$408"),$D25),""))</f>
        <v/>
      </c>
      <c r="L25" s="15">
        <f>IF(OR($C25="",$Q25=""),"",IFERROR(SUMIFS(INDIRECT("'"&amp;$Q25&amp;"'!$Q$9:$Q$408"),INDIRECT("'"&amp;$Q25&amp;"'!$D$9:$D$408"),$P25,INDIRECT("'"&amp;$Q25&amp;"'!$E$9:$E$408"),$C25,INDIRECT("'"&amp;$Q25&amp;"'!$F$9:$F$408"),$D25),""))</f>
        <v/>
      </c>
      <c r="M25" s="15">
        <f>IF(OR($C25="",$Q25=""),"",IFERROR(SUMIFS(INDIRECT("'"&amp;$Q25&amp;"'!$M$9:$M$408"),INDIRECT("'"&amp;$Q25&amp;"'!$D$9:$D$408"),$P25,INDIRECT("'"&amp;$Q25&amp;"'!$E$9:$E$408"),$C25,INDIRECT("'"&amp;$Q25&amp;"'!$F$9:$F$408"),$D25),""))</f>
        <v/>
      </c>
      <c r="N25" s="15">
        <f>IF(OR($C25="",$Q25=""),"",IFERROR(SUMIFS(INDIRECT("'"&amp;$Q25&amp;"'!$V$9:$V$408"),INDIRECT("'"&amp;$Q25&amp;"'!$D$9:$D$408"),$P25,INDIRECT("'"&amp;$Q25&amp;"'!$E$9:$E$408"),$C25,INDIRECT("'"&amp;$Q25&amp;"'!$F$9:$F$408"),$D25),""))</f>
        <v/>
      </c>
      <c r="P25" s="17" t="n"/>
      <c r="Q25" s="17" t="n"/>
    </row>
    <row r="26">
      <c r="B26" s="13">
        <f>IF(OR($C26="",$Q26=""),"",COUNTA($C$8:$C26))</f>
        <v/>
      </c>
      <c r="C26" s="14" t="n"/>
      <c r="D26" s="14" t="n"/>
      <c r="E26" s="15">
        <f>IF(OR($C26="",$Q26=""),"",IFERROR(SUMIFS(INDIRECT("'"&amp;$Q26&amp;"'!$G$9:$G$408"),INDIRECT("'"&amp;$Q26&amp;"'!$D$9:$D$408"),$P26,INDIRECT("'"&amp;$Q26&amp;"'!$E$9:$E$408"),$C26,INDIRECT("'"&amp;$Q26&amp;"'!$F$9:$F$408"),$D26),""))</f>
        <v/>
      </c>
      <c r="F26" s="15">
        <f>IF(OR($C26="",$Q26=""),"",IFERROR(SUMIFS(INDIRECT("'"&amp;$Q26&amp;"'!$H$9:$H$408"),INDIRECT("'"&amp;$Q26&amp;"'!$D$9:$D$408"),$P26,INDIRECT("'"&amp;$Q26&amp;"'!$E$9:$E$408"),$C26,INDIRECT("'"&amp;$Q26&amp;"'!$F$9:$F$408"),$D26),""))</f>
        <v/>
      </c>
      <c r="G26" s="15">
        <f>IF(OR($C26="",$Q26=""),"",IFERROR(SUMIFS(INDIRECT("'"&amp;$Q26&amp;"'!$I$9:$I$408"),INDIRECT("'"&amp;$Q26&amp;"'!$D$9:$D$408"),$P26,INDIRECT("'"&amp;$Q26&amp;"'!$E$9:$E$408"),$C26,INDIRECT("'"&amp;$Q26&amp;"'!$F$9:$F$408"),$D26),""))</f>
        <v/>
      </c>
      <c r="H26" s="15">
        <f>IF(OR($C26="",$Q26=""),"",IFERROR(SUMIFS(INDIRECT("'"&amp;$Q26&amp;"'!$R$9:$R$408"),INDIRECT("'"&amp;$Q26&amp;"'!$D$9:$D$408"),$P26,INDIRECT("'"&amp;$Q26&amp;"'!$E$9:$E$408"),$C26,INDIRECT("'"&amp;$Q26&amp;"'!$F$9:$F$408"),$D26),""))</f>
        <v/>
      </c>
      <c r="I26" s="16">
        <f>IF(OR(OR($C26="",$Q26=""),N(E26)=0),"",H26/E26)</f>
        <v/>
      </c>
      <c r="J26" s="15">
        <f>IF(OR($C26="",$Q26=""),"",N(E26)-N(H26))</f>
        <v/>
      </c>
      <c r="K26" s="15">
        <f>IF(OR($C26="",$Q26=""),"",IFERROR(SUMIFS(INDIRECT("'"&amp;$Q26&amp;"'!$K$9:$K$408"),INDIRECT("'"&amp;$Q26&amp;"'!$D$9:$D$408"),$P26,INDIRECT("'"&amp;$Q26&amp;"'!$E$9:$E$408"),$C26,INDIRECT("'"&amp;$Q26&amp;"'!$F$9:$F$408"),$D26),""))</f>
        <v/>
      </c>
      <c r="L26" s="15">
        <f>IF(OR($C26="",$Q26=""),"",IFERROR(SUMIFS(INDIRECT("'"&amp;$Q26&amp;"'!$Q$9:$Q$408"),INDIRECT("'"&amp;$Q26&amp;"'!$D$9:$D$408"),$P26,INDIRECT("'"&amp;$Q26&amp;"'!$E$9:$E$408"),$C26,INDIRECT("'"&amp;$Q26&amp;"'!$F$9:$F$408"),$D26),""))</f>
        <v/>
      </c>
      <c r="M26" s="15">
        <f>IF(OR($C26="",$Q26=""),"",IFERROR(SUMIFS(INDIRECT("'"&amp;$Q26&amp;"'!$M$9:$M$408"),INDIRECT("'"&amp;$Q26&amp;"'!$D$9:$D$408"),$P26,INDIRECT("'"&amp;$Q26&amp;"'!$E$9:$E$408"),$C26,INDIRECT("'"&amp;$Q26&amp;"'!$F$9:$F$408"),$D26),""))</f>
        <v/>
      </c>
      <c r="N26" s="15">
        <f>IF(OR($C26="",$Q26=""),"",IFERROR(SUMIFS(INDIRECT("'"&amp;$Q26&amp;"'!$V$9:$V$408"),INDIRECT("'"&amp;$Q26&amp;"'!$D$9:$D$408"),$P26,INDIRECT("'"&amp;$Q26&amp;"'!$E$9:$E$408"),$C26,INDIRECT("'"&amp;$Q26&amp;"'!$F$9:$F$408"),$D26),""))</f>
        <v/>
      </c>
      <c r="P26" s="17" t="n"/>
      <c r="Q26" s="17" t="n"/>
    </row>
    <row r="27">
      <c r="B27" s="13">
        <f>IF(OR($C27="",$Q27=""),"",COUNTA($C$8:$C27))</f>
        <v/>
      </c>
      <c r="C27" s="14" t="n"/>
      <c r="D27" s="14" t="n"/>
      <c r="E27" s="15">
        <f>IF(OR($C27="",$Q27=""),"",IFERROR(SUMIFS(INDIRECT("'"&amp;$Q27&amp;"'!$G$9:$G$408"),INDIRECT("'"&amp;$Q27&amp;"'!$D$9:$D$408"),$P27,INDIRECT("'"&amp;$Q27&amp;"'!$E$9:$E$408"),$C27,INDIRECT("'"&amp;$Q27&amp;"'!$F$9:$F$408"),$D27),""))</f>
        <v/>
      </c>
      <c r="F27" s="15">
        <f>IF(OR($C27="",$Q27=""),"",IFERROR(SUMIFS(INDIRECT("'"&amp;$Q27&amp;"'!$H$9:$H$408"),INDIRECT("'"&amp;$Q27&amp;"'!$D$9:$D$408"),$P27,INDIRECT("'"&amp;$Q27&amp;"'!$E$9:$E$408"),$C27,INDIRECT("'"&amp;$Q27&amp;"'!$F$9:$F$408"),$D27),""))</f>
        <v/>
      </c>
      <c r="G27" s="15">
        <f>IF(OR($C27="",$Q27=""),"",IFERROR(SUMIFS(INDIRECT("'"&amp;$Q27&amp;"'!$I$9:$I$408"),INDIRECT("'"&amp;$Q27&amp;"'!$D$9:$D$408"),$P27,INDIRECT("'"&amp;$Q27&amp;"'!$E$9:$E$408"),$C27,INDIRECT("'"&amp;$Q27&amp;"'!$F$9:$F$408"),$D27),""))</f>
        <v/>
      </c>
      <c r="H27" s="15">
        <f>IF(OR($C27="",$Q27=""),"",IFERROR(SUMIFS(INDIRECT("'"&amp;$Q27&amp;"'!$R$9:$R$408"),INDIRECT("'"&amp;$Q27&amp;"'!$D$9:$D$408"),$P27,INDIRECT("'"&amp;$Q27&amp;"'!$E$9:$E$408"),$C27,INDIRECT("'"&amp;$Q27&amp;"'!$F$9:$F$408"),$D27),""))</f>
        <v/>
      </c>
      <c r="I27" s="16">
        <f>IF(OR(OR($C27="",$Q27=""),N(E27)=0),"",H27/E27)</f>
        <v/>
      </c>
      <c r="J27" s="15">
        <f>IF(OR($C27="",$Q27=""),"",N(E27)-N(H27))</f>
        <v/>
      </c>
      <c r="K27" s="15">
        <f>IF(OR($C27="",$Q27=""),"",IFERROR(SUMIFS(INDIRECT("'"&amp;$Q27&amp;"'!$K$9:$K$408"),INDIRECT("'"&amp;$Q27&amp;"'!$D$9:$D$408"),$P27,INDIRECT("'"&amp;$Q27&amp;"'!$E$9:$E$408"),$C27,INDIRECT("'"&amp;$Q27&amp;"'!$F$9:$F$408"),$D27),""))</f>
        <v/>
      </c>
      <c r="L27" s="15">
        <f>IF(OR($C27="",$Q27=""),"",IFERROR(SUMIFS(INDIRECT("'"&amp;$Q27&amp;"'!$Q$9:$Q$408"),INDIRECT("'"&amp;$Q27&amp;"'!$D$9:$D$408"),$P27,INDIRECT("'"&amp;$Q27&amp;"'!$E$9:$E$408"),$C27,INDIRECT("'"&amp;$Q27&amp;"'!$F$9:$F$408"),$D27),""))</f>
        <v/>
      </c>
      <c r="M27" s="15">
        <f>IF(OR($C27="",$Q27=""),"",IFERROR(SUMIFS(INDIRECT("'"&amp;$Q27&amp;"'!$M$9:$M$408"),INDIRECT("'"&amp;$Q27&amp;"'!$D$9:$D$408"),$P27,INDIRECT("'"&amp;$Q27&amp;"'!$E$9:$E$408"),$C27,INDIRECT("'"&amp;$Q27&amp;"'!$F$9:$F$408"),$D27),""))</f>
        <v/>
      </c>
      <c r="N27" s="15">
        <f>IF(OR($C27="",$Q27=""),"",IFERROR(SUMIFS(INDIRECT("'"&amp;$Q27&amp;"'!$V$9:$V$408"),INDIRECT("'"&amp;$Q27&amp;"'!$D$9:$D$408"),$P27,INDIRECT("'"&amp;$Q27&amp;"'!$E$9:$E$408"),$C27,INDIRECT("'"&amp;$Q27&amp;"'!$F$9:$F$408"),$D27),""))</f>
        <v/>
      </c>
      <c r="P27" s="17" t="n"/>
      <c r="Q27" s="17" t="n"/>
    </row>
    <row r="28">
      <c r="B28" s="13">
        <f>IF(OR($C28="",$Q28=""),"",COUNTA($C$8:$C28))</f>
        <v/>
      </c>
      <c r="C28" s="14" t="n"/>
      <c r="D28" s="14" t="n"/>
      <c r="E28" s="15">
        <f>IF(OR($C28="",$Q28=""),"",IFERROR(SUMIFS(INDIRECT("'"&amp;$Q28&amp;"'!$G$9:$G$408"),INDIRECT("'"&amp;$Q28&amp;"'!$D$9:$D$408"),$P28,INDIRECT("'"&amp;$Q28&amp;"'!$E$9:$E$408"),$C28,INDIRECT("'"&amp;$Q28&amp;"'!$F$9:$F$408"),$D28),""))</f>
        <v/>
      </c>
      <c r="F28" s="15">
        <f>IF(OR($C28="",$Q28=""),"",IFERROR(SUMIFS(INDIRECT("'"&amp;$Q28&amp;"'!$H$9:$H$408"),INDIRECT("'"&amp;$Q28&amp;"'!$D$9:$D$408"),$P28,INDIRECT("'"&amp;$Q28&amp;"'!$E$9:$E$408"),$C28,INDIRECT("'"&amp;$Q28&amp;"'!$F$9:$F$408"),$D28),""))</f>
        <v/>
      </c>
      <c r="G28" s="15">
        <f>IF(OR($C28="",$Q28=""),"",IFERROR(SUMIFS(INDIRECT("'"&amp;$Q28&amp;"'!$I$9:$I$408"),INDIRECT("'"&amp;$Q28&amp;"'!$D$9:$D$408"),$P28,INDIRECT("'"&amp;$Q28&amp;"'!$E$9:$E$408"),$C28,INDIRECT("'"&amp;$Q28&amp;"'!$F$9:$F$408"),$D28),""))</f>
        <v/>
      </c>
      <c r="H28" s="15">
        <f>IF(OR($C28="",$Q28=""),"",IFERROR(SUMIFS(INDIRECT("'"&amp;$Q28&amp;"'!$R$9:$R$408"),INDIRECT("'"&amp;$Q28&amp;"'!$D$9:$D$408"),$P28,INDIRECT("'"&amp;$Q28&amp;"'!$E$9:$E$408"),$C28,INDIRECT("'"&amp;$Q28&amp;"'!$F$9:$F$408"),$D28),""))</f>
        <v/>
      </c>
      <c r="I28" s="16">
        <f>IF(OR(OR($C28="",$Q28=""),N(E28)=0),"",H28/E28)</f>
        <v/>
      </c>
      <c r="J28" s="15">
        <f>IF(OR($C28="",$Q28=""),"",N(E28)-N(H28))</f>
        <v/>
      </c>
      <c r="K28" s="15">
        <f>IF(OR($C28="",$Q28=""),"",IFERROR(SUMIFS(INDIRECT("'"&amp;$Q28&amp;"'!$K$9:$K$408"),INDIRECT("'"&amp;$Q28&amp;"'!$D$9:$D$408"),$P28,INDIRECT("'"&amp;$Q28&amp;"'!$E$9:$E$408"),$C28,INDIRECT("'"&amp;$Q28&amp;"'!$F$9:$F$408"),$D28),""))</f>
        <v/>
      </c>
      <c r="L28" s="15">
        <f>IF(OR($C28="",$Q28=""),"",IFERROR(SUMIFS(INDIRECT("'"&amp;$Q28&amp;"'!$Q$9:$Q$408"),INDIRECT("'"&amp;$Q28&amp;"'!$D$9:$D$408"),$P28,INDIRECT("'"&amp;$Q28&amp;"'!$E$9:$E$408"),$C28,INDIRECT("'"&amp;$Q28&amp;"'!$F$9:$F$408"),$D28),""))</f>
        <v/>
      </c>
      <c r="M28" s="15">
        <f>IF(OR($C28="",$Q28=""),"",IFERROR(SUMIFS(INDIRECT("'"&amp;$Q28&amp;"'!$M$9:$M$408"),INDIRECT("'"&amp;$Q28&amp;"'!$D$9:$D$408"),$P28,INDIRECT("'"&amp;$Q28&amp;"'!$E$9:$E$408"),$C28,INDIRECT("'"&amp;$Q28&amp;"'!$F$9:$F$408"),$D28),""))</f>
        <v/>
      </c>
      <c r="N28" s="15">
        <f>IF(OR($C28="",$Q28=""),"",IFERROR(SUMIFS(INDIRECT("'"&amp;$Q28&amp;"'!$V$9:$V$408"),INDIRECT("'"&amp;$Q28&amp;"'!$D$9:$D$408"),$P28,INDIRECT("'"&amp;$Q28&amp;"'!$E$9:$E$408"),$C28,INDIRECT("'"&amp;$Q28&amp;"'!$F$9:$F$408"),$D28),""))</f>
        <v/>
      </c>
      <c r="P28" s="17" t="n"/>
      <c r="Q28" s="17" t="n"/>
    </row>
    <row r="29">
      <c r="B29" s="13">
        <f>IF(OR($C29="",$Q29=""),"",COUNTA($C$8:$C29))</f>
        <v/>
      </c>
      <c r="C29" s="14" t="n"/>
      <c r="D29" s="14" t="n"/>
      <c r="E29" s="15">
        <f>IF(OR($C29="",$Q29=""),"",IFERROR(SUMIFS(INDIRECT("'"&amp;$Q29&amp;"'!$G$9:$G$408"),INDIRECT("'"&amp;$Q29&amp;"'!$D$9:$D$408"),$P29,INDIRECT("'"&amp;$Q29&amp;"'!$E$9:$E$408"),$C29,INDIRECT("'"&amp;$Q29&amp;"'!$F$9:$F$408"),$D29),""))</f>
        <v/>
      </c>
      <c r="F29" s="15">
        <f>IF(OR($C29="",$Q29=""),"",IFERROR(SUMIFS(INDIRECT("'"&amp;$Q29&amp;"'!$H$9:$H$408"),INDIRECT("'"&amp;$Q29&amp;"'!$D$9:$D$408"),$P29,INDIRECT("'"&amp;$Q29&amp;"'!$E$9:$E$408"),$C29,INDIRECT("'"&amp;$Q29&amp;"'!$F$9:$F$408"),$D29),""))</f>
        <v/>
      </c>
      <c r="G29" s="15">
        <f>IF(OR($C29="",$Q29=""),"",IFERROR(SUMIFS(INDIRECT("'"&amp;$Q29&amp;"'!$I$9:$I$408"),INDIRECT("'"&amp;$Q29&amp;"'!$D$9:$D$408"),$P29,INDIRECT("'"&amp;$Q29&amp;"'!$E$9:$E$408"),$C29,INDIRECT("'"&amp;$Q29&amp;"'!$F$9:$F$408"),$D29),""))</f>
        <v/>
      </c>
      <c r="H29" s="15">
        <f>IF(OR($C29="",$Q29=""),"",IFERROR(SUMIFS(INDIRECT("'"&amp;$Q29&amp;"'!$R$9:$R$408"),INDIRECT("'"&amp;$Q29&amp;"'!$D$9:$D$408"),$P29,INDIRECT("'"&amp;$Q29&amp;"'!$E$9:$E$408"),$C29,INDIRECT("'"&amp;$Q29&amp;"'!$F$9:$F$408"),$D29),""))</f>
        <v/>
      </c>
      <c r="I29" s="16">
        <f>IF(OR(OR($C29="",$Q29=""),N(E29)=0),"",H29/E29)</f>
        <v/>
      </c>
      <c r="J29" s="15">
        <f>IF(OR($C29="",$Q29=""),"",N(E29)-N(H29))</f>
        <v/>
      </c>
      <c r="K29" s="15">
        <f>IF(OR($C29="",$Q29=""),"",IFERROR(SUMIFS(INDIRECT("'"&amp;$Q29&amp;"'!$K$9:$K$408"),INDIRECT("'"&amp;$Q29&amp;"'!$D$9:$D$408"),$P29,INDIRECT("'"&amp;$Q29&amp;"'!$E$9:$E$408"),$C29,INDIRECT("'"&amp;$Q29&amp;"'!$F$9:$F$408"),$D29),""))</f>
        <v/>
      </c>
      <c r="L29" s="15">
        <f>IF(OR($C29="",$Q29=""),"",IFERROR(SUMIFS(INDIRECT("'"&amp;$Q29&amp;"'!$Q$9:$Q$408"),INDIRECT("'"&amp;$Q29&amp;"'!$D$9:$D$408"),$P29,INDIRECT("'"&amp;$Q29&amp;"'!$E$9:$E$408"),$C29,INDIRECT("'"&amp;$Q29&amp;"'!$F$9:$F$408"),$D29),""))</f>
        <v/>
      </c>
      <c r="M29" s="15">
        <f>IF(OR($C29="",$Q29=""),"",IFERROR(SUMIFS(INDIRECT("'"&amp;$Q29&amp;"'!$M$9:$M$408"),INDIRECT("'"&amp;$Q29&amp;"'!$D$9:$D$408"),$P29,INDIRECT("'"&amp;$Q29&amp;"'!$E$9:$E$408"),$C29,INDIRECT("'"&amp;$Q29&amp;"'!$F$9:$F$408"),$D29),""))</f>
        <v/>
      </c>
      <c r="N29" s="15">
        <f>IF(OR($C29="",$Q29=""),"",IFERROR(SUMIFS(INDIRECT("'"&amp;$Q29&amp;"'!$V$9:$V$408"),INDIRECT("'"&amp;$Q29&amp;"'!$D$9:$D$408"),$P29,INDIRECT("'"&amp;$Q29&amp;"'!$E$9:$E$408"),$C29,INDIRECT("'"&amp;$Q29&amp;"'!$F$9:$F$408"),$D29),""))</f>
        <v/>
      </c>
      <c r="P29" s="17" t="n"/>
      <c r="Q29" s="17" t="n"/>
    </row>
    <row r="30">
      <c r="B30" s="13">
        <f>IF(OR($C30="",$Q30=""),"",COUNTA($C$8:$C30))</f>
        <v/>
      </c>
      <c r="C30" s="14" t="n"/>
      <c r="D30" s="14" t="n"/>
      <c r="E30" s="15">
        <f>IF(OR($C30="",$Q30=""),"",IFERROR(SUMIFS(INDIRECT("'"&amp;$Q30&amp;"'!$G$9:$G$408"),INDIRECT("'"&amp;$Q30&amp;"'!$D$9:$D$408"),$P30,INDIRECT("'"&amp;$Q30&amp;"'!$E$9:$E$408"),$C30,INDIRECT("'"&amp;$Q30&amp;"'!$F$9:$F$408"),$D30),""))</f>
        <v/>
      </c>
      <c r="F30" s="15">
        <f>IF(OR($C30="",$Q30=""),"",IFERROR(SUMIFS(INDIRECT("'"&amp;$Q30&amp;"'!$H$9:$H$408"),INDIRECT("'"&amp;$Q30&amp;"'!$D$9:$D$408"),$P30,INDIRECT("'"&amp;$Q30&amp;"'!$E$9:$E$408"),$C30,INDIRECT("'"&amp;$Q30&amp;"'!$F$9:$F$408"),$D30),""))</f>
        <v/>
      </c>
      <c r="G30" s="15">
        <f>IF(OR($C30="",$Q30=""),"",IFERROR(SUMIFS(INDIRECT("'"&amp;$Q30&amp;"'!$I$9:$I$408"),INDIRECT("'"&amp;$Q30&amp;"'!$D$9:$D$408"),$P30,INDIRECT("'"&amp;$Q30&amp;"'!$E$9:$E$408"),$C30,INDIRECT("'"&amp;$Q30&amp;"'!$F$9:$F$408"),$D30),""))</f>
        <v/>
      </c>
      <c r="H30" s="15">
        <f>IF(OR($C30="",$Q30=""),"",IFERROR(SUMIFS(INDIRECT("'"&amp;$Q30&amp;"'!$R$9:$R$408"),INDIRECT("'"&amp;$Q30&amp;"'!$D$9:$D$408"),$P30,INDIRECT("'"&amp;$Q30&amp;"'!$E$9:$E$408"),$C30,INDIRECT("'"&amp;$Q30&amp;"'!$F$9:$F$408"),$D30),""))</f>
        <v/>
      </c>
      <c r="I30" s="16">
        <f>IF(OR(OR($C30="",$Q30=""),N(E30)=0),"",H30/E30)</f>
        <v/>
      </c>
      <c r="J30" s="15">
        <f>IF(OR($C30="",$Q30=""),"",N(E30)-N(H30))</f>
        <v/>
      </c>
      <c r="K30" s="15">
        <f>IF(OR($C30="",$Q30=""),"",IFERROR(SUMIFS(INDIRECT("'"&amp;$Q30&amp;"'!$K$9:$K$408"),INDIRECT("'"&amp;$Q30&amp;"'!$D$9:$D$408"),$P30,INDIRECT("'"&amp;$Q30&amp;"'!$E$9:$E$408"),$C30,INDIRECT("'"&amp;$Q30&amp;"'!$F$9:$F$408"),$D30),""))</f>
        <v/>
      </c>
      <c r="L30" s="15">
        <f>IF(OR($C30="",$Q30=""),"",IFERROR(SUMIFS(INDIRECT("'"&amp;$Q30&amp;"'!$Q$9:$Q$408"),INDIRECT("'"&amp;$Q30&amp;"'!$D$9:$D$408"),$P30,INDIRECT("'"&amp;$Q30&amp;"'!$E$9:$E$408"),$C30,INDIRECT("'"&amp;$Q30&amp;"'!$F$9:$F$408"),$D30),""))</f>
        <v/>
      </c>
      <c r="M30" s="15">
        <f>IF(OR($C30="",$Q30=""),"",IFERROR(SUMIFS(INDIRECT("'"&amp;$Q30&amp;"'!$M$9:$M$408"),INDIRECT("'"&amp;$Q30&amp;"'!$D$9:$D$408"),$P30,INDIRECT("'"&amp;$Q30&amp;"'!$E$9:$E$408"),$C30,INDIRECT("'"&amp;$Q30&amp;"'!$F$9:$F$408"),$D30),""))</f>
        <v/>
      </c>
      <c r="N30" s="15">
        <f>IF(OR($C30="",$Q30=""),"",IFERROR(SUMIFS(INDIRECT("'"&amp;$Q30&amp;"'!$V$9:$V$408"),INDIRECT("'"&amp;$Q30&amp;"'!$D$9:$D$408"),$P30,INDIRECT("'"&amp;$Q30&amp;"'!$E$9:$E$408"),$C30,INDIRECT("'"&amp;$Q30&amp;"'!$F$9:$F$408"),$D30),""))</f>
        <v/>
      </c>
      <c r="P30" s="17" t="n"/>
      <c r="Q30" s="17" t="n"/>
    </row>
    <row r="31">
      <c r="B31" s="13">
        <f>IF(OR($C31="",$Q31=""),"",COUNTA($C$8:$C31))</f>
        <v/>
      </c>
      <c r="C31" s="14" t="n"/>
      <c r="D31" s="14" t="n"/>
      <c r="E31" s="15">
        <f>IF(OR($C31="",$Q31=""),"",IFERROR(SUMIFS(INDIRECT("'"&amp;$Q31&amp;"'!$G$9:$G$408"),INDIRECT("'"&amp;$Q31&amp;"'!$D$9:$D$408"),$P31,INDIRECT("'"&amp;$Q31&amp;"'!$E$9:$E$408"),$C31,INDIRECT("'"&amp;$Q31&amp;"'!$F$9:$F$408"),$D31),""))</f>
        <v/>
      </c>
      <c r="F31" s="15">
        <f>IF(OR($C31="",$Q31=""),"",IFERROR(SUMIFS(INDIRECT("'"&amp;$Q31&amp;"'!$H$9:$H$408"),INDIRECT("'"&amp;$Q31&amp;"'!$D$9:$D$408"),$P31,INDIRECT("'"&amp;$Q31&amp;"'!$E$9:$E$408"),$C31,INDIRECT("'"&amp;$Q31&amp;"'!$F$9:$F$408"),$D31),""))</f>
        <v/>
      </c>
      <c r="G31" s="15">
        <f>IF(OR($C31="",$Q31=""),"",IFERROR(SUMIFS(INDIRECT("'"&amp;$Q31&amp;"'!$I$9:$I$408"),INDIRECT("'"&amp;$Q31&amp;"'!$D$9:$D$408"),$P31,INDIRECT("'"&amp;$Q31&amp;"'!$E$9:$E$408"),$C31,INDIRECT("'"&amp;$Q31&amp;"'!$F$9:$F$408"),$D31),""))</f>
        <v/>
      </c>
      <c r="H31" s="15">
        <f>IF(OR($C31="",$Q31=""),"",IFERROR(SUMIFS(INDIRECT("'"&amp;$Q31&amp;"'!$R$9:$R$408"),INDIRECT("'"&amp;$Q31&amp;"'!$D$9:$D$408"),$P31,INDIRECT("'"&amp;$Q31&amp;"'!$E$9:$E$408"),$C31,INDIRECT("'"&amp;$Q31&amp;"'!$F$9:$F$408"),$D31),""))</f>
        <v/>
      </c>
      <c r="I31" s="16">
        <f>IF(OR(OR($C31="",$Q31=""),N(E31)=0),"",H31/E31)</f>
        <v/>
      </c>
      <c r="J31" s="15">
        <f>IF(OR($C31="",$Q31=""),"",N(E31)-N(H31))</f>
        <v/>
      </c>
      <c r="K31" s="15">
        <f>IF(OR($C31="",$Q31=""),"",IFERROR(SUMIFS(INDIRECT("'"&amp;$Q31&amp;"'!$K$9:$K$408"),INDIRECT("'"&amp;$Q31&amp;"'!$D$9:$D$408"),$P31,INDIRECT("'"&amp;$Q31&amp;"'!$E$9:$E$408"),$C31,INDIRECT("'"&amp;$Q31&amp;"'!$F$9:$F$408"),$D31),""))</f>
        <v/>
      </c>
      <c r="L31" s="15">
        <f>IF(OR($C31="",$Q31=""),"",IFERROR(SUMIFS(INDIRECT("'"&amp;$Q31&amp;"'!$Q$9:$Q$408"),INDIRECT("'"&amp;$Q31&amp;"'!$D$9:$D$408"),$P31,INDIRECT("'"&amp;$Q31&amp;"'!$E$9:$E$408"),$C31,INDIRECT("'"&amp;$Q31&amp;"'!$F$9:$F$408"),$D31),""))</f>
        <v/>
      </c>
      <c r="M31" s="15">
        <f>IF(OR($C31="",$Q31=""),"",IFERROR(SUMIFS(INDIRECT("'"&amp;$Q31&amp;"'!$M$9:$M$408"),INDIRECT("'"&amp;$Q31&amp;"'!$D$9:$D$408"),$P31,INDIRECT("'"&amp;$Q31&amp;"'!$E$9:$E$408"),$C31,INDIRECT("'"&amp;$Q31&amp;"'!$F$9:$F$408"),$D31),""))</f>
        <v/>
      </c>
      <c r="N31" s="15">
        <f>IF(OR($C31="",$Q31=""),"",IFERROR(SUMIFS(INDIRECT("'"&amp;$Q31&amp;"'!$V$9:$V$408"),INDIRECT("'"&amp;$Q31&amp;"'!$D$9:$D$408"),$P31,INDIRECT("'"&amp;$Q31&amp;"'!$E$9:$E$408"),$C31,INDIRECT("'"&amp;$Q31&amp;"'!$F$9:$F$408"),$D31),""))</f>
        <v/>
      </c>
      <c r="P31" s="17" t="n"/>
      <c r="Q31" s="17" t="n"/>
    </row>
    <row r="32">
      <c r="B32" s="13">
        <f>IF(OR($C32="",$Q32=""),"",COUNTA($C$8:$C32))</f>
        <v/>
      </c>
      <c r="C32" s="14" t="n"/>
      <c r="D32" s="14" t="n"/>
      <c r="E32" s="15">
        <f>IF(OR($C32="",$Q32=""),"",IFERROR(SUMIFS(INDIRECT("'"&amp;$Q32&amp;"'!$G$9:$G$408"),INDIRECT("'"&amp;$Q32&amp;"'!$D$9:$D$408"),$P32,INDIRECT("'"&amp;$Q32&amp;"'!$E$9:$E$408"),$C32,INDIRECT("'"&amp;$Q32&amp;"'!$F$9:$F$408"),$D32),""))</f>
        <v/>
      </c>
      <c r="F32" s="15">
        <f>IF(OR($C32="",$Q32=""),"",IFERROR(SUMIFS(INDIRECT("'"&amp;$Q32&amp;"'!$H$9:$H$408"),INDIRECT("'"&amp;$Q32&amp;"'!$D$9:$D$408"),$P32,INDIRECT("'"&amp;$Q32&amp;"'!$E$9:$E$408"),$C32,INDIRECT("'"&amp;$Q32&amp;"'!$F$9:$F$408"),$D32),""))</f>
        <v/>
      </c>
      <c r="G32" s="15">
        <f>IF(OR($C32="",$Q32=""),"",IFERROR(SUMIFS(INDIRECT("'"&amp;$Q32&amp;"'!$I$9:$I$408"),INDIRECT("'"&amp;$Q32&amp;"'!$D$9:$D$408"),$P32,INDIRECT("'"&amp;$Q32&amp;"'!$E$9:$E$408"),$C32,INDIRECT("'"&amp;$Q32&amp;"'!$F$9:$F$408"),$D32),""))</f>
        <v/>
      </c>
      <c r="H32" s="15">
        <f>IF(OR($C32="",$Q32=""),"",IFERROR(SUMIFS(INDIRECT("'"&amp;$Q32&amp;"'!$R$9:$R$408"),INDIRECT("'"&amp;$Q32&amp;"'!$D$9:$D$408"),$P32,INDIRECT("'"&amp;$Q32&amp;"'!$E$9:$E$408"),$C32,INDIRECT("'"&amp;$Q32&amp;"'!$F$9:$F$408"),$D32),""))</f>
        <v/>
      </c>
      <c r="I32" s="16">
        <f>IF(OR(OR($C32="",$Q32=""),N(E32)=0),"",H32/E32)</f>
        <v/>
      </c>
      <c r="J32" s="15">
        <f>IF(OR($C32="",$Q32=""),"",N(E32)-N(H32))</f>
        <v/>
      </c>
      <c r="K32" s="15">
        <f>IF(OR($C32="",$Q32=""),"",IFERROR(SUMIFS(INDIRECT("'"&amp;$Q32&amp;"'!$K$9:$K$408"),INDIRECT("'"&amp;$Q32&amp;"'!$D$9:$D$408"),$P32,INDIRECT("'"&amp;$Q32&amp;"'!$E$9:$E$408"),$C32,INDIRECT("'"&amp;$Q32&amp;"'!$F$9:$F$408"),$D32),""))</f>
        <v/>
      </c>
      <c r="L32" s="15">
        <f>IF(OR($C32="",$Q32=""),"",IFERROR(SUMIFS(INDIRECT("'"&amp;$Q32&amp;"'!$Q$9:$Q$408"),INDIRECT("'"&amp;$Q32&amp;"'!$D$9:$D$408"),$P32,INDIRECT("'"&amp;$Q32&amp;"'!$E$9:$E$408"),$C32,INDIRECT("'"&amp;$Q32&amp;"'!$F$9:$F$408"),$D32),""))</f>
        <v/>
      </c>
      <c r="M32" s="15">
        <f>IF(OR($C32="",$Q32=""),"",IFERROR(SUMIFS(INDIRECT("'"&amp;$Q32&amp;"'!$M$9:$M$408"),INDIRECT("'"&amp;$Q32&amp;"'!$D$9:$D$408"),$P32,INDIRECT("'"&amp;$Q32&amp;"'!$E$9:$E$408"),$C32,INDIRECT("'"&amp;$Q32&amp;"'!$F$9:$F$408"),$D32),""))</f>
        <v/>
      </c>
      <c r="N32" s="15">
        <f>IF(OR($C32="",$Q32=""),"",IFERROR(SUMIFS(INDIRECT("'"&amp;$Q32&amp;"'!$V$9:$V$408"),INDIRECT("'"&amp;$Q32&amp;"'!$D$9:$D$408"),$P32,INDIRECT("'"&amp;$Q32&amp;"'!$E$9:$E$408"),$C32,INDIRECT("'"&amp;$Q32&amp;"'!$F$9:$F$408"),$D32),""))</f>
        <v/>
      </c>
      <c r="P32" s="17" t="n"/>
      <c r="Q32" s="17" t="n"/>
    </row>
    <row r="33">
      <c r="B33" s="13">
        <f>IF(OR($C33="",$Q33=""),"",COUNTA($C$8:$C33))</f>
        <v/>
      </c>
      <c r="C33" s="14" t="n"/>
      <c r="D33" s="14" t="n"/>
      <c r="E33" s="15">
        <f>IF(OR($C33="",$Q33=""),"",IFERROR(SUMIFS(INDIRECT("'"&amp;$Q33&amp;"'!$G$9:$G$408"),INDIRECT("'"&amp;$Q33&amp;"'!$D$9:$D$408"),$P33,INDIRECT("'"&amp;$Q33&amp;"'!$E$9:$E$408"),$C33,INDIRECT("'"&amp;$Q33&amp;"'!$F$9:$F$408"),$D33),""))</f>
        <v/>
      </c>
      <c r="F33" s="15">
        <f>IF(OR($C33="",$Q33=""),"",IFERROR(SUMIFS(INDIRECT("'"&amp;$Q33&amp;"'!$H$9:$H$408"),INDIRECT("'"&amp;$Q33&amp;"'!$D$9:$D$408"),$P33,INDIRECT("'"&amp;$Q33&amp;"'!$E$9:$E$408"),$C33,INDIRECT("'"&amp;$Q33&amp;"'!$F$9:$F$408"),$D33),""))</f>
        <v/>
      </c>
      <c r="G33" s="15">
        <f>IF(OR($C33="",$Q33=""),"",IFERROR(SUMIFS(INDIRECT("'"&amp;$Q33&amp;"'!$I$9:$I$408"),INDIRECT("'"&amp;$Q33&amp;"'!$D$9:$D$408"),$P33,INDIRECT("'"&amp;$Q33&amp;"'!$E$9:$E$408"),$C33,INDIRECT("'"&amp;$Q33&amp;"'!$F$9:$F$408"),$D33),""))</f>
        <v/>
      </c>
      <c r="H33" s="15">
        <f>IF(OR($C33="",$Q33=""),"",IFERROR(SUMIFS(INDIRECT("'"&amp;$Q33&amp;"'!$R$9:$R$408"),INDIRECT("'"&amp;$Q33&amp;"'!$D$9:$D$408"),$P33,INDIRECT("'"&amp;$Q33&amp;"'!$E$9:$E$408"),$C33,INDIRECT("'"&amp;$Q33&amp;"'!$F$9:$F$408"),$D33),""))</f>
        <v/>
      </c>
      <c r="I33" s="16">
        <f>IF(OR(OR($C33="",$Q33=""),N(E33)=0),"",H33/E33)</f>
        <v/>
      </c>
      <c r="J33" s="15">
        <f>IF(OR($C33="",$Q33=""),"",N(E33)-N(H33))</f>
        <v/>
      </c>
      <c r="K33" s="15">
        <f>IF(OR($C33="",$Q33=""),"",IFERROR(SUMIFS(INDIRECT("'"&amp;$Q33&amp;"'!$K$9:$K$408"),INDIRECT("'"&amp;$Q33&amp;"'!$D$9:$D$408"),$P33,INDIRECT("'"&amp;$Q33&amp;"'!$E$9:$E$408"),$C33,INDIRECT("'"&amp;$Q33&amp;"'!$F$9:$F$408"),$D33),""))</f>
        <v/>
      </c>
      <c r="L33" s="15">
        <f>IF(OR($C33="",$Q33=""),"",IFERROR(SUMIFS(INDIRECT("'"&amp;$Q33&amp;"'!$Q$9:$Q$408"),INDIRECT("'"&amp;$Q33&amp;"'!$D$9:$D$408"),$P33,INDIRECT("'"&amp;$Q33&amp;"'!$E$9:$E$408"),$C33,INDIRECT("'"&amp;$Q33&amp;"'!$F$9:$F$408"),$D33),""))</f>
        <v/>
      </c>
      <c r="M33" s="15">
        <f>IF(OR($C33="",$Q33=""),"",IFERROR(SUMIFS(INDIRECT("'"&amp;$Q33&amp;"'!$M$9:$M$408"),INDIRECT("'"&amp;$Q33&amp;"'!$D$9:$D$408"),$P33,INDIRECT("'"&amp;$Q33&amp;"'!$E$9:$E$408"),$C33,INDIRECT("'"&amp;$Q33&amp;"'!$F$9:$F$408"),$D33),""))</f>
        <v/>
      </c>
      <c r="N33" s="15">
        <f>IF(OR($C33="",$Q33=""),"",IFERROR(SUMIFS(INDIRECT("'"&amp;$Q33&amp;"'!$V$9:$V$408"),INDIRECT("'"&amp;$Q33&amp;"'!$D$9:$D$408"),$P33,INDIRECT("'"&amp;$Q33&amp;"'!$E$9:$E$408"),$C33,INDIRECT("'"&amp;$Q33&amp;"'!$F$9:$F$408"),$D33),""))</f>
        <v/>
      </c>
      <c r="P33" s="17" t="n"/>
      <c r="Q33" s="17" t="n"/>
    </row>
    <row r="34">
      <c r="B34" s="13">
        <f>IF(OR($C34="",$Q34=""),"",COUNTA($C$8:$C34))</f>
        <v/>
      </c>
      <c r="C34" s="14" t="n"/>
      <c r="D34" s="14" t="n"/>
      <c r="E34" s="15">
        <f>IF(OR($C34="",$Q34=""),"",IFERROR(SUMIFS(INDIRECT("'"&amp;$Q34&amp;"'!$G$9:$G$408"),INDIRECT("'"&amp;$Q34&amp;"'!$D$9:$D$408"),$P34,INDIRECT("'"&amp;$Q34&amp;"'!$E$9:$E$408"),$C34,INDIRECT("'"&amp;$Q34&amp;"'!$F$9:$F$408"),$D34),""))</f>
        <v/>
      </c>
      <c r="F34" s="15">
        <f>IF(OR($C34="",$Q34=""),"",IFERROR(SUMIFS(INDIRECT("'"&amp;$Q34&amp;"'!$H$9:$H$408"),INDIRECT("'"&amp;$Q34&amp;"'!$D$9:$D$408"),$P34,INDIRECT("'"&amp;$Q34&amp;"'!$E$9:$E$408"),$C34,INDIRECT("'"&amp;$Q34&amp;"'!$F$9:$F$408"),$D34),""))</f>
        <v/>
      </c>
      <c r="G34" s="15">
        <f>IF(OR($C34="",$Q34=""),"",IFERROR(SUMIFS(INDIRECT("'"&amp;$Q34&amp;"'!$I$9:$I$408"),INDIRECT("'"&amp;$Q34&amp;"'!$D$9:$D$408"),$P34,INDIRECT("'"&amp;$Q34&amp;"'!$E$9:$E$408"),$C34,INDIRECT("'"&amp;$Q34&amp;"'!$F$9:$F$408"),$D34),""))</f>
        <v/>
      </c>
      <c r="H34" s="15">
        <f>IF(OR($C34="",$Q34=""),"",IFERROR(SUMIFS(INDIRECT("'"&amp;$Q34&amp;"'!$R$9:$R$408"),INDIRECT("'"&amp;$Q34&amp;"'!$D$9:$D$408"),$P34,INDIRECT("'"&amp;$Q34&amp;"'!$E$9:$E$408"),$C34,INDIRECT("'"&amp;$Q34&amp;"'!$F$9:$F$408"),$D34),""))</f>
        <v/>
      </c>
      <c r="I34" s="16">
        <f>IF(OR(OR($C34="",$Q34=""),N(E34)=0),"",H34/E34)</f>
        <v/>
      </c>
      <c r="J34" s="15">
        <f>IF(OR($C34="",$Q34=""),"",N(E34)-N(H34))</f>
        <v/>
      </c>
      <c r="K34" s="15">
        <f>IF(OR($C34="",$Q34=""),"",IFERROR(SUMIFS(INDIRECT("'"&amp;$Q34&amp;"'!$K$9:$K$408"),INDIRECT("'"&amp;$Q34&amp;"'!$D$9:$D$408"),$P34,INDIRECT("'"&amp;$Q34&amp;"'!$E$9:$E$408"),$C34,INDIRECT("'"&amp;$Q34&amp;"'!$F$9:$F$408"),$D34),""))</f>
        <v/>
      </c>
      <c r="L34" s="15">
        <f>IF(OR($C34="",$Q34=""),"",IFERROR(SUMIFS(INDIRECT("'"&amp;$Q34&amp;"'!$Q$9:$Q$408"),INDIRECT("'"&amp;$Q34&amp;"'!$D$9:$D$408"),$P34,INDIRECT("'"&amp;$Q34&amp;"'!$E$9:$E$408"),$C34,INDIRECT("'"&amp;$Q34&amp;"'!$F$9:$F$408"),$D34),""))</f>
        <v/>
      </c>
      <c r="M34" s="15">
        <f>IF(OR($C34="",$Q34=""),"",IFERROR(SUMIFS(INDIRECT("'"&amp;$Q34&amp;"'!$M$9:$M$408"),INDIRECT("'"&amp;$Q34&amp;"'!$D$9:$D$408"),$P34,INDIRECT("'"&amp;$Q34&amp;"'!$E$9:$E$408"),$C34,INDIRECT("'"&amp;$Q34&amp;"'!$F$9:$F$408"),$D34),""))</f>
        <v/>
      </c>
      <c r="N34" s="15">
        <f>IF(OR($C34="",$Q34=""),"",IFERROR(SUMIFS(INDIRECT("'"&amp;$Q34&amp;"'!$V$9:$V$408"),INDIRECT("'"&amp;$Q34&amp;"'!$D$9:$D$408"),$P34,INDIRECT("'"&amp;$Q34&amp;"'!$E$9:$E$408"),$C34,INDIRECT("'"&amp;$Q34&amp;"'!$F$9:$F$408"),$D34),""))</f>
        <v/>
      </c>
      <c r="P34" s="17" t="n"/>
      <c r="Q34" s="17" t="n"/>
    </row>
    <row r="35">
      <c r="B35" s="13">
        <f>IF(OR($C35="",$Q35=""),"",COUNTA($C$8:$C35))</f>
        <v/>
      </c>
      <c r="C35" s="14" t="n"/>
      <c r="D35" s="14" t="n"/>
      <c r="E35" s="15">
        <f>IF(OR($C35="",$Q35=""),"",IFERROR(SUMIFS(INDIRECT("'"&amp;$Q35&amp;"'!$G$9:$G$408"),INDIRECT("'"&amp;$Q35&amp;"'!$D$9:$D$408"),$P35,INDIRECT("'"&amp;$Q35&amp;"'!$E$9:$E$408"),$C35,INDIRECT("'"&amp;$Q35&amp;"'!$F$9:$F$408"),$D35),""))</f>
        <v/>
      </c>
      <c r="F35" s="15">
        <f>IF(OR($C35="",$Q35=""),"",IFERROR(SUMIFS(INDIRECT("'"&amp;$Q35&amp;"'!$H$9:$H$408"),INDIRECT("'"&amp;$Q35&amp;"'!$D$9:$D$408"),$P35,INDIRECT("'"&amp;$Q35&amp;"'!$E$9:$E$408"),$C35,INDIRECT("'"&amp;$Q35&amp;"'!$F$9:$F$408"),$D35),""))</f>
        <v/>
      </c>
      <c r="G35" s="15">
        <f>IF(OR($C35="",$Q35=""),"",IFERROR(SUMIFS(INDIRECT("'"&amp;$Q35&amp;"'!$I$9:$I$408"),INDIRECT("'"&amp;$Q35&amp;"'!$D$9:$D$408"),$P35,INDIRECT("'"&amp;$Q35&amp;"'!$E$9:$E$408"),$C35,INDIRECT("'"&amp;$Q35&amp;"'!$F$9:$F$408"),$D35),""))</f>
        <v/>
      </c>
      <c r="H35" s="15">
        <f>IF(OR($C35="",$Q35=""),"",IFERROR(SUMIFS(INDIRECT("'"&amp;$Q35&amp;"'!$R$9:$R$408"),INDIRECT("'"&amp;$Q35&amp;"'!$D$9:$D$408"),$P35,INDIRECT("'"&amp;$Q35&amp;"'!$E$9:$E$408"),$C35,INDIRECT("'"&amp;$Q35&amp;"'!$F$9:$F$408"),$D35),""))</f>
        <v/>
      </c>
      <c r="I35" s="16">
        <f>IF(OR(OR($C35="",$Q35=""),N(E35)=0),"",H35/E35)</f>
        <v/>
      </c>
      <c r="J35" s="15">
        <f>IF(OR($C35="",$Q35=""),"",N(E35)-N(H35))</f>
        <v/>
      </c>
      <c r="K35" s="15">
        <f>IF(OR($C35="",$Q35=""),"",IFERROR(SUMIFS(INDIRECT("'"&amp;$Q35&amp;"'!$K$9:$K$408"),INDIRECT("'"&amp;$Q35&amp;"'!$D$9:$D$408"),$P35,INDIRECT("'"&amp;$Q35&amp;"'!$E$9:$E$408"),$C35,INDIRECT("'"&amp;$Q35&amp;"'!$F$9:$F$408"),$D35),""))</f>
        <v/>
      </c>
      <c r="L35" s="15">
        <f>IF(OR($C35="",$Q35=""),"",IFERROR(SUMIFS(INDIRECT("'"&amp;$Q35&amp;"'!$Q$9:$Q$408"),INDIRECT("'"&amp;$Q35&amp;"'!$D$9:$D$408"),$P35,INDIRECT("'"&amp;$Q35&amp;"'!$E$9:$E$408"),$C35,INDIRECT("'"&amp;$Q35&amp;"'!$F$9:$F$408"),$D35),""))</f>
        <v/>
      </c>
      <c r="M35" s="15">
        <f>IF(OR($C35="",$Q35=""),"",IFERROR(SUMIFS(INDIRECT("'"&amp;$Q35&amp;"'!$M$9:$M$408"),INDIRECT("'"&amp;$Q35&amp;"'!$D$9:$D$408"),$P35,INDIRECT("'"&amp;$Q35&amp;"'!$E$9:$E$408"),$C35,INDIRECT("'"&amp;$Q35&amp;"'!$F$9:$F$408"),$D35),""))</f>
        <v/>
      </c>
      <c r="N35" s="15">
        <f>IF(OR($C35="",$Q35=""),"",IFERROR(SUMIFS(INDIRECT("'"&amp;$Q35&amp;"'!$V$9:$V$408"),INDIRECT("'"&amp;$Q35&amp;"'!$D$9:$D$408"),$P35,INDIRECT("'"&amp;$Q35&amp;"'!$E$9:$E$408"),$C35,INDIRECT("'"&amp;$Q35&amp;"'!$F$9:$F$408"),$D35),""))</f>
        <v/>
      </c>
      <c r="P35" s="17" t="n"/>
      <c r="Q35" s="17" t="n"/>
    </row>
    <row r="36">
      <c r="B36" s="13">
        <f>IF(OR($C36="",$Q36=""),"",COUNTA($C$8:$C36))</f>
        <v/>
      </c>
      <c r="C36" s="14" t="n"/>
      <c r="D36" s="14" t="n"/>
      <c r="E36" s="15">
        <f>IF(OR($C36="",$Q36=""),"",IFERROR(SUMIFS(INDIRECT("'"&amp;$Q36&amp;"'!$G$9:$G$408"),INDIRECT("'"&amp;$Q36&amp;"'!$D$9:$D$408"),$P36,INDIRECT("'"&amp;$Q36&amp;"'!$E$9:$E$408"),$C36,INDIRECT("'"&amp;$Q36&amp;"'!$F$9:$F$408"),$D36),""))</f>
        <v/>
      </c>
      <c r="F36" s="15">
        <f>IF(OR($C36="",$Q36=""),"",IFERROR(SUMIFS(INDIRECT("'"&amp;$Q36&amp;"'!$H$9:$H$408"),INDIRECT("'"&amp;$Q36&amp;"'!$D$9:$D$408"),$P36,INDIRECT("'"&amp;$Q36&amp;"'!$E$9:$E$408"),$C36,INDIRECT("'"&amp;$Q36&amp;"'!$F$9:$F$408"),$D36),""))</f>
        <v/>
      </c>
      <c r="G36" s="15">
        <f>IF(OR($C36="",$Q36=""),"",IFERROR(SUMIFS(INDIRECT("'"&amp;$Q36&amp;"'!$I$9:$I$408"),INDIRECT("'"&amp;$Q36&amp;"'!$D$9:$D$408"),$P36,INDIRECT("'"&amp;$Q36&amp;"'!$E$9:$E$408"),$C36,INDIRECT("'"&amp;$Q36&amp;"'!$F$9:$F$408"),$D36),""))</f>
        <v/>
      </c>
      <c r="H36" s="15">
        <f>IF(OR($C36="",$Q36=""),"",IFERROR(SUMIFS(INDIRECT("'"&amp;$Q36&amp;"'!$R$9:$R$408"),INDIRECT("'"&amp;$Q36&amp;"'!$D$9:$D$408"),$P36,INDIRECT("'"&amp;$Q36&amp;"'!$E$9:$E$408"),$C36,INDIRECT("'"&amp;$Q36&amp;"'!$F$9:$F$408"),$D36),""))</f>
        <v/>
      </c>
      <c r="I36" s="16">
        <f>IF(OR(OR($C36="",$Q36=""),N(E36)=0),"",H36/E36)</f>
        <v/>
      </c>
      <c r="J36" s="15">
        <f>IF(OR($C36="",$Q36=""),"",N(E36)-N(H36))</f>
        <v/>
      </c>
      <c r="K36" s="15">
        <f>IF(OR($C36="",$Q36=""),"",IFERROR(SUMIFS(INDIRECT("'"&amp;$Q36&amp;"'!$K$9:$K$408"),INDIRECT("'"&amp;$Q36&amp;"'!$D$9:$D$408"),$P36,INDIRECT("'"&amp;$Q36&amp;"'!$E$9:$E$408"),$C36,INDIRECT("'"&amp;$Q36&amp;"'!$F$9:$F$408"),$D36),""))</f>
        <v/>
      </c>
      <c r="L36" s="15">
        <f>IF(OR($C36="",$Q36=""),"",IFERROR(SUMIFS(INDIRECT("'"&amp;$Q36&amp;"'!$Q$9:$Q$408"),INDIRECT("'"&amp;$Q36&amp;"'!$D$9:$D$408"),$P36,INDIRECT("'"&amp;$Q36&amp;"'!$E$9:$E$408"),$C36,INDIRECT("'"&amp;$Q36&amp;"'!$F$9:$F$408"),$D36),""))</f>
        <v/>
      </c>
      <c r="M36" s="15">
        <f>IF(OR($C36="",$Q36=""),"",IFERROR(SUMIFS(INDIRECT("'"&amp;$Q36&amp;"'!$M$9:$M$408"),INDIRECT("'"&amp;$Q36&amp;"'!$D$9:$D$408"),$P36,INDIRECT("'"&amp;$Q36&amp;"'!$E$9:$E$408"),$C36,INDIRECT("'"&amp;$Q36&amp;"'!$F$9:$F$408"),$D36),""))</f>
        <v/>
      </c>
      <c r="N36" s="15">
        <f>IF(OR($C36="",$Q36=""),"",IFERROR(SUMIFS(INDIRECT("'"&amp;$Q36&amp;"'!$V$9:$V$408"),INDIRECT("'"&amp;$Q36&amp;"'!$D$9:$D$408"),$P36,INDIRECT("'"&amp;$Q36&amp;"'!$E$9:$E$408"),$C36,INDIRECT("'"&amp;$Q36&amp;"'!$F$9:$F$408"),$D36),""))</f>
        <v/>
      </c>
      <c r="P36" s="17" t="n"/>
      <c r="Q36" s="17" t="n"/>
    </row>
    <row r="37">
      <c r="B37" s="13">
        <f>IF(OR($C37="",$Q37=""),"",COUNTA($C$8:$C37))</f>
        <v/>
      </c>
      <c r="C37" s="14" t="n"/>
      <c r="D37" s="14" t="n"/>
      <c r="E37" s="15">
        <f>IF(OR($C37="",$Q37=""),"",IFERROR(SUMIFS(INDIRECT("'"&amp;$Q37&amp;"'!$G$9:$G$408"),INDIRECT("'"&amp;$Q37&amp;"'!$D$9:$D$408"),$P37,INDIRECT("'"&amp;$Q37&amp;"'!$E$9:$E$408"),$C37,INDIRECT("'"&amp;$Q37&amp;"'!$F$9:$F$408"),$D37),""))</f>
        <v/>
      </c>
      <c r="F37" s="15">
        <f>IF(OR($C37="",$Q37=""),"",IFERROR(SUMIFS(INDIRECT("'"&amp;$Q37&amp;"'!$H$9:$H$408"),INDIRECT("'"&amp;$Q37&amp;"'!$D$9:$D$408"),$P37,INDIRECT("'"&amp;$Q37&amp;"'!$E$9:$E$408"),$C37,INDIRECT("'"&amp;$Q37&amp;"'!$F$9:$F$408"),$D37),""))</f>
        <v/>
      </c>
      <c r="G37" s="15">
        <f>IF(OR($C37="",$Q37=""),"",IFERROR(SUMIFS(INDIRECT("'"&amp;$Q37&amp;"'!$I$9:$I$408"),INDIRECT("'"&amp;$Q37&amp;"'!$D$9:$D$408"),$P37,INDIRECT("'"&amp;$Q37&amp;"'!$E$9:$E$408"),$C37,INDIRECT("'"&amp;$Q37&amp;"'!$F$9:$F$408"),$D37),""))</f>
        <v/>
      </c>
      <c r="H37" s="15">
        <f>IF(OR($C37="",$Q37=""),"",IFERROR(SUMIFS(INDIRECT("'"&amp;$Q37&amp;"'!$R$9:$R$408"),INDIRECT("'"&amp;$Q37&amp;"'!$D$9:$D$408"),$P37,INDIRECT("'"&amp;$Q37&amp;"'!$E$9:$E$408"),$C37,INDIRECT("'"&amp;$Q37&amp;"'!$F$9:$F$408"),$D37),""))</f>
        <v/>
      </c>
      <c r="I37" s="16">
        <f>IF(OR(OR($C37="",$Q37=""),N(E37)=0),"",H37/E37)</f>
        <v/>
      </c>
      <c r="J37" s="15">
        <f>IF(OR($C37="",$Q37=""),"",N(E37)-N(H37))</f>
        <v/>
      </c>
      <c r="K37" s="15">
        <f>IF(OR($C37="",$Q37=""),"",IFERROR(SUMIFS(INDIRECT("'"&amp;$Q37&amp;"'!$K$9:$K$408"),INDIRECT("'"&amp;$Q37&amp;"'!$D$9:$D$408"),$P37,INDIRECT("'"&amp;$Q37&amp;"'!$E$9:$E$408"),$C37,INDIRECT("'"&amp;$Q37&amp;"'!$F$9:$F$408"),$D37),""))</f>
        <v/>
      </c>
      <c r="L37" s="15">
        <f>IF(OR($C37="",$Q37=""),"",IFERROR(SUMIFS(INDIRECT("'"&amp;$Q37&amp;"'!$Q$9:$Q$408"),INDIRECT("'"&amp;$Q37&amp;"'!$D$9:$D$408"),$P37,INDIRECT("'"&amp;$Q37&amp;"'!$E$9:$E$408"),$C37,INDIRECT("'"&amp;$Q37&amp;"'!$F$9:$F$408"),$D37),""))</f>
        <v/>
      </c>
      <c r="M37" s="15">
        <f>IF(OR($C37="",$Q37=""),"",IFERROR(SUMIFS(INDIRECT("'"&amp;$Q37&amp;"'!$M$9:$M$408"),INDIRECT("'"&amp;$Q37&amp;"'!$D$9:$D$408"),$P37,INDIRECT("'"&amp;$Q37&amp;"'!$E$9:$E$408"),$C37,INDIRECT("'"&amp;$Q37&amp;"'!$F$9:$F$408"),$D37),""))</f>
        <v/>
      </c>
      <c r="N37" s="15">
        <f>IF(OR($C37="",$Q37=""),"",IFERROR(SUMIFS(INDIRECT("'"&amp;$Q37&amp;"'!$V$9:$V$408"),INDIRECT("'"&amp;$Q37&amp;"'!$D$9:$D$408"),$P37,INDIRECT("'"&amp;$Q37&amp;"'!$E$9:$E$408"),$C37,INDIRECT("'"&amp;$Q37&amp;"'!$F$9:$F$408"),$D37),""))</f>
        <v/>
      </c>
      <c r="P37" s="17" t="n"/>
      <c r="Q37" s="17" t="n"/>
    </row>
    <row r="38">
      <c r="B38" s="13">
        <f>IF(OR($C38="",$Q38=""),"",COUNTA($C$8:$C38))</f>
        <v/>
      </c>
      <c r="C38" s="14" t="n"/>
      <c r="D38" s="14" t="n"/>
      <c r="E38" s="15">
        <f>IF(OR($C38="",$Q38=""),"",IFERROR(SUMIFS(INDIRECT("'"&amp;$Q38&amp;"'!$G$9:$G$408"),INDIRECT("'"&amp;$Q38&amp;"'!$D$9:$D$408"),$P38,INDIRECT("'"&amp;$Q38&amp;"'!$E$9:$E$408"),$C38,INDIRECT("'"&amp;$Q38&amp;"'!$F$9:$F$408"),$D38),""))</f>
        <v/>
      </c>
      <c r="F38" s="15">
        <f>IF(OR($C38="",$Q38=""),"",IFERROR(SUMIFS(INDIRECT("'"&amp;$Q38&amp;"'!$H$9:$H$408"),INDIRECT("'"&amp;$Q38&amp;"'!$D$9:$D$408"),$P38,INDIRECT("'"&amp;$Q38&amp;"'!$E$9:$E$408"),$C38,INDIRECT("'"&amp;$Q38&amp;"'!$F$9:$F$408"),$D38),""))</f>
        <v/>
      </c>
      <c r="G38" s="15">
        <f>IF(OR($C38="",$Q38=""),"",IFERROR(SUMIFS(INDIRECT("'"&amp;$Q38&amp;"'!$I$9:$I$408"),INDIRECT("'"&amp;$Q38&amp;"'!$D$9:$D$408"),$P38,INDIRECT("'"&amp;$Q38&amp;"'!$E$9:$E$408"),$C38,INDIRECT("'"&amp;$Q38&amp;"'!$F$9:$F$408"),$D38),""))</f>
        <v/>
      </c>
      <c r="H38" s="15">
        <f>IF(OR($C38="",$Q38=""),"",IFERROR(SUMIFS(INDIRECT("'"&amp;$Q38&amp;"'!$R$9:$R$408"),INDIRECT("'"&amp;$Q38&amp;"'!$D$9:$D$408"),$P38,INDIRECT("'"&amp;$Q38&amp;"'!$E$9:$E$408"),$C38,INDIRECT("'"&amp;$Q38&amp;"'!$F$9:$F$408"),$D38),""))</f>
        <v/>
      </c>
      <c r="I38" s="16">
        <f>IF(OR(OR($C38="",$Q38=""),N(E38)=0),"",H38/E38)</f>
        <v/>
      </c>
      <c r="J38" s="15">
        <f>IF(OR($C38="",$Q38=""),"",N(E38)-N(H38))</f>
        <v/>
      </c>
      <c r="K38" s="15">
        <f>IF(OR($C38="",$Q38=""),"",IFERROR(SUMIFS(INDIRECT("'"&amp;$Q38&amp;"'!$K$9:$K$408"),INDIRECT("'"&amp;$Q38&amp;"'!$D$9:$D$408"),$P38,INDIRECT("'"&amp;$Q38&amp;"'!$E$9:$E$408"),$C38,INDIRECT("'"&amp;$Q38&amp;"'!$F$9:$F$408"),$D38),""))</f>
        <v/>
      </c>
      <c r="L38" s="15">
        <f>IF(OR($C38="",$Q38=""),"",IFERROR(SUMIFS(INDIRECT("'"&amp;$Q38&amp;"'!$Q$9:$Q$408"),INDIRECT("'"&amp;$Q38&amp;"'!$D$9:$D$408"),$P38,INDIRECT("'"&amp;$Q38&amp;"'!$E$9:$E$408"),$C38,INDIRECT("'"&amp;$Q38&amp;"'!$F$9:$F$408"),$D38),""))</f>
        <v/>
      </c>
      <c r="M38" s="15">
        <f>IF(OR($C38="",$Q38=""),"",IFERROR(SUMIFS(INDIRECT("'"&amp;$Q38&amp;"'!$M$9:$M$408"),INDIRECT("'"&amp;$Q38&amp;"'!$D$9:$D$408"),$P38,INDIRECT("'"&amp;$Q38&amp;"'!$E$9:$E$408"),$C38,INDIRECT("'"&amp;$Q38&amp;"'!$F$9:$F$408"),$D38),""))</f>
        <v/>
      </c>
      <c r="N38" s="15">
        <f>IF(OR($C38="",$Q38=""),"",IFERROR(SUMIFS(INDIRECT("'"&amp;$Q38&amp;"'!$V$9:$V$408"),INDIRECT("'"&amp;$Q38&amp;"'!$D$9:$D$408"),$P38,INDIRECT("'"&amp;$Q38&amp;"'!$E$9:$E$408"),$C38,INDIRECT("'"&amp;$Q38&amp;"'!$F$9:$F$408"),$D38),""))</f>
        <v/>
      </c>
      <c r="P38" s="17" t="n"/>
      <c r="Q38" s="17" t="n"/>
    </row>
    <row r="39">
      <c r="B39" s="13">
        <f>IF(OR($C39="",$Q39=""),"",COUNTA($C$8:$C39))</f>
        <v/>
      </c>
      <c r="C39" s="14" t="n"/>
      <c r="D39" s="14" t="n"/>
      <c r="E39" s="15">
        <f>IF(OR($C39="",$Q39=""),"",IFERROR(SUMIFS(INDIRECT("'"&amp;$Q39&amp;"'!$G$9:$G$408"),INDIRECT("'"&amp;$Q39&amp;"'!$D$9:$D$408"),$P39,INDIRECT("'"&amp;$Q39&amp;"'!$E$9:$E$408"),$C39,INDIRECT("'"&amp;$Q39&amp;"'!$F$9:$F$408"),$D39),""))</f>
        <v/>
      </c>
      <c r="F39" s="15">
        <f>IF(OR($C39="",$Q39=""),"",IFERROR(SUMIFS(INDIRECT("'"&amp;$Q39&amp;"'!$H$9:$H$408"),INDIRECT("'"&amp;$Q39&amp;"'!$D$9:$D$408"),$P39,INDIRECT("'"&amp;$Q39&amp;"'!$E$9:$E$408"),$C39,INDIRECT("'"&amp;$Q39&amp;"'!$F$9:$F$408"),$D39),""))</f>
        <v/>
      </c>
      <c r="G39" s="15">
        <f>IF(OR($C39="",$Q39=""),"",IFERROR(SUMIFS(INDIRECT("'"&amp;$Q39&amp;"'!$I$9:$I$408"),INDIRECT("'"&amp;$Q39&amp;"'!$D$9:$D$408"),$P39,INDIRECT("'"&amp;$Q39&amp;"'!$E$9:$E$408"),$C39,INDIRECT("'"&amp;$Q39&amp;"'!$F$9:$F$408"),$D39),""))</f>
        <v/>
      </c>
      <c r="H39" s="15">
        <f>IF(OR($C39="",$Q39=""),"",IFERROR(SUMIFS(INDIRECT("'"&amp;$Q39&amp;"'!$R$9:$R$408"),INDIRECT("'"&amp;$Q39&amp;"'!$D$9:$D$408"),$P39,INDIRECT("'"&amp;$Q39&amp;"'!$E$9:$E$408"),$C39,INDIRECT("'"&amp;$Q39&amp;"'!$F$9:$F$408"),$D39),""))</f>
        <v/>
      </c>
      <c r="I39" s="16">
        <f>IF(OR(OR($C39="",$Q39=""),N(E39)=0),"",H39/E39)</f>
        <v/>
      </c>
      <c r="J39" s="15">
        <f>IF(OR($C39="",$Q39=""),"",N(E39)-N(H39))</f>
        <v/>
      </c>
      <c r="K39" s="15">
        <f>IF(OR($C39="",$Q39=""),"",IFERROR(SUMIFS(INDIRECT("'"&amp;$Q39&amp;"'!$K$9:$K$408"),INDIRECT("'"&amp;$Q39&amp;"'!$D$9:$D$408"),$P39,INDIRECT("'"&amp;$Q39&amp;"'!$E$9:$E$408"),$C39,INDIRECT("'"&amp;$Q39&amp;"'!$F$9:$F$408"),$D39),""))</f>
        <v/>
      </c>
      <c r="L39" s="15">
        <f>IF(OR($C39="",$Q39=""),"",IFERROR(SUMIFS(INDIRECT("'"&amp;$Q39&amp;"'!$Q$9:$Q$408"),INDIRECT("'"&amp;$Q39&amp;"'!$D$9:$D$408"),$P39,INDIRECT("'"&amp;$Q39&amp;"'!$E$9:$E$408"),$C39,INDIRECT("'"&amp;$Q39&amp;"'!$F$9:$F$408"),$D39),""))</f>
        <v/>
      </c>
      <c r="M39" s="15">
        <f>IF(OR($C39="",$Q39=""),"",IFERROR(SUMIFS(INDIRECT("'"&amp;$Q39&amp;"'!$M$9:$M$408"),INDIRECT("'"&amp;$Q39&amp;"'!$D$9:$D$408"),$P39,INDIRECT("'"&amp;$Q39&amp;"'!$E$9:$E$408"),$C39,INDIRECT("'"&amp;$Q39&amp;"'!$F$9:$F$408"),$D39),""))</f>
        <v/>
      </c>
      <c r="N39" s="15">
        <f>IF(OR($C39="",$Q39=""),"",IFERROR(SUMIFS(INDIRECT("'"&amp;$Q39&amp;"'!$V$9:$V$408"),INDIRECT("'"&amp;$Q39&amp;"'!$D$9:$D$408"),$P39,INDIRECT("'"&amp;$Q39&amp;"'!$E$9:$E$408"),$C39,INDIRECT("'"&amp;$Q39&amp;"'!$F$9:$F$408"),$D39),""))</f>
        <v/>
      </c>
      <c r="P39" s="17" t="n"/>
      <c r="Q39" s="17" t="n"/>
    </row>
    <row r="40">
      <c r="B40" s="13">
        <f>IF(OR($C40="",$Q40=""),"",COUNTA($C$8:$C40))</f>
        <v/>
      </c>
      <c r="C40" s="14" t="n"/>
      <c r="D40" s="14" t="n"/>
      <c r="E40" s="15">
        <f>IF(OR($C40="",$Q40=""),"",IFERROR(SUMIFS(INDIRECT("'"&amp;$Q40&amp;"'!$G$9:$G$408"),INDIRECT("'"&amp;$Q40&amp;"'!$D$9:$D$408"),$P40,INDIRECT("'"&amp;$Q40&amp;"'!$E$9:$E$408"),$C40,INDIRECT("'"&amp;$Q40&amp;"'!$F$9:$F$408"),$D40),""))</f>
        <v/>
      </c>
      <c r="F40" s="15">
        <f>IF(OR($C40="",$Q40=""),"",IFERROR(SUMIFS(INDIRECT("'"&amp;$Q40&amp;"'!$H$9:$H$408"),INDIRECT("'"&amp;$Q40&amp;"'!$D$9:$D$408"),$P40,INDIRECT("'"&amp;$Q40&amp;"'!$E$9:$E$408"),$C40,INDIRECT("'"&amp;$Q40&amp;"'!$F$9:$F$408"),$D40),""))</f>
        <v/>
      </c>
      <c r="G40" s="15">
        <f>IF(OR($C40="",$Q40=""),"",IFERROR(SUMIFS(INDIRECT("'"&amp;$Q40&amp;"'!$I$9:$I$408"),INDIRECT("'"&amp;$Q40&amp;"'!$D$9:$D$408"),$P40,INDIRECT("'"&amp;$Q40&amp;"'!$E$9:$E$408"),$C40,INDIRECT("'"&amp;$Q40&amp;"'!$F$9:$F$408"),$D40),""))</f>
        <v/>
      </c>
      <c r="H40" s="15">
        <f>IF(OR($C40="",$Q40=""),"",IFERROR(SUMIFS(INDIRECT("'"&amp;$Q40&amp;"'!$R$9:$R$408"),INDIRECT("'"&amp;$Q40&amp;"'!$D$9:$D$408"),$P40,INDIRECT("'"&amp;$Q40&amp;"'!$E$9:$E$408"),$C40,INDIRECT("'"&amp;$Q40&amp;"'!$F$9:$F$408"),$D40),""))</f>
        <v/>
      </c>
      <c r="I40" s="16">
        <f>IF(OR(OR($C40="",$Q40=""),N(E40)=0),"",H40/E40)</f>
        <v/>
      </c>
      <c r="J40" s="15">
        <f>IF(OR($C40="",$Q40=""),"",N(E40)-N(H40))</f>
        <v/>
      </c>
      <c r="K40" s="15">
        <f>IF(OR($C40="",$Q40=""),"",IFERROR(SUMIFS(INDIRECT("'"&amp;$Q40&amp;"'!$K$9:$K$408"),INDIRECT("'"&amp;$Q40&amp;"'!$D$9:$D$408"),$P40,INDIRECT("'"&amp;$Q40&amp;"'!$E$9:$E$408"),$C40,INDIRECT("'"&amp;$Q40&amp;"'!$F$9:$F$408"),$D40),""))</f>
        <v/>
      </c>
      <c r="L40" s="15">
        <f>IF(OR($C40="",$Q40=""),"",IFERROR(SUMIFS(INDIRECT("'"&amp;$Q40&amp;"'!$Q$9:$Q$408"),INDIRECT("'"&amp;$Q40&amp;"'!$D$9:$D$408"),$P40,INDIRECT("'"&amp;$Q40&amp;"'!$E$9:$E$408"),$C40,INDIRECT("'"&amp;$Q40&amp;"'!$F$9:$F$408"),$D40),""))</f>
        <v/>
      </c>
      <c r="M40" s="15">
        <f>IF(OR($C40="",$Q40=""),"",IFERROR(SUMIFS(INDIRECT("'"&amp;$Q40&amp;"'!$M$9:$M$408"),INDIRECT("'"&amp;$Q40&amp;"'!$D$9:$D$408"),$P40,INDIRECT("'"&amp;$Q40&amp;"'!$E$9:$E$408"),$C40,INDIRECT("'"&amp;$Q40&amp;"'!$F$9:$F$408"),$D40),""))</f>
        <v/>
      </c>
      <c r="N40" s="15">
        <f>IF(OR($C40="",$Q40=""),"",IFERROR(SUMIFS(INDIRECT("'"&amp;$Q40&amp;"'!$V$9:$V$408"),INDIRECT("'"&amp;$Q40&amp;"'!$D$9:$D$408"),$P40,INDIRECT("'"&amp;$Q40&amp;"'!$E$9:$E$408"),$C40,INDIRECT("'"&amp;$Q40&amp;"'!$F$9:$F$408"),$D40),""))</f>
        <v/>
      </c>
      <c r="P40" s="17" t="n"/>
      <c r="Q40" s="17" t="n"/>
    </row>
    <row r="41">
      <c r="B41" s="13">
        <f>IF(OR($C41="",$Q41=""),"",COUNTA($C$8:$C41))</f>
        <v/>
      </c>
      <c r="C41" s="14" t="n"/>
      <c r="D41" s="14" t="n"/>
      <c r="E41" s="15">
        <f>IF(OR($C41="",$Q41=""),"",IFERROR(SUMIFS(INDIRECT("'"&amp;$Q41&amp;"'!$G$9:$G$408"),INDIRECT("'"&amp;$Q41&amp;"'!$D$9:$D$408"),$P41,INDIRECT("'"&amp;$Q41&amp;"'!$E$9:$E$408"),$C41,INDIRECT("'"&amp;$Q41&amp;"'!$F$9:$F$408"),$D41),""))</f>
        <v/>
      </c>
      <c r="F41" s="15">
        <f>IF(OR($C41="",$Q41=""),"",IFERROR(SUMIFS(INDIRECT("'"&amp;$Q41&amp;"'!$H$9:$H$408"),INDIRECT("'"&amp;$Q41&amp;"'!$D$9:$D$408"),$P41,INDIRECT("'"&amp;$Q41&amp;"'!$E$9:$E$408"),$C41,INDIRECT("'"&amp;$Q41&amp;"'!$F$9:$F$408"),$D41),""))</f>
        <v/>
      </c>
      <c r="G41" s="15">
        <f>IF(OR($C41="",$Q41=""),"",IFERROR(SUMIFS(INDIRECT("'"&amp;$Q41&amp;"'!$I$9:$I$408"),INDIRECT("'"&amp;$Q41&amp;"'!$D$9:$D$408"),$P41,INDIRECT("'"&amp;$Q41&amp;"'!$E$9:$E$408"),$C41,INDIRECT("'"&amp;$Q41&amp;"'!$F$9:$F$408"),$D41),""))</f>
        <v/>
      </c>
      <c r="H41" s="15">
        <f>IF(OR($C41="",$Q41=""),"",IFERROR(SUMIFS(INDIRECT("'"&amp;$Q41&amp;"'!$R$9:$R$408"),INDIRECT("'"&amp;$Q41&amp;"'!$D$9:$D$408"),$P41,INDIRECT("'"&amp;$Q41&amp;"'!$E$9:$E$408"),$C41,INDIRECT("'"&amp;$Q41&amp;"'!$F$9:$F$408"),$D41),""))</f>
        <v/>
      </c>
      <c r="I41" s="16">
        <f>IF(OR(OR($C41="",$Q41=""),N(E41)=0),"",H41/E41)</f>
        <v/>
      </c>
      <c r="J41" s="15">
        <f>IF(OR($C41="",$Q41=""),"",N(E41)-N(H41))</f>
        <v/>
      </c>
      <c r="K41" s="15">
        <f>IF(OR($C41="",$Q41=""),"",IFERROR(SUMIFS(INDIRECT("'"&amp;$Q41&amp;"'!$K$9:$K$408"),INDIRECT("'"&amp;$Q41&amp;"'!$D$9:$D$408"),$P41,INDIRECT("'"&amp;$Q41&amp;"'!$E$9:$E$408"),$C41,INDIRECT("'"&amp;$Q41&amp;"'!$F$9:$F$408"),$D41),""))</f>
        <v/>
      </c>
      <c r="L41" s="15">
        <f>IF(OR($C41="",$Q41=""),"",IFERROR(SUMIFS(INDIRECT("'"&amp;$Q41&amp;"'!$Q$9:$Q$408"),INDIRECT("'"&amp;$Q41&amp;"'!$D$9:$D$408"),$P41,INDIRECT("'"&amp;$Q41&amp;"'!$E$9:$E$408"),$C41,INDIRECT("'"&amp;$Q41&amp;"'!$F$9:$F$408"),$D41),""))</f>
        <v/>
      </c>
      <c r="M41" s="15">
        <f>IF(OR($C41="",$Q41=""),"",IFERROR(SUMIFS(INDIRECT("'"&amp;$Q41&amp;"'!$M$9:$M$408"),INDIRECT("'"&amp;$Q41&amp;"'!$D$9:$D$408"),$P41,INDIRECT("'"&amp;$Q41&amp;"'!$E$9:$E$408"),$C41,INDIRECT("'"&amp;$Q41&amp;"'!$F$9:$F$408"),$D41),""))</f>
        <v/>
      </c>
      <c r="N41" s="15">
        <f>IF(OR($C41="",$Q41=""),"",IFERROR(SUMIFS(INDIRECT("'"&amp;$Q41&amp;"'!$V$9:$V$408"),INDIRECT("'"&amp;$Q41&amp;"'!$D$9:$D$408"),$P41,INDIRECT("'"&amp;$Q41&amp;"'!$E$9:$E$408"),$C41,INDIRECT("'"&amp;$Q41&amp;"'!$F$9:$F$408"),$D41),""))</f>
        <v/>
      </c>
      <c r="P41" s="17" t="n"/>
      <c r="Q41" s="17" t="n"/>
    </row>
    <row r="42">
      <c r="B42" s="13">
        <f>IF(OR($C42="",$Q42=""),"",COUNTA($C$8:$C42))</f>
        <v/>
      </c>
      <c r="C42" s="14" t="n"/>
      <c r="D42" s="14" t="n"/>
      <c r="E42" s="15">
        <f>IF(OR($C42="",$Q42=""),"",IFERROR(SUMIFS(INDIRECT("'"&amp;$Q42&amp;"'!$G$9:$G$408"),INDIRECT("'"&amp;$Q42&amp;"'!$D$9:$D$408"),$P42,INDIRECT("'"&amp;$Q42&amp;"'!$E$9:$E$408"),$C42,INDIRECT("'"&amp;$Q42&amp;"'!$F$9:$F$408"),$D42),""))</f>
        <v/>
      </c>
      <c r="F42" s="15">
        <f>IF(OR($C42="",$Q42=""),"",IFERROR(SUMIFS(INDIRECT("'"&amp;$Q42&amp;"'!$H$9:$H$408"),INDIRECT("'"&amp;$Q42&amp;"'!$D$9:$D$408"),$P42,INDIRECT("'"&amp;$Q42&amp;"'!$E$9:$E$408"),$C42,INDIRECT("'"&amp;$Q42&amp;"'!$F$9:$F$408"),$D42),""))</f>
        <v/>
      </c>
      <c r="G42" s="15">
        <f>IF(OR($C42="",$Q42=""),"",IFERROR(SUMIFS(INDIRECT("'"&amp;$Q42&amp;"'!$I$9:$I$408"),INDIRECT("'"&amp;$Q42&amp;"'!$D$9:$D$408"),$P42,INDIRECT("'"&amp;$Q42&amp;"'!$E$9:$E$408"),$C42,INDIRECT("'"&amp;$Q42&amp;"'!$F$9:$F$408"),$D42),""))</f>
        <v/>
      </c>
      <c r="H42" s="15">
        <f>IF(OR($C42="",$Q42=""),"",IFERROR(SUMIFS(INDIRECT("'"&amp;$Q42&amp;"'!$R$9:$R$408"),INDIRECT("'"&amp;$Q42&amp;"'!$D$9:$D$408"),$P42,INDIRECT("'"&amp;$Q42&amp;"'!$E$9:$E$408"),$C42,INDIRECT("'"&amp;$Q42&amp;"'!$F$9:$F$408"),$D42),""))</f>
        <v/>
      </c>
      <c r="I42" s="16">
        <f>IF(OR(OR($C42="",$Q42=""),N(E42)=0),"",H42/E42)</f>
        <v/>
      </c>
      <c r="J42" s="15">
        <f>IF(OR($C42="",$Q42=""),"",N(E42)-N(H42))</f>
        <v/>
      </c>
      <c r="K42" s="15">
        <f>IF(OR($C42="",$Q42=""),"",IFERROR(SUMIFS(INDIRECT("'"&amp;$Q42&amp;"'!$K$9:$K$408"),INDIRECT("'"&amp;$Q42&amp;"'!$D$9:$D$408"),$P42,INDIRECT("'"&amp;$Q42&amp;"'!$E$9:$E$408"),$C42,INDIRECT("'"&amp;$Q42&amp;"'!$F$9:$F$408"),$D42),""))</f>
        <v/>
      </c>
      <c r="L42" s="15">
        <f>IF(OR($C42="",$Q42=""),"",IFERROR(SUMIFS(INDIRECT("'"&amp;$Q42&amp;"'!$Q$9:$Q$408"),INDIRECT("'"&amp;$Q42&amp;"'!$D$9:$D$408"),$P42,INDIRECT("'"&amp;$Q42&amp;"'!$E$9:$E$408"),$C42,INDIRECT("'"&amp;$Q42&amp;"'!$F$9:$F$408"),$D42),""))</f>
        <v/>
      </c>
      <c r="M42" s="15">
        <f>IF(OR($C42="",$Q42=""),"",IFERROR(SUMIFS(INDIRECT("'"&amp;$Q42&amp;"'!$M$9:$M$408"),INDIRECT("'"&amp;$Q42&amp;"'!$D$9:$D$408"),$P42,INDIRECT("'"&amp;$Q42&amp;"'!$E$9:$E$408"),$C42,INDIRECT("'"&amp;$Q42&amp;"'!$F$9:$F$408"),$D42),""))</f>
        <v/>
      </c>
      <c r="N42" s="15">
        <f>IF(OR($C42="",$Q42=""),"",IFERROR(SUMIFS(INDIRECT("'"&amp;$Q42&amp;"'!$V$9:$V$408"),INDIRECT("'"&amp;$Q42&amp;"'!$D$9:$D$408"),$P42,INDIRECT("'"&amp;$Q42&amp;"'!$E$9:$E$408"),$C42,INDIRECT("'"&amp;$Q42&amp;"'!$F$9:$F$408"),$D42),""))</f>
        <v/>
      </c>
      <c r="P42" s="17" t="n"/>
      <c r="Q42" s="17" t="n"/>
    </row>
    <row r="43">
      <c r="B43" s="13">
        <f>IF(OR($C43="",$Q43=""),"",COUNTA($C$8:$C43))</f>
        <v/>
      </c>
      <c r="C43" s="14" t="n"/>
      <c r="D43" s="14" t="n"/>
      <c r="E43" s="15">
        <f>IF(OR($C43="",$Q43=""),"",IFERROR(SUMIFS(INDIRECT("'"&amp;$Q43&amp;"'!$G$9:$G$408"),INDIRECT("'"&amp;$Q43&amp;"'!$D$9:$D$408"),$P43,INDIRECT("'"&amp;$Q43&amp;"'!$E$9:$E$408"),$C43,INDIRECT("'"&amp;$Q43&amp;"'!$F$9:$F$408"),$D43),""))</f>
        <v/>
      </c>
      <c r="F43" s="15">
        <f>IF(OR($C43="",$Q43=""),"",IFERROR(SUMIFS(INDIRECT("'"&amp;$Q43&amp;"'!$H$9:$H$408"),INDIRECT("'"&amp;$Q43&amp;"'!$D$9:$D$408"),$P43,INDIRECT("'"&amp;$Q43&amp;"'!$E$9:$E$408"),$C43,INDIRECT("'"&amp;$Q43&amp;"'!$F$9:$F$408"),$D43),""))</f>
        <v/>
      </c>
      <c r="G43" s="15">
        <f>IF(OR($C43="",$Q43=""),"",IFERROR(SUMIFS(INDIRECT("'"&amp;$Q43&amp;"'!$I$9:$I$408"),INDIRECT("'"&amp;$Q43&amp;"'!$D$9:$D$408"),$P43,INDIRECT("'"&amp;$Q43&amp;"'!$E$9:$E$408"),$C43,INDIRECT("'"&amp;$Q43&amp;"'!$F$9:$F$408"),$D43),""))</f>
        <v/>
      </c>
      <c r="H43" s="15">
        <f>IF(OR($C43="",$Q43=""),"",IFERROR(SUMIFS(INDIRECT("'"&amp;$Q43&amp;"'!$R$9:$R$408"),INDIRECT("'"&amp;$Q43&amp;"'!$D$9:$D$408"),$P43,INDIRECT("'"&amp;$Q43&amp;"'!$E$9:$E$408"),$C43,INDIRECT("'"&amp;$Q43&amp;"'!$F$9:$F$408"),$D43),""))</f>
        <v/>
      </c>
      <c r="I43" s="16">
        <f>IF(OR(OR($C43="",$Q43=""),N(E43)=0),"",H43/E43)</f>
        <v/>
      </c>
      <c r="J43" s="15">
        <f>IF(OR($C43="",$Q43=""),"",N(E43)-N(H43))</f>
        <v/>
      </c>
      <c r="K43" s="15">
        <f>IF(OR($C43="",$Q43=""),"",IFERROR(SUMIFS(INDIRECT("'"&amp;$Q43&amp;"'!$K$9:$K$408"),INDIRECT("'"&amp;$Q43&amp;"'!$D$9:$D$408"),$P43,INDIRECT("'"&amp;$Q43&amp;"'!$E$9:$E$408"),$C43,INDIRECT("'"&amp;$Q43&amp;"'!$F$9:$F$408"),$D43),""))</f>
        <v/>
      </c>
      <c r="L43" s="15">
        <f>IF(OR($C43="",$Q43=""),"",IFERROR(SUMIFS(INDIRECT("'"&amp;$Q43&amp;"'!$Q$9:$Q$408"),INDIRECT("'"&amp;$Q43&amp;"'!$D$9:$D$408"),$P43,INDIRECT("'"&amp;$Q43&amp;"'!$E$9:$E$408"),$C43,INDIRECT("'"&amp;$Q43&amp;"'!$F$9:$F$408"),$D43),""))</f>
        <v/>
      </c>
      <c r="M43" s="15">
        <f>IF(OR($C43="",$Q43=""),"",IFERROR(SUMIFS(INDIRECT("'"&amp;$Q43&amp;"'!$M$9:$M$408"),INDIRECT("'"&amp;$Q43&amp;"'!$D$9:$D$408"),$P43,INDIRECT("'"&amp;$Q43&amp;"'!$E$9:$E$408"),$C43,INDIRECT("'"&amp;$Q43&amp;"'!$F$9:$F$408"),$D43),""))</f>
        <v/>
      </c>
      <c r="N43" s="15">
        <f>IF(OR($C43="",$Q43=""),"",IFERROR(SUMIFS(INDIRECT("'"&amp;$Q43&amp;"'!$V$9:$V$408"),INDIRECT("'"&amp;$Q43&amp;"'!$D$9:$D$408"),$P43,INDIRECT("'"&amp;$Q43&amp;"'!$E$9:$E$408"),$C43,INDIRECT("'"&amp;$Q43&amp;"'!$F$9:$F$408"),$D43),""))</f>
        <v/>
      </c>
      <c r="P43" s="17" t="n"/>
      <c r="Q43" s="17" t="n"/>
    </row>
    <row r="44">
      <c r="B44" s="13">
        <f>IF(OR($C44="",$Q44=""),"",COUNTA($C$8:$C44))</f>
        <v/>
      </c>
      <c r="C44" s="14" t="n"/>
      <c r="D44" s="14" t="n"/>
      <c r="E44" s="15">
        <f>IF(OR($C44="",$Q44=""),"",IFERROR(SUMIFS(INDIRECT("'"&amp;$Q44&amp;"'!$G$9:$G$408"),INDIRECT("'"&amp;$Q44&amp;"'!$D$9:$D$408"),$P44,INDIRECT("'"&amp;$Q44&amp;"'!$E$9:$E$408"),$C44,INDIRECT("'"&amp;$Q44&amp;"'!$F$9:$F$408"),$D44),""))</f>
        <v/>
      </c>
      <c r="F44" s="15">
        <f>IF(OR($C44="",$Q44=""),"",IFERROR(SUMIFS(INDIRECT("'"&amp;$Q44&amp;"'!$H$9:$H$408"),INDIRECT("'"&amp;$Q44&amp;"'!$D$9:$D$408"),$P44,INDIRECT("'"&amp;$Q44&amp;"'!$E$9:$E$408"),$C44,INDIRECT("'"&amp;$Q44&amp;"'!$F$9:$F$408"),$D44),""))</f>
        <v/>
      </c>
      <c r="G44" s="15">
        <f>IF(OR($C44="",$Q44=""),"",IFERROR(SUMIFS(INDIRECT("'"&amp;$Q44&amp;"'!$I$9:$I$408"),INDIRECT("'"&amp;$Q44&amp;"'!$D$9:$D$408"),$P44,INDIRECT("'"&amp;$Q44&amp;"'!$E$9:$E$408"),$C44,INDIRECT("'"&amp;$Q44&amp;"'!$F$9:$F$408"),$D44),""))</f>
        <v/>
      </c>
      <c r="H44" s="15">
        <f>IF(OR($C44="",$Q44=""),"",IFERROR(SUMIFS(INDIRECT("'"&amp;$Q44&amp;"'!$R$9:$R$408"),INDIRECT("'"&amp;$Q44&amp;"'!$D$9:$D$408"),$P44,INDIRECT("'"&amp;$Q44&amp;"'!$E$9:$E$408"),$C44,INDIRECT("'"&amp;$Q44&amp;"'!$F$9:$F$408"),$D44),""))</f>
        <v/>
      </c>
      <c r="I44" s="16">
        <f>IF(OR(OR($C44="",$Q44=""),N(E44)=0),"",H44/E44)</f>
        <v/>
      </c>
      <c r="J44" s="15">
        <f>IF(OR($C44="",$Q44=""),"",N(E44)-N(H44))</f>
        <v/>
      </c>
      <c r="K44" s="15">
        <f>IF(OR($C44="",$Q44=""),"",IFERROR(SUMIFS(INDIRECT("'"&amp;$Q44&amp;"'!$K$9:$K$408"),INDIRECT("'"&amp;$Q44&amp;"'!$D$9:$D$408"),$P44,INDIRECT("'"&amp;$Q44&amp;"'!$E$9:$E$408"),$C44,INDIRECT("'"&amp;$Q44&amp;"'!$F$9:$F$408"),$D44),""))</f>
        <v/>
      </c>
      <c r="L44" s="15">
        <f>IF(OR($C44="",$Q44=""),"",IFERROR(SUMIFS(INDIRECT("'"&amp;$Q44&amp;"'!$Q$9:$Q$408"),INDIRECT("'"&amp;$Q44&amp;"'!$D$9:$D$408"),$P44,INDIRECT("'"&amp;$Q44&amp;"'!$E$9:$E$408"),$C44,INDIRECT("'"&amp;$Q44&amp;"'!$F$9:$F$408"),$D44),""))</f>
        <v/>
      </c>
      <c r="M44" s="15">
        <f>IF(OR($C44="",$Q44=""),"",IFERROR(SUMIFS(INDIRECT("'"&amp;$Q44&amp;"'!$M$9:$M$408"),INDIRECT("'"&amp;$Q44&amp;"'!$D$9:$D$408"),$P44,INDIRECT("'"&amp;$Q44&amp;"'!$E$9:$E$408"),$C44,INDIRECT("'"&amp;$Q44&amp;"'!$F$9:$F$408"),$D44),""))</f>
        <v/>
      </c>
      <c r="N44" s="15">
        <f>IF(OR($C44="",$Q44=""),"",IFERROR(SUMIFS(INDIRECT("'"&amp;$Q44&amp;"'!$V$9:$V$408"),INDIRECT("'"&amp;$Q44&amp;"'!$D$9:$D$408"),$P44,INDIRECT("'"&amp;$Q44&amp;"'!$E$9:$E$408"),$C44,INDIRECT("'"&amp;$Q44&amp;"'!$F$9:$F$408"),$D44),""))</f>
        <v/>
      </c>
      <c r="P44" s="17" t="n"/>
      <c r="Q44" s="17" t="n"/>
    </row>
    <row r="45">
      <c r="B45" s="13">
        <f>IF(OR($C45="",$Q45=""),"",COUNTA($C$8:$C45))</f>
        <v/>
      </c>
      <c r="C45" s="14" t="n"/>
      <c r="D45" s="14" t="n"/>
      <c r="E45" s="15">
        <f>IF(OR($C45="",$Q45=""),"",IFERROR(SUMIFS(INDIRECT("'"&amp;$Q45&amp;"'!$G$9:$G$408"),INDIRECT("'"&amp;$Q45&amp;"'!$D$9:$D$408"),$P45,INDIRECT("'"&amp;$Q45&amp;"'!$E$9:$E$408"),$C45,INDIRECT("'"&amp;$Q45&amp;"'!$F$9:$F$408"),$D45),""))</f>
        <v/>
      </c>
      <c r="F45" s="15">
        <f>IF(OR($C45="",$Q45=""),"",IFERROR(SUMIFS(INDIRECT("'"&amp;$Q45&amp;"'!$H$9:$H$408"),INDIRECT("'"&amp;$Q45&amp;"'!$D$9:$D$408"),$P45,INDIRECT("'"&amp;$Q45&amp;"'!$E$9:$E$408"),$C45,INDIRECT("'"&amp;$Q45&amp;"'!$F$9:$F$408"),$D45),""))</f>
        <v/>
      </c>
      <c r="G45" s="15">
        <f>IF(OR($C45="",$Q45=""),"",IFERROR(SUMIFS(INDIRECT("'"&amp;$Q45&amp;"'!$I$9:$I$408"),INDIRECT("'"&amp;$Q45&amp;"'!$D$9:$D$408"),$P45,INDIRECT("'"&amp;$Q45&amp;"'!$E$9:$E$408"),$C45,INDIRECT("'"&amp;$Q45&amp;"'!$F$9:$F$408"),$D45),""))</f>
        <v/>
      </c>
      <c r="H45" s="15">
        <f>IF(OR($C45="",$Q45=""),"",IFERROR(SUMIFS(INDIRECT("'"&amp;$Q45&amp;"'!$R$9:$R$408"),INDIRECT("'"&amp;$Q45&amp;"'!$D$9:$D$408"),$P45,INDIRECT("'"&amp;$Q45&amp;"'!$E$9:$E$408"),$C45,INDIRECT("'"&amp;$Q45&amp;"'!$F$9:$F$408"),$D45),""))</f>
        <v/>
      </c>
      <c r="I45" s="16">
        <f>IF(OR(OR($C45="",$Q45=""),N(E45)=0),"",H45/E45)</f>
        <v/>
      </c>
      <c r="J45" s="15">
        <f>IF(OR($C45="",$Q45=""),"",N(E45)-N(H45))</f>
        <v/>
      </c>
      <c r="K45" s="15">
        <f>IF(OR($C45="",$Q45=""),"",IFERROR(SUMIFS(INDIRECT("'"&amp;$Q45&amp;"'!$K$9:$K$408"),INDIRECT("'"&amp;$Q45&amp;"'!$D$9:$D$408"),$P45,INDIRECT("'"&amp;$Q45&amp;"'!$E$9:$E$408"),$C45,INDIRECT("'"&amp;$Q45&amp;"'!$F$9:$F$408"),$D45),""))</f>
        <v/>
      </c>
      <c r="L45" s="15">
        <f>IF(OR($C45="",$Q45=""),"",IFERROR(SUMIFS(INDIRECT("'"&amp;$Q45&amp;"'!$Q$9:$Q$408"),INDIRECT("'"&amp;$Q45&amp;"'!$D$9:$D$408"),$P45,INDIRECT("'"&amp;$Q45&amp;"'!$E$9:$E$408"),$C45,INDIRECT("'"&amp;$Q45&amp;"'!$F$9:$F$408"),$D45),""))</f>
        <v/>
      </c>
      <c r="M45" s="15">
        <f>IF(OR($C45="",$Q45=""),"",IFERROR(SUMIFS(INDIRECT("'"&amp;$Q45&amp;"'!$M$9:$M$408"),INDIRECT("'"&amp;$Q45&amp;"'!$D$9:$D$408"),$P45,INDIRECT("'"&amp;$Q45&amp;"'!$E$9:$E$408"),$C45,INDIRECT("'"&amp;$Q45&amp;"'!$F$9:$F$408"),$D45),""))</f>
        <v/>
      </c>
      <c r="N45" s="15">
        <f>IF(OR($C45="",$Q45=""),"",IFERROR(SUMIFS(INDIRECT("'"&amp;$Q45&amp;"'!$V$9:$V$408"),INDIRECT("'"&amp;$Q45&amp;"'!$D$9:$D$408"),$P45,INDIRECT("'"&amp;$Q45&amp;"'!$E$9:$E$408"),$C45,INDIRECT("'"&amp;$Q45&amp;"'!$F$9:$F$408"),$D45),""))</f>
        <v/>
      </c>
      <c r="P45" s="17" t="n"/>
      <c r="Q45" s="17" t="n"/>
    </row>
    <row r="46">
      <c r="B46" s="13">
        <f>IF(OR($C46="",$Q46=""),"",COUNTA($C$8:$C46))</f>
        <v/>
      </c>
      <c r="C46" s="14" t="n"/>
      <c r="D46" s="14" t="n"/>
      <c r="E46" s="15">
        <f>IF(OR($C46="",$Q46=""),"",IFERROR(SUMIFS(INDIRECT("'"&amp;$Q46&amp;"'!$G$9:$G$408"),INDIRECT("'"&amp;$Q46&amp;"'!$D$9:$D$408"),$P46,INDIRECT("'"&amp;$Q46&amp;"'!$E$9:$E$408"),$C46,INDIRECT("'"&amp;$Q46&amp;"'!$F$9:$F$408"),$D46),""))</f>
        <v/>
      </c>
      <c r="F46" s="15">
        <f>IF(OR($C46="",$Q46=""),"",IFERROR(SUMIFS(INDIRECT("'"&amp;$Q46&amp;"'!$H$9:$H$408"),INDIRECT("'"&amp;$Q46&amp;"'!$D$9:$D$408"),$P46,INDIRECT("'"&amp;$Q46&amp;"'!$E$9:$E$408"),$C46,INDIRECT("'"&amp;$Q46&amp;"'!$F$9:$F$408"),$D46),""))</f>
        <v/>
      </c>
      <c r="G46" s="15">
        <f>IF(OR($C46="",$Q46=""),"",IFERROR(SUMIFS(INDIRECT("'"&amp;$Q46&amp;"'!$I$9:$I$408"),INDIRECT("'"&amp;$Q46&amp;"'!$D$9:$D$408"),$P46,INDIRECT("'"&amp;$Q46&amp;"'!$E$9:$E$408"),$C46,INDIRECT("'"&amp;$Q46&amp;"'!$F$9:$F$408"),$D46),""))</f>
        <v/>
      </c>
      <c r="H46" s="15">
        <f>IF(OR($C46="",$Q46=""),"",IFERROR(SUMIFS(INDIRECT("'"&amp;$Q46&amp;"'!$R$9:$R$408"),INDIRECT("'"&amp;$Q46&amp;"'!$D$9:$D$408"),$P46,INDIRECT("'"&amp;$Q46&amp;"'!$E$9:$E$408"),$C46,INDIRECT("'"&amp;$Q46&amp;"'!$F$9:$F$408"),$D46),""))</f>
        <v/>
      </c>
      <c r="I46" s="16">
        <f>IF(OR(OR($C46="",$Q46=""),N(E46)=0),"",H46/E46)</f>
        <v/>
      </c>
      <c r="J46" s="15">
        <f>IF(OR($C46="",$Q46=""),"",N(E46)-N(H46))</f>
        <v/>
      </c>
      <c r="K46" s="15">
        <f>IF(OR($C46="",$Q46=""),"",IFERROR(SUMIFS(INDIRECT("'"&amp;$Q46&amp;"'!$K$9:$K$408"),INDIRECT("'"&amp;$Q46&amp;"'!$D$9:$D$408"),$P46,INDIRECT("'"&amp;$Q46&amp;"'!$E$9:$E$408"),$C46,INDIRECT("'"&amp;$Q46&amp;"'!$F$9:$F$408"),$D46),""))</f>
        <v/>
      </c>
      <c r="L46" s="15">
        <f>IF(OR($C46="",$Q46=""),"",IFERROR(SUMIFS(INDIRECT("'"&amp;$Q46&amp;"'!$Q$9:$Q$408"),INDIRECT("'"&amp;$Q46&amp;"'!$D$9:$D$408"),$P46,INDIRECT("'"&amp;$Q46&amp;"'!$E$9:$E$408"),$C46,INDIRECT("'"&amp;$Q46&amp;"'!$F$9:$F$408"),$D46),""))</f>
        <v/>
      </c>
      <c r="M46" s="15">
        <f>IF(OR($C46="",$Q46=""),"",IFERROR(SUMIFS(INDIRECT("'"&amp;$Q46&amp;"'!$M$9:$M$408"),INDIRECT("'"&amp;$Q46&amp;"'!$D$9:$D$408"),$P46,INDIRECT("'"&amp;$Q46&amp;"'!$E$9:$E$408"),$C46,INDIRECT("'"&amp;$Q46&amp;"'!$F$9:$F$408"),$D46),""))</f>
        <v/>
      </c>
      <c r="N46" s="15">
        <f>IF(OR($C46="",$Q46=""),"",IFERROR(SUMIFS(INDIRECT("'"&amp;$Q46&amp;"'!$V$9:$V$408"),INDIRECT("'"&amp;$Q46&amp;"'!$D$9:$D$408"),$P46,INDIRECT("'"&amp;$Q46&amp;"'!$E$9:$E$408"),$C46,INDIRECT("'"&amp;$Q46&amp;"'!$F$9:$F$408"),$D46),""))</f>
        <v/>
      </c>
      <c r="P46" s="17" t="n"/>
      <c r="Q46" s="17" t="n"/>
    </row>
    <row r="47">
      <c r="B47" s="13">
        <f>IF(OR($C47="",$Q47=""),"",COUNTA($C$8:$C47))</f>
        <v/>
      </c>
      <c r="C47" s="14" t="n"/>
      <c r="D47" s="14" t="n"/>
      <c r="E47" s="15">
        <f>IF(OR($C47="",$Q47=""),"",IFERROR(SUMIFS(INDIRECT("'"&amp;$Q47&amp;"'!$G$9:$G$408"),INDIRECT("'"&amp;$Q47&amp;"'!$D$9:$D$408"),$P47,INDIRECT("'"&amp;$Q47&amp;"'!$E$9:$E$408"),$C47,INDIRECT("'"&amp;$Q47&amp;"'!$F$9:$F$408"),$D47),""))</f>
        <v/>
      </c>
      <c r="F47" s="15">
        <f>IF(OR($C47="",$Q47=""),"",IFERROR(SUMIFS(INDIRECT("'"&amp;$Q47&amp;"'!$H$9:$H$408"),INDIRECT("'"&amp;$Q47&amp;"'!$D$9:$D$408"),$P47,INDIRECT("'"&amp;$Q47&amp;"'!$E$9:$E$408"),$C47,INDIRECT("'"&amp;$Q47&amp;"'!$F$9:$F$408"),$D47),""))</f>
        <v/>
      </c>
      <c r="G47" s="15">
        <f>IF(OR($C47="",$Q47=""),"",IFERROR(SUMIFS(INDIRECT("'"&amp;$Q47&amp;"'!$I$9:$I$408"),INDIRECT("'"&amp;$Q47&amp;"'!$D$9:$D$408"),$P47,INDIRECT("'"&amp;$Q47&amp;"'!$E$9:$E$408"),$C47,INDIRECT("'"&amp;$Q47&amp;"'!$F$9:$F$408"),$D47),""))</f>
        <v/>
      </c>
      <c r="H47" s="15">
        <f>IF(OR($C47="",$Q47=""),"",IFERROR(SUMIFS(INDIRECT("'"&amp;$Q47&amp;"'!$R$9:$R$408"),INDIRECT("'"&amp;$Q47&amp;"'!$D$9:$D$408"),$P47,INDIRECT("'"&amp;$Q47&amp;"'!$E$9:$E$408"),$C47,INDIRECT("'"&amp;$Q47&amp;"'!$F$9:$F$408"),$D47),""))</f>
        <v/>
      </c>
      <c r="I47" s="16">
        <f>IF(OR(OR($C47="",$Q47=""),N(E47)=0),"",H47/E47)</f>
        <v/>
      </c>
      <c r="J47" s="15">
        <f>IF(OR($C47="",$Q47=""),"",N(E47)-N(H47))</f>
        <v/>
      </c>
      <c r="K47" s="15">
        <f>IF(OR($C47="",$Q47=""),"",IFERROR(SUMIFS(INDIRECT("'"&amp;$Q47&amp;"'!$K$9:$K$408"),INDIRECT("'"&amp;$Q47&amp;"'!$D$9:$D$408"),$P47,INDIRECT("'"&amp;$Q47&amp;"'!$E$9:$E$408"),$C47,INDIRECT("'"&amp;$Q47&amp;"'!$F$9:$F$408"),$D47),""))</f>
        <v/>
      </c>
      <c r="L47" s="15">
        <f>IF(OR($C47="",$Q47=""),"",IFERROR(SUMIFS(INDIRECT("'"&amp;$Q47&amp;"'!$Q$9:$Q$408"),INDIRECT("'"&amp;$Q47&amp;"'!$D$9:$D$408"),$P47,INDIRECT("'"&amp;$Q47&amp;"'!$E$9:$E$408"),$C47,INDIRECT("'"&amp;$Q47&amp;"'!$F$9:$F$408"),$D47),""))</f>
        <v/>
      </c>
      <c r="M47" s="15">
        <f>IF(OR($C47="",$Q47=""),"",IFERROR(SUMIFS(INDIRECT("'"&amp;$Q47&amp;"'!$M$9:$M$408"),INDIRECT("'"&amp;$Q47&amp;"'!$D$9:$D$408"),$P47,INDIRECT("'"&amp;$Q47&amp;"'!$E$9:$E$408"),$C47,INDIRECT("'"&amp;$Q47&amp;"'!$F$9:$F$408"),$D47),""))</f>
        <v/>
      </c>
      <c r="N47" s="15">
        <f>IF(OR($C47="",$Q47=""),"",IFERROR(SUMIFS(INDIRECT("'"&amp;$Q47&amp;"'!$V$9:$V$408"),INDIRECT("'"&amp;$Q47&amp;"'!$D$9:$D$408"),$P47,INDIRECT("'"&amp;$Q47&amp;"'!$E$9:$E$408"),$C47,INDIRECT("'"&amp;$Q47&amp;"'!$F$9:$F$408"),$D47),""))</f>
        <v/>
      </c>
      <c r="P47" s="17" t="n"/>
      <c r="Q47" s="17" t="n"/>
    </row>
    <row r="48">
      <c r="B48" s="13">
        <f>IF(OR($C48="",$Q48=""),"",COUNTA($C$8:$C48))</f>
        <v/>
      </c>
      <c r="C48" s="14" t="n"/>
      <c r="D48" s="14" t="n"/>
      <c r="E48" s="15">
        <f>IF(OR($C48="",$Q48=""),"",IFERROR(SUMIFS(INDIRECT("'"&amp;$Q48&amp;"'!$G$9:$G$408"),INDIRECT("'"&amp;$Q48&amp;"'!$D$9:$D$408"),$P48,INDIRECT("'"&amp;$Q48&amp;"'!$E$9:$E$408"),$C48,INDIRECT("'"&amp;$Q48&amp;"'!$F$9:$F$408"),$D48),""))</f>
        <v/>
      </c>
      <c r="F48" s="15">
        <f>IF(OR($C48="",$Q48=""),"",IFERROR(SUMIFS(INDIRECT("'"&amp;$Q48&amp;"'!$H$9:$H$408"),INDIRECT("'"&amp;$Q48&amp;"'!$D$9:$D$408"),$P48,INDIRECT("'"&amp;$Q48&amp;"'!$E$9:$E$408"),$C48,INDIRECT("'"&amp;$Q48&amp;"'!$F$9:$F$408"),$D48),""))</f>
        <v/>
      </c>
      <c r="G48" s="15">
        <f>IF(OR($C48="",$Q48=""),"",IFERROR(SUMIFS(INDIRECT("'"&amp;$Q48&amp;"'!$I$9:$I$408"),INDIRECT("'"&amp;$Q48&amp;"'!$D$9:$D$408"),$P48,INDIRECT("'"&amp;$Q48&amp;"'!$E$9:$E$408"),$C48,INDIRECT("'"&amp;$Q48&amp;"'!$F$9:$F$408"),$D48),""))</f>
        <v/>
      </c>
      <c r="H48" s="15">
        <f>IF(OR($C48="",$Q48=""),"",IFERROR(SUMIFS(INDIRECT("'"&amp;$Q48&amp;"'!$R$9:$R$408"),INDIRECT("'"&amp;$Q48&amp;"'!$D$9:$D$408"),$P48,INDIRECT("'"&amp;$Q48&amp;"'!$E$9:$E$408"),$C48,INDIRECT("'"&amp;$Q48&amp;"'!$F$9:$F$408"),$D48),""))</f>
        <v/>
      </c>
      <c r="I48" s="16">
        <f>IF(OR(OR($C48="",$Q48=""),N(E48)=0),"",H48/E48)</f>
        <v/>
      </c>
      <c r="J48" s="15">
        <f>IF(OR($C48="",$Q48=""),"",N(E48)-N(H48))</f>
        <v/>
      </c>
      <c r="K48" s="15">
        <f>IF(OR($C48="",$Q48=""),"",IFERROR(SUMIFS(INDIRECT("'"&amp;$Q48&amp;"'!$K$9:$K$408"),INDIRECT("'"&amp;$Q48&amp;"'!$D$9:$D$408"),$P48,INDIRECT("'"&amp;$Q48&amp;"'!$E$9:$E$408"),$C48,INDIRECT("'"&amp;$Q48&amp;"'!$F$9:$F$408"),$D48),""))</f>
        <v/>
      </c>
      <c r="L48" s="15">
        <f>IF(OR($C48="",$Q48=""),"",IFERROR(SUMIFS(INDIRECT("'"&amp;$Q48&amp;"'!$Q$9:$Q$408"),INDIRECT("'"&amp;$Q48&amp;"'!$D$9:$D$408"),$P48,INDIRECT("'"&amp;$Q48&amp;"'!$E$9:$E$408"),$C48,INDIRECT("'"&amp;$Q48&amp;"'!$F$9:$F$408"),$D48),""))</f>
        <v/>
      </c>
      <c r="M48" s="15">
        <f>IF(OR($C48="",$Q48=""),"",IFERROR(SUMIFS(INDIRECT("'"&amp;$Q48&amp;"'!$M$9:$M$408"),INDIRECT("'"&amp;$Q48&amp;"'!$D$9:$D$408"),$P48,INDIRECT("'"&amp;$Q48&amp;"'!$E$9:$E$408"),$C48,INDIRECT("'"&amp;$Q48&amp;"'!$F$9:$F$408"),$D48),""))</f>
        <v/>
      </c>
      <c r="N48" s="15">
        <f>IF(OR($C48="",$Q48=""),"",IFERROR(SUMIFS(INDIRECT("'"&amp;$Q48&amp;"'!$V$9:$V$408"),INDIRECT("'"&amp;$Q48&amp;"'!$D$9:$D$408"),$P48,INDIRECT("'"&amp;$Q48&amp;"'!$E$9:$E$408"),$C48,INDIRECT("'"&amp;$Q48&amp;"'!$F$9:$F$408"),$D48),""))</f>
        <v/>
      </c>
      <c r="P48" s="17" t="n"/>
      <c r="Q48" s="17" t="n"/>
    </row>
    <row r="49">
      <c r="B49" s="13">
        <f>IF(OR($C49="",$Q49=""),"",COUNTA($C$8:$C49))</f>
        <v/>
      </c>
      <c r="C49" s="14" t="n"/>
      <c r="D49" s="14" t="n"/>
      <c r="E49" s="15">
        <f>IF(OR($C49="",$Q49=""),"",IFERROR(SUMIFS(INDIRECT("'"&amp;$Q49&amp;"'!$G$9:$G$408"),INDIRECT("'"&amp;$Q49&amp;"'!$D$9:$D$408"),$P49,INDIRECT("'"&amp;$Q49&amp;"'!$E$9:$E$408"),$C49,INDIRECT("'"&amp;$Q49&amp;"'!$F$9:$F$408"),$D49),""))</f>
        <v/>
      </c>
      <c r="F49" s="15">
        <f>IF(OR($C49="",$Q49=""),"",IFERROR(SUMIFS(INDIRECT("'"&amp;$Q49&amp;"'!$H$9:$H$408"),INDIRECT("'"&amp;$Q49&amp;"'!$D$9:$D$408"),$P49,INDIRECT("'"&amp;$Q49&amp;"'!$E$9:$E$408"),$C49,INDIRECT("'"&amp;$Q49&amp;"'!$F$9:$F$408"),$D49),""))</f>
        <v/>
      </c>
      <c r="G49" s="15">
        <f>IF(OR($C49="",$Q49=""),"",IFERROR(SUMIFS(INDIRECT("'"&amp;$Q49&amp;"'!$I$9:$I$408"),INDIRECT("'"&amp;$Q49&amp;"'!$D$9:$D$408"),$P49,INDIRECT("'"&amp;$Q49&amp;"'!$E$9:$E$408"),$C49,INDIRECT("'"&amp;$Q49&amp;"'!$F$9:$F$408"),$D49),""))</f>
        <v/>
      </c>
      <c r="H49" s="15">
        <f>IF(OR($C49="",$Q49=""),"",IFERROR(SUMIFS(INDIRECT("'"&amp;$Q49&amp;"'!$R$9:$R$408"),INDIRECT("'"&amp;$Q49&amp;"'!$D$9:$D$408"),$P49,INDIRECT("'"&amp;$Q49&amp;"'!$E$9:$E$408"),$C49,INDIRECT("'"&amp;$Q49&amp;"'!$F$9:$F$408"),$D49),""))</f>
        <v/>
      </c>
      <c r="I49" s="16">
        <f>IF(OR(OR($C49="",$Q49=""),N(E49)=0),"",H49/E49)</f>
        <v/>
      </c>
      <c r="J49" s="15">
        <f>IF(OR($C49="",$Q49=""),"",N(E49)-N(H49))</f>
        <v/>
      </c>
      <c r="K49" s="15">
        <f>IF(OR($C49="",$Q49=""),"",IFERROR(SUMIFS(INDIRECT("'"&amp;$Q49&amp;"'!$K$9:$K$408"),INDIRECT("'"&amp;$Q49&amp;"'!$D$9:$D$408"),$P49,INDIRECT("'"&amp;$Q49&amp;"'!$E$9:$E$408"),$C49,INDIRECT("'"&amp;$Q49&amp;"'!$F$9:$F$408"),$D49),""))</f>
        <v/>
      </c>
      <c r="L49" s="15">
        <f>IF(OR($C49="",$Q49=""),"",IFERROR(SUMIFS(INDIRECT("'"&amp;$Q49&amp;"'!$Q$9:$Q$408"),INDIRECT("'"&amp;$Q49&amp;"'!$D$9:$D$408"),$P49,INDIRECT("'"&amp;$Q49&amp;"'!$E$9:$E$408"),$C49,INDIRECT("'"&amp;$Q49&amp;"'!$F$9:$F$408"),$D49),""))</f>
        <v/>
      </c>
      <c r="M49" s="15">
        <f>IF(OR($C49="",$Q49=""),"",IFERROR(SUMIFS(INDIRECT("'"&amp;$Q49&amp;"'!$M$9:$M$408"),INDIRECT("'"&amp;$Q49&amp;"'!$D$9:$D$408"),$P49,INDIRECT("'"&amp;$Q49&amp;"'!$E$9:$E$408"),$C49,INDIRECT("'"&amp;$Q49&amp;"'!$F$9:$F$408"),$D49),""))</f>
        <v/>
      </c>
      <c r="N49" s="15">
        <f>IF(OR($C49="",$Q49=""),"",IFERROR(SUMIFS(INDIRECT("'"&amp;$Q49&amp;"'!$V$9:$V$408"),INDIRECT("'"&amp;$Q49&amp;"'!$D$9:$D$408"),$P49,INDIRECT("'"&amp;$Q49&amp;"'!$E$9:$E$408"),$C49,INDIRECT("'"&amp;$Q49&amp;"'!$F$9:$F$408"),$D49),""))</f>
        <v/>
      </c>
      <c r="P49" s="17" t="n"/>
      <c r="Q49" s="17" t="n"/>
    </row>
    <row r="50">
      <c r="B50" s="13">
        <f>IF(OR($C50="",$Q50=""),"",COUNTA($C$8:$C50))</f>
        <v/>
      </c>
      <c r="C50" s="14" t="n"/>
      <c r="D50" s="14" t="n"/>
      <c r="E50" s="15">
        <f>IF(OR($C50="",$Q50=""),"",IFERROR(SUMIFS(INDIRECT("'"&amp;$Q50&amp;"'!$G$9:$G$408"),INDIRECT("'"&amp;$Q50&amp;"'!$D$9:$D$408"),$P50,INDIRECT("'"&amp;$Q50&amp;"'!$E$9:$E$408"),$C50,INDIRECT("'"&amp;$Q50&amp;"'!$F$9:$F$408"),$D50),""))</f>
        <v/>
      </c>
      <c r="F50" s="15">
        <f>IF(OR($C50="",$Q50=""),"",IFERROR(SUMIFS(INDIRECT("'"&amp;$Q50&amp;"'!$H$9:$H$408"),INDIRECT("'"&amp;$Q50&amp;"'!$D$9:$D$408"),$P50,INDIRECT("'"&amp;$Q50&amp;"'!$E$9:$E$408"),$C50,INDIRECT("'"&amp;$Q50&amp;"'!$F$9:$F$408"),$D50),""))</f>
        <v/>
      </c>
      <c r="G50" s="15">
        <f>IF(OR($C50="",$Q50=""),"",IFERROR(SUMIFS(INDIRECT("'"&amp;$Q50&amp;"'!$I$9:$I$408"),INDIRECT("'"&amp;$Q50&amp;"'!$D$9:$D$408"),$P50,INDIRECT("'"&amp;$Q50&amp;"'!$E$9:$E$408"),$C50,INDIRECT("'"&amp;$Q50&amp;"'!$F$9:$F$408"),$D50),""))</f>
        <v/>
      </c>
      <c r="H50" s="15">
        <f>IF(OR($C50="",$Q50=""),"",IFERROR(SUMIFS(INDIRECT("'"&amp;$Q50&amp;"'!$R$9:$R$408"),INDIRECT("'"&amp;$Q50&amp;"'!$D$9:$D$408"),$P50,INDIRECT("'"&amp;$Q50&amp;"'!$E$9:$E$408"),$C50,INDIRECT("'"&amp;$Q50&amp;"'!$F$9:$F$408"),$D50),""))</f>
        <v/>
      </c>
      <c r="I50" s="16">
        <f>IF(OR(OR($C50="",$Q50=""),N(E50)=0),"",H50/E50)</f>
        <v/>
      </c>
      <c r="J50" s="15">
        <f>IF(OR($C50="",$Q50=""),"",N(E50)-N(H50))</f>
        <v/>
      </c>
      <c r="K50" s="15">
        <f>IF(OR($C50="",$Q50=""),"",IFERROR(SUMIFS(INDIRECT("'"&amp;$Q50&amp;"'!$K$9:$K$408"),INDIRECT("'"&amp;$Q50&amp;"'!$D$9:$D$408"),$P50,INDIRECT("'"&amp;$Q50&amp;"'!$E$9:$E$408"),$C50,INDIRECT("'"&amp;$Q50&amp;"'!$F$9:$F$408"),$D50),""))</f>
        <v/>
      </c>
      <c r="L50" s="15">
        <f>IF(OR($C50="",$Q50=""),"",IFERROR(SUMIFS(INDIRECT("'"&amp;$Q50&amp;"'!$Q$9:$Q$408"),INDIRECT("'"&amp;$Q50&amp;"'!$D$9:$D$408"),$P50,INDIRECT("'"&amp;$Q50&amp;"'!$E$9:$E$408"),$C50,INDIRECT("'"&amp;$Q50&amp;"'!$F$9:$F$408"),$D50),""))</f>
        <v/>
      </c>
      <c r="M50" s="15">
        <f>IF(OR($C50="",$Q50=""),"",IFERROR(SUMIFS(INDIRECT("'"&amp;$Q50&amp;"'!$M$9:$M$408"),INDIRECT("'"&amp;$Q50&amp;"'!$D$9:$D$408"),$P50,INDIRECT("'"&amp;$Q50&amp;"'!$E$9:$E$408"),$C50,INDIRECT("'"&amp;$Q50&amp;"'!$F$9:$F$408"),$D50),""))</f>
        <v/>
      </c>
      <c r="N50" s="15">
        <f>IF(OR($C50="",$Q50=""),"",IFERROR(SUMIFS(INDIRECT("'"&amp;$Q50&amp;"'!$V$9:$V$408"),INDIRECT("'"&amp;$Q50&amp;"'!$D$9:$D$408"),$P50,INDIRECT("'"&amp;$Q50&amp;"'!$E$9:$E$408"),$C50,INDIRECT("'"&amp;$Q50&amp;"'!$F$9:$F$408"),$D50),""))</f>
        <v/>
      </c>
      <c r="P50" s="17" t="n"/>
      <c r="Q50" s="17" t="n"/>
    </row>
    <row r="51">
      <c r="B51" s="13">
        <f>IF(OR($C51="",$Q51=""),"",COUNTA($C$8:$C51))</f>
        <v/>
      </c>
      <c r="C51" s="14" t="n"/>
      <c r="D51" s="14" t="n"/>
      <c r="E51" s="15">
        <f>IF(OR($C51="",$Q51=""),"",IFERROR(SUMIFS(INDIRECT("'"&amp;$Q51&amp;"'!$G$9:$G$408"),INDIRECT("'"&amp;$Q51&amp;"'!$D$9:$D$408"),$P51,INDIRECT("'"&amp;$Q51&amp;"'!$E$9:$E$408"),$C51,INDIRECT("'"&amp;$Q51&amp;"'!$F$9:$F$408"),$D51),""))</f>
        <v/>
      </c>
      <c r="F51" s="15">
        <f>IF(OR($C51="",$Q51=""),"",IFERROR(SUMIFS(INDIRECT("'"&amp;$Q51&amp;"'!$H$9:$H$408"),INDIRECT("'"&amp;$Q51&amp;"'!$D$9:$D$408"),$P51,INDIRECT("'"&amp;$Q51&amp;"'!$E$9:$E$408"),$C51,INDIRECT("'"&amp;$Q51&amp;"'!$F$9:$F$408"),$D51),""))</f>
        <v/>
      </c>
      <c r="G51" s="15">
        <f>IF(OR($C51="",$Q51=""),"",IFERROR(SUMIFS(INDIRECT("'"&amp;$Q51&amp;"'!$I$9:$I$408"),INDIRECT("'"&amp;$Q51&amp;"'!$D$9:$D$408"),$P51,INDIRECT("'"&amp;$Q51&amp;"'!$E$9:$E$408"),$C51,INDIRECT("'"&amp;$Q51&amp;"'!$F$9:$F$408"),$D51),""))</f>
        <v/>
      </c>
      <c r="H51" s="15">
        <f>IF(OR($C51="",$Q51=""),"",IFERROR(SUMIFS(INDIRECT("'"&amp;$Q51&amp;"'!$R$9:$R$408"),INDIRECT("'"&amp;$Q51&amp;"'!$D$9:$D$408"),$P51,INDIRECT("'"&amp;$Q51&amp;"'!$E$9:$E$408"),$C51,INDIRECT("'"&amp;$Q51&amp;"'!$F$9:$F$408"),$D51),""))</f>
        <v/>
      </c>
      <c r="I51" s="16">
        <f>IF(OR(OR($C51="",$Q51=""),N(E51)=0),"",H51/E51)</f>
        <v/>
      </c>
      <c r="J51" s="15">
        <f>IF(OR($C51="",$Q51=""),"",N(E51)-N(H51))</f>
        <v/>
      </c>
      <c r="K51" s="15">
        <f>IF(OR($C51="",$Q51=""),"",IFERROR(SUMIFS(INDIRECT("'"&amp;$Q51&amp;"'!$K$9:$K$408"),INDIRECT("'"&amp;$Q51&amp;"'!$D$9:$D$408"),$P51,INDIRECT("'"&amp;$Q51&amp;"'!$E$9:$E$408"),$C51,INDIRECT("'"&amp;$Q51&amp;"'!$F$9:$F$408"),$D51),""))</f>
        <v/>
      </c>
      <c r="L51" s="15">
        <f>IF(OR($C51="",$Q51=""),"",IFERROR(SUMIFS(INDIRECT("'"&amp;$Q51&amp;"'!$Q$9:$Q$408"),INDIRECT("'"&amp;$Q51&amp;"'!$D$9:$D$408"),$P51,INDIRECT("'"&amp;$Q51&amp;"'!$E$9:$E$408"),$C51,INDIRECT("'"&amp;$Q51&amp;"'!$F$9:$F$408"),$D51),""))</f>
        <v/>
      </c>
      <c r="M51" s="15">
        <f>IF(OR($C51="",$Q51=""),"",IFERROR(SUMIFS(INDIRECT("'"&amp;$Q51&amp;"'!$M$9:$M$408"),INDIRECT("'"&amp;$Q51&amp;"'!$D$9:$D$408"),$P51,INDIRECT("'"&amp;$Q51&amp;"'!$E$9:$E$408"),$C51,INDIRECT("'"&amp;$Q51&amp;"'!$F$9:$F$408"),$D51),""))</f>
        <v/>
      </c>
      <c r="N51" s="15">
        <f>IF(OR($C51="",$Q51=""),"",IFERROR(SUMIFS(INDIRECT("'"&amp;$Q51&amp;"'!$V$9:$V$408"),INDIRECT("'"&amp;$Q51&amp;"'!$D$9:$D$408"),$P51,INDIRECT("'"&amp;$Q51&amp;"'!$E$9:$E$408"),$C51,INDIRECT("'"&amp;$Q51&amp;"'!$F$9:$F$408"),$D51),""))</f>
        <v/>
      </c>
      <c r="P51" s="17" t="n"/>
      <c r="Q51" s="17" t="n"/>
    </row>
    <row r="52">
      <c r="B52" s="13">
        <f>IF(OR($C52="",$Q52=""),"",COUNTA($C$8:$C52))</f>
        <v/>
      </c>
      <c r="C52" s="14" t="n"/>
      <c r="D52" s="14" t="n"/>
      <c r="E52" s="15">
        <f>IF(OR($C52="",$Q52=""),"",IFERROR(SUMIFS(INDIRECT("'"&amp;$Q52&amp;"'!$G$9:$G$408"),INDIRECT("'"&amp;$Q52&amp;"'!$D$9:$D$408"),$P52,INDIRECT("'"&amp;$Q52&amp;"'!$E$9:$E$408"),$C52,INDIRECT("'"&amp;$Q52&amp;"'!$F$9:$F$408"),$D52),""))</f>
        <v/>
      </c>
      <c r="F52" s="15">
        <f>IF(OR($C52="",$Q52=""),"",IFERROR(SUMIFS(INDIRECT("'"&amp;$Q52&amp;"'!$H$9:$H$408"),INDIRECT("'"&amp;$Q52&amp;"'!$D$9:$D$408"),$P52,INDIRECT("'"&amp;$Q52&amp;"'!$E$9:$E$408"),$C52,INDIRECT("'"&amp;$Q52&amp;"'!$F$9:$F$408"),$D52),""))</f>
        <v/>
      </c>
      <c r="G52" s="15">
        <f>IF(OR($C52="",$Q52=""),"",IFERROR(SUMIFS(INDIRECT("'"&amp;$Q52&amp;"'!$I$9:$I$408"),INDIRECT("'"&amp;$Q52&amp;"'!$D$9:$D$408"),$P52,INDIRECT("'"&amp;$Q52&amp;"'!$E$9:$E$408"),$C52,INDIRECT("'"&amp;$Q52&amp;"'!$F$9:$F$408"),$D52),""))</f>
        <v/>
      </c>
      <c r="H52" s="15">
        <f>IF(OR($C52="",$Q52=""),"",IFERROR(SUMIFS(INDIRECT("'"&amp;$Q52&amp;"'!$R$9:$R$408"),INDIRECT("'"&amp;$Q52&amp;"'!$D$9:$D$408"),$P52,INDIRECT("'"&amp;$Q52&amp;"'!$E$9:$E$408"),$C52,INDIRECT("'"&amp;$Q52&amp;"'!$F$9:$F$408"),$D52),""))</f>
        <v/>
      </c>
      <c r="I52" s="16">
        <f>IF(OR(OR($C52="",$Q52=""),N(E52)=0),"",H52/E52)</f>
        <v/>
      </c>
      <c r="J52" s="15">
        <f>IF(OR($C52="",$Q52=""),"",N(E52)-N(H52))</f>
        <v/>
      </c>
      <c r="K52" s="15">
        <f>IF(OR($C52="",$Q52=""),"",IFERROR(SUMIFS(INDIRECT("'"&amp;$Q52&amp;"'!$K$9:$K$408"),INDIRECT("'"&amp;$Q52&amp;"'!$D$9:$D$408"),$P52,INDIRECT("'"&amp;$Q52&amp;"'!$E$9:$E$408"),$C52,INDIRECT("'"&amp;$Q52&amp;"'!$F$9:$F$408"),$D52),""))</f>
        <v/>
      </c>
      <c r="L52" s="15">
        <f>IF(OR($C52="",$Q52=""),"",IFERROR(SUMIFS(INDIRECT("'"&amp;$Q52&amp;"'!$Q$9:$Q$408"),INDIRECT("'"&amp;$Q52&amp;"'!$D$9:$D$408"),$P52,INDIRECT("'"&amp;$Q52&amp;"'!$E$9:$E$408"),$C52,INDIRECT("'"&amp;$Q52&amp;"'!$F$9:$F$408"),$D52),""))</f>
        <v/>
      </c>
      <c r="M52" s="15">
        <f>IF(OR($C52="",$Q52=""),"",IFERROR(SUMIFS(INDIRECT("'"&amp;$Q52&amp;"'!$M$9:$M$408"),INDIRECT("'"&amp;$Q52&amp;"'!$D$9:$D$408"),$P52,INDIRECT("'"&amp;$Q52&amp;"'!$E$9:$E$408"),$C52,INDIRECT("'"&amp;$Q52&amp;"'!$F$9:$F$408"),$D52),""))</f>
        <v/>
      </c>
      <c r="N52" s="15">
        <f>IF(OR($C52="",$Q52=""),"",IFERROR(SUMIFS(INDIRECT("'"&amp;$Q52&amp;"'!$V$9:$V$408"),INDIRECT("'"&amp;$Q52&amp;"'!$D$9:$D$408"),$P52,INDIRECT("'"&amp;$Q52&amp;"'!$E$9:$E$408"),$C52,INDIRECT("'"&amp;$Q52&amp;"'!$F$9:$F$408"),$D52),""))</f>
        <v/>
      </c>
      <c r="P52" s="17" t="n"/>
      <c r="Q52" s="17" t="n"/>
    </row>
    <row r="53">
      <c r="B53" s="13">
        <f>IF(OR($C53="",$Q53=""),"",COUNTA($C$8:$C53))</f>
        <v/>
      </c>
      <c r="C53" s="14" t="n"/>
      <c r="D53" s="14" t="n"/>
      <c r="E53" s="15">
        <f>IF(OR($C53="",$Q53=""),"",IFERROR(SUMIFS(INDIRECT("'"&amp;$Q53&amp;"'!$G$9:$G$408"),INDIRECT("'"&amp;$Q53&amp;"'!$D$9:$D$408"),$P53,INDIRECT("'"&amp;$Q53&amp;"'!$E$9:$E$408"),$C53,INDIRECT("'"&amp;$Q53&amp;"'!$F$9:$F$408"),$D53),""))</f>
        <v/>
      </c>
      <c r="F53" s="15">
        <f>IF(OR($C53="",$Q53=""),"",IFERROR(SUMIFS(INDIRECT("'"&amp;$Q53&amp;"'!$H$9:$H$408"),INDIRECT("'"&amp;$Q53&amp;"'!$D$9:$D$408"),$P53,INDIRECT("'"&amp;$Q53&amp;"'!$E$9:$E$408"),$C53,INDIRECT("'"&amp;$Q53&amp;"'!$F$9:$F$408"),$D53),""))</f>
        <v/>
      </c>
      <c r="G53" s="15">
        <f>IF(OR($C53="",$Q53=""),"",IFERROR(SUMIFS(INDIRECT("'"&amp;$Q53&amp;"'!$I$9:$I$408"),INDIRECT("'"&amp;$Q53&amp;"'!$D$9:$D$408"),$P53,INDIRECT("'"&amp;$Q53&amp;"'!$E$9:$E$408"),$C53,INDIRECT("'"&amp;$Q53&amp;"'!$F$9:$F$408"),$D53),""))</f>
        <v/>
      </c>
      <c r="H53" s="15">
        <f>IF(OR($C53="",$Q53=""),"",IFERROR(SUMIFS(INDIRECT("'"&amp;$Q53&amp;"'!$R$9:$R$408"),INDIRECT("'"&amp;$Q53&amp;"'!$D$9:$D$408"),$P53,INDIRECT("'"&amp;$Q53&amp;"'!$E$9:$E$408"),$C53,INDIRECT("'"&amp;$Q53&amp;"'!$F$9:$F$408"),$D53),""))</f>
        <v/>
      </c>
      <c r="I53" s="16">
        <f>IF(OR(OR($C53="",$Q53=""),N(E53)=0),"",H53/E53)</f>
        <v/>
      </c>
      <c r="J53" s="15">
        <f>IF(OR($C53="",$Q53=""),"",N(E53)-N(H53))</f>
        <v/>
      </c>
      <c r="K53" s="15">
        <f>IF(OR($C53="",$Q53=""),"",IFERROR(SUMIFS(INDIRECT("'"&amp;$Q53&amp;"'!$K$9:$K$408"),INDIRECT("'"&amp;$Q53&amp;"'!$D$9:$D$408"),$P53,INDIRECT("'"&amp;$Q53&amp;"'!$E$9:$E$408"),$C53,INDIRECT("'"&amp;$Q53&amp;"'!$F$9:$F$408"),$D53),""))</f>
        <v/>
      </c>
      <c r="L53" s="15">
        <f>IF(OR($C53="",$Q53=""),"",IFERROR(SUMIFS(INDIRECT("'"&amp;$Q53&amp;"'!$Q$9:$Q$408"),INDIRECT("'"&amp;$Q53&amp;"'!$D$9:$D$408"),$P53,INDIRECT("'"&amp;$Q53&amp;"'!$E$9:$E$408"),$C53,INDIRECT("'"&amp;$Q53&amp;"'!$F$9:$F$408"),$D53),""))</f>
        <v/>
      </c>
      <c r="M53" s="15">
        <f>IF(OR($C53="",$Q53=""),"",IFERROR(SUMIFS(INDIRECT("'"&amp;$Q53&amp;"'!$M$9:$M$408"),INDIRECT("'"&amp;$Q53&amp;"'!$D$9:$D$408"),$P53,INDIRECT("'"&amp;$Q53&amp;"'!$E$9:$E$408"),$C53,INDIRECT("'"&amp;$Q53&amp;"'!$F$9:$F$408"),$D53),""))</f>
        <v/>
      </c>
      <c r="N53" s="15">
        <f>IF(OR($C53="",$Q53=""),"",IFERROR(SUMIFS(INDIRECT("'"&amp;$Q53&amp;"'!$V$9:$V$408"),INDIRECT("'"&amp;$Q53&amp;"'!$D$9:$D$408"),$P53,INDIRECT("'"&amp;$Q53&amp;"'!$E$9:$E$408"),$C53,INDIRECT("'"&amp;$Q53&amp;"'!$F$9:$F$408"),$D53),""))</f>
        <v/>
      </c>
      <c r="P53" s="17" t="n"/>
      <c r="Q53" s="17" t="n"/>
    </row>
    <row r="54">
      <c r="B54" s="13">
        <f>IF(OR($C54="",$Q54=""),"",COUNTA($C$8:$C54))</f>
        <v/>
      </c>
      <c r="C54" s="14" t="n"/>
      <c r="D54" s="14" t="n"/>
      <c r="E54" s="15">
        <f>IF(OR($C54="",$Q54=""),"",IFERROR(SUMIFS(INDIRECT("'"&amp;$Q54&amp;"'!$G$9:$G$408"),INDIRECT("'"&amp;$Q54&amp;"'!$D$9:$D$408"),$P54,INDIRECT("'"&amp;$Q54&amp;"'!$E$9:$E$408"),$C54,INDIRECT("'"&amp;$Q54&amp;"'!$F$9:$F$408"),$D54),""))</f>
        <v/>
      </c>
      <c r="F54" s="15">
        <f>IF(OR($C54="",$Q54=""),"",IFERROR(SUMIFS(INDIRECT("'"&amp;$Q54&amp;"'!$H$9:$H$408"),INDIRECT("'"&amp;$Q54&amp;"'!$D$9:$D$408"),$P54,INDIRECT("'"&amp;$Q54&amp;"'!$E$9:$E$408"),$C54,INDIRECT("'"&amp;$Q54&amp;"'!$F$9:$F$408"),$D54),""))</f>
        <v/>
      </c>
      <c r="G54" s="15">
        <f>IF(OR($C54="",$Q54=""),"",IFERROR(SUMIFS(INDIRECT("'"&amp;$Q54&amp;"'!$I$9:$I$408"),INDIRECT("'"&amp;$Q54&amp;"'!$D$9:$D$408"),$P54,INDIRECT("'"&amp;$Q54&amp;"'!$E$9:$E$408"),$C54,INDIRECT("'"&amp;$Q54&amp;"'!$F$9:$F$408"),$D54),""))</f>
        <v/>
      </c>
      <c r="H54" s="15">
        <f>IF(OR($C54="",$Q54=""),"",IFERROR(SUMIFS(INDIRECT("'"&amp;$Q54&amp;"'!$R$9:$R$408"),INDIRECT("'"&amp;$Q54&amp;"'!$D$9:$D$408"),$P54,INDIRECT("'"&amp;$Q54&amp;"'!$E$9:$E$408"),$C54,INDIRECT("'"&amp;$Q54&amp;"'!$F$9:$F$408"),$D54),""))</f>
        <v/>
      </c>
      <c r="I54" s="16">
        <f>IF(OR(OR($C54="",$Q54=""),N(E54)=0),"",H54/E54)</f>
        <v/>
      </c>
      <c r="J54" s="15">
        <f>IF(OR($C54="",$Q54=""),"",N(E54)-N(H54))</f>
        <v/>
      </c>
      <c r="K54" s="15">
        <f>IF(OR($C54="",$Q54=""),"",IFERROR(SUMIFS(INDIRECT("'"&amp;$Q54&amp;"'!$K$9:$K$408"),INDIRECT("'"&amp;$Q54&amp;"'!$D$9:$D$408"),$P54,INDIRECT("'"&amp;$Q54&amp;"'!$E$9:$E$408"),$C54,INDIRECT("'"&amp;$Q54&amp;"'!$F$9:$F$408"),$D54),""))</f>
        <v/>
      </c>
      <c r="L54" s="15">
        <f>IF(OR($C54="",$Q54=""),"",IFERROR(SUMIFS(INDIRECT("'"&amp;$Q54&amp;"'!$Q$9:$Q$408"),INDIRECT("'"&amp;$Q54&amp;"'!$D$9:$D$408"),$P54,INDIRECT("'"&amp;$Q54&amp;"'!$E$9:$E$408"),$C54,INDIRECT("'"&amp;$Q54&amp;"'!$F$9:$F$408"),$D54),""))</f>
        <v/>
      </c>
      <c r="M54" s="15">
        <f>IF(OR($C54="",$Q54=""),"",IFERROR(SUMIFS(INDIRECT("'"&amp;$Q54&amp;"'!$M$9:$M$408"),INDIRECT("'"&amp;$Q54&amp;"'!$D$9:$D$408"),$P54,INDIRECT("'"&amp;$Q54&amp;"'!$E$9:$E$408"),$C54,INDIRECT("'"&amp;$Q54&amp;"'!$F$9:$F$408"),$D54),""))</f>
        <v/>
      </c>
      <c r="N54" s="15">
        <f>IF(OR($C54="",$Q54=""),"",IFERROR(SUMIFS(INDIRECT("'"&amp;$Q54&amp;"'!$V$9:$V$408"),INDIRECT("'"&amp;$Q54&amp;"'!$D$9:$D$408"),$P54,INDIRECT("'"&amp;$Q54&amp;"'!$E$9:$E$408"),$C54,INDIRECT("'"&amp;$Q54&amp;"'!$F$9:$F$408"),$D54),""))</f>
        <v/>
      </c>
      <c r="P54" s="17" t="n"/>
      <c r="Q54" s="17" t="n"/>
    </row>
    <row r="55">
      <c r="B55" s="13">
        <f>IF(OR($C55="",$Q55=""),"",COUNTA($C$8:$C55))</f>
        <v/>
      </c>
      <c r="C55" s="14" t="n"/>
      <c r="D55" s="14" t="n"/>
      <c r="E55" s="15">
        <f>IF(OR($C55="",$Q55=""),"",IFERROR(SUMIFS(INDIRECT("'"&amp;$Q55&amp;"'!$G$9:$G$408"),INDIRECT("'"&amp;$Q55&amp;"'!$D$9:$D$408"),$P55,INDIRECT("'"&amp;$Q55&amp;"'!$E$9:$E$408"),$C55,INDIRECT("'"&amp;$Q55&amp;"'!$F$9:$F$408"),$D55),""))</f>
        <v/>
      </c>
      <c r="F55" s="15">
        <f>IF(OR($C55="",$Q55=""),"",IFERROR(SUMIFS(INDIRECT("'"&amp;$Q55&amp;"'!$H$9:$H$408"),INDIRECT("'"&amp;$Q55&amp;"'!$D$9:$D$408"),$P55,INDIRECT("'"&amp;$Q55&amp;"'!$E$9:$E$408"),$C55,INDIRECT("'"&amp;$Q55&amp;"'!$F$9:$F$408"),$D55),""))</f>
        <v/>
      </c>
      <c r="G55" s="15">
        <f>IF(OR($C55="",$Q55=""),"",IFERROR(SUMIFS(INDIRECT("'"&amp;$Q55&amp;"'!$I$9:$I$408"),INDIRECT("'"&amp;$Q55&amp;"'!$D$9:$D$408"),$P55,INDIRECT("'"&amp;$Q55&amp;"'!$E$9:$E$408"),$C55,INDIRECT("'"&amp;$Q55&amp;"'!$F$9:$F$408"),$D55),""))</f>
        <v/>
      </c>
      <c r="H55" s="15">
        <f>IF(OR($C55="",$Q55=""),"",IFERROR(SUMIFS(INDIRECT("'"&amp;$Q55&amp;"'!$R$9:$R$408"),INDIRECT("'"&amp;$Q55&amp;"'!$D$9:$D$408"),$P55,INDIRECT("'"&amp;$Q55&amp;"'!$E$9:$E$408"),$C55,INDIRECT("'"&amp;$Q55&amp;"'!$F$9:$F$408"),$D55),""))</f>
        <v/>
      </c>
      <c r="I55" s="16">
        <f>IF(OR(OR($C55="",$Q55=""),N(E55)=0),"",H55/E55)</f>
        <v/>
      </c>
      <c r="J55" s="15">
        <f>IF(OR($C55="",$Q55=""),"",N(E55)-N(H55))</f>
        <v/>
      </c>
      <c r="K55" s="15">
        <f>IF(OR($C55="",$Q55=""),"",IFERROR(SUMIFS(INDIRECT("'"&amp;$Q55&amp;"'!$K$9:$K$408"),INDIRECT("'"&amp;$Q55&amp;"'!$D$9:$D$408"),$P55,INDIRECT("'"&amp;$Q55&amp;"'!$E$9:$E$408"),$C55,INDIRECT("'"&amp;$Q55&amp;"'!$F$9:$F$408"),$D55),""))</f>
        <v/>
      </c>
      <c r="L55" s="15">
        <f>IF(OR($C55="",$Q55=""),"",IFERROR(SUMIFS(INDIRECT("'"&amp;$Q55&amp;"'!$Q$9:$Q$408"),INDIRECT("'"&amp;$Q55&amp;"'!$D$9:$D$408"),$P55,INDIRECT("'"&amp;$Q55&amp;"'!$E$9:$E$408"),$C55,INDIRECT("'"&amp;$Q55&amp;"'!$F$9:$F$408"),$D55),""))</f>
        <v/>
      </c>
      <c r="M55" s="15">
        <f>IF(OR($C55="",$Q55=""),"",IFERROR(SUMIFS(INDIRECT("'"&amp;$Q55&amp;"'!$M$9:$M$408"),INDIRECT("'"&amp;$Q55&amp;"'!$D$9:$D$408"),$P55,INDIRECT("'"&amp;$Q55&amp;"'!$E$9:$E$408"),$C55,INDIRECT("'"&amp;$Q55&amp;"'!$F$9:$F$408"),$D55),""))</f>
        <v/>
      </c>
      <c r="N55" s="15">
        <f>IF(OR($C55="",$Q55=""),"",IFERROR(SUMIFS(INDIRECT("'"&amp;$Q55&amp;"'!$V$9:$V$408"),INDIRECT("'"&amp;$Q55&amp;"'!$D$9:$D$408"),$P55,INDIRECT("'"&amp;$Q55&amp;"'!$E$9:$E$408"),$C55,INDIRECT("'"&amp;$Q55&amp;"'!$F$9:$F$408"),$D55),""))</f>
        <v/>
      </c>
      <c r="P55" s="17" t="n"/>
      <c r="Q55" s="17" t="n"/>
    </row>
    <row r="56">
      <c r="B56" s="13">
        <f>IF(OR($C56="",$Q56=""),"",COUNTA($C$8:$C56))</f>
        <v/>
      </c>
      <c r="C56" s="14" t="n"/>
      <c r="D56" s="14" t="n"/>
      <c r="E56" s="15">
        <f>IF(OR($C56="",$Q56=""),"",IFERROR(SUMIFS(INDIRECT("'"&amp;$Q56&amp;"'!$G$9:$G$408"),INDIRECT("'"&amp;$Q56&amp;"'!$D$9:$D$408"),$P56,INDIRECT("'"&amp;$Q56&amp;"'!$E$9:$E$408"),$C56,INDIRECT("'"&amp;$Q56&amp;"'!$F$9:$F$408"),$D56),""))</f>
        <v/>
      </c>
      <c r="F56" s="15">
        <f>IF(OR($C56="",$Q56=""),"",IFERROR(SUMIFS(INDIRECT("'"&amp;$Q56&amp;"'!$H$9:$H$408"),INDIRECT("'"&amp;$Q56&amp;"'!$D$9:$D$408"),$P56,INDIRECT("'"&amp;$Q56&amp;"'!$E$9:$E$408"),$C56,INDIRECT("'"&amp;$Q56&amp;"'!$F$9:$F$408"),$D56),""))</f>
        <v/>
      </c>
      <c r="G56" s="15">
        <f>IF(OR($C56="",$Q56=""),"",IFERROR(SUMIFS(INDIRECT("'"&amp;$Q56&amp;"'!$I$9:$I$408"),INDIRECT("'"&amp;$Q56&amp;"'!$D$9:$D$408"),$P56,INDIRECT("'"&amp;$Q56&amp;"'!$E$9:$E$408"),$C56,INDIRECT("'"&amp;$Q56&amp;"'!$F$9:$F$408"),$D56),""))</f>
        <v/>
      </c>
      <c r="H56" s="15">
        <f>IF(OR($C56="",$Q56=""),"",IFERROR(SUMIFS(INDIRECT("'"&amp;$Q56&amp;"'!$R$9:$R$408"),INDIRECT("'"&amp;$Q56&amp;"'!$D$9:$D$408"),$P56,INDIRECT("'"&amp;$Q56&amp;"'!$E$9:$E$408"),$C56,INDIRECT("'"&amp;$Q56&amp;"'!$F$9:$F$408"),$D56),""))</f>
        <v/>
      </c>
      <c r="I56" s="16">
        <f>IF(OR(OR($C56="",$Q56=""),N(E56)=0),"",H56/E56)</f>
        <v/>
      </c>
      <c r="J56" s="15">
        <f>IF(OR($C56="",$Q56=""),"",N(E56)-N(H56))</f>
        <v/>
      </c>
      <c r="K56" s="15">
        <f>IF(OR($C56="",$Q56=""),"",IFERROR(SUMIFS(INDIRECT("'"&amp;$Q56&amp;"'!$K$9:$K$408"),INDIRECT("'"&amp;$Q56&amp;"'!$D$9:$D$408"),$P56,INDIRECT("'"&amp;$Q56&amp;"'!$E$9:$E$408"),$C56,INDIRECT("'"&amp;$Q56&amp;"'!$F$9:$F$408"),$D56),""))</f>
        <v/>
      </c>
      <c r="L56" s="15">
        <f>IF(OR($C56="",$Q56=""),"",IFERROR(SUMIFS(INDIRECT("'"&amp;$Q56&amp;"'!$Q$9:$Q$408"),INDIRECT("'"&amp;$Q56&amp;"'!$D$9:$D$408"),$P56,INDIRECT("'"&amp;$Q56&amp;"'!$E$9:$E$408"),$C56,INDIRECT("'"&amp;$Q56&amp;"'!$F$9:$F$408"),$D56),""))</f>
        <v/>
      </c>
      <c r="M56" s="15">
        <f>IF(OR($C56="",$Q56=""),"",IFERROR(SUMIFS(INDIRECT("'"&amp;$Q56&amp;"'!$M$9:$M$408"),INDIRECT("'"&amp;$Q56&amp;"'!$D$9:$D$408"),$P56,INDIRECT("'"&amp;$Q56&amp;"'!$E$9:$E$408"),$C56,INDIRECT("'"&amp;$Q56&amp;"'!$F$9:$F$408"),$D56),""))</f>
        <v/>
      </c>
      <c r="N56" s="15">
        <f>IF(OR($C56="",$Q56=""),"",IFERROR(SUMIFS(INDIRECT("'"&amp;$Q56&amp;"'!$V$9:$V$408"),INDIRECT("'"&amp;$Q56&amp;"'!$D$9:$D$408"),$P56,INDIRECT("'"&amp;$Q56&amp;"'!$E$9:$E$408"),$C56,INDIRECT("'"&amp;$Q56&amp;"'!$F$9:$F$408"),$D56),""))</f>
        <v/>
      </c>
      <c r="P56" s="17" t="n"/>
      <c r="Q56" s="17" t="n"/>
    </row>
    <row r="57">
      <c r="B57" s="13">
        <f>IF(OR($C57="",$Q57=""),"",COUNTA($C$8:$C57))</f>
        <v/>
      </c>
      <c r="C57" s="14" t="n"/>
      <c r="D57" s="14" t="n"/>
      <c r="E57" s="15">
        <f>IF(OR($C57="",$Q57=""),"",IFERROR(SUMIFS(INDIRECT("'"&amp;$Q57&amp;"'!$G$9:$G$408"),INDIRECT("'"&amp;$Q57&amp;"'!$D$9:$D$408"),$P57,INDIRECT("'"&amp;$Q57&amp;"'!$E$9:$E$408"),$C57,INDIRECT("'"&amp;$Q57&amp;"'!$F$9:$F$408"),$D57),""))</f>
        <v/>
      </c>
      <c r="F57" s="15">
        <f>IF(OR($C57="",$Q57=""),"",IFERROR(SUMIFS(INDIRECT("'"&amp;$Q57&amp;"'!$H$9:$H$408"),INDIRECT("'"&amp;$Q57&amp;"'!$D$9:$D$408"),$P57,INDIRECT("'"&amp;$Q57&amp;"'!$E$9:$E$408"),$C57,INDIRECT("'"&amp;$Q57&amp;"'!$F$9:$F$408"),$D57),""))</f>
        <v/>
      </c>
      <c r="G57" s="15">
        <f>IF(OR($C57="",$Q57=""),"",IFERROR(SUMIFS(INDIRECT("'"&amp;$Q57&amp;"'!$I$9:$I$408"),INDIRECT("'"&amp;$Q57&amp;"'!$D$9:$D$408"),$P57,INDIRECT("'"&amp;$Q57&amp;"'!$E$9:$E$408"),$C57,INDIRECT("'"&amp;$Q57&amp;"'!$F$9:$F$408"),$D57),""))</f>
        <v/>
      </c>
      <c r="H57" s="15">
        <f>IF(OR($C57="",$Q57=""),"",IFERROR(SUMIFS(INDIRECT("'"&amp;$Q57&amp;"'!$R$9:$R$408"),INDIRECT("'"&amp;$Q57&amp;"'!$D$9:$D$408"),$P57,INDIRECT("'"&amp;$Q57&amp;"'!$E$9:$E$408"),$C57,INDIRECT("'"&amp;$Q57&amp;"'!$F$9:$F$408"),$D57),""))</f>
        <v/>
      </c>
      <c r="I57" s="16">
        <f>IF(OR(OR($C57="",$Q57=""),N(E57)=0),"",H57/E57)</f>
        <v/>
      </c>
      <c r="J57" s="15">
        <f>IF(OR($C57="",$Q57=""),"",N(E57)-N(H57))</f>
        <v/>
      </c>
      <c r="K57" s="15">
        <f>IF(OR($C57="",$Q57=""),"",IFERROR(SUMIFS(INDIRECT("'"&amp;$Q57&amp;"'!$K$9:$K$408"),INDIRECT("'"&amp;$Q57&amp;"'!$D$9:$D$408"),$P57,INDIRECT("'"&amp;$Q57&amp;"'!$E$9:$E$408"),$C57,INDIRECT("'"&amp;$Q57&amp;"'!$F$9:$F$408"),$D57),""))</f>
        <v/>
      </c>
      <c r="L57" s="15">
        <f>IF(OR($C57="",$Q57=""),"",IFERROR(SUMIFS(INDIRECT("'"&amp;$Q57&amp;"'!$Q$9:$Q$408"),INDIRECT("'"&amp;$Q57&amp;"'!$D$9:$D$408"),$P57,INDIRECT("'"&amp;$Q57&amp;"'!$E$9:$E$408"),$C57,INDIRECT("'"&amp;$Q57&amp;"'!$F$9:$F$408"),$D57),""))</f>
        <v/>
      </c>
      <c r="M57" s="15">
        <f>IF(OR($C57="",$Q57=""),"",IFERROR(SUMIFS(INDIRECT("'"&amp;$Q57&amp;"'!$M$9:$M$408"),INDIRECT("'"&amp;$Q57&amp;"'!$D$9:$D$408"),$P57,INDIRECT("'"&amp;$Q57&amp;"'!$E$9:$E$408"),$C57,INDIRECT("'"&amp;$Q57&amp;"'!$F$9:$F$408"),$D57),""))</f>
        <v/>
      </c>
      <c r="N57" s="15">
        <f>IF(OR($C57="",$Q57=""),"",IFERROR(SUMIFS(INDIRECT("'"&amp;$Q57&amp;"'!$V$9:$V$408"),INDIRECT("'"&amp;$Q57&amp;"'!$D$9:$D$408"),$P57,INDIRECT("'"&amp;$Q57&amp;"'!$E$9:$E$408"),$C57,INDIRECT("'"&amp;$Q57&amp;"'!$F$9:$F$408"),$D57),""))</f>
        <v/>
      </c>
      <c r="P57" s="17" t="n"/>
      <c r="Q57" s="17" t="n"/>
    </row>
    <row r="58">
      <c r="B58" s="13">
        <f>IF(OR($C58="",$Q58=""),"",COUNTA($C$8:$C58))</f>
        <v/>
      </c>
      <c r="C58" s="14" t="n"/>
      <c r="D58" s="14" t="n"/>
      <c r="E58" s="15">
        <f>IF(OR($C58="",$Q58=""),"",IFERROR(SUMIFS(INDIRECT("'"&amp;$Q58&amp;"'!$G$9:$G$408"),INDIRECT("'"&amp;$Q58&amp;"'!$D$9:$D$408"),$P58,INDIRECT("'"&amp;$Q58&amp;"'!$E$9:$E$408"),$C58,INDIRECT("'"&amp;$Q58&amp;"'!$F$9:$F$408"),$D58),""))</f>
        <v/>
      </c>
      <c r="F58" s="15">
        <f>IF(OR($C58="",$Q58=""),"",IFERROR(SUMIFS(INDIRECT("'"&amp;$Q58&amp;"'!$H$9:$H$408"),INDIRECT("'"&amp;$Q58&amp;"'!$D$9:$D$408"),$P58,INDIRECT("'"&amp;$Q58&amp;"'!$E$9:$E$408"),$C58,INDIRECT("'"&amp;$Q58&amp;"'!$F$9:$F$408"),$D58),""))</f>
        <v/>
      </c>
      <c r="G58" s="15">
        <f>IF(OR($C58="",$Q58=""),"",IFERROR(SUMIFS(INDIRECT("'"&amp;$Q58&amp;"'!$I$9:$I$408"),INDIRECT("'"&amp;$Q58&amp;"'!$D$9:$D$408"),$P58,INDIRECT("'"&amp;$Q58&amp;"'!$E$9:$E$408"),$C58,INDIRECT("'"&amp;$Q58&amp;"'!$F$9:$F$408"),$D58),""))</f>
        <v/>
      </c>
      <c r="H58" s="15">
        <f>IF(OR($C58="",$Q58=""),"",IFERROR(SUMIFS(INDIRECT("'"&amp;$Q58&amp;"'!$R$9:$R$408"),INDIRECT("'"&amp;$Q58&amp;"'!$D$9:$D$408"),$P58,INDIRECT("'"&amp;$Q58&amp;"'!$E$9:$E$408"),$C58,INDIRECT("'"&amp;$Q58&amp;"'!$F$9:$F$408"),$D58),""))</f>
        <v/>
      </c>
      <c r="I58" s="16">
        <f>IF(OR(OR($C58="",$Q58=""),N(E58)=0),"",H58/E58)</f>
        <v/>
      </c>
      <c r="J58" s="15">
        <f>IF(OR($C58="",$Q58=""),"",N(E58)-N(H58))</f>
        <v/>
      </c>
      <c r="K58" s="15">
        <f>IF(OR($C58="",$Q58=""),"",IFERROR(SUMIFS(INDIRECT("'"&amp;$Q58&amp;"'!$K$9:$K$408"),INDIRECT("'"&amp;$Q58&amp;"'!$D$9:$D$408"),$P58,INDIRECT("'"&amp;$Q58&amp;"'!$E$9:$E$408"),$C58,INDIRECT("'"&amp;$Q58&amp;"'!$F$9:$F$408"),$D58),""))</f>
        <v/>
      </c>
      <c r="L58" s="15">
        <f>IF(OR($C58="",$Q58=""),"",IFERROR(SUMIFS(INDIRECT("'"&amp;$Q58&amp;"'!$Q$9:$Q$408"),INDIRECT("'"&amp;$Q58&amp;"'!$D$9:$D$408"),$P58,INDIRECT("'"&amp;$Q58&amp;"'!$E$9:$E$408"),$C58,INDIRECT("'"&amp;$Q58&amp;"'!$F$9:$F$408"),$D58),""))</f>
        <v/>
      </c>
      <c r="M58" s="15">
        <f>IF(OR($C58="",$Q58=""),"",IFERROR(SUMIFS(INDIRECT("'"&amp;$Q58&amp;"'!$M$9:$M$408"),INDIRECT("'"&amp;$Q58&amp;"'!$D$9:$D$408"),$P58,INDIRECT("'"&amp;$Q58&amp;"'!$E$9:$E$408"),$C58,INDIRECT("'"&amp;$Q58&amp;"'!$F$9:$F$408"),$D58),""))</f>
        <v/>
      </c>
      <c r="N58" s="15">
        <f>IF(OR($C58="",$Q58=""),"",IFERROR(SUMIFS(INDIRECT("'"&amp;$Q58&amp;"'!$V$9:$V$408"),INDIRECT("'"&amp;$Q58&amp;"'!$D$9:$D$408"),$P58,INDIRECT("'"&amp;$Q58&amp;"'!$E$9:$E$408"),$C58,INDIRECT("'"&amp;$Q58&amp;"'!$F$9:$F$408"),$D58),""))</f>
        <v/>
      </c>
      <c r="P58" s="17" t="n"/>
      <c r="Q58" s="17" t="n"/>
    </row>
    <row r="59">
      <c r="B59" s="13">
        <f>IF(OR($C59="",$Q59=""),"",COUNTA($C$8:$C59))</f>
        <v/>
      </c>
      <c r="C59" s="14" t="n"/>
      <c r="D59" s="14" t="n"/>
      <c r="E59" s="15">
        <f>IF(OR($C59="",$Q59=""),"",IFERROR(SUMIFS(INDIRECT("'"&amp;$Q59&amp;"'!$G$9:$G$408"),INDIRECT("'"&amp;$Q59&amp;"'!$D$9:$D$408"),$P59,INDIRECT("'"&amp;$Q59&amp;"'!$E$9:$E$408"),$C59,INDIRECT("'"&amp;$Q59&amp;"'!$F$9:$F$408"),$D59),""))</f>
        <v/>
      </c>
      <c r="F59" s="15">
        <f>IF(OR($C59="",$Q59=""),"",IFERROR(SUMIFS(INDIRECT("'"&amp;$Q59&amp;"'!$H$9:$H$408"),INDIRECT("'"&amp;$Q59&amp;"'!$D$9:$D$408"),$P59,INDIRECT("'"&amp;$Q59&amp;"'!$E$9:$E$408"),$C59,INDIRECT("'"&amp;$Q59&amp;"'!$F$9:$F$408"),$D59),""))</f>
        <v/>
      </c>
      <c r="G59" s="15">
        <f>IF(OR($C59="",$Q59=""),"",IFERROR(SUMIFS(INDIRECT("'"&amp;$Q59&amp;"'!$I$9:$I$408"),INDIRECT("'"&amp;$Q59&amp;"'!$D$9:$D$408"),$P59,INDIRECT("'"&amp;$Q59&amp;"'!$E$9:$E$408"),$C59,INDIRECT("'"&amp;$Q59&amp;"'!$F$9:$F$408"),$D59),""))</f>
        <v/>
      </c>
      <c r="H59" s="15">
        <f>IF(OR($C59="",$Q59=""),"",IFERROR(SUMIFS(INDIRECT("'"&amp;$Q59&amp;"'!$R$9:$R$408"),INDIRECT("'"&amp;$Q59&amp;"'!$D$9:$D$408"),$P59,INDIRECT("'"&amp;$Q59&amp;"'!$E$9:$E$408"),$C59,INDIRECT("'"&amp;$Q59&amp;"'!$F$9:$F$408"),$D59),""))</f>
        <v/>
      </c>
      <c r="I59" s="16">
        <f>IF(OR(OR($C59="",$Q59=""),N(E59)=0),"",H59/E59)</f>
        <v/>
      </c>
      <c r="J59" s="15">
        <f>IF(OR($C59="",$Q59=""),"",N(E59)-N(H59))</f>
        <v/>
      </c>
      <c r="K59" s="15">
        <f>IF(OR($C59="",$Q59=""),"",IFERROR(SUMIFS(INDIRECT("'"&amp;$Q59&amp;"'!$K$9:$K$408"),INDIRECT("'"&amp;$Q59&amp;"'!$D$9:$D$408"),$P59,INDIRECT("'"&amp;$Q59&amp;"'!$E$9:$E$408"),$C59,INDIRECT("'"&amp;$Q59&amp;"'!$F$9:$F$408"),$D59),""))</f>
        <v/>
      </c>
      <c r="L59" s="15">
        <f>IF(OR($C59="",$Q59=""),"",IFERROR(SUMIFS(INDIRECT("'"&amp;$Q59&amp;"'!$Q$9:$Q$408"),INDIRECT("'"&amp;$Q59&amp;"'!$D$9:$D$408"),$P59,INDIRECT("'"&amp;$Q59&amp;"'!$E$9:$E$408"),$C59,INDIRECT("'"&amp;$Q59&amp;"'!$F$9:$F$408"),$D59),""))</f>
        <v/>
      </c>
      <c r="M59" s="15">
        <f>IF(OR($C59="",$Q59=""),"",IFERROR(SUMIFS(INDIRECT("'"&amp;$Q59&amp;"'!$M$9:$M$408"),INDIRECT("'"&amp;$Q59&amp;"'!$D$9:$D$408"),$P59,INDIRECT("'"&amp;$Q59&amp;"'!$E$9:$E$408"),$C59,INDIRECT("'"&amp;$Q59&amp;"'!$F$9:$F$408"),$D59),""))</f>
        <v/>
      </c>
      <c r="N59" s="15">
        <f>IF(OR($C59="",$Q59=""),"",IFERROR(SUMIFS(INDIRECT("'"&amp;$Q59&amp;"'!$V$9:$V$408"),INDIRECT("'"&amp;$Q59&amp;"'!$D$9:$D$408"),$P59,INDIRECT("'"&amp;$Q59&amp;"'!$E$9:$E$408"),$C59,INDIRECT("'"&amp;$Q59&amp;"'!$F$9:$F$408"),$D59),""))</f>
        <v/>
      </c>
      <c r="P59" s="17" t="n"/>
      <c r="Q59" s="17" t="n"/>
    </row>
    <row r="60">
      <c r="B60" s="13">
        <f>IF(OR($C60="",$Q60=""),"",COUNTA($C$8:$C60))</f>
        <v/>
      </c>
      <c r="C60" s="14" t="n"/>
      <c r="D60" s="14" t="n"/>
      <c r="E60" s="15">
        <f>IF(OR($C60="",$Q60=""),"",IFERROR(SUMIFS(INDIRECT("'"&amp;$Q60&amp;"'!$G$9:$G$408"),INDIRECT("'"&amp;$Q60&amp;"'!$D$9:$D$408"),$P60,INDIRECT("'"&amp;$Q60&amp;"'!$E$9:$E$408"),$C60,INDIRECT("'"&amp;$Q60&amp;"'!$F$9:$F$408"),$D60),""))</f>
        <v/>
      </c>
      <c r="F60" s="15">
        <f>IF(OR($C60="",$Q60=""),"",IFERROR(SUMIFS(INDIRECT("'"&amp;$Q60&amp;"'!$H$9:$H$408"),INDIRECT("'"&amp;$Q60&amp;"'!$D$9:$D$408"),$P60,INDIRECT("'"&amp;$Q60&amp;"'!$E$9:$E$408"),$C60,INDIRECT("'"&amp;$Q60&amp;"'!$F$9:$F$408"),$D60),""))</f>
        <v/>
      </c>
      <c r="G60" s="15">
        <f>IF(OR($C60="",$Q60=""),"",IFERROR(SUMIFS(INDIRECT("'"&amp;$Q60&amp;"'!$I$9:$I$408"),INDIRECT("'"&amp;$Q60&amp;"'!$D$9:$D$408"),$P60,INDIRECT("'"&amp;$Q60&amp;"'!$E$9:$E$408"),$C60,INDIRECT("'"&amp;$Q60&amp;"'!$F$9:$F$408"),$D60),""))</f>
        <v/>
      </c>
      <c r="H60" s="15">
        <f>IF(OR($C60="",$Q60=""),"",IFERROR(SUMIFS(INDIRECT("'"&amp;$Q60&amp;"'!$R$9:$R$408"),INDIRECT("'"&amp;$Q60&amp;"'!$D$9:$D$408"),$P60,INDIRECT("'"&amp;$Q60&amp;"'!$E$9:$E$408"),$C60,INDIRECT("'"&amp;$Q60&amp;"'!$F$9:$F$408"),$D60),""))</f>
        <v/>
      </c>
      <c r="I60" s="16">
        <f>IF(OR(OR($C60="",$Q60=""),N(E60)=0),"",H60/E60)</f>
        <v/>
      </c>
      <c r="J60" s="15">
        <f>IF(OR($C60="",$Q60=""),"",N(E60)-N(H60))</f>
        <v/>
      </c>
      <c r="K60" s="15">
        <f>IF(OR($C60="",$Q60=""),"",IFERROR(SUMIFS(INDIRECT("'"&amp;$Q60&amp;"'!$K$9:$K$408"),INDIRECT("'"&amp;$Q60&amp;"'!$D$9:$D$408"),$P60,INDIRECT("'"&amp;$Q60&amp;"'!$E$9:$E$408"),$C60,INDIRECT("'"&amp;$Q60&amp;"'!$F$9:$F$408"),$D60),""))</f>
        <v/>
      </c>
      <c r="L60" s="15">
        <f>IF(OR($C60="",$Q60=""),"",IFERROR(SUMIFS(INDIRECT("'"&amp;$Q60&amp;"'!$Q$9:$Q$408"),INDIRECT("'"&amp;$Q60&amp;"'!$D$9:$D$408"),$P60,INDIRECT("'"&amp;$Q60&amp;"'!$E$9:$E$408"),$C60,INDIRECT("'"&amp;$Q60&amp;"'!$F$9:$F$408"),$D60),""))</f>
        <v/>
      </c>
      <c r="M60" s="15">
        <f>IF(OR($C60="",$Q60=""),"",IFERROR(SUMIFS(INDIRECT("'"&amp;$Q60&amp;"'!$M$9:$M$408"),INDIRECT("'"&amp;$Q60&amp;"'!$D$9:$D$408"),$P60,INDIRECT("'"&amp;$Q60&amp;"'!$E$9:$E$408"),$C60,INDIRECT("'"&amp;$Q60&amp;"'!$F$9:$F$408"),$D60),""))</f>
        <v/>
      </c>
      <c r="N60" s="15">
        <f>IF(OR($C60="",$Q60=""),"",IFERROR(SUMIFS(INDIRECT("'"&amp;$Q60&amp;"'!$V$9:$V$408"),INDIRECT("'"&amp;$Q60&amp;"'!$D$9:$D$408"),$P60,INDIRECT("'"&amp;$Q60&amp;"'!$E$9:$E$408"),$C60,INDIRECT("'"&amp;$Q60&amp;"'!$F$9:$F$408"),$D60),""))</f>
        <v/>
      </c>
      <c r="P60" s="17" t="n"/>
      <c r="Q60" s="17" t="n"/>
    </row>
    <row r="61">
      <c r="B61" s="13">
        <f>IF(OR($C61="",$Q61=""),"",COUNTA($C$8:$C61))</f>
        <v/>
      </c>
      <c r="C61" s="14" t="n"/>
      <c r="D61" s="14" t="n"/>
      <c r="E61" s="15">
        <f>IF(OR($C61="",$Q61=""),"",IFERROR(SUMIFS(INDIRECT("'"&amp;$Q61&amp;"'!$G$9:$G$408"),INDIRECT("'"&amp;$Q61&amp;"'!$D$9:$D$408"),$P61,INDIRECT("'"&amp;$Q61&amp;"'!$E$9:$E$408"),$C61,INDIRECT("'"&amp;$Q61&amp;"'!$F$9:$F$408"),$D61),""))</f>
        <v/>
      </c>
      <c r="F61" s="15">
        <f>IF(OR($C61="",$Q61=""),"",IFERROR(SUMIFS(INDIRECT("'"&amp;$Q61&amp;"'!$H$9:$H$408"),INDIRECT("'"&amp;$Q61&amp;"'!$D$9:$D$408"),$P61,INDIRECT("'"&amp;$Q61&amp;"'!$E$9:$E$408"),$C61,INDIRECT("'"&amp;$Q61&amp;"'!$F$9:$F$408"),$D61),""))</f>
        <v/>
      </c>
      <c r="G61" s="15">
        <f>IF(OR($C61="",$Q61=""),"",IFERROR(SUMIFS(INDIRECT("'"&amp;$Q61&amp;"'!$I$9:$I$408"),INDIRECT("'"&amp;$Q61&amp;"'!$D$9:$D$408"),$P61,INDIRECT("'"&amp;$Q61&amp;"'!$E$9:$E$408"),$C61,INDIRECT("'"&amp;$Q61&amp;"'!$F$9:$F$408"),$D61),""))</f>
        <v/>
      </c>
      <c r="H61" s="15">
        <f>IF(OR($C61="",$Q61=""),"",IFERROR(SUMIFS(INDIRECT("'"&amp;$Q61&amp;"'!$R$9:$R$408"),INDIRECT("'"&amp;$Q61&amp;"'!$D$9:$D$408"),$P61,INDIRECT("'"&amp;$Q61&amp;"'!$E$9:$E$408"),$C61,INDIRECT("'"&amp;$Q61&amp;"'!$F$9:$F$408"),$D61),""))</f>
        <v/>
      </c>
      <c r="I61" s="16">
        <f>IF(OR(OR($C61="",$Q61=""),N(E61)=0),"",H61/E61)</f>
        <v/>
      </c>
      <c r="J61" s="15">
        <f>IF(OR($C61="",$Q61=""),"",N(E61)-N(H61))</f>
        <v/>
      </c>
      <c r="K61" s="15">
        <f>IF(OR($C61="",$Q61=""),"",IFERROR(SUMIFS(INDIRECT("'"&amp;$Q61&amp;"'!$K$9:$K$408"),INDIRECT("'"&amp;$Q61&amp;"'!$D$9:$D$408"),$P61,INDIRECT("'"&amp;$Q61&amp;"'!$E$9:$E$408"),$C61,INDIRECT("'"&amp;$Q61&amp;"'!$F$9:$F$408"),$D61),""))</f>
        <v/>
      </c>
      <c r="L61" s="15">
        <f>IF(OR($C61="",$Q61=""),"",IFERROR(SUMIFS(INDIRECT("'"&amp;$Q61&amp;"'!$Q$9:$Q$408"),INDIRECT("'"&amp;$Q61&amp;"'!$D$9:$D$408"),$P61,INDIRECT("'"&amp;$Q61&amp;"'!$E$9:$E$408"),$C61,INDIRECT("'"&amp;$Q61&amp;"'!$F$9:$F$408"),$D61),""))</f>
        <v/>
      </c>
      <c r="M61" s="15">
        <f>IF(OR($C61="",$Q61=""),"",IFERROR(SUMIFS(INDIRECT("'"&amp;$Q61&amp;"'!$M$9:$M$408"),INDIRECT("'"&amp;$Q61&amp;"'!$D$9:$D$408"),$P61,INDIRECT("'"&amp;$Q61&amp;"'!$E$9:$E$408"),$C61,INDIRECT("'"&amp;$Q61&amp;"'!$F$9:$F$408"),$D61),""))</f>
        <v/>
      </c>
      <c r="N61" s="15">
        <f>IF(OR($C61="",$Q61=""),"",IFERROR(SUMIFS(INDIRECT("'"&amp;$Q61&amp;"'!$V$9:$V$408"),INDIRECT("'"&amp;$Q61&amp;"'!$D$9:$D$408"),$P61,INDIRECT("'"&amp;$Q61&amp;"'!$E$9:$E$408"),$C61,INDIRECT("'"&amp;$Q61&amp;"'!$F$9:$F$408"),$D61),""))</f>
        <v/>
      </c>
      <c r="P61" s="17" t="n"/>
      <c r="Q61" s="17" t="n"/>
    </row>
    <row r="62">
      <c r="B62" s="13">
        <f>IF(OR($C62="",$Q62=""),"",COUNTA($C$8:$C62))</f>
        <v/>
      </c>
      <c r="C62" s="14" t="n"/>
      <c r="D62" s="14" t="n"/>
      <c r="E62" s="15">
        <f>IF(OR($C62="",$Q62=""),"",IFERROR(SUMIFS(INDIRECT("'"&amp;$Q62&amp;"'!$G$9:$G$408"),INDIRECT("'"&amp;$Q62&amp;"'!$D$9:$D$408"),$P62,INDIRECT("'"&amp;$Q62&amp;"'!$E$9:$E$408"),$C62,INDIRECT("'"&amp;$Q62&amp;"'!$F$9:$F$408"),$D62),""))</f>
        <v/>
      </c>
      <c r="F62" s="15">
        <f>IF(OR($C62="",$Q62=""),"",IFERROR(SUMIFS(INDIRECT("'"&amp;$Q62&amp;"'!$H$9:$H$408"),INDIRECT("'"&amp;$Q62&amp;"'!$D$9:$D$408"),$P62,INDIRECT("'"&amp;$Q62&amp;"'!$E$9:$E$408"),$C62,INDIRECT("'"&amp;$Q62&amp;"'!$F$9:$F$408"),$D62),""))</f>
        <v/>
      </c>
      <c r="G62" s="15">
        <f>IF(OR($C62="",$Q62=""),"",IFERROR(SUMIFS(INDIRECT("'"&amp;$Q62&amp;"'!$I$9:$I$408"),INDIRECT("'"&amp;$Q62&amp;"'!$D$9:$D$408"),$P62,INDIRECT("'"&amp;$Q62&amp;"'!$E$9:$E$408"),$C62,INDIRECT("'"&amp;$Q62&amp;"'!$F$9:$F$408"),$D62),""))</f>
        <v/>
      </c>
      <c r="H62" s="15">
        <f>IF(OR($C62="",$Q62=""),"",IFERROR(SUMIFS(INDIRECT("'"&amp;$Q62&amp;"'!$R$9:$R$408"),INDIRECT("'"&amp;$Q62&amp;"'!$D$9:$D$408"),$P62,INDIRECT("'"&amp;$Q62&amp;"'!$E$9:$E$408"),$C62,INDIRECT("'"&amp;$Q62&amp;"'!$F$9:$F$408"),$D62),""))</f>
        <v/>
      </c>
      <c r="I62" s="16">
        <f>IF(OR(OR($C62="",$Q62=""),N(E62)=0),"",H62/E62)</f>
        <v/>
      </c>
      <c r="J62" s="15">
        <f>IF(OR($C62="",$Q62=""),"",N(E62)-N(H62))</f>
        <v/>
      </c>
      <c r="K62" s="15">
        <f>IF(OR($C62="",$Q62=""),"",IFERROR(SUMIFS(INDIRECT("'"&amp;$Q62&amp;"'!$K$9:$K$408"),INDIRECT("'"&amp;$Q62&amp;"'!$D$9:$D$408"),$P62,INDIRECT("'"&amp;$Q62&amp;"'!$E$9:$E$408"),$C62,INDIRECT("'"&amp;$Q62&amp;"'!$F$9:$F$408"),$D62),""))</f>
        <v/>
      </c>
      <c r="L62" s="15">
        <f>IF(OR($C62="",$Q62=""),"",IFERROR(SUMIFS(INDIRECT("'"&amp;$Q62&amp;"'!$Q$9:$Q$408"),INDIRECT("'"&amp;$Q62&amp;"'!$D$9:$D$408"),$P62,INDIRECT("'"&amp;$Q62&amp;"'!$E$9:$E$408"),$C62,INDIRECT("'"&amp;$Q62&amp;"'!$F$9:$F$408"),$D62),""))</f>
        <v/>
      </c>
      <c r="M62" s="15">
        <f>IF(OR($C62="",$Q62=""),"",IFERROR(SUMIFS(INDIRECT("'"&amp;$Q62&amp;"'!$M$9:$M$408"),INDIRECT("'"&amp;$Q62&amp;"'!$D$9:$D$408"),$P62,INDIRECT("'"&amp;$Q62&amp;"'!$E$9:$E$408"),$C62,INDIRECT("'"&amp;$Q62&amp;"'!$F$9:$F$408"),$D62),""))</f>
        <v/>
      </c>
      <c r="N62" s="15">
        <f>IF(OR($C62="",$Q62=""),"",IFERROR(SUMIFS(INDIRECT("'"&amp;$Q62&amp;"'!$V$9:$V$408"),INDIRECT("'"&amp;$Q62&amp;"'!$D$9:$D$408"),$P62,INDIRECT("'"&amp;$Q62&amp;"'!$E$9:$E$408"),$C62,INDIRECT("'"&amp;$Q62&amp;"'!$F$9:$F$408"),$D62),""))</f>
        <v/>
      </c>
      <c r="P62" s="17" t="n"/>
      <c r="Q62" s="17" t="n"/>
    </row>
    <row r="63">
      <c r="B63" s="13">
        <f>IF(OR($C63="",$Q63=""),"",COUNTA($C$8:$C63))</f>
        <v/>
      </c>
      <c r="C63" s="14" t="n"/>
      <c r="D63" s="14" t="n"/>
      <c r="E63" s="15">
        <f>IF(OR($C63="",$Q63=""),"",IFERROR(SUMIFS(INDIRECT("'"&amp;$Q63&amp;"'!$G$9:$G$408"),INDIRECT("'"&amp;$Q63&amp;"'!$D$9:$D$408"),$P63,INDIRECT("'"&amp;$Q63&amp;"'!$E$9:$E$408"),$C63,INDIRECT("'"&amp;$Q63&amp;"'!$F$9:$F$408"),$D63),""))</f>
        <v/>
      </c>
      <c r="F63" s="15">
        <f>IF(OR($C63="",$Q63=""),"",IFERROR(SUMIFS(INDIRECT("'"&amp;$Q63&amp;"'!$H$9:$H$408"),INDIRECT("'"&amp;$Q63&amp;"'!$D$9:$D$408"),$P63,INDIRECT("'"&amp;$Q63&amp;"'!$E$9:$E$408"),$C63,INDIRECT("'"&amp;$Q63&amp;"'!$F$9:$F$408"),$D63),""))</f>
        <v/>
      </c>
      <c r="G63" s="15">
        <f>IF(OR($C63="",$Q63=""),"",IFERROR(SUMIFS(INDIRECT("'"&amp;$Q63&amp;"'!$I$9:$I$408"),INDIRECT("'"&amp;$Q63&amp;"'!$D$9:$D$408"),$P63,INDIRECT("'"&amp;$Q63&amp;"'!$E$9:$E$408"),$C63,INDIRECT("'"&amp;$Q63&amp;"'!$F$9:$F$408"),$D63),""))</f>
        <v/>
      </c>
      <c r="H63" s="15">
        <f>IF(OR($C63="",$Q63=""),"",IFERROR(SUMIFS(INDIRECT("'"&amp;$Q63&amp;"'!$R$9:$R$408"),INDIRECT("'"&amp;$Q63&amp;"'!$D$9:$D$408"),$P63,INDIRECT("'"&amp;$Q63&amp;"'!$E$9:$E$408"),$C63,INDIRECT("'"&amp;$Q63&amp;"'!$F$9:$F$408"),$D63),""))</f>
        <v/>
      </c>
      <c r="I63" s="16">
        <f>IF(OR(OR($C63="",$Q63=""),N(E63)=0),"",H63/E63)</f>
        <v/>
      </c>
      <c r="J63" s="15">
        <f>IF(OR($C63="",$Q63=""),"",N(E63)-N(H63))</f>
        <v/>
      </c>
      <c r="K63" s="15">
        <f>IF(OR($C63="",$Q63=""),"",IFERROR(SUMIFS(INDIRECT("'"&amp;$Q63&amp;"'!$K$9:$K$408"),INDIRECT("'"&amp;$Q63&amp;"'!$D$9:$D$408"),$P63,INDIRECT("'"&amp;$Q63&amp;"'!$E$9:$E$408"),$C63,INDIRECT("'"&amp;$Q63&amp;"'!$F$9:$F$408"),$D63),""))</f>
        <v/>
      </c>
      <c r="L63" s="15">
        <f>IF(OR($C63="",$Q63=""),"",IFERROR(SUMIFS(INDIRECT("'"&amp;$Q63&amp;"'!$Q$9:$Q$408"),INDIRECT("'"&amp;$Q63&amp;"'!$D$9:$D$408"),$P63,INDIRECT("'"&amp;$Q63&amp;"'!$E$9:$E$408"),$C63,INDIRECT("'"&amp;$Q63&amp;"'!$F$9:$F$408"),$D63),""))</f>
        <v/>
      </c>
      <c r="M63" s="15">
        <f>IF(OR($C63="",$Q63=""),"",IFERROR(SUMIFS(INDIRECT("'"&amp;$Q63&amp;"'!$M$9:$M$408"),INDIRECT("'"&amp;$Q63&amp;"'!$D$9:$D$408"),$P63,INDIRECT("'"&amp;$Q63&amp;"'!$E$9:$E$408"),$C63,INDIRECT("'"&amp;$Q63&amp;"'!$F$9:$F$408"),$D63),""))</f>
        <v/>
      </c>
      <c r="N63" s="15">
        <f>IF(OR($C63="",$Q63=""),"",IFERROR(SUMIFS(INDIRECT("'"&amp;$Q63&amp;"'!$V$9:$V$408"),INDIRECT("'"&amp;$Q63&amp;"'!$D$9:$D$408"),$P63,INDIRECT("'"&amp;$Q63&amp;"'!$E$9:$E$408"),$C63,INDIRECT("'"&amp;$Q63&amp;"'!$F$9:$F$408"),$D63),""))</f>
        <v/>
      </c>
      <c r="P63" s="17" t="n"/>
      <c r="Q63" s="17" t="n"/>
    </row>
    <row r="64">
      <c r="B64" s="13">
        <f>IF(OR($C64="",$Q64=""),"",COUNTA($C$8:$C64))</f>
        <v/>
      </c>
      <c r="C64" s="14" t="n"/>
      <c r="D64" s="14" t="n"/>
      <c r="E64" s="15">
        <f>IF(OR($C64="",$Q64=""),"",IFERROR(SUMIFS(INDIRECT("'"&amp;$Q64&amp;"'!$G$9:$G$408"),INDIRECT("'"&amp;$Q64&amp;"'!$D$9:$D$408"),$P64,INDIRECT("'"&amp;$Q64&amp;"'!$E$9:$E$408"),$C64,INDIRECT("'"&amp;$Q64&amp;"'!$F$9:$F$408"),$D64),""))</f>
        <v/>
      </c>
      <c r="F64" s="15">
        <f>IF(OR($C64="",$Q64=""),"",IFERROR(SUMIFS(INDIRECT("'"&amp;$Q64&amp;"'!$H$9:$H$408"),INDIRECT("'"&amp;$Q64&amp;"'!$D$9:$D$408"),$P64,INDIRECT("'"&amp;$Q64&amp;"'!$E$9:$E$408"),$C64,INDIRECT("'"&amp;$Q64&amp;"'!$F$9:$F$408"),$D64),""))</f>
        <v/>
      </c>
      <c r="G64" s="15">
        <f>IF(OR($C64="",$Q64=""),"",IFERROR(SUMIFS(INDIRECT("'"&amp;$Q64&amp;"'!$I$9:$I$408"),INDIRECT("'"&amp;$Q64&amp;"'!$D$9:$D$408"),$P64,INDIRECT("'"&amp;$Q64&amp;"'!$E$9:$E$408"),$C64,INDIRECT("'"&amp;$Q64&amp;"'!$F$9:$F$408"),$D64),""))</f>
        <v/>
      </c>
      <c r="H64" s="15">
        <f>IF(OR($C64="",$Q64=""),"",IFERROR(SUMIFS(INDIRECT("'"&amp;$Q64&amp;"'!$R$9:$R$408"),INDIRECT("'"&amp;$Q64&amp;"'!$D$9:$D$408"),$P64,INDIRECT("'"&amp;$Q64&amp;"'!$E$9:$E$408"),$C64,INDIRECT("'"&amp;$Q64&amp;"'!$F$9:$F$408"),$D64),""))</f>
        <v/>
      </c>
      <c r="I64" s="16">
        <f>IF(OR(OR($C64="",$Q64=""),N(E64)=0),"",H64/E64)</f>
        <v/>
      </c>
      <c r="J64" s="15">
        <f>IF(OR($C64="",$Q64=""),"",N(E64)-N(H64))</f>
        <v/>
      </c>
      <c r="K64" s="15">
        <f>IF(OR($C64="",$Q64=""),"",IFERROR(SUMIFS(INDIRECT("'"&amp;$Q64&amp;"'!$K$9:$K$408"),INDIRECT("'"&amp;$Q64&amp;"'!$D$9:$D$408"),$P64,INDIRECT("'"&amp;$Q64&amp;"'!$E$9:$E$408"),$C64,INDIRECT("'"&amp;$Q64&amp;"'!$F$9:$F$408"),$D64),""))</f>
        <v/>
      </c>
      <c r="L64" s="15">
        <f>IF(OR($C64="",$Q64=""),"",IFERROR(SUMIFS(INDIRECT("'"&amp;$Q64&amp;"'!$Q$9:$Q$408"),INDIRECT("'"&amp;$Q64&amp;"'!$D$9:$D$408"),$P64,INDIRECT("'"&amp;$Q64&amp;"'!$E$9:$E$408"),$C64,INDIRECT("'"&amp;$Q64&amp;"'!$F$9:$F$408"),$D64),""))</f>
        <v/>
      </c>
      <c r="M64" s="15">
        <f>IF(OR($C64="",$Q64=""),"",IFERROR(SUMIFS(INDIRECT("'"&amp;$Q64&amp;"'!$M$9:$M$408"),INDIRECT("'"&amp;$Q64&amp;"'!$D$9:$D$408"),$P64,INDIRECT("'"&amp;$Q64&amp;"'!$E$9:$E$408"),$C64,INDIRECT("'"&amp;$Q64&amp;"'!$F$9:$F$408"),$D64),""))</f>
        <v/>
      </c>
      <c r="N64" s="15">
        <f>IF(OR($C64="",$Q64=""),"",IFERROR(SUMIFS(INDIRECT("'"&amp;$Q64&amp;"'!$V$9:$V$408"),INDIRECT("'"&amp;$Q64&amp;"'!$D$9:$D$408"),$P64,INDIRECT("'"&amp;$Q64&amp;"'!$E$9:$E$408"),$C64,INDIRECT("'"&amp;$Q64&amp;"'!$F$9:$F$408"),$D64),""))</f>
        <v/>
      </c>
      <c r="P64" s="17" t="n"/>
      <c r="Q64" s="17" t="n"/>
    </row>
    <row r="65">
      <c r="B65" s="13">
        <f>IF(OR($C65="",$Q65=""),"",COUNTA($C$8:$C65))</f>
        <v/>
      </c>
      <c r="C65" s="14" t="n"/>
      <c r="D65" s="14" t="n"/>
      <c r="E65" s="15">
        <f>IF(OR($C65="",$Q65=""),"",IFERROR(SUMIFS(INDIRECT("'"&amp;$Q65&amp;"'!$G$9:$G$408"),INDIRECT("'"&amp;$Q65&amp;"'!$D$9:$D$408"),$P65,INDIRECT("'"&amp;$Q65&amp;"'!$E$9:$E$408"),$C65,INDIRECT("'"&amp;$Q65&amp;"'!$F$9:$F$408"),$D65),""))</f>
        <v/>
      </c>
      <c r="F65" s="15">
        <f>IF(OR($C65="",$Q65=""),"",IFERROR(SUMIFS(INDIRECT("'"&amp;$Q65&amp;"'!$H$9:$H$408"),INDIRECT("'"&amp;$Q65&amp;"'!$D$9:$D$408"),$P65,INDIRECT("'"&amp;$Q65&amp;"'!$E$9:$E$408"),$C65,INDIRECT("'"&amp;$Q65&amp;"'!$F$9:$F$408"),$D65),""))</f>
        <v/>
      </c>
      <c r="G65" s="15">
        <f>IF(OR($C65="",$Q65=""),"",IFERROR(SUMIFS(INDIRECT("'"&amp;$Q65&amp;"'!$I$9:$I$408"),INDIRECT("'"&amp;$Q65&amp;"'!$D$9:$D$408"),$P65,INDIRECT("'"&amp;$Q65&amp;"'!$E$9:$E$408"),$C65,INDIRECT("'"&amp;$Q65&amp;"'!$F$9:$F$408"),$D65),""))</f>
        <v/>
      </c>
      <c r="H65" s="15">
        <f>IF(OR($C65="",$Q65=""),"",IFERROR(SUMIFS(INDIRECT("'"&amp;$Q65&amp;"'!$R$9:$R$408"),INDIRECT("'"&amp;$Q65&amp;"'!$D$9:$D$408"),$P65,INDIRECT("'"&amp;$Q65&amp;"'!$E$9:$E$408"),$C65,INDIRECT("'"&amp;$Q65&amp;"'!$F$9:$F$408"),$D65),""))</f>
        <v/>
      </c>
      <c r="I65" s="16">
        <f>IF(OR(OR($C65="",$Q65=""),N(E65)=0),"",H65/E65)</f>
        <v/>
      </c>
      <c r="J65" s="15">
        <f>IF(OR($C65="",$Q65=""),"",N(E65)-N(H65))</f>
        <v/>
      </c>
      <c r="K65" s="15">
        <f>IF(OR($C65="",$Q65=""),"",IFERROR(SUMIFS(INDIRECT("'"&amp;$Q65&amp;"'!$K$9:$K$408"),INDIRECT("'"&amp;$Q65&amp;"'!$D$9:$D$408"),$P65,INDIRECT("'"&amp;$Q65&amp;"'!$E$9:$E$408"),$C65,INDIRECT("'"&amp;$Q65&amp;"'!$F$9:$F$408"),$D65),""))</f>
        <v/>
      </c>
      <c r="L65" s="15">
        <f>IF(OR($C65="",$Q65=""),"",IFERROR(SUMIFS(INDIRECT("'"&amp;$Q65&amp;"'!$Q$9:$Q$408"),INDIRECT("'"&amp;$Q65&amp;"'!$D$9:$D$408"),$P65,INDIRECT("'"&amp;$Q65&amp;"'!$E$9:$E$408"),$C65,INDIRECT("'"&amp;$Q65&amp;"'!$F$9:$F$408"),$D65),""))</f>
        <v/>
      </c>
      <c r="M65" s="15">
        <f>IF(OR($C65="",$Q65=""),"",IFERROR(SUMIFS(INDIRECT("'"&amp;$Q65&amp;"'!$M$9:$M$408"),INDIRECT("'"&amp;$Q65&amp;"'!$D$9:$D$408"),$P65,INDIRECT("'"&amp;$Q65&amp;"'!$E$9:$E$408"),$C65,INDIRECT("'"&amp;$Q65&amp;"'!$F$9:$F$408"),$D65),""))</f>
        <v/>
      </c>
      <c r="N65" s="15">
        <f>IF(OR($C65="",$Q65=""),"",IFERROR(SUMIFS(INDIRECT("'"&amp;$Q65&amp;"'!$V$9:$V$408"),INDIRECT("'"&amp;$Q65&amp;"'!$D$9:$D$408"),$P65,INDIRECT("'"&amp;$Q65&amp;"'!$E$9:$E$408"),$C65,INDIRECT("'"&amp;$Q65&amp;"'!$F$9:$F$408"),$D65),""))</f>
        <v/>
      </c>
      <c r="P65" s="17" t="n"/>
      <c r="Q65" s="17" t="n"/>
    </row>
    <row r="66">
      <c r="B66" s="13">
        <f>IF(OR($C66="",$Q66=""),"",COUNTA($C$8:$C66))</f>
        <v/>
      </c>
      <c r="C66" s="14" t="n"/>
      <c r="D66" s="14" t="n"/>
      <c r="E66" s="15">
        <f>IF(OR($C66="",$Q66=""),"",IFERROR(SUMIFS(INDIRECT("'"&amp;$Q66&amp;"'!$G$9:$G$408"),INDIRECT("'"&amp;$Q66&amp;"'!$D$9:$D$408"),$P66,INDIRECT("'"&amp;$Q66&amp;"'!$E$9:$E$408"),$C66,INDIRECT("'"&amp;$Q66&amp;"'!$F$9:$F$408"),$D66),""))</f>
        <v/>
      </c>
      <c r="F66" s="15">
        <f>IF(OR($C66="",$Q66=""),"",IFERROR(SUMIFS(INDIRECT("'"&amp;$Q66&amp;"'!$H$9:$H$408"),INDIRECT("'"&amp;$Q66&amp;"'!$D$9:$D$408"),$P66,INDIRECT("'"&amp;$Q66&amp;"'!$E$9:$E$408"),$C66,INDIRECT("'"&amp;$Q66&amp;"'!$F$9:$F$408"),$D66),""))</f>
        <v/>
      </c>
      <c r="G66" s="15">
        <f>IF(OR($C66="",$Q66=""),"",IFERROR(SUMIFS(INDIRECT("'"&amp;$Q66&amp;"'!$I$9:$I$408"),INDIRECT("'"&amp;$Q66&amp;"'!$D$9:$D$408"),$P66,INDIRECT("'"&amp;$Q66&amp;"'!$E$9:$E$408"),$C66,INDIRECT("'"&amp;$Q66&amp;"'!$F$9:$F$408"),$D66),""))</f>
        <v/>
      </c>
      <c r="H66" s="15">
        <f>IF(OR($C66="",$Q66=""),"",IFERROR(SUMIFS(INDIRECT("'"&amp;$Q66&amp;"'!$R$9:$R$408"),INDIRECT("'"&amp;$Q66&amp;"'!$D$9:$D$408"),$P66,INDIRECT("'"&amp;$Q66&amp;"'!$E$9:$E$408"),$C66,INDIRECT("'"&amp;$Q66&amp;"'!$F$9:$F$408"),$D66),""))</f>
        <v/>
      </c>
      <c r="I66" s="16">
        <f>IF(OR(OR($C66="",$Q66=""),N(E66)=0),"",H66/E66)</f>
        <v/>
      </c>
      <c r="J66" s="15">
        <f>IF(OR($C66="",$Q66=""),"",N(E66)-N(H66))</f>
        <v/>
      </c>
      <c r="K66" s="15">
        <f>IF(OR($C66="",$Q66=""),"",IFERROR(SUMIFS(INDIRECT("'"&amp;$Q66&amp;"'!$K$9:$K$408"),INDIRECT("'"&amp;$Q66&amp;"'!$D$9:$D$408"),$P66,INDIRECT("'"&amp;$Q66&amp;"'!$E$9:$E$408"),$C66,INDIRECT("'"&amp;$Q66&amp;"'!$F$9:$F$408"),$D66),""))</f>
        <v/>
      </c>
      <c r="L66" s="15">
        <f>IF(OR($C66="",$Q66=""),"",IFERROR(SUMIFS(INDIRECT("'"&amp;$Q66&amp;"'!$Q$9:$Q$408"),INDIRECT("'"&amp;$Q66&amp;"'!$D$9:$D$408"),$P66,INDIRECT("'"&amp;$Q66&amp;"'!$E$9:$E$408"),$C66,INDIRECT("'"&amp;$Q66&amp;"'!$F$9:$F$408"),$D66),""))</f>
        <v/>
      </c>
      <c r="M66" s="15">
        <f>IF(OR($C66="",$Q66=""),"",IFERROR(SUMIFS(INDIRECT("'"&amp;$Q66&amp;"'!$M$9:$M$408"),INDIRECT("'"&amp;$Q66&amp;"'!$D$9:$D$408"),$P66,INDIRECT("'"&amp;$Q66&amp;"'!$E$9:$E$408"),$C66,INDIRECT("'"&amp;$Q66&amp;"'!$F$9:$F$408"),$D66),""))</f>
        <v/>
      </c>
      <c r="N66" s="15">
        <f>IF(OR($C66="",$Q66=""),"",IFERROR(SUMIFS(INDIRECT("'"&amp;$Q66&amp;"'!$V$9:$V$408"),INDIRECT("'"&amp;$Q66&amp;"'!$D$9:$D$408"),$P66,INDIRECT("'"&amp;$Q66&amp;"'!$E$9:$E$408"),$C66,INDIRECT("'"&amp;$Q66&amp;"'!$F$9:$F$408"),$D66),""))</f>
        <v/>
      </c>
      <c r="P66" s="17" t="n"/>
      <c r="Q66" s="17" t="n"/>
    </row>
    <row r="67">
      <c r="B67" s="13">
        <f>IF(OR($C67="",$Q67=""),"",COUNTA($C$8:$C67))</f>
        <v/>
      </c>
      <c r="C67" s="14" t="n"/>
      <c r="D67" s="14" t="n"/>
      <c r="E67" s="15">
        <f>IF(OR($C67="",$Q67=""),"",IFERROR(SUMIFS(INDIRECT("'"&amp;$Q67&amp;"'!$G$9:$G$408"),INDIRECT("'"&amp;$Q67&amp;"'!$D$9:$D$408"),$P67,INDIRECT("'"&amp;$Q67&amp;"'!$E$9:$E$408"),$C67,INDIRECT("'"&amp;$Q67&amp;"'!$F$9:$F$408"),$D67),""))</f>
        <v/>
      </c>
      <c r="F67" s="15">
        <f>IF(OR($C67="",$Q67=""),"",IFERROR(SUMIFS(INDIRECT("'"&amp;$Q67&amp;"'!$H$9:$H$408"),INDIRECT("'"&amp;$Q67&amp;"'!$D$9:$D$408"),$P67,INDIRECT("'"&amp;$Q67&amp;"'!$E$9:$E$408"),$C67,INDIRECT("'"&amp;$Q67&amp;"'!$F$9:$F$408"),$D67),""))</f>
        <v/>
      </c>
      <c r="G67" s="15">
        <f>IF(OR($C67="",$Q67=""),"",IFERROR(SUMIFS(INDIRECT("'"&amp;$Q67&amp;"'!$I$9:$I$408"),INDIRECT("'"&amp;$Q67&amp;"'!$D$9:$D$408"),$P67,INDIRECT("'"&amp;$Q67&amp;"'!$E$9:$E$408"),$C67,INDIRECT("'"&amp;$Q67&amp;"'!$F$9:$F$408"),$D67),""))</f>
        <v/>
      </c>
      <c r="H67" s="15">
        <f>IF(OR($C67="",$Q67=""),"",IFERROR(SUMIFS(INDIRECT("'"&amp;$Q67&amp;"'!$R$9:$R$408"),INDIRECT("'"&amp;$Q67&amp;"'!$D$9:$D$408"),$P67,INDIRECT("'"&amp;$Q67&amp;"'!$E$9:$E$408"),$C67,INDIRECT("'"&amp;$Q67&amp;"'!$F$9:$F$408"),$D67),""))</f>
        <v/>
      </c>
      <c r="I67" s="16">
        <f>IF(OR(OR($C67="",$Q67=""),N(E67)=0),"",H67/E67)</f>
        <v/>
      </c>
      <c r="J67" s="15">
        <f>IF(OR($C67="",$Q67=""),"",N(E67)-N(H67))</f>
        <v/>
      </c>
      <c r="K67" s="15">
        <f>IF(OR($C67="",$Q67=""),"",IFERROR(SUMIFS(INDIRECT("'"&amp;$Q67&amp;"'!$K$9:$K$408"),INDIRECT("'"&amp;$Q67&amp;"'!$D$9:$D$408"),$P67,INDIRECT("'"&amp;$Q67&amp;"'!$E$9:$E$408"),$C67,INDIRECT("'"&amp;$Q67&amp;"'!$F$9:$F$408"),$D67),""))</f>
        <v/>
      </c>
      <c r="L67" s="15">
        <f>IF(OR($C67="",$Q67=""),"",IFERROR(SUMIFS(INDIRECT("'"&amp;$Q67&amp;"'!$Q$9:$Q$408"),INDIRECT("'"&amp;$Q67&amp;"'!$D$9:$D$408"),$P67,INDIRECT("'"&amp;$Q67&amp;"'!$E$9:$E$408"),$C67,INDIRECT("'"&amp;$Q67&amp;"'!$F$9:$F$408"),$D67),""))</f>
        <v/>
      </c>
      <c r="M67" s="15">
        <f>IF(OR($C67="",$Q67=""),"",IFERROR(SUMIFS(INDIRECT("'"&amp;$Q67&amp;"'!$M$9:$M$408"),INDIRECT("'"&amp;$Q67&amp;"'!$D$9:$D$408"),$P67,INDIRECT("'"&amp;$Q67&amp;"'!$E$9:$E$408"),$C67,INDIRECT("'"&amp;$Q67&amp;"'!$F$9:$F$408"),$D67),""))</f>
        <v/>
      </c>
      <c r="N67" s="15">
        <f>IF(OR($C67="",$Q67=""),"",IFERROR(SUMIFS(INDIRECT("'"&amp;$Q67&amp;"'!$V$9:$V$408"),INDIRECT("'"&amp;$Q67&amp;"'!$D$9:$D$408"),$P67,INDIRECT("'"&amp;$Q67&amp;"'!$E$9:$E$408"),$C67,INDIRECT("'"&amp;$Q67&amp;"'!$F$9:$F$408"),$D67),""))</f>
        <v/>
      </c>
      <c r="P67" s="17" t="n"/>
      <c r="Q67" s="17" t="n"/>
    </row>
    <row r="68">
      <c r="B68" s="13">
        <f>IF(OR($C68="",$Q68=""),"",COUNTA($C$8:$C68))</f>
        <v/>
      </c>
      <c r="C68" s="14" t="n"/>
      <c r="D68" s="14" t="n"/>
      <c r="E68" s="15">
        <f>IF(OR($C68="",$Q68=""),"",IFERROR(SUMIFS(INDIRECT("'"&amp;$Q68&amp;"'!$G$9:$G$408"),INDIRECT("'"&amp;$Q68&amp;"'!$D$9:$D$408"),$P68,INDIRECT("'"&amp;$Q68&amp;"'!$E$9:$E$408"),$C68,INDIRECT("'"&amp;$Q68&amp;"'!$F$9:$F$408"),$D68),""))</f>
        <v/>
      </c>
      <c r="F68" s="15">
        <f>IF(OR($C68="",$Q68=""),"",IFERROR(SUMIFS(INDIRECT("'"&amp;$Q68&amp;"'!$H$9:$H$408"),INDIRECT("'"&amp;$Q68&amp;"'!$D$9:$D$408"),$P68,INDIRECT("'"&amp;$Q68&amp;"'!$E$9:$E$408"),$C68,INDIRECT("'"&amp;$Q68&amp;"'!$F$9:$F$408"),$D68),""))</f>
        <v/>
      </c>
      <c r="G68" s="15">
        <f>IF(OR($C68="",$Q68=""),"",IFERROR(SUMIFS(INDIRECT("'"&amp;$Q68&amp;"'!$I$9:$I$408"),INDIRECT("'"&amp;$Q68&amp;"'!$D$9:$D$408"),$P68,INDIRECT("'"&amp;$Q68&amp;"'!$E$9:$E$408"),$C68,INDIRECT("'"&amp;$Q68&amp;"'!$F$9:$F$408"),$D68),""))</f>
        <v/>
      </c>
      <c r="H68" s="15">
        <f>IF(OR($C68="",$Q68=""),"",IFERROR(SUMIFS(INDIRECT("'"&amp;$Q68&amp;"'!$R$9:$R$408"),INDIRECT("'"&amp;$Q68&amp;"'!$D$9:$D$408"),$P68,INDIRECT("'"&amp;$Q68&amp;"'!$E$9:$E$408"),$C68,INDIRECT("'"&amp;$Q68&amp;"'!$F$9:$F$408"),$D68),""))</f>
        <v/>
      </c>
      <c r="I68" s="16">
        <f>IF(OR(OR($C68="",$Q68=""),N(E68)=0),"",H68/E68)</f>
        <v/>
      </c>
      <c r="J68" s="15">
        <f>IF(OR($C68="",$Q68=""),"",N(E68)-N(H68))</f>
        <v/>
      </c>
      <c r="K68" s="15">
        <f>IF(OR($C68="",$Q68=""),"",IFERROR(SUMIFS(INDIRECT("'"&amp;$Q68&amp;"'!$K$9:$K$408"),INDIRECT("'"&amp;$Q68&amp;"'!$D$9:$D$408"),$P68,INDIRECT("'"&amp;$Q68&amp;"'!$E$9:$E$408"),$C68,INDIRECT("'"&amp;$Q68&amp;"'!$F$9:$F$408"),$D68),""))</f>
        <v/>
      </c>
      <c r="L68" s="15">
        <f>IF(OR($C68="",$Q68=""),"",IFERROR(SUMIFS(INDIRECT("'"&amp;$Q68&amp;"'!$Q$9:$Q$408"),INDIRECT("'"&amp;$Q68&amp;"'!$D$9:$D$408"),$P68,INDIRECT("'"&amp;$Q68&amp;"'!$E$9:$E$408"),$C68,INDIRECT("'"&amp;$Q68&amp;"'!$F$9:$F$408"),$D68),""))</f>
        <v/>
      </c>
      <c r="M68" s="15">
        <f>IF(OR($C68="",$Q68=""),"",IFERROR(SUMIFS(INDIRECT("'"&amp;$Q68&amp;"'!$M$9:$M$408"),INDIRECT("'"&amp;$Q68&amp;"'!$D$9:$D$408"),$P68,INDIRECT("'"&amp;$Q68&amp;"'!$E$9:$E$408"),$C68,INDIRECT("'"&amp;$Q68&amp;"'!$F$9:$F$408"),$D68),""))</f>
        <v/>
      </c>
      <c r="N68" s="15">
        <f>IF(OR($C68="",$Q68=""),"",IFERROR(SUMIFS(INDIRECT("'"&amp;$Q68&amp;"'!$V$9:$V$408"),INDIRECT("'"&amp;$Q68&amp;"'!$D$9:$D$408"),$P68,INDIRECT("'"&amp;$Q68&amp;"'!$E$9:$E$408"),$C68,INDIRECT("'"&amp;$Q68&amp;"'!$F$9:$F$408"),$D68),""))</f>
        <v/>
      </c>
      <c r="P68" s="17" t="n"/>
      <c r="Q68" s="17" t="n"/>
    </row>
    <row r="69">
      <c r="B69" s="13">
        <f>IF(OR($C69="",$Q69=""),"",COUNTA($C$8:$C69))</f>
        <v/>
      </c>
      <c r="C69" s="14" t="n"/>
      <c r="D69" s="14" t="n"/>
      <c r="E69" s="15">
        <f>IF(OR($C69="",$Q69=""),"",IFERROR(SUMIFS(INDIRECT("'"&amp;$Q69&amp;"'!$G$9:$G$408"),INDIRECT("'"&amp;$Q69&amp;"'!$D$9:$D$408"),$P69,INDIRECT("'"&amp;$Q69&amp;"'!$E$9:$E$408"),$C69,INDIRECT("'"&amp;$Q69&amp;"'!$F$9:$F$408"),$D69),""))</f>
        <v/>
      </c>
      <c r="F69" s="15">
        <f>IF(OR($C69="",$Q69=""),"",IFERROR(SUMIFS(INDIRECT("'"&amp;$Q69&amp;"'!$H$9:$H$408"),INDIRECT("'"&amp;$Q69&amp;"'!$D$9:$D$408"),$P69,INDIRECT("'"&amp;$Q69&amp;"'!$E$9:$E$408"),$C69,INDIRECT("'"&amp;$Q69&amp;"'!$F$9:$F$408"),$D69),""))</f>
        <v/>
      </c>
      <c r="G69" s="15">
        <f>IF(OR($C69="",$Q69=""),"",IFERROR(SUMIFS(INDIRECT("'"&amp;$Q69&amp;"'!$I$9:$I$408"),INDIRECT("'"&amp;$Q69&amp;"'!$D$9:$D$408"),$P69,INDIRECT("'"&amp;$Q69&amp;"'!$E$9:$E$408"),$C69,INDIRECT("'"&amp;$Q69&amp;"'!$F$9:$F$408"),$D69),""))</f>
        <v/>
      </c>
      <c r="H69" s="15">
        <f>IF(OR($C69="",$Q69=""),"",IFERROR(SUMIFS(INDIRECT("'"&amp;$Q69&amp;"'!$R$9:$R$408"),INDIRECT("'"&amp;$Q69&amp;"'!$D$9:$D$408"),$P69,INDIRECT("'"&amp;$Q69&amp;"'!$E$9:$E$408"),$C69,INDIRECT("'"&amp;$Q69&amp;"'!$F$9:$F$408"),$D69),""))</f>
        <v/>
      </c>
      <c r="I69" s="16">
        <f>IF(OR(OR($C69="",$Q69=""),N(E69)=0),"",H69/E69)</f>
        <v/>
      </c>
      <c r="J69" s="15">
        <f>IF(OR($C69="",$Q69=""),"",N(E69)-N(H69))</f>
        <v/>
      </c>
      <c r="K69" s="15">
        <f>IF(OR($C69="",$Q69=""),"",IFERROR(SUMIFS(INDIRECT("'"&amp;$Q69&amp;"'!$K$9:$K$408"),INDIRECT("'"&amp;$Q69&amp;"'!$D$9:$D$408"),$P69,INDIRECT("'"&amp;$Q69&amp;"'!$E$9:$E$408"),$C69,INDIRECT("'"&amp;$Q69&amp;"'!$F$9:$F$408"),$D69),""))</f>
        <v/>
      </c>
      <c r="L69" s="15">
        <f>IF(OR($C69="",$Q69=""),"",IFERROR(SUMIFS(INDIRECT("'"&amp;$Q69&amp;"'!$Q$9:$Q$408"),INDIRECT("'"&amp;$Q69&amp;"'!$D$9:$D$408"),$P69,INDIRECT("'"&amp;$Q69&amp;"'!$E$9:$E$408"),$C69,INDIRECT("'"&amp;$Q69&amp;"'!$F$9:$F$408"),$D69),""))</f>
        <v/>
      </c>
      <c r="M69" s="15">
        <f>IF(OR($C69="",$Q69=""),"",IFERROR(SUMIFS(INDIRECT("'"&amp;$Q69&amp;"'!$M$9:$M$408"),INDIRECT("'"&amp;$Q69&amp;"'!$D$9:$D$408"),$P69,INDIRECT("'"&amp;$Q69&amp;"'!$E$9:$E$408"),$C69,INDIRECT("'"&amp;$Q69&amp;"'!$F$9:$F$408"),$D69),""))</f>
        <v/>
      </c>
      <c r="N69" s="15">
        <f>IF(OR($C69="",$Q69=""),"",IFERROR(SUMIFS(INDIRECT("'"&amp;$Q69&amp;"'!$V$9:$V$408"),INDIRECT("'"&amp;$Q69&amp;"'!$D$9:$D$408"),$P69,INDIRECT("'"&amp;$Q69&amp;"'!$E$9:$E$408"),$C69,INDIRECT("'"&amp;$Q69&amp;"'!$F$9:$F$408"),$D69),""))</f>
        <v/>
      </c>
      <c r="P69" s="17" t="n"/>
      <c r="Q69" s="17" t="n"/>
    </row>
    <row r="70">
      <c r="B70" s="13">
        <f>IF(OR($C70="",$Q70=""),"",COUNTA($C$8:$C70))</f>
        <v/>
      </c>
      <c r="C70" s="14" t="n"/>
      <c r="D70" s="14" t="n"/>
      <c r="E70" s="15">
        <f>IF(OR($C70="",$Q70=""),"",IFERROR(SUMIFS(INDIRECT("'"&amp;$Q70&amp;"'!$G$9:$G$408"),INDIRECT("'"&amp;$Q70&amp;"'!$D$9:$D$408"),$P70,INDIRECT("'"&amp;$Q70&amp;"'!$E$9:$E$408"),$C70,INDIRECT("'"&amp;$Q70&amp;"'!$F$9:$F$408"),$D70),""))</f>
        <v/>
      </c>
      <c r="F70" s="15">
        <f>IF(OR($C70="",$Q70=""),"",IFERROR(SUMIFS(INDIRECT("'"&amp;$Q70&amp;"'!$H$9:$H$408"),INDIRECT("'"&amp;$Q70&amp;"'!$D$9:$D$408"),$P70,INDIRECT("'"&amp;$Q70&amp;"'!$E$9:$E$408"),$C70,INDIRECT("'"&amp;$Q70&amp;"'!$F$9:$F$408"),$D70),""))</f>
        <v/>
      </c>
      <c r="G70" s="15">
        <f>IF(OR($C70="",$Q70=""),"",IFERROR(SUMIFS(INDIRECT("'"&amp;$Q70&amp;"'!$I$9:$I$408"),INDIRECT("'"&amp;$Q70&amp;"'!$D$9:$D$408"),$P70,INDIRECT("'"&amp;$Q70&amp;"'!$E$9:$E$408"),$C70,INDIRECT("'"&amp;$Q70&amp;"'!$F$9:$F$408"),$D70),""))</f>
        <v/>
      </c>
      <c r="H70" s="15">
        <f>IF(OR($C70="",$Q70=""),"",IFERROR(SUMIFS(INDIRECT("'"&amp;$Q70&amp;"'!$R$9:$R$408"),INDIRECT("'"&amp;$Q70&amp;"'!$D$9:$D$408"),$P70,INDIRECT("'"&amp;$Q70&amp;"'!$E$9:$E$408"),$C70,INDIRECT("'"&amp;$Q70&amp;"'!$F$9:$F$408"),$D70),""))</f>
        <v/>
      </c>
      <c r="I70" s="16">
        <f>IF(OR(OR($C70="",$Q70=""),N(E70)=0),"",H70/E70)</f>
        <v/>
      </c>
      <c r="J70" s="15">
        <f>IF(OR($C70="",$Q70=""),"",N(E70)-N(H70))</f>
        <v/>
      </c>
      <c r="K70" s="15">
        <f>IF(OR($C70="",$Q70=""),"",IFERROR(SUMIFS(INDIRECT("'"&amp;$Q70&amp;"'!$K$9:$K$408"),INDIRECT("'"&amp;$Q70&amp;"'!$D$9:$D$408"),$P70,INDIRECT("'"&amp;$Q70&amp;"'!$E$9:$E$408"),$C70,INDIRECT("'"&amp;$Q70&amp;"'!$F$9:$F$408"),$D70),""))</f>
        <v/>
      </c>
      <c r="L70" s="15">
        <f>IF(OR($C70="",$Q70=""),"",IFERROR(SUMIFS(INDIRECT("'"&amp;$Q70&amp;"'!$Q$9:$Q$408"),INDIRECT("'"&amp;$Q70&amp;"'!$D$9:$D$408"),$P70,INDIRECT("'"&amp;$Q70&amp;"'!$E$9:$E$408"),$C70,INDIRECT("'"&amp;$Q70&amp;"'!$F$9:$F$408"),$D70),""))</f>
        <v/>
      </c>
      <c r="M70" s="15">
        <f>IF(OR($C70="",$Q70=""),"",IFERROR(SUMIFS(INDIRECT("'"&amp;$Q70&amp;"'!$M$9:$M$408"),INDIRECT("'"&amp;$Q70&amp;"'!$D$9:$D$408"),$P70,INDIRECT("'"&amp;$Q70&amp;"'!$E$9:$E$408"),$C70,INDIRECT("'"&amp;$Q70&amp;"'!$F$9:$F$408"),$D70),""))</f>
        <v/>
      </c>
      <c r="N70" s="15">
        <f>IF(OR($C70="",$Q70=""),"",IFERROR(SUMIFS(INDIRECT("'"&amp;$Q70&amp;"'!$V$9:$V$408"),INDIRECT("'"&amp;$Q70&amp;"'!$D$9:$D$408"),$P70,INDIRECT("'"&amp;$Q70&amp;"'!$E$9:$E$408"),$C70,INDIRECT("'"&amp;$Q70&amp;"'!$F$9:$F$408"),$D70),""))</f>
        <v/>
      </c>
      <c r="P70" s="17" t="n"/>
      <c r="Q70" s="17" t="n"/>
    </row>
    <row r="71">
      <c r="B71" s="13">
        <f>IF(OR($C71="",$Q71=""),"",COUNTA($C$8:$C71))</f>
        <v/>
      </c>
      <c r="C71" s="14" t="n"/>
      <c r="D71" s="14" t="n"/>
      <c r="E71" s="15">
        <f>IF(OR($C71="",$Q71=""),"",IFERROR(SUMIFS(INDIRECT("'"&amp;$Q71&amp;"'!$G$9:$G$408"),INDIRECT("'"&amp;$Q71&amp;"'!$D$9:$D$408"),$P71,INDIRECT("'"&amp;$Q71&amp;"'!$E$9:$E$408"),$C71,INDIRECT("'"&amp;$Q71&amp;"'!$F$9:$F$408"),$D71),""))</f>
        <v/>
      </c>
      <c r="F71" s="15">
        <f>IF(OR($C71="",$Q71=""),"",IFERROR(SUMIFS(INDIRECT("'"&amp;$Q71&amp;"'!$H$9:$H$408"),INDIRECT("'"&amp;$Q71&amp;"'!$D$9:$D$408"),$P71,INDIRECT("'"&amp;$Q71&amp;"'!$E$9:$E$408"),$C71,INDIRECT("'"&amp;$Q71&amp;"'!$F$9:$F$408"),$D71),""))</f>
        <v/>
      </c>
      <c r="G71" s="15">
        <f>IF(OR($C71="",$Q71=""),"",IFERROR(SUMIFS(INDIRECT("'"&amp;$Q71&amp;"'!$I$9:$I$408"),INDIRECT("'"&amp;$Q71&amp;"'!$D$9:$D$408"),$P71,INDIRECT("'"&amp;$Q71&amp;"'!$E$9:$E$408"),$C71,INDIRECT("'"&amp;$Q71&amp;"'!$F$9:$F$408"),$D71),""))</f>
        <v/>
      </c>
      <c r="H71" s="15">
        <f>IF(OR($C71="",$Q71=""),"",IFERROR(SUMIFS(INDIRECT("'"&amp;$Q71&amp;"'!$R$9:$R$408"),INDIRECT("'"&amp;$Q71&amp;"'!$D$9:$D$408"),$P71,INDIRECT("'"&amp;$Q71&amp;"'!$E$9:$E$408"),$C71,INDIRECT("'"&amp;$Q71&amp;"'!$F$9:$F$408"),$D71),""))</f>
        <v/>
      </c>
      <c r="I71" s="16">
        <f>IF(OR(OR($C71="",$Q71=""),N(E71)=0),"",H71/E71)</f>
        <v/>
      </c>
      <c r="J71" s="15">
        <f>IF(OR($C71="",$Q71=""),"",N(E71)-N(H71))</f>
        <v/>
      </c>
      <c r="K71" s="15">
        <f>IF(OR($C71="",$Q71=""),"",IFERROR(SUMIFS(INDIRECT("'"&amp;$Q71&amp;"'!$K$9:$K$408"),INDIRECT("'"&amp;$Q71&amp;"'!$D$9:$D$408"),$P71,INDIRECT("'"&amp;$Q71&amp;"'!$E$9:$E$408"),$C71,INDIRECT("'"&amp;$Q71&amp;"'!$F$9:$F$408"),$D71),""))</f>
        <v/>
      </c>
      <c r="L71" s="15">
        <f>IF(OR($C71="",$Q71=""),"",IFERROR(SUMIFS(INDIRECT("'"&amp;$Q71&amp;"'!$Q$9:$Q$408"),INDIRECT("'"&amp;$Q71&amp;"'!$D$9:$D$408"),$P71,INDIRECT("'"&amp;$Q71&amp;"'!$E$9:$E$408"),$C71,INDIRECT("'"&amp;$Q71&amp;"'!$F$9:$F$408"),$D71),""))</f>
        <v/>
      </c>
      <c r="M71" s="15">
        <f>IF(OR($C71="",$Q71=""),"",IFERROR(SUMIFS(INDIRECT("'"&amp;$Q71&amp;"'!$M$9:$M$408"),INDIRECT("'"&amp;$Q71&amp;"'!$D$9:$D$408"),$P71,INDIRECT("'"&amp;$Q71&amp;"'!$E$9:$E$408"),$C71,INDIRECT("'"&amp;$Q71&amp;"'!$F$9:$F$408"),$D71),""))</f>
        <v/>
      </c>
      <c r="N71" s="15">
        <f>IF(OR($C71="",$Q71=""),"",IFERROR(SUMIFS(INDIRECT("'"&amp;$Q71&amp;"'!$V$9:$V$408"),INDIRECT("'"&amp;$Q71&amp;"'!$D$9:$D$408"),$P71,INDIRECT("'"&amp;$Q71&amp;"'!$E$9:$E$408"),$C71,INDIRECT("'"&amp;$Q71&amp;"'!$F$9:$F$408"),$D71),""))</f>
        <v/>
      </c>
      <c r="P71" s="17" t="n"/>
      <c r="Q71" s="17" t="n"/>
    </row>
    <row r="72">
      <c r="B72" s="13">
        <f>IF(OR($C72="",$Q72=""),"",COUNTA($C$8:$C72))</f>
        <v/>
      </c>
      <c r="C72" s="14" t="n"/>
      <c r="D72" s="14" t="n"/>
      <c r="E72" s="15">
        <f>IF(OR($C72="",$Q72=""),"",IFERROR(SUMIFS(INDIRECT("'"&amp;$Q72&amp;"'!$G$9:$G$408"),INDIRECT("'"&amp;$Q72&amp;"'!$D$9:$D$408"),$P72,INDIRECT("'"&amp;$Q72&amp;"'!$E$9:$E$408"),$C72,INDIRECT("'"&amp;$Q72&amp;"'!$F$9:$F$408"),$D72),""))</f>
        <v/>
      </c>
      <c r="F72" s="15">
        <f>IF(OR($C72="",$Q72=""),"",IFERROR(SUMIFS(INDIRECT("'"&amp;$Q72&amp;"'!$H$9:$H$408"),INDIRECT("'"&amp;$Q72&amp;"'!$D$9:$D$408"),$P72,INDIRECT("'"&amp;$Q72&amp;"'!$E$9:$E$408"),$C72,INDIRECT("'"&amp;$Q72&amp;"'!$F$9:$F$408"),$D72),""))</f>
        <v/>
      </c>
      <c r="G72" s="15">
        <f>IF(OR($C72="",$Q72=""),"",IFERROR(SUMIFS(INDIRECT("'"&amp;$Q72&amp;"'!$I$9:$I$408"),INDIRECT("'"&amp;$Q72&amp;"'!$D$9:$D$408"),$P72,INDIRECT("'"&amp;$Q72&amp;"'!$E$9:$E$408"),$C72,INDIRECT("'"&amp;$Q72&amp;"'!$F$9:$F$408"),$D72),""))</f>
        <v/>
      </c>
      <c r="H72" s="15">
        <f>IF(OR($C72="",$Q72=""),"",IFERROR(SUMIFS(INDIRECT("'"&amp;$Q72&amp;"'!$R$9:$R$408"),INDIRECT("'"&amp;$Q72&amp;"'!$D$9:$D$408"),$P72,INDIRECT("'"&amp;$Q72&amp;"'!$E$9:$E$408"),$C72,INDIRECT("'"&amp;$Q72&amp;"'!$F$9:$F$408"),$D72),""))</f>
        <v/>
      </c>
      <c r="I72" s="16">
        <f>IF(OR(OR($C72="",$Q72=""),N(E72)=0),"",H72/E72)</f>
        <v/>
      </c>
      <c r="J72" s="15">
        <f>IF(OR($C72="",$Q72=""),"",N(E72)-N(H72))</f>
        <v/>
      </c>
      <c r="K72" s="15">
        <f>IF(OR($C72="",$Q72=""),"",IFERROR(SUMIFS(INDIRECT("'"&amp;$Q72&amp;"'!$K$9:$K$408"),INDIRECT("'"&amp;$Q72&amp;"'!$D$9:$D$408"),$P72,INDIRECT("'"&amp;$Q72&amp;"'!$E$9:$E$408"),$C72,INDIRECT("'"&amp;$Q72&amp;"'!$F$9:$F$408"),$D72),""))</f>
        <v/>
      </c>
      <c r="L72" s="15">
        <f>IF(OR($C72="",$Q72=""),"",IFERROR(SUMIFS(INDIRECT("'"&amp;$Q72&amp;"'!$Q$9:$Q$408"),INDIRECT("'"&amp;$Q72&amp;"'!$D$9:$D$408"),$P72,INDIRECT("'"&amp;$Q72&amp;"'!$E$9:$E$408"),$C72,INDIRECT("'"&amp;$Q72&amp;"'!$F$9:$F$408"),$D72),""))</f>
        <v/>
      </c>
      <c r="M72" s="15">
        <f>IF(OR($C72="",$Q72=""),"",IFERROR(SUMIFS(INDIRECT("'"&amp;$Q72&amp;"'!$M$9:$M$408"),INDIRECT("'"&amp;$Q72&amp;"'!$D$9:$D$408"),$P72,INDIRECT("'"&amp;$Q72&amp;"'!$E$9:$E$408"),$C72,INDIRECT("'"&amp;$Q72&amp;"'!$F$9:$F$408"),$D72),""))</f>
        <v/>
      </c>
      <c r="N72" s="15">
        <f>IF(OR($C72="",$Q72=""),"",IFERROR(SUMIFS(INDIRECT("'"&amp;$Q72&amp;"'!$V$9:$V$408"),INDIRECT("'"&amp;$Q72&amp;"'!$D$9:$D$408"),$P72,INDIRECT("'"&amp;$Q72&amp;"'!$E$9:$E$408"),$C72,INDIRECT("'"&amp;$Q72&amp;"'!$F$9:$F$408"),$D72),""))</f>
        <v/>
      </c>
      <c r="P72" s="17" t="n"/>
      <c r="Q72" s="17" t="n"/>
    </row>
    <row r="73">
      <c r="B73" s="13">
        <f>IF(OR($C73="",$Q73=""),"",COUNTA($C$8:$C73))</f>
        <v/>
      </c>
      <c r="C73" s="14" t="n"/>
      <c r="D73" s="14" t="n"/>
      <c r="E73" s="15">
        <f>IF(OR($C73="",$Q73=""),"",IFERROR(SUMIFS(INDIRECT("'"&amp;$Q73&amp;"'!$G$9:$G$408"),INDIRECT("'"&amp;$Q73&amp;"'!$D$9:$D$408"),$P73,INDIRECT("'"&amp;$Q73&amp;"'!$E$9:$E$408"),$C73,INDIRECT("'"&amp;$Q73&amp;"'!$F$9:$F$408"),$D73),""))</f>
        <v/>
      </c>
      <c r="F73" s="15">
        <f>IF(OR($C73="",$Q73=""),"",IFERROR(SUMIFS(INDIRECT("'"&amp;$Q73&amp;"'!$H$9:$H$408"),INDIRECT("'"&amp;$Q73&amp;"'!$D$9:$D$408"),$P73,INDIRECT("'"&amp;$Q73&amp;"'!$E$9:$E$408"),$C73,INDIRECT("'"&amp;$Q73&amp;"'!$F$9:$F$408"),$D73),""))</f>
        <v/>
      </c>
      <c r="G73" s="15">
        <f>IF(OR($C73="",$Q73=""),"",IFERROR(SUMIFS(INDIRECT("'"&amp;$Q73&amp;"'!$I$9:$I$408"),INDIRECT("'"&amp;$Q73&amp;"'!$D$9:$D$408"),$P73,INDIRECT("'"&amp;$Q73&amp;"'!$E$9:$E$408"),$C73,INDIRECT("'"&amp;$Q73&amp;"'!$F$9:$F$408"),$D73),""))</f>
        <v/>
      </c>
      <c r="H73" s="15">
        <f>IF(OR($C73="",$Q73=""),"",IFERROR(SUMIFS(INDIRECT("'"&amp;$Q73&amp;"'!$R$9:$R$408"),INDIRECT("'"&amp;$Q73&amp;"'!$D$9:$D$408"),$P73,INDIRECT("'"&amp;$Q73&amp;"'!$E$9:$E$408"),$C73,INDIRECT("'"&amp;$Q73&amp;"'!$F$9:$F$408"),$D73),""))</f>
        <v/>
      </c>
      <c r="I73" s="16">
        <f>IF(OR(OR($C73="",$Q73=""),N(E73)=0),"",H73/E73)</f>
        <v/>
      </c>
      <c r="J73" s="15">
        <f>IF(OR($C73="",$Q73=""),"",N(E73)-N(H73))</f>
        <v/>
      </c>
      <c r="K73" s="15">
        <f>IF(OR($C73="",$Q73=""),"",IFERROR(SUMIFS(INDIRECT("'"&amp;$Q73&amp;"'!$K$9:$K$408"),INDIRECT("'"&amp;$Q73&amp;"'!$D$9:$D$408"),$P73,INDIRECT("'"&amp;$Q73&amp;"'!$E$9:$E$408"),$C73,INDIRECT("'"&amp;$Q73&amp;"'!$F$9:$F$408"),$D73),""))</f>
        <v/>
      </c>
      <c r="L73" s="15">
        <f>IF(OR($C73="",$Q73=""),"",IFERROR(SUMIFS(INDIRECT("'"&amp;$Q73&amp;"'!$Q$9:$Q$408"),INDIRECT("'"&amp;$Q73&amp;"'!$D$9:$D$408"),$P73,INDIRECT("'"&amp;$Q73&amp;"'!$E$9:$E$408"),$C73,INDIRECT("'"&amp;$Q73&amp;"'!$F$9:$F$408"),$D73),""))</f>
        <v/>
      </c>
      <c r="M73" s="15">
        <f>IF(OR($C73="",$Q73=""),"",IFERROR(SUMIFS(INDIRECT("'"&amp;$Q73&amp;"'!$M$9:$M$408"),INDIRECT("'"&amp;$Q73&amp;"'!$D$9:$D$408"),$P73,INDIRECT("'"&amp;$Q73&amp;"'!$E$9:$E$408"),$C73,INDIRECT("'"&amp;$Q73&amp;"'!$F$9:$F$408"),$D73),""))</f>
        <v/>
      </c>
      <c r="N73" s="15">
        <f>IF(OR($C73="",$Q73=""),"",IFERROR(SUMIFS(INDIRECT("'"&amp;$Q73&amp;"'!$V$9:$V$408"),INDIRECT("'"&amp;$Q73&amp;"'!$D$9:$D$408"),$P73,INDIRECT("'"&amp;$Q73&amp;"'!$E$9:$E$408"),$C73,INDIRECT("'"&amp;$Q73&amp;"'!$F$9:$F$408"),$D73),""))</f>
        <v/>
      </c>
      <c r="P73" s="17" t="n"/>
      <c r="Q73" s="17" t="n"/>
    </row>
    <row r="74">
      <c r="B74" s="13">
        <f>IF(OR($C74="",$Q74=""),"",COUNTA($C$8:$C74))</f>
        <v/>
      </c>
      <c r="C74" s="14" t="n"/>
      <c r="D74" s="14" t="n"/>
      <c r="E74" s="15">
        <f>IF(OR($C74="",$Q74=""),"",IFERROR(SUMIFS(INDIRECT("'"&amp;$Q74&amp;"'!$G$9:$G$408"),INDIRECT("'"&amp;$Q74&amp;"'!$D$9:$D$408"),$P74,INDIRECT("'"&amp;$Q74&amp;"'!$E$9:$E$408"),$C74,INDIRECT("'"&amp;$Q74&amp;"'!$F$9:$F$408"),$D74),""))</f>
        <v/>
      </c>
      <c r="F74" s="15">
        <f>IF(OR($C74="",$Q74=""),"",IFERROR(SUMIFS(INDIRECT("'"&amp;$Q74&amp;"'!$H$9:$H$408"),INDIRECT("'"&amp;$Q74&amp;"'!$D$9:$D$408"),$P74,INDIRECT("'"&amp;$Q74&amp;"'!$E$9:$E$408"),$C74,INDIRECT("'"&amp;$Q74&amp;"'!$F$9:$F$408"),$D74),""))</f>
        <v/>
      </c>
      <c r="G74" s="15">
        <f>IF(OR($C74="",$Q74=""),"",IFERROR(SUMIFS(INDIRECT("'"&amp;$Q74&amp;"'!$I$9:$I$408"),INDIRECT("'"&amp;$Q74&amp;"'!$D$9:$D$408"),$P74,INDIRECT("'"&amp;$Q74&amp;"'!$E$9:$E$408"),$C74,INDIRECT("'"&amp;$Q74&amp;"'!$F$9:$F$408"),$D74),""))</f>
        <v/>
      </c>
      <c r="H74" s="15">
        <f>IF(OR($C74="",$Q74=""),"",IFERROR(SUMIFS(INDIRECT("'"&amp;$Q74&amp;"'!$R$9:$R$408"),INDIRECT("'"&amp;$Q74&amp;"'!$D$9:$D$408"),$P74,INDIRECT("'"&amp;$Q74&amp;"'!$E$9:$E$408"),$C74,INDIRECT("'"&amp;$Q74&amp;"'!$F$9:$F$408"),$D74),""))</f>
        <v/>
      </c>
      <c r="I74" s="16">
        <f>IF(OR(OR($C74="",$Q74=""),N(E74)=0),"",H74/E74)</f>
        <v/>
      </c>
      <c r="J74" s="15">
        <f>IF(OR($C74="",$Q74=""),"",N(E74)-N(H74))</f>
        <v/>
      </c>
      <c r="K74" s="15">
        <f>IF(OR($C74="",$Q74=""),"",IFERROR(SUMIFS(INDIRECT("'"&amp;$Q74&amp;"'!$K$9:$K$408"),INDIRECT("'"&amp;$Q74&amp;"'!$D$9:$D$408"),$P74,INDIRECT("'"&amp;$Q74&amp;"'!$E$9:$E$408"),$C74,INDIRECT("'"&amp;$Q74&amp;"'!$F$9:$F$408"),$D74),""))</f>
        <v/>
      </c>
      <c r="L74" s="15">
        <f>IF(OR($C74="",$Q74=""),"",IFERROR(SUMIFS(INDIRECT("'"&amp;$Q74&amp;"'!$Q$9:$Q$408"),INDIRECT("'"&amp;$Q74&amp;"'!$D$9:$D$408"),$P74,INDIRECT("'"&amp;$Q74&amp;"'!$E$9:$E$408"),$C74,INDIRECT("'"&amp;$Q74&amp;"'!$F$9:$F$408"),$D74),""))</f>
        <v/>
      </c>
      <c r="M74" s="15">
        <f>IF(OR($C74="",$Q74=""),"",IFERROR(SUMIFS(INDIRECT("'"&amp;$Q74&amp;"'!$M$9:$M$408"),INDIRECT("'"&amp;$Q74&amp;"'!$D$9:$D$408"),$P74,INDIRECT("'"&amp;$Q74&amp;"'!$E$9:$E$408"),$C74,INDIRECT("'"&amp;$Q74&amp;"'!$F$9:$F$408"),$D74),""))</f>
        <v/>
      </c>
      <c r="N74" s="15">
        <f>IF(OR($C74="",$Q74=""),"",IFERROR(SUMIFS(INDIRECT("'"&amp;$Q74&amp;"'!$V$9:$V$408"),INDIRECT("'"&amp;$Q74&amp;"'!$D$9:$D$408"),$P74,INDIRECT("'"&amp;$Q74&amp;"'!$E$9:$E$408"),$C74,INDIRECT("'"&amp;$Q74&amp;"'!$F$9:$F$408"),$D74),""))</f>
        <v/>
      </c>
      <c r="P74" s="17" t="n"/>
      <c r="Q74" s="17" t="n"/>
    </row>
    <row r="75">
      <c r="B75" s="13">
        <f>IF(OR($C75="",$Q75=""),"",COUNTA($C$8:$C75))</f>
        <v/>
      </c>
      <c r="C75" s="14" t="n"/>
      <c r="D75" s="14" t="n"/>
      <c r="E75" s="15">
        <f>IF(OR($C75="",$Q75=""),"",IFERROR(SUMIFS(INDIRECT("'"&amp;$Q75&amp;"'!$G$9:$G$408"),INDIRECT("'"&amp;$Q75&amp;"'!$D$9:$D$408"),$P75,INDIRECT("'"&amp;$Q75&amp;"'!$E$9:$E$408"),$C75,INDIRECT("'"&amp;$Q75&amp;"'!$F$9:$F$408"),$D75),""))</f>
        <v/>
      </c>
      <c r="F75" s="15">
        <f>IF(OR($C75="",$Q75=""),"",IFERROR(SUMIFS(INDIRECT("'"&amp;$Q75&amp;"'!$H$9:$H$408"),INDIRECT("'"&amp;$Q75&amp;"'!$D$9:$D$408"),$P75,INDIRECT("'"&amp;$Q75&amp;"'!$E$9:$E$408"),$C75,INDIRECT("'"&amp;$Q75&amp;"'!$F$9:$F$408"),$D75),""))</f>
        <v/>
      </c>
      <c r="G75" s="15">
        <f>IF(OR($C75="",$Q75=""),"",IFERROR(SUMIFS(INDIRECT("'"&amp;$Q75&amp;"'!$I$9:$I$408"),INDIRECT("'"&amp;$Q75&amp;"'!$D$9:$D$408"),$P75,INDIRECT("'"&amp;$Q75&amp;"'!$E$9:$E$408"),$C75,INDIRECT("'"&amp;$Q75&amp;"'!$F$9:$F$408"),$D75),""))</f>
        <v/>
      </c>
      <c r="H75" s="15">
        <f>IF(OR($C75="",$Q75=""),"",IFERROR(SUMIFS(INDIRECT("'"&amp;$Q75&amp;"'!$R$9:$R$408"),INDIRECT("'"&amp;$Q75&amp;"'!$D$9:$D$408"),$P75,INDIRECT("'"&amp;$Q75&amp;"'!$E$9:$E$408"),$C75,INDIRECT("'"&amp;$Q75&amp;"'!$F$9:$F$408"),$D75),""))</f>
        <v/>
      </c>
      <c r="I75" s="16">
        <f>IF(OR(OR($C75="",$Q75=""),N(E75)=0),"",H75/E75)</f>
        <v/>
      </c>
      <c r="J75" s="15">
        <f>IF(OR($C75="",$Q75=""),"",N(E75)-N(H75))</f>
        <v/>
      </c>
      <c r="K75" s="15">
        <f>IF(OR($C75="",$Q75=""),"",IFERROR(SUMIFS(INDIRECT("'"&amp;$Q75&amp;"'!$K$9:$K$408"),INDIRECT("'"&amp;$Q75&amp;"'!$D$9:$D$408"),$P75,INDIRECT("'"&amp;$Q75&amp;"'!$E$9:$E$408"),$C75,INDIRECT("'"&amp;$Q75&amp;"'!$F$9:$F$408"),$D75),""))</f>
        <v/>
      </c>
      <c r="L75" s="15">
        <f>IF(OR($C75="",$Q75=""),"",IFERROR(SUMIFS(INDIRECT("'"&amp;$Q75&amp;"'!$Q$9:$Q$408"),INDIRECT("'"&amp;$Q75&amp;"'!$D$9:$D$408"),$P75,INDIRECT("'"&amp;$Q75&amp;"'!$E$9:$E$408"),$C75,INDIRECT("'"&amp;$Q75&amp;"'!$F$9:$F$408"),$D75),""))</f>
        <v/>
      </c>
      <c r="M75" s="15">
        <f>IF(OR($C75="",$Q75=""),"",IFERROR(SUMIFS(INDIRECT("'"&amp;$Q75&amp;"'!$M$9:$M$408"),INDIRECT("'"&amp;$Q75&amp;"'!$D$9:$D$408"),$P75,INDIRECT("'"&amp;$Q75&amp;"'!$E$9:$E$408"),$C75,INDIRECT("'"&amp;$Q75&amp;"'!$F$9:$F$408"),$D75),""))</f>
        <v/>
      </c>
      <c r="N75" s="15">
        <f>IF(OR($C75="",$Q75=""),"",IFERROR(SUMIFS(INDIRECT("'"&amp;$Q75&amp;"'!$V$9:$V$408"),INDIRECT("'"&amp;$Q75&amp;"'!$D$9:$D$408"),$P75,INDIRECT("'"&amp;$Q75&amp;"'!$E$9:$E$408"),$C75,INDIRECT("'"&amp;$Q75&amp;"'!$F$9:$F$408"),$D75),""))</f>
        <v/>
      </c>
      <c r="P75" s="17" t="n"/>
      <c r="Q75" s="17" t="n"/>
    </row>
    <row r="76">
      <c r="B76" s="13">
        <f>IF(OR($C76="",$Q76=""),"",COUNTA($C$8:$C76))</f>
        <v/>
      </c>
      <c r="C76" s="14" t="n"/>
      <c r="D76" s="14" t="n"/>
      <c r="E76" s="15">
        <f>IF(OR($C76="",$Q76=""),"",IFERROR(SUMIFS(INDIRECT("'"&amp;$Q76&amp;"'!$G$9:$G$408"),INDIRECT("'"&amp;$Q76&amp;"'!$D$9:$D$408"),$P76,INDIRECT("'"&amp;$Q76&amp;"'!$E$9:$E$408"),$C76,INDIRECT("'"&amp;$Q76&amp;"'!$F$9:$F$408"),$D76),""))</f>
        <v/>
      </c>
      <c r="F76" s="15">
        <f>IF(OR($C76="",$Q76=""),"",IFERROR(SUMIFS(INDIRECT("'"&amp;$Q76&amp;"'!$H$9:$H$408"),INDIRECT("'"&amp;$Q76&amp;"'!$D$9:$D$408"),$P76,INDIRECT("'"&amp;$Q76&amp;"'!$E$9:$E$408"),$C76,INDIRECT("'"&amp;$Q76&amp;"'!$F$9:$F$408"),$D76),""))</f>
        <v/>
      </c>
      <c r="G76" s="15">
        <f>IF(OR($C76="",$Q76=""),"",IFERROR(SUMIFS(INDIRECT("'"&amp;$Q76&amp;"'!$I$9:$I$408"),INDIRECT("'"&amp;$Q76&amp;"'!$D$9:$D$408"),$P76,INDIRECT("'"&amp;$Q76&amp;"'!$E$9:$E$408"),$C76,INDIRECT("'"&amp;$Q76&amp;"'!$F$9:$F$408"),$D76),""))</f>
        <v/>
      </c>
      <c r="H76" s="15">
        <f>IF(OR($C76="",$Q76=""),"",IFERROR(SUMIFS(INDIRECT("'"&amp;$Q76&amp;"'!$R$9:$R$408"),INDIRECT("'"&amp;$Q76&amp;"'!$D$9:$D$408"),$P76,INDIRECT("'"&amp;$Q76&amp;"'!$E$9:$E$408"),$C76,INDIRECT("'"&amp;$Q76&amp;"'!$F$9:$F$408"),$D76),""))</f>
        <v/>
      </c>
      <c r="I76" s="16">
        <f>IF(OR(OR($C76="",$Q76=""),N(E76)=0),"",H76/E76)</f>
        <v/>
      </c>
      <c r="J76" s="15">
        <f>IF(OR($C76="",$Q76=""),"",N(E76)-N(H76))</f>
        <v/>
      </c>
      <c r="K76" s="15">
        <f>IF(OR($C76="",$Q76=""),"",IFERROR(SUMIFS(INDIRECT("'"&amp;$Q76&amp;"'!$K$9:$K$408"),INDIRECT("'"&amp;$Q76&amp;"'!$D$9:$D$408"),$P76,INDIRECT("'"&amp;$Q76&amp;"'!$E$9:$E$408"),$C76,INDIRECT("'"&amp;$Q76&amp;"'!$F$9:$F$408"),$D76),""))</f>
        <v/>
      </c>
      <c r="L76" s="15">
        <f>IF(OR($C76="",$Q76=""),"",IFERROR(SUMIFS(INDIRECT("'"&amp;$Q76&amp;"'!$Q$9:$Q$408"),INDIRECT("'"&amp;$Q76&amp;"'!$D$9:$D$408"),$P76,INDIRECT("'"&amp;$Q76&amp;"'!$E$9:$E$408"),$C76,INDIRECT("'"&amp;$Q76&amp;"'!$F$9:$F$408"),$D76),""))</f>
        <v/>
      </c>
      <c r="M76" s="15">
        <f>IF(OR($C76="",$Q76=""),"",IFERROR(SUMIFS(INDIRECT("'"&amp;$Q76&amp;"'!$M$9:$M$408"),INDIRECT("'"&amp;$Q76&amp;"'!$D$9:$D$408"),$P76,INDIRECT("'"&amp;$Q76&amp;"'!$E$9:$E$408"),$C76,INDIRECT("'"&amp;$Q76&amp;"'!$F$9:$F$408"),$D76),""))</f>
        <v/>
      </c>
      <c r="N76" s="15">
        <f>IF(OR($C76="",$Q76=""),"",IFERROR(SUMIFS(INDIRECT("'"&amp;$Q76&amp;"'!$V$9:$V$408"),INDIRECT("'"&amp;$Q76&amp;"'!$D$9:$D$408"),$P76,INDIRECT("'"&amp;$Q76&amp;"'!$E$9:$E$408"),$C76,INDIRECT("'"&amp;$Q76&amp;"'!$F$9:$F$408"),$D76),""))</f>
        <v/>
      </c>
      <c r="P76" s="17" t="n"/>
      <c r="Q76" s="17" t="n"/>
    </row>
    <row r="77">
      <c r="B77" s="13">
        <f>IF(OR($C77="",$Q77=""),"",COUNTA($C$8:$C77))</f>
        <v/>
      </c>
      <c r="C77" s="14" t="n"/>
      <c r="D77" s="14" t="n"/>
      <c r="E77" s="15">
        <f>IF(OR($C77="",$Q77=""),"",IFERROR(SUMIFS(INDIRECT("'"&amp;$Q77&amp;"'!$G$9:$G$408"),INDIRECT("'"&amp;$Q77&amp;"'!$D$9:$D$408"),$P77,INDIRECT("'"&amp;$Q77&amp;"'!$E$9:$E$408"),$C77,INDIRECT("'"&amp;$Q77&amp;"'!$F$9:$F$408"),$D77),""))</f>
        <v/>
      </c>
      <c r="F77" s="15">
        <f>IF(OR($C77="",$Q77=""),"",IFERROR(SUMIFS(INDIRECT("'"&amp;$Q77&amp;"'!$H$9:$H$408"),INDIRECT("'"&amp;$Q77&amp;"'!$D$9:$D$408"),$P77,INDIRECT("'"&amp;$Q77&amp;"'!$E$9:$E$408"),$C77,INDIRECT("'"&amp;$Q77&amp;"'!$F$9:$F$408"),$D77),""))</f>
        <v/>
      </c>
      <c r="G77" s="15">
        <f>IF(OR($C77="",$Q77=""),"",IFERROR(SUMIFS(INDIRECT("'"&amp;$Q77&amp;"'!$I$9:$I$408"),INDIRECT("'"&amp;$Q77&amp;"'!$D$9:$D$408"),$P77,INDIRECT("'"&amp;$Q77&amp;"'!$E$9:$E$408"),$C77,INDIRECT("'"&amp;$Q77&amp;"'!$F$9:$F$408"),$D77),""))</f>
        <v/>
      </c>
      <c r="H77" s="15">
        <f>IF(OR($C77="",$Q77=""),"",IFERROR(SUMIFS(INDIRECT("'"&amp;$Q77&amp;"'!$R$9:$R$408"),INDIRECT("'"&amp;$Q77&amp;"'!$D$9:$D$408"),$P77,INDIRECT("'"&amp;$Q77&amp;"'!$E$9:$E$408"),$C77,INDIRECT("'"&amp;$Q77&amp;"'!$F$9:$F$408"),$D77),""))</f>
        <v/>
      </c>
      <c r="I77" s="16">
        <f>IF(OR(OR($C77="",$Q77=""),N(E77)=0),"",H77/E77)</f>
        <v/>
      </c>
      <c r="J77" s="15">
        <f>IF(OR($C77="",$Q77=""),"",N(E77)-N(H77))</f>
        <v/>
      </c>
      <c r="K77" s="15">
        <f>IF(OR($C77="",$Q77=""),"",IFERROR(SUMIFS(INDIRECT("'"&amp;$Q77&amp;"'!$K$9:$K$408"),INDIRECT("'"&amp;$Q77&amp;"'!$D$9:$D$408"),$P77,INDIRECT("'"&amp;$Q77&amp;"'!$E$9:$E$408"),$C77,INDIRECT("'"&amp;$Q77&amp;"'!$F$9:$F$408"),$D77),""))</f>
        <v/>
      </c>
      <c r="L77" s="15">
        <f>IF(OR($C77="",$Q77=""),"",IFERROR(SUMIFS(INDIRECT("'"&amp;$Q77&amp;"'!$Q$9:$Q$408"),INDIRECT("'"&amp;$Q77&amp;"'!$D$9:$D$408"),$P77,INDIRECT("'"&amp;$Q77&amp;"'!$E$9:$E$408"),$C77,INDIRECT("'"&amp;$Q77&amp;"'!$F$9:$F$408"),$D77),""))</f>
        <v/>
      </c>
      <c r="M77" s="15">
        <f>IF(OR($C77="",$Q77=""),"",IFERROR(SUMIFS(INDIRECT("'"&amp;$Q77&amp;"'!$M$9:$M$408"),INDIRECT("'"&amp;$Q77&amp;"'!$D$9:$D$408"),$P77,INDIRECT("'"&amp;$Q77&amp;"'!$E$9:$E$408"),$C77,INDIRECT("'"&amp;$Q77&amp;"'!$F$9:$F$408"),$D77),""))</f>
        <v/>
      </c>
      <c r="N77" s="15">
        <f>IF(OR($C77="",$Q77=""),"",IFERROR(SUMIFS(INDIRECT("'"&amp;$Q77&amp;"'!$V$9:$V$408"),INDIRECT("'"&amp;$Q77&amp;"'!$D$9:$D$408"),$P77,INDIRECT("'"&amp;$Q77&amp;"'!$E$9:$E$408"),$C77,INDIRECT("'"&amp;$Q77&amp;"'!$F$9:$F$408"),$D77),""))</f>
        <v/>
      </c>
      <c r="P77" s="17" t="n"/>
      <c r="Q77" s="17" t="n"/>
    </row>
    <row r="78">
      <c r="B78" s="13">
        <f>IF(OR($C78="",$Q78=""),"",COUNTA($C$8:$C78))</f>
        <v/>
      </c>
      <c r="C78" s="14" t="n"/>
      <c r="D78" s="14" t="n"/>
      <c r="E78" s="15">
        <f>IF(OR($C78="",$Q78=""),"",IFERROR(SUMIFS(INDIRECT("'"&amp;$Q78&amp;"'!$G$9:$G$408"),INDIRECT("'"&amp;$Q78&amp;"'!$D$9:$D$408"),$P78,INDIRECT("'"&amp;$Q78&amp;"'!$E$9:$E$408"),$C78,INDIRECT("'"&amp;$Q78&amp;"'!$F$9:$F$408"),$D78),""))</f>
        <v/>
      </c>
      <c r="F78" s="15">
        <f>IF(OR($C78="",$Q78=""),"",IFERROR(SUMIFS(INDIRECT("'"&amp;$Q78&amp;"'!$H$9:$H$408"),INDIRECT("'"&amp;$Q78&amp;"'!$D$9:$D$408"),$P78,INDIRECT("'"&amp;$Q78&amp;"'!$E$9:$E$408"),$C78,INDIRECT("'"&amp;$Q78&amp;"'!$F$9:$F$408"),$D78),""))</f>
        <v/>
      </c>
      <c r="G78" s="15">
        <f>IF(OR($C78="",$Q78=""),"",IFERROR(SUMIFS(INDIRECT("'"&amp;$Q78&amp;"'!$I$9:$I$408"),INDIRECT("'"&amp;$Q78&amp;"'!$D$9:$D$408"),$P78,INDIRECT("'"&amp;$Q78&amp;"'!$E$9:$E$408"),$C78,INDIRECT("'"&amp;$Q78&amp;"'!$F$9:$F$408"),$D78),""))</f>
        <v/>
      </c>
      <c r="H78" s="15">
        <f>IF(OR($C78="",$Q78=""),"",IFERROR(SUMIFS(INDIRECT("'"&amp;$Q78&amp;"'!$R$9:$R$408"),INDIRECT("'"&amp;$Q78&amp;"'!$D$9:$D$408"),$P78,INDIRECT("'"&amp;$Q78&amp;"'!$E$9:$E$408"),$C78,INDIRECT("'"&amp;$Q78&amp;"'!$F$9:$F$408"),$D78),""))</f>
        <v/>
      </c>
      <c r="I78" s="16">
        <f>IF(OR(OR($C78="",$Q78=""),N(E78)=0),"",H78/E78)</f>
        <v/>
      </c>
      <c r="J78" s="15">
        <f>IF(OR($C78="",$Q78=""),"",N(E78)-N(H78))</f>
        <v/>
      </c>
      <c r="K78" s="15">
        <f>IF(OR($C78="",$Q78=""),"",IFERROR(SUMIFS(INDIRECT("'"&amp;$Q78&amp;"'!$K$9:$K$408"),INDIRECT("'"&amp;$Q78&amp;"'!$D$9:$D$408"),$P78,INDIRECT("'"&amp;$Q78&amp;"'!$E$9:$E$408"),$C78,INDIRECT("'"&amp;$Q78&amp;"'!$F$9:$F$408"),$D78),""))</f>
        <v/>
      </c>
      <c r="L78" s="15">
        <f>IF(OR($C78="",$Q78=""),"",IFERROR(SUMIFS(INDIRECT("'"&amp;$Q78&amp;"'!$Q$9:$Q$408"),INDIRECT("'"&amp;$Q78&amp;"'!$D$9:$D$408"),$P78,INDIRECT("'"&amp;$Q78&amp;"'!$E$9:$E$408"),$C78,INDIRECT("'"&amp;$Q78&amp;"'!$F$9:$F$408"),$D78),""))</f>
        <v/>
      </c>
      <c r="M78" s="15">
        <f>IF(OR($C78="",$Q78=""),"",IFERROR(SUMIFS(INDIRECT("'"&amp;$Q78&amp;"'!$M$9:$M$408"),INDIRECT("'"&amp;$Q78&amp;"'!$D$9:$D$408"),$P78,INDIRECT("'"&amp;$Q78&amp;"'!$E$9:$E$408"),$C78,INDIRECT("'"&amp;$Q78&amp;"'!$F$9:$F$408"),$D78),""))</f>
        <v/>
      </c>
      <c r="N78" s="15">
        <f>IF(OR($C78="",$Q78=""),"",IFERROR(SUMIFS(INDIRECT("'"&amp;$Q78&amp;"'!$V$9:$V$408"),INDIRECT("'"&amp;$Q78&amp;"'!$D$9:$D$408"),$P78,INDIRECT("'"&amp;$Q78&amp;"'!$E$9:$E$408"),$C78,INDIRECT("'"&amp;$Q78&amp;"'!$F$9:$F$408"),$D78),""))</f>
        <v/>
      </c>
      <c r="P78" s="17" t="n"/>
      <c r="Q78" s="17" t="n"/>
    </row>
    <row r="79">
      <c r="B79" s="13">
        <f>IF(OR($C79="",$Q79=""),"",COUNTA($C$8:$C79))</f>
        <v/>
      </c>
      <c r="C79" s="14" t="n"/>
      <c r="D79" s="14" t="n"/>
      <c r="E79" s="15">
        <f>IF(OR($C79="",$Q79=""),"",IFERROR(SUMIFS(INDIRECT("'"&amp;$Q79&amp;"'!$G$9:$G$408"),INDIRECT("'"&amp;$Q79&amp;"'!$D$9:$D$408"),$P79,INDIRECT("'"&amp;$Q79&amp;"'!$E$9:$E$408"),$C79,INDIRECT("'"&amp;$Q79&amp;"'!$F$9:$F$408"),$D79),""))</f>
        <v/>
      </c>
      <c r="F79" s="15">
        <f>IF(OR($C79="",$Q79=""),"",IFERROR(SUMIFS(INDIRECT("'"&amp;$Q79&amp;"'!$H$9:$H$408"),INDIRECT("'"&amp;$Q79&amp;"'!$D$9:$D$408"),$P79,INDIRECT("'"&amp;$Q79&amp;"'!$E$9:$E$408"),$C79,INDIRECT("'"&amp;$Q79&amp;"'!$F$9:$F$408"),$D79),""))</f>
        <v/>
      </c>
      <c r="G79" s="15">
        <f>IF(OR($C79="",$Q79=""),"",IFERROR(SUMIFS(INDIRECT("'"&amp;$Q79&amp;"'!$I$9:$I$408"),INDIRECT("'"&amp;$Q79&amp;"'!$D$9:$D$408"),$P79,INDIRECT("'"&amp;$Q79&amp;"'!$E$9:$E$408"),$C79,INDIRECT("'"&amp;$Q79&amp;"'!$F$9:$F$408"),$D79),""))</f>
        <v/>
      </c>
      <c r="H79" s="15">
        <f>IF(OR($C79="",$Q79=""),"",IFERROR(SUMIFS(INDIRECT("'"&amp;$Q79&amp;"'!$R$9:$R$408"),INDIRECT("'"&amp;$Q79&amp;"'!$D$9:$D$408"),$P79,INDIRECT("'"&amp;$Q79&amp;"'!$E$9:$E$408"),$C79,INDIRECT("'"&amp;$Q79&amp;"'!$F$9:$F$408"),$D79),""))</f>
        <v/>
      </c>
      <c r="I79" s="16">
        <f>IF(OR(OR($C79="",$Q79=""),N(E79)=0),"",H79/E79)</f>
        <v/>
      </c>
      <c r="J79" s="15">
        <f>IF(OR($C79="",$Q79=""),"",N(E79)-N(H79))</f>
        <v/>
      </c>
      <c r="K79" s="15">
        <f>IF(OR($C79="",$Q79=""),"",IFERROR(SUMIFS(INDIRECT("'"&amp;$Q79&amp;"'!$K$9:$K$408"),INDIRECT("'"&amp;$Q79&amp;"'!$D$9:$D$408"),$P79,INDIRECT("'"&amp;$Q79&amp;"'!$E$9:$E$408"),$C79,INDIRECT("'"&amp;$Q79&amp;"'!$F$9:$F$408"),$D79),""))</f>
        <v/>
      </c>
      <c r="L79" s="15">
        <f>IF(OR($C79="",$Q79=""),"",IFERROR(SUMIFS(INDIRECT("'"&amp;$Q79&amp;"'!$Q$9:$Q$408"),INDIRECT("'"&amp;$Q79&amp;"'!$D$9:$D$408"),$P79,INDIRECT("'"&amp;$Q79&amp;"'!$E$9:$E$408"),$C79,INDIRECT("'"&amp;$Q79&amp;"'!$F$9:$F$408"),$D79),""))</f>
        <v/>
      </c>
      <c r="M79" s="15">
        <f>IF(OR($C79="",$Q79=""),"",IFERROR(SUMIFS(INDIRECT("'"&amp;$Q79&amp;"'!$M$9:$M$408"),INDIRECT("'"&amp;$Q79&amp;"'!$D$9:$D$408"),$P79,INDIRECT("'"&amp;$Q79&amp;"'!$E$9:$E$408"),$C79,INDIRECT("'"&amp;$Q79&amp;"'!$F$9:$F$408"),$D79),""))</f>
        <v/>
      </c>
      <c r="N79" s="15">
        <f>IF(OR($C79="",$Q79=""),"",IFERROR(SUMIFS(INDIRECT("'"&amp;$Q79&amp;"'!$V$9:$V$408"),INDIRECT("'"&amp;$Q79&amp;"'!$D$9:$D$408"),$P79,INDIRECT("'"&amp;$Q79&amp;"'!$E$9:$E$408"),$C79,INDIRECT("'"&amp;$Q79&amp;"'!$F$9:$F$408"),$D79),""))</f>
        <v/>
      </c>
      <c r="P79" s="17" t="n"/>
      <c r="Q79" s="17" t="n"/>
    </row>
    <row r="80">
      <c r="B80" s="13">
        <f>IF(OR($C80="",$Q80=""),"",COUNTA($C$8:$C80))</f>
        <v/>
      </c>
      <c r="C80" s="14" t="n"/>
      <c r="D80" s="14" t="n"/>
      <c r="E80" s="15">
        <f>IF(OR($C80="",$Q80=""),"",IFERROR(SUMIFS(INDIRECT("'"&amp;$Q80&amp;"'!$G$9:$G$408"),INDIRECT("'"&amp;$Q80&amp;"'!$D$9:$D$408"),$P80,INDIRECT("'"&amp;$Q80&amp;"'!$E$9:$E$408"),$C80,INDIRECT("'"&amp;$Q80&amp;"'!$F$9:$F$408"),$D80),""))</f>
        <v/>
      </c>
      <c r="F80" s="15">
        <f>IF(OR($C80="",$Q80=""),"",IFERROR(SUMIFS(INDIRECT("'"&amp;$Q80&amp;"'!$H$9:$H$408"),INDIRECT("'"&amp;$Q80&amp;"'!$D$9:$D$408"),$P80,INDIRECT("'"&amp;$Q80&amp;"'!$E$9:$E$408"),$C80,INDIRECT("'"&amp;$Q80&amp;"'!$F$9:$F$408"),$D80),""))</f>
        <v/>
      </c>
      <c r="G80" s="15">
        <f>IF(OR($C80="",$Q80=""),"",IFERROR(SUMIFS(INDIRECT("'"&amp;$Q80&amp;"'!$I$9:$I$408"),INDIRECT("'"&amp;$Q80&amp;"'!$D$9:$D$408"),$P80,INDIRECT("'"&amp;$Q80&amp;"'!$E$9:$E$408"),$C80,INDIRECT("'"&amp;$Q80&amp;"'!$F$9:$F$408"),$D80),""))</f>
        <v/>
      </c>
      <c r="H80" s="15">
        <f>IF(OR($C80="",$Q80=""),"",IFERROR(SUMIFS(INDIRECT("'"&amp;$Q80&amp;"'!$R$9:$R$408"),INDIRECT("'"&amp;$Q80&amp;"'!$D$9:$D$408"),$P80,INDIRECT("'"&amp;$Q80&amp;"'!$E$9:$E$408"),$C80,INDIRECT("'"&amp;$Q80&amp;"'!$F$9:$F$408"),$D80),""))</f>
        <v/>
      </c>
      <c r="I80" s="16">
        <f>IF(OR(OR($C80="",$Q80=""),N(E80)=0),"",H80/E80)</f>
        <v/>
      </c>
      <c r="J80" s="15">
        <f>IF(OR($C80="",$Q80=""),"",N(E80)-N(H80))</f>
        <v/>
      </c>
      <c r="K80" s="15">
        <f>IF(OR($C80="",$Q80=""),"",IFERROR(SUMIFS(INDIRECT("'"&amp;$Q80&amp;"'!$K$9:$K$408"),INDIRECT("'"&amp;$Q80&amp;"'!$D$9:$D$408"),$P80,INDIRECT("'"&amp;$Q80&amp;"'!$E$9:$E$408"),$C80,INDIRECT("'"&amp;$Q80&amp;"'!$F$9:$F$408"),$D80),""))</f>
        <v/>
      </c>
      <c r="L80" s="15">
        <f>IF(OR($C80="",$Q80=""),"",IFERROR(SUMIFS(INDIRECT("'"&amp;$Q80&amp;"'!$Q$9:$Q$408"),INDIRECT("'"&amp;$Q80&amp;"'!$D$9:$D$408"),$P80,INDIRECT("'"&amp;$Q80&amp;"'!$E$9:$E$408"),$C80,INDIRECT("'"&amp;$Q80&amp;"'!$F$9:$F$408"),$D80),""))</f>
        <v/>
      </c>
      <c r="M80" s="15">
        <f>IF(OR($C80="",$Q80=""),"",IFERROR(SUMIFS(INDIRECT("'"&amp;$Q80&amp;"'!$M$9:$M$408"),INDIRECT("'"&amp;$Q80&amp;"'!$D$9:$D$408"),$P80,INDIRECT("'"&amp;$Q80&amp;"'!$E$9:$E$408"),$C80,INDIRECT("'"&amp;$Q80&amp;"'!$F$9:$F$408"),$D80),""))</f>
        <v/>
      </c>
      <c r="N80" s="15">
        <f>IF(OR($C80="",$Q80=""),"",IFERROR(SUMIFS(INDIRECT("'"&amp;$Q80&amp;"'!$V$9:$V$408"),INDIRECT("'"&amp;$Q80&amp;"'!$D$9:$D$408"),$P80,INDIRECT("'"&amp;$Q80&amp;"'!$E$9:$E$408"),$C80,INDIRECT("'"&amp;$Q80&amp;"'!$F$9:$F$408"),$D80),""))</f>
        <v/>
      </c>
      <c r="P80" s="17" t="n"/>
      <c r="Q80" s="17" t="n"/>
    </row>
    <row r="81">
      <c r="B81" s="13">
        <f>IF(OR($C81="",$Q81=""),"",COUNTA($C$8:$C81))</f>
        <v/>
      </c>
      <c r="C81" s="14" t="n"/>
      <c r="D81" s="14" t="n"/>
      <c r="E81" s="15">
        <f>IF(OR($C81="",$Q81=""),"",IFERROR(SUMIFS(INDIRECT("'"&amp;$Q81&amp;"'!$G$9:$G$408"),INDIRECT("'"&amp;$Q81&amp;"'!$D$9:$D$408"),$P81,INDIRECT("'"&amp;$Q81&amp;"'!$E$9:$E$408"),$C81,INDIRECT("'"&amp;$Q81&amp;"'!$F$9:$F$408"),$D81),""))</f>
        <v/>
      </c>
      <c r="F81" s="15">
        <f>IF(OR($C81="",$Q81=""),"",IFERROR(SUMIFS(INDIRECT("'"&amp;$Q81&amp;"'!$H$9:$H$408"),INDIRECT("'"&amp;$Q81&amp;"'!$D$9:$D$408"),$P81,INDIRECT("'"&amp;$Q81&amp;"'!$E$9:$E$408"),$C81,INDIRECT("'"&amp;$Q81&amp;"'!$F$9:$F$408"),$D81),""))</f>
        <v/>
      </c>
      <c r="G81" s="15">
        <f>IF(OR($C81="",$Q81=""),"",IFERROR(SUMIFS(INDIRECT("'"&amp;$Q81&amp;"'!$I$9:$I$408"),INDIRECT("'"&amp;$Q81&amp;"'!$D$9:$D$408"),$P81,INDIRECT("'"&amp;$Q81&amp;"'!$E$9:$E$408"),$C81,INDIRECT("'"&amp;$Q81&amp;"'!$F$9:$F$408"),$D81),""))</f>
        <v/>
      </c>
      <c r="H81" s="15">
        <f>IF(OR($C81="",$Q81=""),"",IFERROR(SUMIFS(INDIRECT("'"&amp;$Q81&amp;"'!$R$9:$R$408"),INDIRECT("'"&amp;$Q81&amp;"'!$D$9:$D$408"),$P81,INDIRECT("'"&amp;$Q81&amp;"'!$E$9:$E$408"),$C81,INDIRECT("'"&amp;$Q81&amp;"'!$F$9:$F$408"),$D81),""))</f>
        <v/>
      </c>
      <c r="I81" s="16">
        <f>IF(OR(OR($C81="",$Q81=""),N(E81)=0),"",H81/E81)</f>
        <v/>
      </c>
      <c r="J81" s="15">
        <f>IF(OR($C81="",$Q81=""),"",N(E81)-N(H81))</f>
        <v/>
      </c>
      <c r="K81" s="15">
        <f>IF(OR($C81="",$Q81=""),"",IFERROR(SUMIFS(INDIRECT("'"&amp;$Q81&amp;"'!$K$9:$K$408"),INDIRECT("'"&amp;$Q81&amp;"'!$D$9:$D$408"),$P81,INDIRECT("'"&amp;$Q81&amp;"'!$E$9:$E$408"),$C81,INDIRECT("'"&amp;$Q81&amp;"'!$F$9:$F$408"),$D81),""))</f>
        <v/>
      </c>
      <c r="L81" s="15">
        <f>IF(OR($C81="",$Q81=""),"",IFERROR(SUMIFS(INDIRECT("'"&amp;$Q81&amp;"'!$Q$9:$Q$408"),INDIRECT("'"&amp;$Q81&amp;"'!$D$9:$D$408"),$P81,INDIRECT("'"&amp;$Q81&amp;"'!$E$9:$E$408"),$C81,INDIRECT("'"&amp;$Q81&amp;"'!$F$9:$F$408"),$D81),""))</f>
        <v/>
      </c>
      <c r="M81" s="15">
        <f>IF(OR($C81="",$Q81=""),"",IFERROR(SUMIFS(INDIRECT("'"&amp;$Q81&amp;"'!$M$9:$M$408"),INDIRECT("'"&amp;$Q81&amp;"'!$D$9:$D$408"),$P81,INDIRECT("'"&amp;$Q81&amp;"'!$E$9:$E$408"),$C81,INDIRECT("'"&amp;$Q81&amp;"'!$F$9:$F$408"),$D81),""))</f>
        <v/>
      </c>
      <c r="N81" s="15">
        <f>IF(OR($C81="",$Q81=""),"",IFERROR(SUMIFS(INDIRECT("'"&amp;$Q81&amp;"'!$V$9:$V$408"),INDIRECT("'"&amp;$Q81&amp;"'!$D$9:$D$408"),$P81,INDIRECT("'"&amp;$Q81&amp;"'!$E$9:$E$408"),$C81,INDIRECT("'"&amp;$Q81&amp;"'!$F$9:$F$408"),$D81),""))</f>
        <v/>
      </c>
      <c r="P81" s="17" t="n"/>
      <c r="Q81" s="17" t="n"/>
    </row>
    <row r="82">
      <c r="B82" s="13">
        <f>IF(OR($C82="",$Q82=""),"",COUNTA($C$8:$C82))</f>
        <v/>
      </c>
      <c r="C82" s="14" t="n"/>
      <c r="D82" s="14" t="n"/>
      <c r="E82" s="15">
        <f>IF(OR($C82="",$Q82=""),"",IFERROR(SUMIFS(INDIRECT("'"&amp;$Q82&amp;"'!$G$9:$G$408"),INDIRECT("'"&amp;$Q82&amp;"'!$D$9:$D$408"),$P82,INDIRECT("'"&amp;$Q82&amp;"'!$E$9:$E$408"),$C82,INDIRECT("'"&amp;$Q82&amp;"'!$F$9:$F$408"),$D82),""))</f>
        <v/>
      </c>
      <c r="F82" s="15">
        <f>IF(OR($C82="",$Q82=""),"",IFERROR(SUMIFS(INDIRECT("'"&amp;$Q82&amp;"'!$H$9:$H$408"),INDIRECT("'"&amp;$Q82&amp;"'!$D$9:$D$408"),$P82,INDIRECT("'"&amp;$Q82&amp;"'!$E$9:$E$408"),$C82,INDIRECT("'"&amp;$Q82&amp;"'!$F$9:$F$408"),$D82),""))</f>
        <v/>
      </c>
      <c r="G82" s="15">
        <f>IF(OR($C82="",$Q82=""),"",IFERROR(SUMIFS(INDIRECT("'"&amp;$Q82&amp;"'!$I$9:$I$408"),INDIRECT("'"&amp;$Q82&amp;"'!$D$9:$D$408"),$P82,INDIRECT("'"&amp;$Q82&amp;"'!$E$9:$E$408"),$C82,INDIRECT("'"&amp;$Q82&amp;"'!$F$9:$F$408"),$D82),""))</f>
        <v/>
      </c>
      <c r="H82" s="15">
        <f>IF(OR($C82="",$Q82=""),"",IFERROR(SUMIFS(INDIRECT("'"&amp;$Q82&amp;"'!$R$9:$R$408"),INDIRECT("'"&amp;$Q82&amp;"'!$D$9:$D$408"),$P82,INDIRECT("'"&amp;$Q82&amp;"'!$E$9:$E$408"),$C82,INDIRECT("'"&amp;$Q82&amp;"'!$F$9:$F$408"),$D82),""))</f>
        <v/>
      </c>
      <c r="I82" s="16">
        <f>IF(OR(OR($C82="",$Q82=""),N(E82)=0),"",H82/E82)</f>
        <v/>
      </c>
      <c r="J82" s="15">
        <f>IF(OR($C82="",$Q82=""),"",N(E82)-N(H82))</f>
        <v/>
      </c>
      <c r="K82" s="15">
        <f>IF(OR($C82="",$Q82=""),"",IFERROR(SUMIFS(INDIRECT("'"&amp;$Q82&amp;"'!$K$9:$K$408"),INDIRECT("'"&amp;$Q82&amp;"'!$D$9:$D$408"),$P82,INDIRECT("'"&amp;$Q82&amp;"'!$E$9:$E$408"),$C82,INDIRECT("'"&amp;$Q82&amp;"'!$F$9:$F$408"),$D82),""))</f>
        <v/>
      </c>
      <c r="L82" s="15">
        <f>IF(OR($C82="",$Q82=""),"",IFERROR(SUMIFS(INDIRECT("'"&amp;$Q82&amp;"'!$Q$9:$Q$408"),INDIRECT("'"&amp;$Q82&amp;"'!$D$9:$D$408"),$P82,INDIRECT("'"&amp;$Q82&amp;"'!$E$9:$E$408"),$C82,INDIRECT("'"&amp;$Q82&amp;"'!$F$9:$F$408"),$D82),""))</f>
        <v/>
      </c>
      <c r="M82" s="15">
        <f>IF(OR($C82="",$Q82=""),"",IFERROR(SUMIFS(INDIRECT("'"&amp;$Q82&amp;"'!$M$9:$M$408"),INDIRECT("'"&amp;$Q82&amp;"'!$D$9:$D$408"),$P82,INDIRECT("'"&amp;$Q82&amp;"'!$E$9:$E$408"),$C82,INDIRECT("'"&amp;$Q82&amp;"'!$F$9:$F$408"),$D82),""))</f>
        <v/>
      </c>
      <c r="N82" s="15">
        <f>IF(OR($C82="",$Q82=""),"",IFERROR(SUMIFS(INDIRECT("'"&amp;$Q82&amp;"'!$V$9:$V$408"),INDIRECT("'"&amp;$Q82&amp;"'!$D$9:$D$408"),$P82,INDIRECT("'"&amp;$Q82&amp;"'!$E$9:$E$408"),$C82,INDIRECT("'"&amp;$Q82&amp;"'!$F$9:$F$408"),$D82),""))</f>
        <v/>
      </c>
      <c r="P82" s="17" t="n"/>
      <c r="Q82" s="17" t="n"/>
    </row>
    <row r="83">
      <c r="B83" s="13">
        <f>IF(OR($C83="",$Q83=""),"",COUNTA($C$8:$C83))</f>
        <v/>
      </c>
      <c r="C83" s="14" t="n"/>
      <c r="D83" s="14" t="n"/>
      <c r="E83" s="15">
        <f>IF(OR($C83="",$Q83=""),"",IFERROR(SUMIFS(INDIRECT("'"&amp;$Q83&amp;"'!$G$9:$G$408"),INDIRECT("'"&amp;$Q83&amp;"'!$D$9:$D$408"),$P83,INDIRECT("'"&amp;$Q83&amp;"'!$E$9:$E$408"),$C83,INDIRECT("'"&amp;$Q83&amp;"'!$F$9:$F$408"),$D83),""))</f>
        <v/>
      </c>
      <c r="F83" s="15">
        <f>IF(OR($C83="",$Q83=""),"",IFERROR(SUMIFS(INDIRECT("'"&amp;$Q83&amp;"'!$H$9:$H$408"),INDIRECT("'"&amp;$Q83&amp;"'!$D$9:$D$408"),$P83,INDIRECT("'"&amp;$Q83&amp;"'!$E$9:$E$408"),$C83,INDIRECT("'"&amp;$Q83&amp;"'!$F$9:$F$408"),$D83),""))</f>
        <v/>
      </c>
      <c r="G83" s="15">
        <f>IF(OR($C83="",$Q83=""),"",IFERROR(SUMIFS(INDIRECT("'"&amp;$Q83&amp;"'!$I$9:$I$408"),INDIRECT("'"&amp;$Q83&amp;"'!$D$9:$D$408"),$P83,INDIRECT("'"&amp;$Q83&amp;"'!$E$9:$E$408"),$C83,INDIRECT("'"&amp;$Q83&amp;"'!$F$9:$F$408"),$D83),""))</f>
        <v/>
      </c>
      <c r="H83" s="15">
        <f>IF(OR($C83="",$Q83=""),"",IFERROR(SUMIFS(INDIRECT("'"&amp;$Q83&amp;"'!$R$9:$R$408"),INDIRECT("'"&amp;$Q83&amp;"'!$D$9:$D$408"),$P83,INDIRECT("'"&amp;$Q83&amp;"'!$E$9:$E$408"),$C83,INDIRECT("'"&amp;$Q83&amp;"'!$F$9:$F$408"),$D83),""))</f>
        <v/>
      </c>
      <c r="I83" s="16">
        <f>IF(OR(OR($C83="",$Q83=""),N(E83)=0),"",H83/E83)</f>
        <v/>
      </c>
      <c r="J83" s="15">
        <f>IF(OR($C83="",$Q83=""),"",N(E83)-N(H83))</f>
        <v/>
      </c>
      <c r="K83" s="15">
        <f>IF(OR($C83="",$Q83=""),"",IFERROR(SUMIFS(INDIRECT("'"&amp;$Q83&amp;"'!$K$9:$K$408"),INDIRECT("'"&amp;$Q83&amp;"'!$D$9:$D$408"),$P83,INDIRECT("'"&amp;$Q83&amp;"'!$E$9:$E$408"),$C83,INDIRECT("'"&amp;$Q83&amp;"'!$F$9:$F$408"),$D83),""))</f>
        <v/>
      </c>
      <c r="L83" s="15">
        <f>IF(OR($C83="",$Q83=""),"",IFERROR(SUMIFS(INDIRECT("'"&amp;$Q83&amp;"'!$Q$9:$Q$408"),INDIRECT("'"&amp;$Q83&amp;"'!$D$9:$D$408"),$P83,INDIRECT("'"&amp;$Q83&amp;"'!$E$9:$E$408"),$C83,INDIRECT("'"&amp;$Q83&amp;"'!$F$9:$F$408"),$D83),""))</f>
        <v/>
      </c>
      <c r="M83" s="15">
        <f>IF(OR($C83="",$Q83=""),"",IFERROR(SUMIFS(INDIRECT("'"&amp;$Q83&amp;"'!$M$9:$M$408"),INDIRECT("'"&amp;$Q83&amp;"'!$D$9:$D$408"),$P83,INDIRECT("'"&amp;$Q83&amp;"'!$E$9:$E$408"),$C83,INDIRECT("'"&amp;$Q83&amp;"'!$F$9:$F$408"),$D83),""))</f>
        <v/>
      </c>
      <c r="N83" s="15">
        <f>IF(OR($C83="",$Q83=""),"",IFERROR(SUMIFS(INDIRECT("'"&amp;$Q83&amp;"'!$V$9:$V$408"),INDIRECT("'"&amp;$Q83&amp;"'!$D$9:$D$408"),$P83,INDIRECT("'"&amp;$Q83&amp;"'!$E$9:$E$408"),$C83,INDIRECT("'"&amp;$Q83&amp;"'!$F$9:$F$408"),$D83),""))</f>
        <v/>
      </c>
      <c r="P83" s="17" t="n"/>
      <c r="Q83" s="17" t="n"/>
    </row>
    <row r="84">
      <c r="B84" s="13">
        <f>IF(OR($C84="",$Q84=""),"",COUNTA($C$8:$C84))</f>
        <v/>
      </c>
      <c r="C84" s="14" t="n"/>
      <c r="D84" s="14" t="n"/>
      <c r="E84" s="15">
        <f>IF(OR($C84="",$Q84=""),"",IFERROR(SUMIFS(INDIRECT("'"&amp;$Q84&amp;"'!$G$9:$G$408"),INDIRECT("'"&amp;$Q84&amp;"'!$D$9:$D$408"),$P84,INDIRECT("'"&amp;$Q84&amp;"'!$E$9:$E$408"),$C84,INDIRECT("'"&amp;$Q84&amp;"'!$F$9:$F$408"),$D84),""))</f>
        <v/>
      </c>
      <c r="F84" s="15">
        <f>IF(OR($C84="",$Q84=""),"",IFERROR(SUMIFS(INDIRECT("'"&amp;$Q84&amp;"'!$H$9:$H$408"),INDIRECT("'"&amp;$Q84&amp;"'!$D$9:$D$408"),$P84,INDIRECT("'"&amp;$Q84&amp;"'!$E$9:$E$408"),$C84,INDIRECT("'"&amp;$Q84&amp;"'!$F$9:$F$408"),$D84),""))</f>
        <v/>
      </c>
      <c r="G84" s="15">
        <f>IF(OR($C84="",$Q84=""),"",IFERROR(SUMIFS(INDIRECT("'"&amp;$Q84&amp;"'!$I$9:$I$408"),INDIRECT("'"&amp;$Q84&amp;"'!$D$9:$D$408"),$P84,INDIRECT("'"&amp;$Q84&amp;"'!$E$9:$E$408"),$C84,INDIRECT("'"&amp;$Q84&amp;"'!$F$9:$F$408"),$D84),""))</f>
        <v/>
      </c>
      <c r="H84" s="15">
        <f>IF(OR($C84="",$Q84=""),"",IFERROR(SUMIFS(INDIRECT("'"&amp;$Q84&amp;"'!$R$9:$R$408"),INDIRECT("'"&amp;$Q84&amp;"'!$D$9:$D$408"),$P84,INDIRECT("'"&amp;$Q84&amp;"'!$E$9:$E$408"),$C84,INDIRECT("'"&amp;$Q84&amp;"'!$F$9:$F$408"),$D84),""))</f>
        <v/>
      </c>
      <c r="I84" s="16">
        <f>IF(OR(OR($C84="",$Q84=""),N(E84)=0),"",H84/E84)</f>
        <v/>
      </c>
      <c r="J84" s="15">
        <f>IF(OR($C84="",$Q84=""),"",N(E84)-N(H84))</f>
        <v/>
      </c>
      <c r="K84" s="15">
        <f>IF(OR($C84="",$Q84=""),"",IFERROR(SUMIFS(INDIRECT("'"&amp;$Q84&amp;"'!$K$9:$K$408"),INDIRECT("'"&amp;$Q84&amp;"'!$D$9:$D$408"),$P84,INDIRECT("'"&amp;$Q84&amp;"'!$E$9:$E$408"),$C84,INDIRECT("'"&amp;$Q84&amp;"'!$F$9:$F$408"),$D84),""))</f>
        <v/>
      </c>
      <c r="L84" s="15">
        <f>IF(OR($C84="",$Q84=""),"",IFERROR(SUMIFS(INDIRECT("'"&amp;$Q84&amp;"'!$Q$9:$Q$408"),INDIRECT("'"&amp;$Q84&amp;"'!$D$9:$D$408"),$P84,INDIRECT("'"&amp;$Q84&amp;"'!$E$9:$E$408"),$C84,INDIRECT("'"&amp;$Q84&amp;"'!$F$9:$F$408"),$D84),""))</f>
        <v/>
      </c>
      <c r="M84" s="15">
        <f>IF(OR($C84="",$Q84=""),"",IFERROR(SUMIFS(INDIRECT("'"&amp;$Q84&amp;"'!$M$9:$M$408"),INDIRECT("'"&amp;$Q84&amp;"'!$D$9:$D$408"),$P84,INDIRECT("'"&amp;$Q84&amp;"'!$E$9:$E$408"),$C84,INDIRECT("'"&amp;$Q84&amp;"'!$F$9:$F$408"),$D84),""))</f>
        <v/>
      </c>
      <c r="N84" s="15">
        <f>IF(OR($C84="",$Q84=""),"",IFERROR(SUMIFS(INDIRECT("'"&amp;$Q84&amp;"'!$V$9:$V$408"),INDIRECT("'"&amp;$Q84&amp;"'!$D$9:$D$408"),$P84,INDIRECT("'"&amp;$Q84&amp;"'!$E$9:$E$408"),$C84,INDIRECT("'"&amp;$Q84&amp;"'!$F$9:$F$408"),$D84),""))</f>
        <v/>
      </c>
      <c r="P84" s="17" t="n"/>
      <c r="Q84" s="17" t="n"/>
    </row>
    <row r="85">
      <c r="B85" s="13">
        <f>IF(OR($C85="",$Q85=""),"",COUNTA($C$8:$C85))</f>
        <v/>
      </c>
      <c r="C85" s="14" t="n"/>
      <c r="D85" s="14" t="n"/>
      <c r="E85" s="15">
        <f>IF(OR($C85="",$Q85=""),"",IFERROR(SUMIFS(INDIRECT("'"&amp;$Q85&amp;"'!$G$9:$G$408"),INDIRECT("'"&amp;$Q85&amp;"'!$D$9:$D$408"),$P85,INDIRECT("'"&amp;$Q85&amp;"'!$E$9:$E$408"),$C85,INDIRECT("'"&amp;$Q85&amp;"'!$F$9:$F$408"),$D85),""))</f>
        <v/>
      </c>
      <c r="F85" s="15">
        <f>IF(OR($C85="",$Q85=""),"",IFERROR(SUMIFS(INDIRECT("'"&amp;$Q85&amp;"'!$H$9:$H$408"),INDIRECT("'"&amp;$Q85&amp;"'!$D$9:$D$408"),$P85,INDIRECT("'"&amp;$Q85&amp;"'!$E$9:$E$408"),$C85,INDIRECT("'"&amp;$Q85&amp;"'!$F$9:$F$408"),$D85),""))</f>
        <v/>
      </c>
      <c r="G85" s="15">
        <f>IF(OR($C85="",$Q85=""),"",IFERROR(SUMIFS(INDIRECT("'"&amp;$Q85&amp;"'!$I$9:$I$408"),INDIRECT("'"&amp;$Q85&amp;"'!$D$9:$D$408"),$P85,INDIRECT("'"&amp;$Q85&amp;"'!$E$9:$E$408"),$C85,INDIRECT("'"&amp;$Q85&amp;"'!$F$9:$F$408"),$D85),""))</f>
        <v/>
      </c>
      <c r="H85" s="15">
        <f>IF(OR($C85="",$Q85=""),"",IFERROR(SUMIFS(INDIRECT("'"&amp;$Q85&amp;"'!$R$9:$R$408"),INDIRECT("'"&amp;$Q85&amp;"'!$D$9:$D$408"),$P85,INDIRECT("'"&amp;$Q85&amp;"'!$E$9:$E$408"),$C85,INDIRECT("'"&amp;$Q85&amp;"'!$F$9:$F$408"),$D85),""))</f>
        <v/>
      </c>
      <c r="I85" s="16">
        <f>IF(OR(OR($C85="",$Q85=""),N(E85)=0),"",H85/E85)</f>
        <v/>
      </c>
      <c r="J85" s="15">
        <f>IF(OR($C85="",$Q85=""),"",N(E85)-N(H85))</f>
        <v/>
      </c>
      <c r="K85" s="15">
        <f>IF(OR($C85="",$Q85=""),"",IFERROR(SUMIFS(INDIRECT("'"&amp;$Q85&amp;"'!$K$9:$K$408"),INDIRECT("'"&amp;$Q85&amp;"'!$D$9:$D$408"),$P85,INDIRECT("'"&amp;$Q85&amp;"'!$E$9:$E$408"),$C85,INDIRECT("'"&amp;$Q85&amp;"'!$F$9:$F$408"),$D85),""))</f>
        <v/>
      </c>
      <c r="L85" s="15">
        <f>IF(OR($C85="",$Q85=""),"",IFERROR(SUMIFS(INDIRECT("'"&amp;$Q85&amp;"'!$Q$9:$Q$408"),INDIRECT("'"&amp;$Q85&amp;"'!$D$9:$D$408"),$P85,INDIRECT("'"&amp;$Q85&amp;"'!$E$9:$E$408"),$C85,INDIRECT("'"&amp;$Q85&amp;"'!$F$9:$F$408"),$D85),""))</f>
        <v/>
      </c>
      <c r="M85" s="15">
        <f>IF(OR($C85="",$Q85=""),"",IFERROR(SUMIFS(INDIRECT("'"&amp;$Q85&amp;"'!$M$9:$M$408"),INDIRECT("'"&amp;$Q85&amp;"'!$D$9:$D$408"),$P85,INDIRECT("'"&amp;$Q85&amp;"'!$E$9:$E$408"),$C85,INDIRECT("'"&amp;$Q85&amp;"'!$F$9:$F$408"),$D85),""))</f>
        <v/>
      </c>
      <c r="N85" s="15">
        <f>IF(OR($C85="",$Q85=""),"",IFERROR(SUMIFS(INDIRECT("'"&amp;$Q85&amp;"'!$V$9:$V$408"),INDIRECT("'"&amp;$Q85&amp;"'!$D$9:$D$408"),$P85,INDIRECT("'"&amp;$Q85&amp;"'!$E$9:$E$408"),$C85,INDIRECT("'"&amp;$Q85&amp;"'!$F$9:$F$408"),$D85),""))</f>
        <v/>
      </c>
      <c r="P85" s="17" t="n"/>
      <c r="Q85" s="17" t="n"/>
    </row>
    <row r="86">
      <c r="B86" s="13">
        <f>IF(OR($C86="",$Q86=""),"",COUNTA($C$8:$C86))</f>
        <v/>
      </c>
      <c r="C86" s="14" t="n"/>
      <c r="D86" s="14" t="n"/>
      <c r="E86" s="15">
        <f>IF(OR($C86="",$Q86=""),"",IFERROR(SUMIFS(INDIRECT("'"&amp;$Q86&amp;"'!$G$9:$G$408"),INDIRECT("'"&amp;$Q86&amp;"'!$D$9:$D$408"),$P86,INDIRECT("'"&amp;$Q86&amp;"'!$E$9:$E$408"),$C86,INDIRECT("'"&amp;$Q86&amp;"'!$F$9:$F$408"),$D86),""))</f>
        <v/>
      </c>
      <c r="F86" s="15">
        <f>IF(OR($C86="",$Q86=""),"",IFERROR(SUMIFS(INDIRECT("'"&amp;$Q86&amp;"'!$H$9:$H$408"),INDIRECT("'"&amp;$Q86&amp;"'!$D$9:$D$408"),$P86,INDIRECT("'"&amp;$Q86&amp;"'!$E$9:$E$408"),$C86,INDIRECT("'"&amp;$Q86&amp;"'!$F$9:$F$408"),$D86),""))</f>
        <v/>
      </c>
      <c r="G86" s="15">
        <f>IF(OR($C86="",$Q86=""),"",IFERROR(SUMIFS(INDIRECT("'"&amp;$Q86&amp;"'!$I$9:$I$408"),INDIRECT("'"&amp;$Q86&amp;"'!$D$9:$D$408"),$P86,INDIRECT("'"&amp;$Q86&amp;"'!$E$9:$E$408"),$C86,INDIRECT("'"&amp;$Q86&amp;"'!$F$9:$F$408"),$D86),""))</f>
        <v/>
      </c>
      <c r="H86" s="15">
        <f>IF(OR($C86="",$Q86=""),"",IFERROR(SUMIFS(INDIRECT("'"&amp;$Q86&amp;"'!$R$9:$R$408"),INDIRECT("'"&amp;$Q86&amp;"'!$D$9:$D$408"),$P86,INDIRECT("'"&amp;$Q86&amp;"'!$E$9:$E$408"),$C86,INDIRECT("'"&amp;$Q86&amp;"'!$F$9:$F$408"),$D86),""))</f>
        <v/>
      </c>
      <c r="I86" s="16">
        <f>IF(OR(OR($C86="",$Q86=""),N(E86)=0),"",H86/E86)</f>
        <v/>
      </c>
      <c r="J86" s="15">
        <f>IF(OR($C86="",$Q86=""),"",N(E86)-N(H86))</f>
        <v/>
      </c>
      <c r="K86" s="15">
        <f>IF(OR($C86="",$Q86=""),"",IFERROR(SUMIFS(INDIRECT("'"&amp;$Q86&amp;"'!$K$9:$K$408"),INDIRECT("'"&amp;$Q86&amp;"'!$D$9:$D$408"),$P86,INDIRECT("'"&amp;$Q86&amp;"'!$E$9:$E$408"),$C86,INDIRECT("'"&amp;$Q86&amp;"'!$F$9:$F$408"),$D86),""))</f>
        <v/>
      </c>
      <c r="L86" s="15">
        <f>IF(OR($C86="",$Q86=""),"",IFERROR(SUMIFS(INDIRECT("'"&amp;$Q86&amp;"'!$Q$9:$Q$408"),INDIRECT("'"&amp;$Q86&amp;"'!$D$9:$D$408"),$P86,INDIRECT("'"&amp;$Q86&amp;"'!$E$9:$E$408"),$C86,INDIRECT("'"&amp;$Q86&amp;"'!$F$9:$F$408"),$D86),""))</f>
        <v/>
      </c>
      <c r="M86" s="15">
        <f>IF(OR($C86="",$Q86=""),"",IFERROR(SUMIFS(INDIRECT("'"&amp;$Q86&amp;"'!$M$9:$M$408"),INDIRECT("'"&amp;$Q86&amp;"'!$D$9:$D$408"),$P86,INDIRECT("'"&amp;$Q86&amp;"'!$E$9:$E$408"),$C86,INDIRECT("'"&amp;$Q86&amp;"'!$F$9:$F$408"),$D86),""))</f>
        <v/>
      </c>
      <c r="N86" s="15">
        <f>IF(OR($C86="",$Q86=""),"",IFERROR(SUMIFS(INDIRECT("'"&amp;$Q86&amp;"'!$V$9:$V$408"),INDIRECT("'"&amp;$Q86&amp;"'!$D$9:$D$408"),$P86,INDIRECT("'"&amp;$Q86&amp;"'!$E$9:$E$408"),$C86,INDIRECT("'"&amp;$Q86&amp;"'!$F$9:$F$408"),$D86),""))</f>
        <v/>
      </c>
      <c r="P86" s="17" t="n"/>
      <c r="Q86" s="17" t="n"/>
    </row>
    <row r="87">
      <c r="B87" s="13">
        <f>IF(OR($C87="",$Q87=""),"",COUNTA($C$8:$C87))</f>
        <v/>
      </c>
      <c r="C87" s="14" t="n"/>
      <c r="D87" s="14" t="n"/>
      <c r="E87" s="15">
        <f>IF(OR($C87="",$Q87=""),"",IFERROR(SUMIFS(INDIRECT("'"&amp;$Q87&amp;"'!$G$9:$G$408"),INDIRECT("'"&amp;$Q87&amp;"'!$D$9:$D$408"),$P87,INDIRECT("'"&amp;$Q87&amp;"'!$E$9:$E$408"),$C87,INDIRECT("'"&amp;$Q87&amp;"'!$F$9:$F$408"),$D87),""))</f>
        <v/>
      </c>
      <c r="F87" s="15">
        <f>IF(OR($C87="",$Q87=""),"",IFERROR(SUMIFS(INDIRECT("'"&amp;$Q87&amp;"'!$H$9:$H$408"),INDIRECT("'"&amp;$Q87&amp;"'!$D$9:$D$408"),$P87,INDIRECT("'"&amp;$Q87&amp;"'!$E$9:$E$408"),$C87,INDIRECT("'"&amp;$Q87&amp;"'!$F$9:$F$408"),$D87),""))</f>
        <v/>
      </c>
      <c r="G87" s="15">
        <f>IF(OR($C87="",$Q87=""),"",IFERROR(SUMIFS(INDIRECT("'"&amp;$Q87&amp;"'!$I$9:$I$408"),INDIRECT("'"&amp;$Q87&amp;"'!$D$9:$D$408"),$P87,INDIRECT("'"&amp;$Q87&amp;"'!$E$9:$E$408"),$C87,INDIRECT("'"&amp;$Q87&amp;"'!$F$9:$F$408"),$D87),""))</f>
        <v/>
      </c>
      <c r="H87" s="15">
        <f>IF(OR($C87="",$Q87=""),"",IFERROR(SUMIFS(INDIRECT("'"&amp;$Q87&amp;"'!$R$9:$R$408"),INDIRECT("'"&amp;$Q87&amp;"'!$D$9:$D$408"),$P87,INDIRECT("'"&amp;$Q87&amp;"'!$E$9:$E$408"),$C87,INDIRECT("'"&amp;$Q87&amp;"'!$F$9:$F$408"),$D87),""))</f>
        <v/>
      </c>
      <c r="I87" s="16">
        <f>IF(OR(OR($C87="",$Q87=""),N(E87)=0),"",H87/E87)</f>
        <v/>
      </c>
      <c r="J87" s="15">
        <f>IF(OR($C87="",$Q87=""),"",N(E87)-N(H87))</f>
        <v/>
      </c>
      <c r="K87" s="15">
        <f>IF(OR($C87="",$Q87=""),"",IFERROR(SUMIFS(INDIRECT("'"&amp;$Q87&amp;"'!$K$9:$K$408"),INDIRECT("'"&amp;$Q87&amp;"'!$D$9:$D$408"),$P87,INDIRECT("'"&amp;$Q87&amp;"'!$E$9:$E$408"),$C87,INDIRECT("'"&amp;$Q87&amp;"'!$F$9:$F$408"),$D87),""))</f>
        <v/>
      </c>
      <c r="L87" s="15">
        <f>IF(OR($C87="",$Q87=""),"",IFERROR(SUMIFS(INDIRECT("'"&amp;$Q87&amp;"'!$Q$9:$Q$408"),INDIRECT("'"&amp;$Q87&amp;"'!$D$9:$D$408"),$P87,INDIRECT("'"&amp;$Q87&amp;"'!$E$9:$E$408"),$C87,INDIRECT("'"&amp;$Q87&amp;"'!$F$9:$F$408"),$D87),""))</f>
        <v/>
      </c>
      <c r="M87" s="15">
        <f>IF(OR($C87="",$Q87=""),"",IFERROR(SUMIFS(INDIRECT("'"&amp;$Q87&amp;"'!$M$9:$M$408"),INDIRECT("'"&amp;$Q87&amp;"'!$D$9:$D$408"),$P87,INDIRECT("'"&amp;$Q87&amp;"'!$E$9:$E$408"),$C87,INDIRECT("'"&amp;$Q87&amp;"'!$F$9:$F$408"),$D87),""))</f>
        <v/>
      </c>
      <c r="N87" s="15">
        <f>IF(OR($C87="",$Q87=""),"",IFERROR(SUMIFS(INDIRECT("'"&amp;$Q87&amp;"'!$V$9:$V$408"),INDIRECT("'"&amp;$Q87&amp;"'!$D$9:$D$408"),$P87,INDIRECT("'"&amp;$Q87&amp;"'!$E$9:$E$408"),$C87,INDIRECT("'"&amp;$Q87&amp;"'!$F$9:$F$408"),$D87),""))</f>
        <v/>
      </c>
      <c r="P87" s="17" t="n"/>
      <c r="Q87" s="17" t="n"/>
    </row>
    <row r="88">
      <c r="B88" s="13">
        <f>IF(OR($C88="",$Q88=""),"",COUNTA($C$8:$C88))</f>
        <v/>
      </c>
      <c r="C88" s="14" t="n"/>
      <c r="D88" s="14" t="n"/>
      <c r="E88" s="15">
        <f>IF(OR($C88="",$Q88=""),"",IFERROR(SUMIFS(INDIRECT("'"&amp;$Q88&amp;"'!$G$9:$G$408"),INDIRECT("'"&amp;$Q88&amp;"'!$D$9:$D$408"),$P88,INDIRECT("'"&amp;$Q88&amp;"'!$E$9:$E$408"),$C88,INDIRECT("'"&amp;$Q88&amp;"'!$F$9:$F$408"),$D88),""))</f>
        <v/>
      </c>
      <c r="F88" s="15">
        <f>IF(OR($C88="",$Q88=""),"",IFERROR(SUMIFS(INDIRECT("'"&amp;$Q88&amp;"'!$H$9:$H$408"),INDIRECT("'"&amp;$Q88&amp;"'!$D$9:$D$408"),$P88,INDIRECT("'"&amp;$Q88&amp;"'!$E$9:$E$408"),$C88,INDIRECT("'"&amp;$Q88&amp;"'!$F$9:$F$408"),$D88),""))</f>
        <v/>
      </c>
      <c r="G88" s="15">
        <f>IF(OR($C88="",$Q88=""),"",IFERROR(SUMIFS(INDIRECT("'"&amp;$Q88&amp;"'!$I$9:$I$408"),INDIRECT("'"&amp;$Q88&amp;"'!$D$9:$D$408"),$P88,INDIRECT("'"&amp;$Q88&amp;"'!$E$9:$E$408"),$C88,INDIRECT("'"&amp;$Q88&amp;"'!$F$9:$F$408"),$D88),""))</f>
        <v/>
      </c>
      <c r="H88" s="15">
        <f>IF(OR($C88="",$Q88=""),"",IFERROR(SUMIFS(INDIRECT("'"&amp;$Q88&amp;"'!$R$9:$R$408"),INDIRECT("'"&amp;$Q88&amp;"'!$D$9:$D$408"),$P88,INDIRECT("'"&amp;$Q88&amp;"'!$E$9:$E$408"),$C88,INDIRECT("'"&amp;$Q88&amp;"'!$F$9:$F$408"),$D88),""))</f>
        <v/>
      </c>
      <c r="I88" s="16">
        <f>IF(OR(OR($C88="",$Q88=""),N(E88)=0),"",H88/E88)</f>
        <v/>
      </c>
      <c r="J88" s="15">
        <f>IF(OR($C88="",$Q88=""),"",N(E88)-N(H88))</f>
        <v/>
      </c>
      <c r="K88" s="15">
        <f>IF(OR($C88="",$Q88=""),"",IFERROR(SUMIFS(INDIRECT("'"&amp;$Q88&amp;"'!$K$9:$K$408"),INDIRECT("'"&amp;$Q88&amp;"'!$D$9:$D$408"),$P88,INDIRECT("'"&amp;$Q88&amp;"'!$E$9:$E$408"),$C88,INDIRECT("'"&amp;$Q88&amp;"'!$F$9:$F$408"),$D88),""))</f>
        <v/>
      </c>
      <c r="L88" s="15">
        <f>IF(OR($C88="",$Q88=""),"",IFERROR(SUMIFS(INDIRECT("'"&amp;$Q88&amp;"'!$Q$9:$Q$408"),INDIRECT("'"&amp;$Q88&amp;"'!$D$9:$D$408"),$P88,INDIRECT("'"&amp;$Q88&amp;"'!$E$9:$E$408"),$C88,INDIRECT("'"&amp;$Q88&amp;"'!$F$9:$F$408"),$D88),""))</f>
        <v/>
      </c>
      <c r="M88" s="15">
        <f>IF(OR($C88="",$Q88=""),"",IFERROR(SUMIFS(INDIRECT("'"&amp;$Q88&amp;"'!$M$9:$M$408"),INDIRECT("'"&amp;$Q88&amp;"'!$D$9:$D$408"),$P88,INDIRECT("'"&amp;$Q88&amp;"'!$E$9:$E$408"),$C88,INDIRECT("'"&amp;$Q88&amp;"'!$F$9:$F$408"),$D88),""))</f>
        <v/>
      </c>
      <c r="N88" s="15">
        <f>IF(OR($C88="",$Q88=""),"",IFERROR(SUMIFS(INDIRECT("'"&amp;$Q88&amp;"'!$V$9:$V$408"),INDIRECT("'"&amp;$Q88&amp;"'!$D$9:$D$408"),$P88,INDIRECT("'"&amp;$Q88&amp;"'!$E$9:$E$408"),$C88,INDIRECT("'"&amp;$Q88&amp;"'!$F$9:$F$408"),$D88),""))</f>
        <v/>
      </c>
      <c r="P88" s="17" t="n"/>
      <c r="Q88" s="17" t="n"/>
    </row>
    <row r="89">
      <c r="B89" s="13">
        <f>IF(OR($C89="",$Q89=""),"",COUNTA($C$8:$C89))</f>
        <v/>
      </c>
      <c r="C89" s="14" t="n"/>
      <c r="D89" s="14" t="n"/>
      <c r="E89" s="15">
        <f>IF(OR($C89="",$Q89=""),"",IFERROR(SUMIFS(INDIRECT("'"&amp;$Q89&amp;"'!$G$9:$G$408"),INDIRECT("'"&amp;$Q89&amp;"'!$D$9:$D$408"),$P89,INDIRECT("'"&amp;$Q89&amp;"'!$E$9:$E$408"),$C89,INDIRECT("'"&amp;$Q89&amp;"'!$F$9:$F$408"),$D89),""))</f>
        <v/>
      </c>
      <c r="F89" s="15">
        <f>IF(OR($C89="",$Q89=""),"",IFERROR(SUMIFS(INDIRECT("'"&amp;$Q89&amp;"'!$H$9:$H$408"),INDIRECT("'"&amp;$Q89&amp;"'!$D$9:$D$408"),$P89,INDIRECT("'"&amp;$Q89&amp;"'!$E$9:$E$408"),$C89,INDIRECT("'"&amp;$Q89&amp;"'!$F$9:$F$408"),$D89),""))</f>
        <v/>
      </c>
      <c r="G89" s="15">
        <f>IF(OR($C89="",$Q89=""),"",IFERROR(SUMIFS(INDIRECT("'"&amp;$Q89&amp;"'!$I$9:$I$408"),INDIRECT("'"&amp;$Q89&amp;"'!$D$9:$D$408"),$P89,INDIRECT("'"&amp;$Q89&amp;"'!$E$9:$E$408"),$C89,INDIRECT("'"&amp;$Q89&amp;"'!$F$9:$F$408"),$D89),""))</f>
        <v/>
      </c>
      <c r="H89" s="15">
        <f>IF(OR($C89="",$Q89=""),"",IFERROR(SUMIFS(INDIRECT("'"&amp;$Q89&amp;"'!$R$9:$R$408"),INDIRECT("'"&amp;$Q89&amp;"'!$D$9:$D$408"),$P89,INDIRECT("'"&amp;$Q89&amp;"'!$E$9:$E$408"),$C89,INDIRECT("'"&amp;$Q89&amp;"'!$F$9:$F$408"),$D89),""))</f>
        <v/>
      </c>
      <c r="I89" s="16">
        <f>IF(OR(OR($C89="",$Q89=""),N(E89)=0),"",H89/E89)</f>
        <v/>
      </c>
      <c r="J89" s="15">
        <f>IF(OR($C89="",$Q89=""),"",N(E89)-N(H89))</f>
        <v/>
      </c>
      <c r="K89" s="15">
        <f>IF(OR($C89="",$Q89=""),"",IFERROR(SUMIFS(INDIRECT("'"&amp;$Q89&amp;"'!$K$9:$K$408"),INDIRECT("'"&amp;$Q89&amp;"'!$D$9:$D$408"),$P89,INDIRECT("'"&amp;$Q89&amp;"'!$E$9:$E$408"),$C89,INDIRECT("'"&amp;$Q89&amp;"'!$F$9:$F$408"),$D89),""))</f>
        <v/>
      </c>
      <c r="L89" s="15">
        <f>IF(OR($C89="",$Q89=""),"",IFERROR(SUMIFS(INDIRECT("'"&amp;$Q89&amp;"'!$Q$9:$Q$408"),INDIRECT("'"&amp;$Q89&amp;"'!$D$9:$D$408"),$P89,INDIRECT("'"&amp;$Q89&amp;"'!$E$9:$E$408"),$C89,INDIRECT("'"&amp;$Q89&amp;"'!$F$9:$F$408"),$D89),""))</f>
        <v/>
      </c>
      <c r="M89" s="15">
        <f>IF(OR($C89="",$Q89=""),"",IFERROR(SUMIFS(INDIRECT("'"&amp;$Q89&amp;"'!$M$9:$M$408"),INDIRECT("'"&amp;$Q89&amp;"'!$D$9:$D$408"),$P89,INDIRECT("'"&amp;$Q89&amp;"'!$E$9:$E$408"),$C89,INDIRECT("'"&amp;$Q89&amp;"'!$F$9:$F$408"),$D89),""))</f>
        <v/>
      </c>
      <c r="N89" s="15">
        <f>IF(OR($C89="",$Q89=""),"",IFERROR(SUMIFS(INDIRECT("'"&amp;$Q89&amp;"'!$V$9:$V$408"),INDIRECT("'"&amp;$Q89&amp;"'!$D$9:$D$408"),$P89,INDIRECT("'"&amp;$Q89&amp;"'!$E$9:$E$408"),$C89,INDIRECT("'"&amp;$Q89&amp;"'!$F$9:$F$408"),$D89),""))</f>
        <v/>
      </c>
      <c r="P89" s="17" t="n"/>
      <c r="Q89" s="17" t="n"/>
    </row>
    <row r="90">
      <c r="B90" s="13">
        <f>IF(OR($C90="",$Q90=""),"",COUNTA($C$8:$C90))</f>
        <v/>
      </c>
      <c r="C90" s="14" t="n"/>
      <c r="D90" s="14" t="n"/>
      <c r="E90" s="15">
        <f>IF(OR($C90="",$Q90=""),"",IFERROR(SUMIFS(INDIRECT("'"&amp;$Q90&amp;"'!$G$9:$G$408"),INDIRECT("'"&amp;$Q90&amp;"'!$D$9:$D$408"),$P90,INDIRECT("'"&amp;$Q90&amp;"'!$E$9:$E$408"),$C90,INDIRECT("'"&amp;$Q90&amp;"'!$F$9:$F$408"),$D90),""))</f>
        <v/>
      </c>
      <c r="F90" s="15">
        <f>IF(OR($C90="",$Q90=""),"",IFERROR(SUMIFS(INDIRECT("'"&amp;$Q90&amp;"'!$H$9:$H$408"),INDIRECT("'"&amp;$Q90&amp;"'!$D$9:$D$408"),$P90,INDIRECT("'"&amp;$Q90&amp;"'!$E$9:$E$408"),$C90,INDIRECT("'"&amp;$Q90&amp;"'!$F$9:$F$408"),$D90),""))</f>
        <v/>
      </c>
      <c r="G90" s="15">
        <f>IF(OR($C90="",$Q90=""),"",IFERROR(SUMIFS(INDIRECT("'"&amp;$Q90&amp;"'!$I$9:$I$408"),INDIRECT("'"&amp;$Q90&amp;"'!$D$9:$D$408"),$P90,INDIRECT("'"&amp;$Q90&amp;"'!$E$9:$E$408"),$C90,INDIRECT("'"&amp;$Q90&amp;"'!$F$9:$F$408"),$D90),""))</f>
        <v/>
      </c>
      <c r="H90" s="15">
        <f>IF(OR($C90="",$Q90=""),"",IFERROR(SUMIFS(INDIRECT("'"&amp;$Q90&amp;"'!$R$9:$R$408"),INDIRECT("'"&amp;$Q90&amp;"'!$D$9:$D$408"),$P90,INDIRECT("'"&amp;$Q90&amp;"'!$E$9:$E$408"),$C90,INDIRECT("'"&amp;$Q90&amp;"'!$F$9:$F$408"),$D90),""))</f>
        <v/>
      </c>
      <c r="I90" s="16">
        <f>IF(OR(OR($C90="",$Q90=""),N(E90)=0),"",H90/E90)</f>
        <v/>
      </c>
      <c r="J90" s="15">
        <f>IF(OR($C90="",$Q90=""),"",N(E90)-N(H90))</f>
        <v/>
      </c>
      <c r="K90" s="15">
        <f>IF(OR($C90="",$Q90=""),"",IFERROR(SUMIFS(INDIRECT("'"&amp;$Q90&amp;"'!$K$9:$K$408"),INDIRECT("'"&amp;$Q90&amp;"'!$D$9:$D$408"),$P90,INDIRECT("'"&amp;$Q90&amp;"'!$E$9:$E$408"),$C90,INDIRECT("'"&amp;$Q90&amp;"'!$F$9:$F$408"),$D90),""))</f>
        <v/>
      </c>
      <c r="L90" s="15">
        <f>IF(OR($C90="",$Q90=""),"",IFERROR(SUMIFS(INDIRECT("'"&amp;$Q90&amp;"'!$Q$9:$Q$408"),INDIRECT("'"&amp;$Q90&amp;"'!$D$9:$D$408"),$P90,INDIRECT("'"&amp;$Q90&amp;"'!$E$9:$E$408"),$C90,INDIRECT("'"&amp;$Q90&amp;"'!$F$9:$F$408"),$D90),""))</f>
        <v/>
      </c>
      <c r="M90" s="15">
        <f>IF(OR($C90="",$Q90=""),"",IFERROR(SUMIFS(INDIRECT("'"&amp;$Q90&amp;"'!$M$9:$M$408"),INDIRECT("'"&amp;$Q90&amp;"'!$D$9:$D$408"),$P90,INDIRECT("'"&amp;$Q90&amp;"'!$E$9:$E$408"),$C90,INDIRECT("'"&amp;$Q90&amp;"'!$F$9:$F$408"),$D90),""))</f>
        <v/>
      </c>
      <c r="N90" s="15">
        <f>IF(OR($C90="",$Q90=""),"",IFERROR(SUMIFS(INDIRECT("'"&amp;$Q90&amp;"'!$V$9:$V$408"),INDIRECT("'"&amp;$Q90&amp;"'!$D$9:$D$408"),$P90,INDIRECT("'"&amp;$Q90&amp;"'!$E$9:$E$408"),$C90,INDIRECT("'"&amp;$Q90&amp;"'!$F$9:$F$408"),$D90),""))</f>
        <v/>
      </c>
      <c r="P90" s="17" t="n"/>
      <c r="Q90" s="17" t="n"/>
    </row>
    <row r="91">
      <c r="B91" s="13">
        <f>IF(OR($C91="",$Q91=""),"",COUNTA($C$8:$C91))</f>
        <v/>
      </c>
      <c r="C91" s="14" t="n"/>
      <c r="D91" s="14" t="n"/>
      <c r="E91" s="15">
        <f>IF(OR($C91="",$Q91=""),"",IFERROR(SUMIFS(INDIRECT("'"&amp;$Q91&amp;"'!$G$9:$G$408"),INDIRECT("'"&amp;$Q91&amp;"'!$D$9:$D$408"),$P91,INDIRECT("'"&amp;$Q91&amp;"'!$E$9:$E$408"),$C91,INDIRECT("'"&amp;$Q91&amp;"'!$F$9:$F$408"),$D91),""))</f>
        <v/>
      </c>
      <c r="F91" s="15">
        <f>IF(OR($C91="",$Q91=""),"",IFERROR(SUMIFS(INDIRECT("'"&amp;$Q91&amp;"'!$H$9:$H$408"),INDIRECT("'"&amp;$Q91&amp;"'!$D$9:$D$408"),$P91,INDIRECT("'"&amp;$Q91&amp;"'!$E$9:$E$408"),$C91,INDIRECT("'"&amp;$Q91&amp;"'!$F$9:$F$408"),$D91),""))</f>
        <v/>
      </c>
      <c r="G91" s="15">
        <f>IF(OR($C91="",$Q91=""),"",IFERROR(SUMIFS(INDIRECT("'"&amp;$Q91&amp;"'!$I$9:$I$408"),INDIRECT("'"&amp;$Q91&amp;"'!$D$9:$D$408"),$P91,INDIRECT("'"&amp;$Q91&amp;"'!$E$9:$E$408"),$C91,INDIRECT("'"&amp;$Q91&amp;"'!$F$9:$F$408"),$D91),""))</f>
        <v/>
      </c>
      <c r="H91" s="15">
        <f>IF(OR($C91="",$Q91=""),"",IFERROR(SUMIFS(INDIRECT("'"&amp;$Q91&amp;"'!$R$9:$R$408"),INDIRECT("'"&amp;$Q91&amp;"'!$D$9:$D$408"),$P91,INDIRECT("'"&amp;$Q91&amp;"'!$E$9:$E$408"),$C91,INDIRECT("'"&amp;$Q91&amp;"'!$F$9:$F$408"),$D91),""))</f>
        <v/>
      </c>
      <c r="I91" s="16">
        <f>IF(OR(OR($C91="",$Q91=""),N(E91)=0),"",H91/E91)</f>
        <v/>
      </c>
      <c r="J91" s="15">
        <f>IF(OR($C91="",$Q91=""),"",N(E91)-N(H91))</f>
        <v/>
      </c>
      <c r="K91" s="15">
        <f>IF(OR($C91="",$Q91=""),"",IFERROR(SUMIFS(INDIRECT("'"&amp;$Q91&amp;"'!$K$9:$K$408"),INDIRECT("'"&amp;$Q91&amp;"'!$D$9:$D$408"),$P91,INDIRECT("'"&amp;$Q91&amp;"'!$E$9:$E$408"),$C91,INDIRECT("'"&amp;$Q91&amp;"'!$F$9:$F$408"),$D91),""))</f>
        <v/>
      </c>
      <c r="L91" s="15">
        <f>IF(OR($C91="",$Q91=""),"",IFERROR(SUMIFS(INDIRECT("'"&amp;$Q91&amp;"'!$Q$9:$Q$408"),INDIRECT("'"&amp;$Q91&amp;"'!$D$9:$D$408"),$P91,INDIRECT("'"&amp;$Q91&amp;"'!$E$9:$E$408"),$C91,INDIRECT("'"&amp;$Q91&amp;"'!$F$9:$F$408"),$D91),""))</f>
        <v/>
      </c>
      <c r="M91" s="15">
        <f>IF(OR($C91="",$Q91=""),"",IFERROR(SUMIFS(INDIRECT("'"&amp;$Q91&amp;"'!$M$9:$M$408"),INDIRECT("'"&amp;$Q91&amp;"'!$D$9:$D$408"),$P91,INDIRECT("'"&amp;$Q91&amp;"'!$E$9:$E$408"),$C91,INDIRECT("'"&amp;$Q91&amp;"'!$F$9:$F$408"),$D91),""))</f>
        <v/>
      </c>
      <c r="N91" s="15">
        <f>IF(OR($C91="",$Q91=""),"",IFERROR(SUMIFS(INDIRECT("'"&amp;$Q91&amp;"'!$V$9:$V$408"),INDIRECT("'"&amp;$Q91&amp;"'!$D$9:$D$408"),$P91,INDIRECT("'"&amp;$Q91&amp;"'!$E$9:$E$408"),$C91,INDIRECT("'"&amp;$Q91&amp;"'!$F$9:$F$408"),$D91),""))</f>
        <v/>
      </c>
      <c r="P91" s="17" t="n"/>
      <c r="Q91" s="17" t="n"/>
    </row>
    <row r="92">
      <c r="B92" s="13">
        <f>IF(OR($C92="",$Q92=""),"",COUNTA($C$8:$C92))</f>
        <v/>
      </c>
      <c r="C92" s="14" t="n"/>
      <c r="D92" s="14" t="n"/>
      <c r="E92" s="15">
        <f>IF(OR($C92="",$Q92=""),"",IFERROR(SUMIFS(INDIRECT("'"&amp;$Q92&amp;"'!$G$9:$G$408"),INDIRECT("'"&amp;$Q92&amp;"'!$D$9:$D$408"),$P92,INDIRECT("'"&amp;$Q92&amp;"'!$E$9:$E$408"),$C92,INDIRECT("'"&amp;$Q92&amp;"'!$F$9:$F$408"),$D92),""))</f>
        <v/>
      </c>
      <c r="F92" s="15">
        <f>IF(OR($C92="",$Q92=""),"",IFERROR(SUMIFS(INDIRECT("'"&amp;$Q92&amp;"'!$H$9:$H$408"),INDIRECT("'"&amp;$Q92&amp;"'!$D$9:$D$408"),$P92,INDIRECT("'"&amp;$Q92&amp;"'!$E$9:$E$408"),$C92,INDIRECT("'"&amp;$Q92&amp;"'!$F$9:$F$408"),$D92),""))</f>
        <v/>
      </c>
      <c r="G92" s="15">
        <f>IF(OR($C92="",$Q92=""),"",IFERROR(SUMIFS(INDIRECT("'"&amp;$Q92&amp;"'!$I$9:$I$408"),INDIRECT("'"&amp;$Q92&amp;"'!$D$9:$D$408"),$P92,INDIRECT("'"&amp;$Q92&amp;"'!$E$9:$E$408"),$C92,INDIRECT("'"&amp;$Q92&amp;"'!$F$9:$F$408"),$D92),""))</f>
        <v/>
      </c>
      <c r="H92" s="15">
        <f>IF(OR($C92="",$Q92=""),"",IFERROR(SUMIFS(INDIRECT("'"&amp;$Q92&amp;"'!$R$9:$R$408"),INDIRECT("'"&amp;$Q92&amp;"'!$D$9:$D$408"),$P92,INDIRECT("'"&amp;$Q92&amp;"'!$E$9:$E$408"),$C92,INDIRECT("'"&amp;$Q92&amp;"'!$F$9:$F$408"),$D92),""))</f>
        <v/>
      </c>
      <c r="I92" s="16">
        <f>IF(OR(OR($C92="",$Q92=""),N(E92)=0),"",H92/E92)</f>
        <v/>
      </c>
      <c r="J92" s="15">
        <f>IF(OR($C92="",$Q92=""),"",N(E92)-N(H92))</f>
        <v/>
      </c>
      <c r="K92" s="15">
        <f>IF(OR($C92="",$Q92=""),"",IFERROR(SUMIFS(INDIRECT("'"&amp;$Q92&amp;"'!$K$9:$K$408"),INDIRECT("'"&amp;$Q92&amp;"'!$D$9:$D$408"),$P92,INDIRECT("'"&amp;$Q92&amp;"'!$E$9:$E$408"),$C92,INDIRECT("'"&amp;$Q92&amp;"'!$F$9:$F$408"),$D92),""))</f>
        <v/>
      </c>
      <c r="L92" s="15">
        <f>IF(OR($C92="",$Q92=""),"",IFERROR(SUMIFS(INDIRECT("'"&amp;$Q92&amp;"'!$Q$9:$Q$408"),INDIRECT("'"&amp;$Q92&amp;"'!$D$9:$D$408"),$P92,INDIRECT("'"&amp;$Q92&amp;"'!$E$9:$E$408"),$C92,INDIRECT("'"&amp;$Q92&amp;"'!$F$9:$F$408"),$D92),""))</f>
        <v/>
      </c>
      <c r="M92" s="15">
        <f>IF(OR($C92="",$Q92=""),"",IFERROR(SUMIFS(INDIRECT("'"&amp;$Q92&amp;"'!$M$9:$M$408"),INDIRECT("'"&amp;$Q92&amp;"'!$D$9:$D$408"),$P92,INDIRECT("'"&amp;$Q92&amp;"'!$E$9:$E$408"),$C92,INDIRECT("'"&amp;$Q92&amp;"'!$F$9:$F$408"),$D92),""))</f>
        <v/>
      </c>
      <c r="N92" s="15">
        <f>IF(OR($C92="",$Q92=""),"",IFERROR(SUMIFS(INDIRECT("'"&amp;$Q92&amp;"'!$V$9:$V$408"),INDIRECT("'"&amp;$Q92&amp;"'!$D$9:$D$408"),$P92,INDIRECT("'"&amp;$Q92&amp;"'!$E$9:$E$408"),$C92,INDIRECT("'"&amp;$Q92&amp;"'!$F$9:$F$408"),$D92),""))</f>
        <v/>
      </c>
      <c r="P92" s="17" t="n"/>
      <c r="Q92" s="17" t="n"/>
    </row>
    <row r="93">
      <c r="B93" s="13">
        <f>IF(OR($C93="",$Q93=""),"",COUNTA($C$8:$C93))</f>
        <v/>
      </c>
      <c r="C93" s="14" t="n"/>
      <c r="D93" s="14" t="n"/>
      <c r="E93" s="15">
        <f>IF(OR($C93="",$Q93=""),"",IFERROR(SUMIFS(INDIRECT("'"&amp;$Q93&amp;"'!$G$9:$G$408"),INDIRECT("'"&amp;$Q93&amp;"'!$D$9:$D$408"),$P93,INDIRECT("'"&amp;$Q93&amp;"'!$E$9:$E$408"),$C93,INDIRECT("'"&amp;$Q93&amp;"'!$F$9:$F$408"),$D93),""))</f>
        <v/>
      </c>
      <c r="F93" s="15">
        <f>IF(OR($C93="",$Q93=""),"",IFERROR(SUMIFS(INDIRECT("'"&amp;$Q93&amp;"'!$H$9:$H$408"),INDIRECT("'"&amp;$Q93&amp;"'!$D$9:$D$408"),$P93,INDIRECT("'"&amp;$Q93&amp;"'!$E$9:$E$408"),$C93,INDIRECT("'"&amp;$Q93&amp;"'!$F$9:$F$408"),$D93),""))</f>
        <v/>
      </c>
      <c r="G93" s="15">
        <f>IF(OR($C93="",$Q93=""),"",IFERROR(SUMIFS(INDIRECT("'"&amp;$Q93&amp;"'!$I$9:$I$408"),INDIRECT("'"&amp;$Q93&amp;"'!$D$9:$D$408"),$P93,INDIRECT("'"&amp;$Q93&amp;"'!$E$9:$E$408"),$C93,INDIRECT("'"&amp;$Q93&amp;"'!$F$9:$F$408"),$D93),""))</f>
        <v/>
      </c>
      <c r="H93" s="15">
        <f>IF(OR($C93="",$Q93=""),"",IFERROR(SUMIFS(INDIRECT("'"&amp;$Q93&amp;"'!$R$9:$R$408"),INDIRECT("'"&amp;$Q93&amp;"'!$D$9:$D$408"),$P93,INDIRECT("'"&amp;$Q93&amp;"'!$E$9:$E$408"),$C93,INDIRECT("'"&amp;$Q93&amp;"'!$F$9:$F$408"),$D93),""))</f>
        <v/>
      </c>
      <c r="I93" s="16">
        <f>IF(OR(OR($C93="",$Q93=""),N(E93)=0),"",H93/E93)</f>
        <v/>
      </c>
      <c r="J93" s="15">
        <f>IF(OR($C93="",$Q93=""),"",N(E93)-N(H93))</f>
        <v/>
      </c>
      <c r="K93" s="15">
        <f>IF(OR($C93="",$Q93=""),"",IFERROR(SUMIFS(INDIRECT("'"&amp;$Q93&amp;"'!$K$9:$K$408"),INDIRECT("'"&amp;$Q93&amp;"'!$D$9:$D$408"),$P93,INDIRECT("'"&amp;$Q93&amp;"'!$E$9:$E$408"),$C93,INDIRECT("'"&amp;$Q93&amp;"'!$F$9:$F$408"),$D93),""))</f>
        <v/>
      </c>
      <c r="L93" s="15">
        <f>IF(OR($C93="",$Q93=""),"",IFERROR(SUMIFS(INDIRECT("'"&amp;$Q93&amp;"'!$Q$9:$Q$408"),INDIRECT("'"&amp;$Q93&amp;"'!$D$9:$D$408"),$P93,INDIRECT("'"&amp;$Q93&amp;"'!$E$9:$E$408"),$C93,INDIRECT("'"&amp;$Q93&amp;"'!$F$9:$F$408"),$D93),""))</f>
        <v/>
      </c>
      <c r="M93" s="15">
        <f>IF(OR($C93="",$Q93=""),"",IFERROR(SUMIFS(INDIRECT("'"&amp;$Q93&amp;"'!$M$9:$M$408"),INDIRECT("'"&amp;$Q93&amp;"'!$D$9:$D$408"),$P93,INDIRECT("'"&amp;$Q93&amp;"'!$E$9:$E$408"),$C93,INDIRECT("'"&amp;$Q93&amp;"'!$F$9:$F$408"),$D93),""))</f>
        <v/>
      </c>
      <c r="N93" s="15">
        <f>IF(OR($C93="",$Q93=""),"",IFERROR(SUMIFS(INDIRECT("'"&amp;$Q93&amp;"'!$V$9:$V$408"),INDIRECT("'"&amp;$Q93&amp;"'!$D$9:$D$408"),$P93,INDIRECT("'"&amp;$Q93&amp;"'!$E$9:$E$408"),$C93,INDIRECT("'"&amp;$Q93&amp;"'!$F$9:$F$408"),$D93),""))</f>
        <v/>
      </c>
      <c r="P93" s="17" t="n"/>
      <c r="Q93" s="17" t="n"/>
    </row>
    <row r="94">
      <c r="B94" s="13">
        <f>IF(OR($C94="",$Q94=""),"",COUNTA($C$8:$C94))</f>
        <v/>
      </c>
      <c r="C94" s="14" t="n"/>
      <c r="D94" s="14" t="n"/>
      <c r="E94" s="15">
        <f>IF(OR($C94="",$Q94=""),"",IFERROR(SUMIFS(INDIRECT("'"&amp;$Q94&amp;"'!$G$9:$G$408"),INDIRECT("'"&amp;$Q94&amp;"'!$D$9:$D$408"),$P94,INDIRECT("'"&amp;$Q94&amp;"'!$E$9:$E$408"),$C94,INDIRECT("'"&amp;$Q94&amp;"'!$F$9:$F$408"),$D94),""))</f>
        <v/>
      </c>
      <c r="F94" s="15">
        <f>IF(OR($C94="",$Q94=""),"",IFERROR(SUMIFS(INDIRECT("'"&amp;$Q94&amp;"'!$H$9:$H$408"),INDIRECT("'"&amp;$Q94&amp;"'!$D$9:$D$408"),$P94,INDIRECT("'"&amp;$Q94&amp;"'!$E$9:$E$408"),$C94,INDIRECT("'"&amp;$Q94&amp;"'!$F$9:$F$408"),$D94),""))</f>
        <v/>
      </c>
      <c r="G94" s="15">
        <f>IF(OR($C94="",$Q94=""),"",IFERROR(SUMIFS(INDIRECT("'"&amp;$Q94&amp;"'!$I$9:$I$408"),INDIRECT("'"&amp;$Q94&amp;"'!$D$9:$D$408"),$P94,INDIRECT("'"&amp;$Q94&amp;"'!$E$9:$E$408"),$C94,INDIRECT("'"&amp;$Q94&amp;"'!$F$9:$F$408"),$D94),""))</f>
        <v/>
      </c>
      <c r="H94" s="15">
        <f>IF(OR($C94="",$Q94=""),"",IFERROR(SUMIFS(INDIRECT("'"&amp;$Q94&amp;"'!$R$9:$R$408"),INDIRECT("'"&amp;$Q94&amp;"'!$D$9:$D$408"),$P94,INDIRECT("'"&amp;$Q94&amp;"'!$E$9:$E$408"),$C94,INDIRECT("'"&amp;$Q94&amp;"'!$F$9:$F$408"),$D94),""))</f>
        <v/>
      </c>
      <c r="I94" s="16">
        <f>IF(OR(OR($C94="",$Q94=""),N(E94)=0),"",H94/E94)</f>
        <v/>
      </c>
      <c r="J94" s="15">
        <f>IF(OR($C94="",$Q94=""),"",N(E94)-N(H94))</f>
        <v/>
      </c>
      <c r="K94" s="15">
        <f>IF(OR($C94="",$Q94=""),"",IFERROR(SUMIFS(INDIRECT("'"&amp;$Q94&amp;"'!$K$9:$K$408"),INDIRECT("'"&amp;$Q94&amp;"'!$D$9:$D$408"),$P94,INDIRECT("'"&amp;$Q94&amp;"'!$E$9:$E$408"),$C94,INDIRECT("'"&amp;$Q94&amp;"'!$F$9:$F$408"),$D94),""))</f>
        <v/>
      </c>
      <c r="L94" s="15">
        <f>IF(OR($C94="",$Q94=""),"",IFERROR(SUMIFS(INDIRECT("'"&amp;$Q94&amp;"'!$Q$9:$Q$408"),INDIRECT("'"&amp;$Q94&amp;"'!$D$9:$D$408"),$P94,INDIRECT("'"&amp;$Q94&amp;"'!$E$9:$E$408"),$C94,INDIRECT("'"&amp;$Q94&amp;"'!$F$9:$F$408"),$D94),""))</f>
        <v/>
      </c>
      <c r="M94" s="15">
        <f>IF(OR($C94="",$Q94=""),"",IFERROR(SUMIFS(INDIRECT("'"&amp;$Q94&amp;"'!$M$9:$M$408"),INDIRECT("'"&amp;$Q94&amp;"'!$D$9:$D$408"),$P94,INDIRECT("'"&amp;$Q94&amp;"'!$E$9:$E$408"),$C94,INDIRECT("'"&amp;$Q94&amp;"'!$F$9:$F$408"),$D94),""))</f>
        <v/>
      </c>
      <c r="N94" s="15">
        <f>IF(OR($C94="",$Q94=""),"",IFERROR(SUMIFS(INDIRECT("'"&amp;$Q94&amp;"'!$V$9:$V$408"),INDIRECT("'"&amp;$Q94&amp;"'!$D$9:$D$408"),$P94,INDIRECT("'"&amp;$Q94&amp;"'!$E$9:$E$408"),$C94,INDIRECT("'"&amp;$Q94&amp;"'!$F$9:$F$408"),$D94),""))</f>
        <v/>
      </c>
      <c r="P94" s="17" t="n"/>
      <c r="Q94" s="17" t="n"/>
    </row>
    <row r="95">
      <c r="B95" s="13">
        <f>IF(OR($C95="",$Q95=""),"",COUNTA($C$8:$C95))</f>
        <v/>
      </c>
      <c r="C95" s="14" t="n"/>
      <c r="D95" s="14" t="n"/>
      <c r="E95" s="15">
        <f>IF(OR($C95="",$Q95=""),"",IFERROR(SUMIFS(INDIRECT("'"&amp;$Q95&amp;"'!$G$9:$G$408"),INDIRECT("'"&amp;$Q95&amp;"'!$D$9:$D$408"),$P95,INDIRECT("'"&amp;$Q95&amp;"'!$E$9:$E$408"),$C95,INDIRECT("'"&amp;$Q95&amp;"'!$F$9:$F$408"),$D95),""))</f>
        <v/>
      </c>
      <c r="F95" s="15">
        <f>IF(OR($C95="",$Q95=""),"",IFERROR(SUMIFS(INDIRECT("'"&amp;$Q95&amp;"'!$H$9:$H$408"),INDIRECT("'"&amp;$Q95&amp;"'!$D$9:$D$408"),$P95,INDIRECT("'"&amp;$Q95&amp;"'!$E$9:$E$408"),$C95,INDIRECT("'"&amp;$Q95&amp;"'!$F$9:$F$408"),$D95),""))</f>
        <v/>
      </c>
      <c r="G95" s="15">
        <f>IF(OR($C95="",$Q95=""),"",IFERROR(SUMIFS(INDIRECT("'"&amp;$Q95&amp;"'!$I$9:$I$408"),INDIRECT("'"&amp;$Q95&amp;"'!$D$9:$D$408"),$P95,INDIRECT("'"&amp;$Q95&amp;"'!$E$9:$E$408"),$C95,INDIRECT("'"&amp;$Q95&amp;"'!$F$9:$F$408"),$D95),""))</f>
        <v/>
      </c>
      <c r="H95" s="15">
        <f>IF(OR($C95="",$Q95=""),"",IFERROR(SUMIFS(INDIRECT("'"&amp;$Q95&amp;"'!$R$9:$R$408"),INDIRECT("'"&amp;$Q95&amp;"'!$D$9:$D$408"),$P95,INDIRECT("'"&amp;$Q95&amp;"'!$E$9:$E$408"),$C95,INDIRECT("'"&amp;$Q95&amp;"'!$F$9:$F$408"),$D95),""))</f>
        <v/>
      </c>
      <c r="I95" s="16">
        <f>IF(OR(OR($C95="",$Q95=""),N(E95)=0),"",H95/E95)</f>
        <v/>
      </c>
      <c r="J95" s="15">
        <f>IF(OR($C95="",$Q95=""),"",N(E95)-N(H95))</f>
        <v/>
      </c>
      <c r="K95" s="15">
        <f>IF(OR($C95="",$Q95=""),"",IFERROR(SUMIFS(INDIRECT("'"&amp;$Q95&amp;"'!$K$9:$K$408"),INDIRECT("'"&amp;$Q95&amp;"'!$D$9:$D$408"),$P95,INDIRECT("'"&amp;$Q95&amp;"'!$E$9:$E$408"),$C95,INDIRECT("'"&amp;$Q95&amp;"'!$F$9:$F$408"),$D95),""))</f>
        <v/>
      </c>
      <c r="L95" s="15">
        <f>IF(OR($C95="",$Q95=""),"",IFERROR(SUMIFS(INDIRECT("'"&amp;$Q95&amp;"'!$Q$9:$Q$408"),INDIRECT("'"&amp;$Q95&amp;"'!$D$9:$D$408"),$P95,INDIRECT("'"&amp;$Q95&amp;"'!$E$9:$E$408"),$C95,INDIRECT("'"&amp;$Q95&amp;"'!$F$9:$F$408"),$D95),""))</f>
        <v/>
      </c>
      <c r="M95" s="15">
        <f>IF(OR($C95="",$Q95=""),"",IFERROR(SUMIFS(INDIRECT("'"&amp;$Q95&amp;"'!$M$9:$M$408"),INDIRECT("'"&amp;$Q95&amp;"'!$D$9:$D$408"),$P95,INDIRECT("'"&amp;$Q95&amp;"'!$E$9:$E$408"),$C95,INDIRECT("'"&amp;$Q95&amp;"'!$F$9:$F$408"),$D95),""))</f>
        <v/>
      </c>
      <c r="N95" s="15">
        <f>IF(OR($C95="",$Q95=""),"",IFERROR(SUMIFS(INDIRECT("'"&amp;$Q95&amp;"'!$V$9:$V$408"),INDIRECT("'"&amp;$Q95&amp;"'!$D$9:$D$408"),$P95,INDIRECT("'"&amp;$Q95&amp;"'!$E$9:$E$408"),$C95,INDIRECT("'"&amp;$Q95&amp;"'!$F$9:$F$408"),$D95),""))</f>
        <v/>
      </c>
      <c r="P95" s="17" t="n"/>
      <c r="Q95" s="17" t="n"/>
    </row>
    <row r="96">
      <c r="B96" s="13">
        <f>IF(OR($C96="",$Q96=""),"",COUNTA($C$8:$C96))</f>
        <v/>
      </c>
      <c r="C96" s="14" t="n"/>
      <c r="D96" s="14" t="n"/>
      <c r="E96" s="15">
        <f>IF(OR($C96="",$Q96=""),"",IFERROR(SUMIFS(INDIRECT("'"&amp;$Q96&amp;"'!$G$9:$G$408"),INDIRECT("'"&amp;$Q96&amp;"'!$D$9:$D$408"),$P96,INDIRECT("'"&amp;$Q96&amp;"'!$E$9:$E$408"),$C96,INDIRECT("'"&amp;$Q96&amp;"'!$F$9:$F$408"),$D96),""))</f>
        <v/>
      </c>
      <c r="F96" s="15">
        <f>IF(OR($C96="",$Q96=""),"",IFERROR(SUMIFS(INDIRECT("'"&amp;$Q96&amp;"'!$H$9:$H$408"),INDIRECT("'"&amp;$Q96&amp;"'!$D$9:$D$408"),$P96,INDIRECT("'"&amp;$Q96&amp;"'!$E$9:$E$408"),$C96,INDIRECT("'"&amp;$Q96&amp;"'!$F$9:$F$408"),$D96),""))</f>
        <v/>
      </c>
      <c r="G96" s="15">
        <f>IF(OR($C96="",$Q96=""),"",IFERROR(SUMIFS(INDIRECT("'"&amp;$Q96&amp;"'!$I$9:$I$408"),INDIRECT("'"&amp;$Q96&amp;"'!$D$9:$D$408"),$P96,INDIRECT("'"&amp;$Q96&amp;"'!$E$9:$E$408"),$C96,INDIRECT("'"&amp;$Q96&amp;"'!$F$9:$F$408"),$D96),""))</f>
        <v/>
      </c>
      <c r="H96" s="15">
        <f>IF(OR($C96="",$Q96=""),"",IFERROR(SUMIFS(INDIRECT("'"&amp;$Q96&amp;"'!$R$9:$R$408"),INDIRECT("'"&amp;$Q96&amp;"'!$D$9:$D$408"),$P96,INDIRECT("'"&amp;$Q96&amp;"'!$E$9:$E$408"),$C96,INDIRECT("'"&amp;$Q96&amp;"'!$F$9:$F$408"),$D96),""))</f>
        <v/>
      </c>
      <c r="I96" s="16">
        <f>IF(OR(OR($C96="",$Q96=""),N(E96)=0),"",H96/E96)</f>
        <v/>
      </c>
      <c r="J96" s="15">
        <f>IF(OR($C96="",$Q96=""),"",N(E96)-N(H96))</f>
        <v/>
      </c>
      <c r="K96" s="15">
        <f>IF(OR($C96="",$Q96=""),"",IFERROR(SUMIFS(INDIRECT("'"&amp;$Q96&amp;"'!$K$9:$K$408"),INDIRECT("'"&amp;$Q96&amp;"'!$D$9:$D$408"),$P96,INDIRECT("'"&amp;$Q96&amp;"'!$E$9:$E$408"),$C96,INDIRECT("'"&amp;$Q96&amp;"'!$F$9:$F$408"),$D96),""))</f>
        <v/>
      </c>
      <c r="L96" s="15">
        <f>IF(OR($C96="",$Q96=""),"",IFERROR(SUMIFS(INDIRECT("'"&amp;$Q96&amp;"'!$Q$9:$Q$408"),INDIRECT("'"&amp;$Q96&amp;"'!$D$9:$D$408"),$P96,INDIRECT("'"&amp;$Q96&amp;"'!$E$9:$E$408"),$C96,INDIRECT("'"&amp;$Q96&amp;"'!$F$9:$F$408"),$D96),""))</f>
        <v/>
      </c>
      <c r="M96" s="15">
        <f>IF(OR($C96="",$Q96=""),"",IFERROR(SUMIFS(INDIRECT("'"&amp;$Q96&amp;"'!$M$9:$M$408"),INDIRECT("'"&amp;$Q96&amp;"'!$D$9:$D$408"),$P96,INDIRECT("'"&amp;$Q96&amp;"'!$E$9:$E$408"),$C96,INDIRECT("'"&amp;$Q96&amp;"'!$F$9:$F$408"),$D96),""))</f>
        <v/>
      </c>
      <c r="N96" s="15">
        <f>IF(OR($C96="",$Q96=""),"",IFERROR(SUMIFS(INDIRECT("'"&amp;$Q96&amp;"'!$V$9:$V$408"),INDIRECT("'"&amp;$Q96&amp;"'!$D$9:$D$408"),$P96,INDIRECT("'"&amp;$Q96&amp;"'!$E$9:$E$408"),$C96,INDIRECT("'"&amp;$Q96&amp;"'!$F$9:$F$408"),$D96),""))</f>
        <v/>
      </c>
      <c r="P96" s="17" t="n"/>
      <c r="Q96" s="17" t="n"/>
    </row>
    <row r="97">
      <c r="B97" s="13">
        <f>IF(OR($C97="",$Q97=""),"",COUNTA($C$8:$C97))</f>
        <v/>
      </c>
      <c r="C97" s="14" t="n"/>
      <c r="D97" s="14" t="n"/>
      <c r="E97" s="15">
        <f>IF(OR($C97="",$Q97=""),"",IFERROR(SUMIFS(INDIRECT("'"&amp;$Q97&amp;"'!$G$9:$G$408"),INDIRECT("'"&amp;$Q97&amp;"'!$D$9:$D$408"),$P97,INDIRECT("'"&amp;$Q97&amp;"'!$E$9:$E$408"),$C97,INDIRECT("'"&amp;$Q97&amp;"'!$F$9:$F$408"),$D97),""))</f>
        <v/>
      </c>
      <c r="F97" s="15">
        <f>IF(OR($C97="",$Q97=""),"",IFERROR(SUMIFS(INDIRECT("'"&amp;$Q97&amp;"'!$H$9:$H$408"),INDIRECT("'"&amp;$Q97&amp;"'!$D$9:$D$408"),$P97,INDIRECT("'"&amp;$Q97&amp;"'!$E$9:$E$408"),$C97,INDIRECT("'"&amp;$Q97&amp;"'!$F$9:$F$408"),$D97),""))</f>
        <v/>
      </c>
      <c r="G97" s="15">
        <f>IF(OR($C97="",$Q97=""),"",IFERROR(SUMIFS(INDIRECT("'"&amp;$Q97&amp;"'!$I$9:$I$408"),INDIRECT("'"&amp;$Q97&amp;"'!$D$9:$D$408"),$P97,INDIRECT("'"&amp;$Q97&amp;"'!$E$9:$E$408"),$C97,INDIRECT("'"&amp;$Q97&amp;"'!$F$9:$F$408"),$D97),""))</f>
        <v/>
      </c>
      <c r="H97" s="15">
        <f>IF(OR($C97="",$Q97=""),"",IFERROR(SUMIFS(INDIRECT("'"&amp;$Q97&amp;"'!$R$9:$R$408"),INDIRECT("'"&amp;$Q97&amp;"'!$D$9:$D$408"),$P97,INDIRECT("'"&amp;$Q97&amp;"'!$E$9:$E$408"),$C97,INDIRECT("'"&amp;$Q97&amp;"'!$F$9:$F$408"),$D97),""))</f>
        <v/>
      </c>
      <c r="I97" s="16">
        <f>IF(OR(OR($C97="",$Q97=""),N(E97)=0),"",H97/E97)</f>
        <v/>
      </c>
      <c r="J97" s="15">
        <f>IF(OR($C97="",$Q97=""),"",N(E97)-N(H97))</f>
        <v/>
      </c>
      <c r="K97" s="15">
        <f>IF(OR($C97="",$Q97=""),"",IFERROR(SUMIFS(INDIRECT("'"&amp;$Q97&amp;"'!$K$9:$K$408"),INDIRECT("'"&amp;$Q97&amp;"'!$D$9:$D$408"),$P97,INDIRECT("'"&amp;$Q97&amp;"'!$E$9:$E$408"),$C97,INDIRECT("'"&amp;$Q97&amp;"'!$F$9:$F$408"),$D97),""))</f>
        <v/>
      </c>
      <c r="L97" s="15">
        <f>IF(OR($C97="",$Q97=""),"",IFERROR(SUMIFS(INDIRECT("'"&amp;$Q97&amp;"'!$Q$9:$Q$408"),INDIRECT("'"&amp;$Q97&amp;"'!$D$9:$D$408"),$P97,INDIRECT("'"&amp;$Q97&amp;"'!$E$9:$E$408"),$C97,INDIRECT("'"&amp;$Q97&amp;"'!$F$9:$F$408"),$D97),""))</f>
        <v/>
      </c>
      <c r="M97" s="15">
        <f>IF(OR($C97="",$Q97=""),"",IFERROR(SUMIFS(INDIRECT("'"&amp;$Q97&amp;"'!$M$9:$M$408"),INDIRECT("'"&amp;$Q97&amp;"'!$D$9:$D$408"),$P97,INDIRECT("'"&amp;$Q97&amp;"'!$E$9:$E$408"),$C97,INDIRECT("'"&amp;$Q97&amp;"'!$F$9:$F$408"),$D97),""))</f>
        <v/>
      </c>
      <c r="N97" s="15">
        <f>IF(OR($C97="",$Q97=""),"",IFERROR(SUMIFS(INDIRECT("'"&amp;$Q97&amp;"'!$V$9:$V$408"),INDIRECT("'"&amp;$Q97&amp;"'!$D$9:$D$408"),$P97,INDIRECT("'"&amp;$Q97&amp;"'!$E$9:$E$408"),$C97,INDIRECT("'"&amp;$Q97&amp;"'!$F$9:$F$408"),$D97),""))</f>
        <v/>
      </c>
      <c r="P97" s="17" t="n"/>
      <c r="Q97" s="17" t="n"/>
    </row>
    <row r="98">
      <c r="B98" s="13">
        <f>IF(OR($C98="",$Q98=""),"",COUNTA($C$8:$C98))</f>
        <v/>
      </c>
      <c r="C98" s="14" t="n"/>
      <c r="D98" s="14" t="n"/>
      <c r="E98" s="15">
        <f>IF(OR($C98="",$Q98=""),"",IFERROR(SUMIFS(INDIRECT("'"&amp;$Q98&amp;"'!$G$9:$G$408"),INDIRECT("'"&amp;$Q98&amp;"'!$D$9:$D$408"),$P98,INDIRECT("'"&amp;$Q98&amp;"'!$E$9:$E$408"),$C98,INDIRECT("'"&amp;$Q98&amp;"'!$F$9:$F$408"),$D98),""))</f>
        <v/>
      </c>
      <c r="F98" s="15">
        <f>IF(OR($C98="",$Q98=""),"",IFERROR(SUMIFS(INDIRECT("'"&amp;$Q98&amp;"'!$H$9:$H$408"),INDIRECT("'"&amp;$Q98&amp;"'!$D$9:$D$408"),$P98,INDIRECT("'"&amp;$Q98&amp;"'!$E$9:$E$408"),$C98,INDIRECT("'"&amp;$Q98&amp;"'!$F$9:$F$408"),$D98),""))</f>
        <v/>
      </c>
      <c r="G98" s="15">
        <f>IF(OR($C98="",$Q98=""),"",IFERROR(SUMIFS(INDIRECT("'"&amp;$Q98&amp;"'!$I$9:$I$408"),INDIRECT("'"&amp;$Q98&amp;"'!$D$9:$D$408"),$P98,INDIRECT("'"&amp;$Q98&amp;"'!$E$9:$E$408"),$C98,INDIRECT("'"&amp;$Q98&amp;"'!$F$9:$F$408"),$D98),""))</f>
        <v/>
      </c>
      <c r="H98" s="15">
        <f>IF(OR($C98="",$Q98=""),"",IFERROR(SUMIFS(INDIRECT("'"&amp;$Q98&amp;"'!$R$9:$R$408"),INDIRECT("'"&amp;$Q98&amp;"'!$D$9:$D$408"),$P98,INDIRECT("'"&amp;$Q98&amp;"'!$E$9:$E$408"),$C98,INDIRECT("'"&amp;$Q98&amp;"'!$F$9:$F$408"),$D98),""))</f>
        <v/>
      </c>
      <c r="I98" s="16">
        <f>IF(OR(OR($C98="",$Q98=""),N(E98)=0),"",H98/E98)</f>
        <v/>
      </c>
      <c r="J98" s="15">
        <f>IF(OR($C98="",$Q98=""),"",N(E98)-N(H98))</f>
        <v/>
      </c>
      <c r="K98" s="15">
        <f>IF(OR($C98="",$Q98=""),"",IFERROR(SUMIFS(INDIRECT("'"&amp;$Q98&amp;"'!$K$9:$K$408"),INDIRECT("'"&amp;$Q98&amp;"'!$D$9:$D$408"),$P98,INDIRECT("'"&amp;$Q98&amp;"'!$E$9:$E$408"),$C98,INDIRECT("'"&amp;$Q98&amp;"'!$F$9:$F$408"),$D98),""))</f>
        <v/>
      </c>
      <c r="L98" s="15">
        <f>IF(OR($C98="",$Q98=""),"",IFERROR(SUMIFS(INDIRECT("'"&amp;$Q98&amp;"'!$Q$9:$Q$408"),INDIRECT("'"&amp;$Q98&amp;"'!$D$9:$D$408"),$P98,INDIRECT("'"&amp;$Q98&amp;"'!$E$9:$E$408"),$C98,INDIRECT("'"&amp;$Q98&amp;"'!$F$9:$F$408"),$D98),""))</f>
        <v/>
      </c>
      <c r="M98" s="15">
        <f>IF(OR($C98="",$Q98=""),"",IFERROR(SUMIFS(INDIRECT("'"&amp;$Q98&amp;"'!$M$9:$M$408"),INDIRECT("'"&amp;$Q98&amp;"'!$D$9:$D$408"),$P98,INDIRECT("'"&amp;$Q98&amp;"'!$E$9:$E$408"),$C98,INDIRECT("'"&amp;$Q98&amp;"'!$F$9:$F$408"),$D98),""))</f>
        <v/>
      </c>
      <c r="N98" s="15">
        <f>IF(OR($C98="",$Q98=""),"",IFERROR(SUMIFS(INDIRECT("'"&amp;$Q98&amp;"'!$V$9:$V$408"),INDIRECT("'"&amp;$Q98&amp;"'!$D$9:$D$408"),$P98,INDIRECT("'"&amp;$Q98&amp;"'!$E$9:$E$408"),$C98,INDIRECT("'"&amp;$Q98&amp;"'!$F$9:$F$408"),$D98),""))</f>
        <v/>
      </c>
      <c r="P98" s="17" t="n"/>
      <c r="Q98" s="17" t="n"/>
    </row>
    <row r="99">
      <c r="B99" s="13">
        <f>IF(OR($C99="",$Q99=""),"",COUNTA($C$8:$C99))</f>
        <v/>
      </c>
      <c r="C99" s="14" t="n"/>
      <c r="D99" s="14" t="n"/>
      <c r="E99" s="15">
        <f>IF(OR($C99="",$Q99=""),"",IFERROR(SUMIFS(INDIRECT("'"&amp;$Q99&amp;"'!$G$9:$G$408"),INDIRECT("'"&amp;$Q99&amp;"'!$D$9:$D$408"),$P99,INDIRECT("'"&amp;$Q99&amp;"'!$E$9:$E$408"),$C99,INDIRECT("'"&amp;$Q99&amp;"'!$F$9:$F$408"),$D99),""))</f>
        <v/>
      </c>
      <c r="F99" s="15">
        <f>IF(OR($C99="",$Q99=""),"",IFERROR(SUMIFS(INDIRECT("'"&amp;$Q99&amp;"'!$H$9:$H$408"),INDIRECT("'"&amp;$Q99&amp;"'!$D$9:$D$408"),$P99,INDIRECT("'"&amp;$Q99&amp;"'!$E$9:$E$408"),$C99,INDIRECT("'"&amp;$Q99&amp;"'!$F$9:$F$408"),$D99),""))</f>
        <v/>
      </c>
      <c r="G99" s="15">
        <f>IF(OR($C99="",$Q99=""),"",IFERROR(SUMIFS(INDIRECT("'"&amp;$Q99&amp;"'!$I$9:$I$408"),INDIRECT("'"&amp;$Q99&amp;"'!$D$9:$D$408"),$P99,INDIRECT("'"&amp;$Q99&amp;"'!$E$9:$E$408"),$C99,INDIRECT("'"&amp;$Q99&amp;"'!$F$9:$F$408"),$D99),""))</f>
        <v/>
      </c>
      <c r="H99" s="15">
        <f>IF(OR($C99="",$Q99=""),"",IFERROR(SUMIFS(INDIRECT("'"&amp;$Q99&amp;"'!$R$9:$R$408"),INDIRECT("'"&amp;$Q99&amp;"'!$D$9:$D$408"),$P99,INDIRECT("'"&amp;$Q99&amp;"'!$E$9:$E$408"),$C99,INDIRECT("'"&amp;$Q99&amp;"'!$F$9:$F$408"),$D99),""))</f>
        <v/>
      </c>
      <c r="I99" s="16">
        <f>IF(OR(OR($C99="",$Q99=""),N(E99)=0),"",H99/E99)</f>
        <v/>
      </c>
      <c r="J99" s="15">
        <f>IF(OR($C99="",$Q99=""),"",N(E99)-N(H99))</f>
        <v/>
      </c>
      <c r="K99" s="15">
        <f>IF(OR($C99="",$Q99=""),"",IFERROR(SUMIFS(INDIRECT("'"&amp;$Q99&amp;"'!$K$9:$K$408"),INDIRECT("'"&amp;$Q99&amp;"'!$D$9:$D$408"),$P99,INDIRECT("'"&amp;$Q99&amp;"'!$E$9:$E$408"),$C99,INDIRECT("'"&amp;$Q99&amp;"'!$F$9:$F$408"),$D99),""))</f>
        <v/>
      </c>
      <c r="L99" s="15">
        <f>IF(OR($C99="",$Q99=""),"",IFERROR(SUMIFS(INDIRECT("'"&amp;$Q99&amp;"'!$Q$9:$Q$408"),INDIRECT("'"&amp;$Q99&amp;"'!$D$9:$D$408"),$P99,INDIRECT("'"&amp;$Q99&amp;"'!$E$9:$E$408"),$C99,INDIRECT("'"&amp;$Q99&amp;"'!$F$9:$F$408"),$D99),""))</f>
        <v/>
      </c>
      <c r="M99" s="15">
        <f>IF(OR($C99="",$Q99=""),"",IFERROR(SUMIFS(INDIRECT("'"&amp;$Q99&amp;"'!$M$9:$M$408"),INDIRECT("'"&amp;$Q99&amp;"'!$D$9:$D$408"),$P99,INDIRECT("'"&amp;$Q99&amp;"'!$E$9:$E$408"),$C99,INDIRECT("'"&amp;$Q99&amp;"'!$F$9:$F$408"),$D99),""))</f>
        <v/>
      </c>
      <c r="N99" s="15">
        <f>IF(OR($C99="",$Q99=""),"",IFERROR(SUMIFS(INDIRECT("'"&amp;$Q99&amp;"'!$V$9:$V$408"),INDIRECT("'"&amp;$Q99&amp;"'!$D$9:$D$408"),$P99,INDIRECT("'"&amp;$Q99&amp;"'!$E$9:$E$408"),$C99,INDIRECT("'"&amp;$Q99&amp;"'!$F$9:$F$408"),$D99),""))</f>
        <v/>
      </c>
      <c r="P99" s="17" t="n"/>
      <c r="Q99" s="17" t="n"/>
    </row>
    <row r="100">
      <c r="B100" s="13">
        <f>IF(OR($C100="",$Q100=""),"",COUNTA($C$8:$C100))</f>
        <v/>
      </c>
      <c r="C100" s="14" t="n"/>
      <c r="D100" s="14" t="n"/>
      <c r="E100" s="15">
        <f>IF(OR($C100="",$Q100=""),"",IFERROR(SUMIFS(INDIRECT("'"&amp;$Q100&amp;"'!$G$9:$G$408"),INDIRECT("'"&amp;$Q100&amp;"'!$D$9:$D$408"),$P100,INDIRECT("'"&amp;$Q100&amp;"'!$E$9:$E$408"),$C100,INDIRECT("'"&amp;$Q100&amp;"'!$F$9:$F$408"),$D100),""))</f>
        <v/>
      </c>
      <c r="F100" s="15">
        <f>IF(OR($C100="",$Q100=""),"",IFERROR(SUMIFS(INDIRECT("'"&amp;$Q100&amp;"'!$H$9:$H$408"),INDIRECT("'"&amp;$Q100&amp;"'!$D$9:$D$408"),$P100,INDIRECT("'"&amp;$Q100&amp;"'!$E$9:$E$408"),$C100,INDIRECT("'"&amp;$Q100&amp;"'!$F$9:$F$408"),$D100),""))</f>
        <v/>
      </c>
      <c r="G100" s="15">
        <f>IF(OR($C100="",$Q100=""),"",IFERROR(SUMIFS(INDIRECT("'"&amp;$Q100&amp;"'!$I$9:$I$408"),INDIRECT("'"&amp;$Q100&amp;"'!$D$9:$D$408"),$P100,INDIRECT("'"&amp;$Q100&amp;"'!$E$9:$E$408"),$C100,INDIRECT("'"&amp;$Q100&amp;"'!$F$9:$F$408"),$D100),""))</f>
        <v/>
      </c>
      <c r="H100" s="15">
        <f>IF(OR($C100="",$Q100=""),"",IFERROR(SUMIFS(INDIRECT("'"&amp;$Q100&amp;"'!$R$9:$R$408"),INDIRECT("'"&amp;$Q100&amp;"'!$D$9:$D$408"),$P100,INDIRECT("'"&amp;$Q100&amp;"'!$E$9:$E$408"),$C100,INDIRECT("'"&amp;$Q100&amp;"'!$F$9:$F$408"),$D100),""))</f>
        <v/>
      </c>
      <c r="I100" s="16">
        <f>IF(OR(OR($C100="",$Q100=""),N(E100)=0),"",H100/E100)</f>
        <v/>
      </c>
      <c r="J100" s="15">
        <f>IF(OR($C100="",$Q100=""),"",N(E100)-N(H100))</f>
        <v/>
      </c>
      <c r="K100" s="15">
        <f>IF(OR($C100="",$Q100=""),"",IFERROR(SUMIFS(INDIRECT("'"&amp;$Q100&amp;"'!$K$9:$K$408"),INDIRECT("'"&amp;$Q100&amp;"'!$D$9:$D$408"),$P100,INDIRECT("'"&amp;$Q100&amp;"'!$E$9:$E$408"),$C100,INDIRECT("'"&amp;$Q100&amp;"'!$F$9:$F$408"),$D100),""))</f>
        <v/>
      </c>
      <c r="L100" s="15">
        <f>IF(OR($C100="",$Q100=""),"",IFERROR(SUMIFS(INDIRECT("'"&amp;$Q100&amp;"'!$Q$9:$Q$408"),INDIRECT("'"&amp;$Q100&amp;"'!$D$9:$D$408"),$P100,INDIRECT("'"&amp;$Q100&amp;"'!$E$9:$E$408"),$C100,INDIRECT("'"&amp;$Q100&amp;"'!$F$9:$F$408"),$D100),""))</f>
        <v/>
      </c>
      <c r="M100" s="15">
        <f>IF(OR($C100="",$Q100=""),"",IFERROR(SUMIFS(INDIRECT("'"&amp;$Q100&amp;"'!$M$9:$M$408"),INDIRECT("'"&amp;$Q100&amp;"'!$D$9:$D$408"),$P100,INDIRECT("'"&amp;$Q100&amp;"'!$E$9:$E$408"),$C100,INDIRECT("'"&amp;$Q100&amp;"'!$F$9:$F$408"),$D100),""))</f>
        <v/>
      </c>
      <c r="N100" s="15">
        <f>IF(OR($C100="",$Q100=""),"",IFERROR(SUMIFS(INDIRECT("'"&amp;$Q100&amp;"'!$V$9:$V$408"),INDIRECT("'"&amp;$Q100&amp;"'!$D$9:$D$408"),$P100,INDIRECT("'"&amp;$Q100&amp;"'!$E$9:$E$408"),$C100,INDIRECT("'"&amp;$Q100&amp;"'!$F$9:$F$408"),$D100),""))</f>
        <v/>
      </c>
      <c r="P100" s="17" t="n"/>
      <c r="Q100" s="17" t="n"/>
    </row>
    <row r="101">
      <c r="B101" s="13">
        <f>IF(OR($C101="",$Q101=""),"",COUNTA($C$8:$C101))</f>
        <v/>
      </c>
      <c r="C101" s="14" t="n"/>
      <c r="D101" s="14" t="n"/>
      <c r="E101" s="15">
        <f>IF(OR($C101="",$Q101=""),"",IFERROR(SUMIFS(INDIRECT("'"&amp;$Q101&amp;"'!$G$9:$G$408"),INDIRECT("'"&amp;$Q101&amp;"'!$D$9:$D$408"),$P101,INDIRECT("'"&amp;$Q101&amp;"'!$E$9:$E$408"),$C101,INDIRECT("'"&amp;$Q101&amp;"'!$F$9:$F$408"),$D101),""))</f>
        <v/>
      </c>
      <c r="F101" s="15">
        <f>IF(OR($C101="",$Q101=""),"",IFERROR(SUMIFS(INDIRECT("'"&amp;$Q101&amp;"'!$H$9:$H$408"),INDIRECT("'"&amp;$Q101&amp;"'!$D$9:$D$408"),$P101,INDIRECT("'"&amp;$Q101&amp;"'!$E$9:$E$408"),$C101,INDIRECT("'"&amp;$Q101&amp;"'!$F$9:$F$408"),$D101),""))</f>
        <v/>
      </c>
      <c r="G101" s="15">
        <f>IF(OR($C101="",$Q101=""),"",IFERROR(SUMIFS(INDIRECT("'"&amp;$Q101&amp;"'!$I$9:$I$408"),INDIRECT("'"&amp;$Q101&amp;"'!$D$9:$D$408"),$P101,INDIRECT("'"&amp;$Q101&amp;"'!$E$9:$E$408"),$C101,INDIRECT("'"&amp;$Q101&amp;"'!$F$9:$F$408"),$D101),""))</f>
        <v/>
      </c>
      <c r="H101" s="15">
        <f>IF(OR($C101="",$Q101=""),"",IFERROR(SUMIFS(INDIRECT("'"&amp;$Q101&amp;"'!$R$9:$R$408"),INDIRECT("'"&amp;$Q101&amp;"'!$D$9:$D$408"),$P101,INDIRECT("'"&amp;$Q101&amp;"'!$E$9:$E$408"),$C101,INDIRECT("'"&amp;$Q101&amp;"'!$F$9:$F$408"),$D101),""))</f>
        <v/>
      </c>
      <c r="I101" s="16">
        <f>IF(OR(OR($C101="",$Q101=""),N(E101)=0),"",H101/E101)</f>
        <v/>
      </c>
      <c r="J101" s="15">
        <f>IF(OR($C101="",$Q101=""),"",N(E101)-N(H101))</f>
        <v/>
      </c>
      <c r="K101" s="15">
        <f>IF(OR($C101="",$Q101=""),"",IFERROR(SUMIFS(INDIRECT("'"&amp;$Q101&amp;"'!$K$9:$K$408"),INDIRECT("'"&amp;$Q101&amp;"'!$D$9:$D$408"),$P101,INDIRECT("'"&amp;$Q101&amp;"'!$E$9:$E$408"),$C101,INDIRECT("'"&amp;$Q101&amp;"'!$F$9:$F$408"),$D101),""))</f>
        <v/>
      </c>
      <c r="L101" s="15">
        <f>IF(OR($C101="",$Q101=""),"",IFERROR(SUMIFS(INDIRECT("'"&amp;$Q101&amp;"'!$Q$9:$Q$408"),INDIRECT("'"&amp;$Q101&amp;"'!$D$9:$D$408"),$P101,INDIRECT("'"&amp;$Q101&amp;"'!$E$9:$E$408"),$C101,INDIRECT("'"&amp;$Q101&amp;"'!$F$9:$F$408"),$D101),""))</f>
        <v/>
      </c>
      <c r="M101" s="15">
        <f>IF(OR($C101="",$Q101=""),"",IFERROR(SUMIFS(INDIRECT("'"&amp;$Q101&amp;"'!$M$9:$M$408"),INDIRECT("'"&amp;$Q101&amp;"'!$D$9:$D$408"),$P101,INDIRECT("'"&amp;$Q101&amp;"'!$E$9:$E$408"),$C101,INDIRECT("'"&amp;$Q101&amp;"'!$F$9:$F$408"),$D101),""))</f>
        <v/>
      </c>
      <c r="N101" s="15">
        <f>IF(OR($C101="",$Q101=""),"",IFERROR(SUMIFS(INDIRECT("'"&amp;$Q101&amp;"'!$V$9:$V$408"),INDIRECT("'"&amp;$Q101&amp;"'!$D$9:$D$408"),$P101,INDIRECT("'"&amp;$Q101&amp;"'!$E$9:$E$408"),$C101,INDIRECT("'"&amp;$Q101&amp;"'!$F$9:$F$408"),$D101),""))</f>
        <v/>
      </c>
      <c r="P101" s="17" t="n"/>
      <c r="Q101" s="17" t="n"/>
    </row>
    <row r="102">
      <c r="B102" s="13">
        <f>IF(OR($C102="",$Q102=""),"",COUNTA($C$8:$C102))</f>
        <v/>
      </c>
      <c r="C102" s="14" t="n"/>
      <c r="D102" s="14" t="n"/>
      <c r="E102" s="15">
        <f>IF(OR($C102="",$Q102=""),"",IFERROR(SUMIFS(INDIRECT("'"&amp;$Q102&amp;"'!$G$9:$G$408"),INDIRECT("'"&amp;$Q102&amp;"'!$D$9:$D$408"),$P102,INDIRECT("'"&amp;$Q102&amp;"'!$E$9:$E$408"),$C102,INDIRECT("'"&amp;$Q102&amp;"'!$F$9:$F$408"),$D102),""))</f>
        <v/>
      </c>
      <c r="F102" s="15">
        <f>IF(OR($C102="",$Q102=""),"",IFERROR(SUMIFS(INDIRECT("'"&amp;$Q102&amp;"'!$H$9:$H$408"),INDIRECT("'"&amp;$Q102&amp;"'!$D$9:$D$408"),$P102,INDIRECT("'"&amp;$Q102&amp;"'!$E$9:$E$408"),$C102,INDIRECT("'"&amp;$Q102&amp;"'!$F$9:$F$408"),$D102),""))</f>
        <v/>
      </c>
      <c r="G102" s="15">
        <f>IF(OR($C102="",$Q102=""),"",IFERROR(SUMIFS(INDIRECT("'"&amp;$Q102&amp;"'!$I$9:$I$408"),INDIRECT("'"&amp;$Q102&amp;"'!$D$9:$D$408"),$P102,INDIRECT("'"&amp;$Q102&amp;"'!$E$9:$E$408"),$C102,INDIRECT("'"&amp;$Q102&amp;"'!$F$9:$F$408"),$D102),""))</f>
        <v/>
      </c>
      <c r="H102" s="15">
        <f>IF(OR($C102="",$Q102=""),"",IFERROR(SUMIFS(INDIRECT("'"&amp;$Q102&amp;"'!$R$9:$R$408"),INDIRECT("'"&amp;$Q102&amp;"'!$D$9:$D$408"),$P102,INDIRECT("'"&amp;$Q102&amp;"'!$E$9:$E$408"),$C102,INDIRECT("'"&amp;$Q102&amp;"'!$F$9:$F$408"),$D102),""))</f>
        <v/>
      </c>
      <c r="I102" s="16">
        <f>IF(OR(OR($C102="",$Q102=""),N(E102)=0),"",H102/E102)</f>
        <v/>
      </c>
      <c r="J102" s="15">
        <f>IF(OR($C102="",$Q102=""),"",N(E102)-N(H102))</f>
        <v/>
      </c>
      <c r="K102" s="15">
        <f>IF(OR($C102="",$Q102=""),"",IFERROR(SUMIFS(INDIRECT("'"&amp;$Q102&amp;"'!$K$9:$K$408"),INDIRECT("'"&amp;$Q102&amp;"'!$D$9:$D$408"),$P102,INDIRECT("'"&amp;$Q102&amp;"'!$E$9:$E$408"),$C102,INDIRECT("'"&amp;$Q102&amp;"'!$F$9:$F$408"),$D102),""))</f>
        <v/>
      </c>
      <c r="L102" s="15">
        <f>IF(OR($C102="",$Q102=""),"",IFERROR(SUMIFS(INDIRECT("'"&amp;$Q102&amp;"'!$Q$9:$Q$408"),INDIRECT("'"&amp;$Q102&amp;"'!$D$9:$D$408"),$P102,INDIRECT("'"&amp;$Q102&amp;"'!$E$9:$E$408"),$C102,INDIRECT("'"&amp;$Q102&amp;"'!$F$9:$F$408"),$D102),""))</f>
        <v/>
      </c>
      <c r="M102" s="15">
        <f>IF(OR($C102="",$Q102=""),"",IFERROR(SUMIFS(INDIRECT("'"&amp;$Q102&amp;"'!$M$9:$M$408"),INDIRECT("'"&amp;$Q102&amp;"'!$D$9:$D$408"),$P102,INDIRECT("'"&amp;$Q102&amp;"'!$E$9:$E$408"),$C102,INDIRECT("'"&amp;$Q102&amp;"'!$F$9:$F$408"),$D102),""))</f>
        <v/>
      </c>
      <c r="N102" s="15">
        <f>IF(OR($C102="",$Q102=""),"",IFERROR(SUMIFS(INDIRECT("'"&amp;$Q102&amp;"'!$V$9:$V$408"),INDIRECT("'"&amp;$Q102&amp;"'!$D$9:$D$408"),$P102,INDIRECT("'"&amp;$Q102&amp;"'!$E$9:$E$408"),$C102,INDIRECT("'"&amp;$Q102&amp;"'!$F$9:$F$408"),$D102),""))</f>
        <v/>
      </c>
      <c r="P102" s="17" t="n"/>
      <c r="Q102" s="17" t="n"/>
    </row>
    <row r="103">
      <c r="B103" s="13">
        <f>IF(OR($C103="",$Q103=""),"",COUNTA($C$8:$C103))</f>
        <v/>
      </c>
      <c r="C103" s="14" t="n"/>
      <c r="D103" s="14" t="n"/>
      <c r="E103" s="15">
        <f>IF(OR($C103="",$Q103=""),"",IFERROR(SUMIFS(INDIRECT("'"&amp;$Q103&amp;"'!$G$9:$G$408"),INDIRECT("'"&amp;$Q103&amp;"'!$D$9:$D$408"),$P103,INDIRECT("'"&amp;$Q103&amp;"'!$E$9:$E$408"),$C103,INDIRECT("'"&amp;$Q103&amp;"'!$F$9:$F$408"),$D103),""))</f>
        <v/>
      </c>
      <c r="F103" s="15">
        <f>IF(OR($C103="",$Q103=""),"",IFERROR(SUMIFS(INDIRECT("'"&amp;$Q103&amp;"'!$H$9:$H$408"),INDIRECT("'"&amp;$Q103&amp;"'!$D$9:$D$408"),$P103,INDIRECT("'"&amp;$Q103&amp;"'!$E$9:$E$408"),$C103,INDIRECT("'"&amp;$Q103&amp;"'!$F$9:$F$408"),$D103),""))</f>
        <v/>
      </c>
      <c r="G103" s="15">
        <f>IF(OR($C103="",$Q103=""),"",IFERROR(SUMIFS(INDIRECT("'"&amp;$Q103&amp;"'!$I$9:$I$408"),INDIRECT("'"&amp;$Q103&amp;"'!$D$9:$D$408"),$P103,INDIRECT("'"&amp;$Q103&amp;"'!$E$9:$E$408"),$C103,INDIRECT("'"&amp;$Q103&amp;"'!$F$9:$F$408"),$D103),""))</f>
        <v/>
      </c>
      <c r="H103" s="15">
        <f>IF(OR($C103="",$Q103=""),"",IFERROR(SUMIFS(INDIRECT("'"&amp;$Q103&amp;"'!$R$9:$R$408"),INDIRECT("'"&amp;$Q103&amp;"'!$D$9:$D$408"),$P103,INDIRECT("'"&amp;$Q103&amp;"'!$E$9:$E$408"),$C103,INDIRECT("'"&amp;$Q103&amp;"'!$F$9:$F$408"),$D103),""))</f>
        <v/>
      </c>
      <c r="I103" s="16">
        <f>IF(OR(OR($C103="",$Q103=""),N(E103)=0),"",H103/E103)</f>
        <v/>
      </c>
      <c r="J103" s="15">
        <f>IF(OR($C103="",$Q103=""),"",N(E103)-N(H103))</f>
        <v/>
      </c>
      <c r="K103" s="15">
        <f>IF(OR($C103="",$Q103=""),"",IFERROR(SUMIFS(INDIRECT("'"&amp;$Q103&amp;"'!$K$9:$K$408"),INDIRECT("'"&amp;$Q103&amp;"'!$D$9:$D$408"),$P103,INDIRECT("'"&amp;$Q103&amp;"'!$E$9:$E$408"),$C103,INDIRECT("'"&amp;$Q103&amp;"'!$F$9:$F$408"),$D103),""))</f>
        <v/>
      </c>
      <c r="L103" s="15">
        <f>IF(OR($C103="",$Q103=""),"",IFERROR(SUMIFS(INDIRECT("'"&amp;$Q103&amp;"'!$Q$9:$Q$408"),INDIRECT("'"&amp;$Q103&amp;"'!$D$9:$D$408"),$P103,INDIRECT("'"&amp;$Q103&amp;"'!$E$9:$E$408"),$C103,INDIRECT("'"&amp;$Q103&amp;"'!$F$9:$F$408"),$D103),""))</f>
        <v/>
      </c>
      <c r="M103" s="15">
        <f>IF(OR($C103="",$Q103=""),"",IFERROR(SUMIFS(INDIRECT("'"&amp;$Q103&amp;"'!$M$9:$M$408"),INDIRECT("'"&amp;$Q103&amp;"'!$D$9:$D$408"),$P103,INDIRECT("'"&amp;$Q103&amp;"'!$E$9:$E$408"),$C103,INDIRECT("'"&amp;$Q103&amp;"'!$F$9:$F$408"),$D103),""))</f>
        <v/>
      </c>
      <c r="N103" s="15">
        <f>IF(OR($C103="",$Q103=""),"",IFERROR(SUMIFS(INDIRECT("'"&amp;$Q103&amp;"'!$V$9:$V$408"),INDIRECT("'"&amp;$Q103&amp;"'!$D$9:$D$408"),$P103,INDIRECT("'"&amp;$Q103&amp;"'!$E$9:$E$408"),$C103,INDIRECT("'"&amp;$Q103&amp;"'!$F$9:$F$408"),$D103),""))</f>
        <v/>
      </c>
      <c r="P103" s="17" t="n"/>
      <c r="Q103" s="17" t="n"/>
    </row>
    <row r="104">
      <c r="B104" s="13">
        <f>IF(OR($C104="",$Q104=""),"",COUNTA($C$8:$C104))</f>
        <v/>
      </c>
      <c r="C104" s="14" t="n"/>
      <c r="D104" s="14" t="n"/>
      <c r="E104" s="15">
        <f>IF(OR($C104="",$Q104=""),"",IFERROR(SUMIFS(INDIRECT("'"&amp;$Q104&amp;"'!$G$9:$G$408"),INDIRECT("'"&amp;$Q104&amp;"'!$D$9:$D$408"),$P104,INDIRECT("'"&amp;$Q104&amp;"'!$E$9:$E$408"),$C104,INDIRECT("'"&amp;$Q104&amp;"'!$F$9:$F$408"),$D104),""))</f>
        <v/>
      </c>
      <c r="F104" s="15">
        <f>IF(OR($C104="",$Q104=""),"",IFERROR(SUMIFS(INDIRECT("'"&amp;$Q104&amp;"'!$H$9:$H$408"),INDIRECT("'"&amp;$Q104&amp;"'!$D$9:$D$408"),$P104,INDIRECT("'"&amp;$Q104&amp;"'!$E$9:$E$408"),$C104,INDIRECT("'"&amp;$Q104&amp;"'!$F$9:$F$408"),$D104),""))</f>
        <v/>
      </c>
      <c r="G104" s="15">
        <f>IF(OR($C104="",$Q104=""),"",IFERROR(SUMIFS(INDIRECT("'"&amp;$Q104&amp;"'!$I$9:$I$408"),INDIRECT("'"&amp;$Q104&amp;"'!$D$9:$D$408"),$P104,INDIRECT("'"&amp;$Q104&amp;"'!$E$9:$E$408"),$C104,INDIRECT("'"&amp;$Q104&amp;"'!$F$9:$F$408"),$D104),""))</f>
        <v/>
      </c>
      <c r="H104" s="15">
        <f>IF(OR($C104="",$Q104=""),"",IFERROR(SUMIFS(INDIRECT("'"&amp;$Q104&amp;"'!$R$9:$R$408"),INDIRECT("'"&amp;$Q104&amp;"'!$D$9:$D$408"),$P104,INDIRECT("'"&amp;$Q104&amp;"'!$E$9:$E$408"),$C104,INDIRECT("'"&amp;$Q104&amp;"'!$F$9:$F$408"),$D104),""))</f>
        <v/>
      </c>
      <c r="I104" s="16">
        <f>IF(OR(OR($C104="",$Q104=""),N(E104)=0),"",H104/E104)</f>
        <v/>
      </c>
      <c r="J104" s="15">
        <f>IF(OR($C104="",$Q104=""),"",N(E104)-N(H104))</f>
        <v/>
      </c>
      <c r="K104" s="15">
        <f>IF(OR($C104="",$Q104=""),"",IFERROR(SUMIFS(INDIRECT("'"&amp;$Q104&amp;"'!$K$9:$K$408"),INDIRECT("'"&amp;$Q104&amp;"'!$D$9:$D$408"),$P104,INDIRECT("'"&amp;$Q104&amp;"'!$E$9:$E$408"),$C104,INDIRECT("'"&amp;$Q104&amp;"'!$F$9:$F$408"),$D104),""))</f>
        <v/>
      </c>
      <c r="L104" s="15">
        <f>IF(OR($C104="",$Q104=""),"",IFERROR(SUMIFS(INDIRECT("'"&amp;$Q104&amp;"'!$Q$9:$Q$408"),INDIRECT("'"&amp;$Q104&amp;"'!$D$9:$D$408"),$P104,INDIRECT("'"&amp;$Q104&amp;"'!$E$9:$E$408"),$C104,INDIRECT("'"&amp;$Q104&amp;"'!$F$9:$F$408"),$D104),""))</f>
        <v/>
      </c>
      <c r="M104" s="15">
        <f>IF(OR($C104="",$Q104=""),"",IFERROR(SUMIFS(INDIRECT("'"&amp;$Q104&amp;"'!$M$9:$M$408"),INDIRECT("'"&amp;$Q104&amp;"'!$D$9:$D$408"),$P104,INDIRECT("'"&amp;$Q104&amp;"'!$E$9:$E$408"),$C104,INDIRECT("'"&amp;$Q104&amp;"'!$F$9:$F$408"),$D104),""))</f>
        <v/>
      </c>
      <c r="N104" s="15">
        <f>IF(OR($C104="",$Q104=""),"",IFERROR(SUMIFS(INDIRECT("'"&amp;$Q104&amp;"'!$V$9:$V$408"),INDIRECT("'"&amp;$Q104&amp;"'!$D$9:$D$408"),$P104,INDIRECT("'"&amp;$Q104&amp;"'!$E$9:$E$408"),$C104,INDIRECT("'"&amp;$Q104&amp;"'!$F$9:$F$408"),$D104),""))</f>
        <v/>
      </c>
      <c r="P104" s="17" t="n"/>
      <c r="Q104" s="17" t="n"/>
    </row>
    <row r="105">
      <c r="B105" s="13">
        <f>IF(OR($C105="",$Q105=""),"",COUNTA($C$8:$C105))</f>
        <v/>
      </c>
      <c r="C105" s="14" t="n"/>
      <c r="D105" s="14" t="n"/>
      <c r="E105" s="15">
        <f>IF(OR($C105="",$Q105=""),"",IFERROR(SUMIFS(INDIRECT("'"&amp;$Q105&amp;"'!$G$9:$G$408"),INDIRECT("'"&amp;$Q105&amp;"'!$D$9:$D$408"),$P105,INDIRECT("'"&amp;$Q105&amp;"'!$E$9:$E$408"),$C105,INDIRECT("'"&amp;$Q105&amp;"'!$F$9:$F$408"),$D105),""))</f>
        <v/>
      </c>
      <c r="F105" s="15">
        <f>IF(OR($C105="",$Q105=""),"",IFERROR(SUMIFS(INDIRECT("'"&amp;$Q105&amp;"'!$H$9:$H$408"),INDIRECT("'"&amp;$Q105&amp;"'!$D$9:$D$408"),$P105,INDIRECT("'"&amp;$Q105&amp;"'!$E$9:$E$408"),$C105,INDIRECT("'"&amp;$Q105&amp;"'!$F$9:$F$408"),$D105),""))</f>
        <v/>
      </c>
      <c r="G105" s="15">
        <f>IF(OR($C105="",$Q105=""),"",IFERROR(SUMIFS(INDIRECT("'"&amp;$Q105&amp;"'!$I$9:$I$408"),INDIRECT("'"&amp;$Q105&amp;"'!$D$9:$D$408"),$P105,INDIRECT("'"&amp;$Q105&amp;"'!$E$9:$E$408"),$C105,INDIRECT("'"&amp;$Q105&amp;"'!$F$9:$F$408"),$D105),""))</f>
        <v/>
      </c>
      <c r="H105" s="15">
        <f>IF(OR($C105="",$Q105=""),"",IFERROR(SUMIFS(INDIRECT("'"&amp;$Q105&amp;"'!$R$9:$R$408"),INDIRECT("'"&amp;$Q105&amp;"'!$D$9:$D$408"),$P105,INDIRECT("'"&amp;$Q105&amp;"'!$E$9:$E$408"),$C105,INDIRECT("'"&amp;$Q105&amp;"'!$F$9:$F$408"),$D105),""))</f>
        <v/>
      </c>
      <c r="I105" s="16">
        <f>IF(OR(OR($C105="",$Q105=""),N(E105)=0),"",H105/E105)</f>
        <v/>
      </c>
      <c r="J105" s="15">
        <f>IF(OR($C105="",$Q105=""),"",N(E105)-N(H105))</f>
        <v/>
      </c>
      <c r="K105" s="15">
        <f>IF(OR($C105="",$Q105=""),"",IFERROR(SUMIFS(INDIRECT("'"&amp;$Q105&amp;"'!$K$9:$K$408"),INDIRECT("'"&amp;$Q105&amp;"'!$D$9:$D$408"),$P105,INDIRECT("'"&amp;$Q105&amp;"'!$E$9:$E$408"),$C105,INDIRECT("'"&amp;$Q105&amp;"'!$F$9:$F$408"),$D105),""))</f>
        <v/>
      </c>
      <c r="L105" s="15">
        <f>IF(OR($C105="",$Q105=""),"",IFERROR(SUMIFS(INDIRECT("'"&amp;$Q105&amp;"'!$Q$9:$Q$408"),INDIRECT("'"&amp;$Q105&amp;"'!$D$9:$D$408"),$P105,INDIRECT("'"&amp;$Q105&amp;"'!$E$9:$E$408"),$C105,INDIRECT("'"&amp;$Q105&amp;"'!$F$9:$F$408"),$D105),""))</f>
        <v/>
      </c>
      <c r="M105" s="15">
        <f>IF(OR($C105="",$Q105=""),"",IFERROR(SUMIFS(INDIRECT("'"&amp;$Q105&amp;"'!$M$9:$M$408"),INDIRECT("'"&amp;$Q105&amp;"'!$D$9:$D$408"),$P105,INDIRECT("'"&amp;$Q105&amp;"'!$E$9:$E$408"),$C105,INDIRECT("'"&amp;$Q105&amp;"'!$F$9:$F$408"),$D105),""))</f>
        <v/>
      </c>
      <c r="N105" s="15">
        <f>IF(OR($C105="",$Q105=""),"",IFERROR(SUMIFS(INDIRECT("'"&amp;$Q105&amp;"'!$V$9:$V$408"),INDIRECT("'"&amp;$Q105&amp;"'!$D$9:$D$408"),$P105,INDIRECT("'"&amp;$Q105&amp;"'!$E$9:$E$408"),$C105,INDIRECT("'"&amp;$Q105&amp;"'!$F$9:$F$408"),$D105),""))</f>
        <v/>
      </c>
      <c r="P105" s="17" t="n"/>
      <c r="Q105" s="17" t="n"/>
    </row>
    <row r="106">
      <c r="B106" s="13">
        <f>IF(OR($C106="",$Q106=""),"",COUNTA($C$8:$C106))</f>
        <v/>
      </c>
      <c r="C106" s="14" t="n"/>
      <c r="D106" s="14" t="n"/>
      <c r="E106" s="15">
        <f>IF(OR($C106="",$Q106=""),"",IFERROR(SUMIFS(INDIRECT("'"&amp;$Q106&amp;"'!$G$9:$G$408"),INDIRECT("'"&amp;$Q106&amp;"'!$D$9:$D$408"),$P106,INDIRECT("'"&amp;$Q106&amp;"'!$E$9:$E$408"),$C106,INDIRECT("'"&amp;$Q106&amp;"'!$F$9:$F$408"),$D106),""))</f>
        <v/>
      </c>
      <c r="F106" s="15">
        <f>IF(OR($C106="",$Q106=""),"",IFERROR(SUMIFS(INDIRECT("'"&amp;$Q106&amp;"'!$H$9:$H$408"),INDIRECT("'"&amp;$Q106&amp;"'!$D$9:$D$408"),$P106,INDIRECT("'"&amp;$Q106&amp;"'!$E$9:$E$408"),$C106,INDIRECT("'"&amp;$Q106&amp;"'!$F$9:$F$408"),$D106),""))</f>
        <v/>
      </c>
      <c r="G106" s="15">
        <f>IF(OR($C106="",$Q106=""),"",IFERROR(SUMIFS(INDIRECT("'"&amp;$Q106&amp;"'!$I$9:$I$408"),INDIRECT("'"&amp;$Q106&amp;"'!$D$9:$D$408"),$P106,INDIRECT("'"&amp;$Q106&amp;"'!$E$9:$E$408"),$C106,INDIRECT("'"&amp;$Q106&amp;"'!$F$9:$F$408"),$D106),""))</f>
        <v/>
      </c>
      <c r="H106" s="15">
        <f>IF(OR($C106="",$Q106=""),"",IFERROR(SUMIFS(INDIRECT("'"&amp;$Q106&amp;"'!$R$9:$R$408"),INDIRECT("'"&amp;$Q106&amp;"'!$D$9:$D$408"),$P106,INDIRECT("'"&amp;$Q106&amp;"'!$E$9:$E$408"),$C106,INDIRECT("'"&amp;$Q106&amp;"'!$F$9:$F$408"),$D106),""))</f>
        <v/>
      </c>
      <c r="I106" s="16">
        <f>IF(OR(OR($C106="",$Q106=""),N(E106)=0),"",H106/E106)</f>
        <v/>
      </c>
      <c r="J106" s="15">
        <f>IF(OR($C106="",$Q106=""),"",N(E106)-N(H106))</f>
        <v/>
      </c>
      <c r="K106" s="15">
        <f>IF(OR($C106="",$Q106=""),"",IFERROR(SUMIFS(INDIRECT("'"&amp;$Q106&amp;"'!$K$9:$K$408"),INDIRECT("'"&amp;$Q106&amp;"'!$D$9:$D$408"),$P106,INDIRECT("'"&amp;$Q106&amp;"'!$E$9:$E$408"),$C106,INDIRECT("'"&amp;$Q106&amp;"'!$F$9:$F$408"),$D106),""))</f>
        <v/>
      </c>
      <c r="L106" s="15">
        <f>IF(OR($C106="",$Q106=""),"",IFERROR(SUMIFS(INDIRECT("'"&amp;$Q106&amp;"'!$Q$9:$Q$408"),INDIRECT("'"&amp;$Q106&amp;"'!$D$9:$D$408"),$P106,INDIRECT("'"&amp;$Q106&amp;"'!$E$9:$E$408"),$C106,INDIRECT("'"&amp;$Q106&amp;"'!$F$9:$F$408"),$D106),""))</f>
        <v/>
      </c>
      <c r="M106" s="15">
        <f>IF(OR($C106="",$Q106=""),"",IFERROR(SUMIFS(INDIRECT("'"&amp;$Q106&amp;"'!$M$9:$M$408"),INDIRECT("'"&amp;$Q106&amp;"'!$D$9:$D$408"),$P106,INDIRECT("'"&amp;$Q106&amp;"'!$E$9:$E$408"),$C106,INDIRECT("'"&amp;$Q106&amp;"'!$F$9:$F$408"),$D106),""))</f>
        <v/>
      </c>
      <c r="N106" s="15">
        <f>IF(OR($C106="",$Q106=""),"",IFERROR(SUMIFS(INDIRECT("'"&amp;$Q106&amp;"'!$V$9:$V$408"),INDIRECT("'"&amp;$Q106&amp;"'!$D$9:$D$408"),$P106,INDIRECT("'"&amp;$Q106&amp;"'!$E$9:$E$408"),$C106,INDIRECT("'"&amp;$Q106&amp;"'!$F$9:$F$408"),$D106),""))</f>
        <v/>
      </c>
      <c r="P106" s="17" t="n"/>
      <c r="Q106" s="17" t="n"/>
    </row>
    <row r="107">
      <c r="B107" s="13">
        <f>IF(OR($C107="",$Q107=""),"",COUNTA($C$8:$C107))</f>
        <v/>
      </c>
      <c r="C107" s="14" t="n"/>
      <c r="D107" s="14" t="n"/>
      <c r="E107" s="15">
        <f>IF(OR($C107="",$Q107=""),"",IFERROR(SUMIFS(INDIRECT("'"&amp;$Q107&amp;"'!$G$9:$G$408"),INDIRECT("'"&amp;$Q107&amp;"'!$D$9:$D$408"),$P107,INDIRECT("'"&amp;$Q107&amp;"'!$E$9:$E$408"),$C107,INDIRECT("'"&amp;$Q107&amp;"'!$F$9:$F$408"),$D107),""))</f>
        <v/>
      </c>
      <c r="F107" s="15">
        <f>IF(OR($C107="",$Q107=""),"",IFERROR(SUMIFS(INDIRECT("'"&amp;$Q107&amp;"'!$H$9:$H$408"),INDIRECT("'"&amp;$Q107&amp;"'!$D$9:$D$408"),$P107,INDIRECT("'"&amp;$Q107&amp;"'!$E$9:$E$408"),$C107,INDIRECT("'"&amp;$Q107&amp;"'!$F$9:$F$408"),$D107),""))</f>
        <v/>
      </c>
      <c r="G107" s="15">
        <f>IF(OR($C107="",$Q107=""),"",IFERROR(SUMIFS(INDIRECT("'"&amp;$Q107&amp;"'!$I$9:$I$408"),INDIRECT("'"&amp;$Q107&amp;"'!$D$9:$D$408"),$P107,INDIRECT("'"&amp;$Q107&amp;"'!$E$9:$E$408"),$C107,INDIRECT("'"&amp;$Q107&amp;"'!$F$9:$F$408"),$D107),""))</f>
        <v/>
      </c>
      <c r="H107" s="15">
        <f>IF(OR($C107="",$Q107=""),"",IFERROR(SUMIFS(INDIRECT("'"&amp;$Q107&amp;"'!$R$9:$R$408"),INDIRECT("'"&amp;$Q107&amp;"'!$D$9:$D$408"),$P107,INDIRECT("'"&amp;$Q107&amp;"'!$E$9:$E$408"),$C107,INDIRECT("'"&amp;$Q107&amp;"'!$F$9:$F$408"),$D107),""))</f>
        <v/>
      </c>
      <c r="I107" s="16">
        <f>IF(OR(OR($C107="",$Q107=""),N(E107)=0),"",H107/E107)</f>
        <v/>
      </c>
      <c r="J107" s="15">
        <f>IF(OR($C107="",$Q107=""),"",N(E107)-N(H107))</f>
        <v/>
      </c>
      <c r="K107" s="15">
        <f>IF(OR($C107="",$Q107=""),"",IFERROR(SUMIFS(INDIRECT("'"&amp;$Q107&amp;"'!$K$9:$K$408"),INDIRECT("'"&amp;$Q107&amp;"'!$D$9:$D$408"),$P107,INDIRECT("'"&amp;$Q107&amp;"'!$E$9:$E$408"),$C107,INDIRECT("'"&amp;$Q107&amp;"'!$F$9:$F$408"),$D107),""))</f>
        <v/>
      </c>
      <c r="L107" s="15">
        <f>IF(OR($C107="",$Q107=""),"",IFERROR(SUMIFS(INDIRECT("'"&amp;$Q107&amp;"'!$Q$9:$Q$408"),INDIRECT("'"&amp;$Q107&amp;"'!$D$9:$D$408"),$P107,INDIRECT("'"&amp;$Q107&amp;"'!$E$9:$E$408"),$C107,INDIRECT("'"&amp;$Q107&amp;"'!$F$9:$F$408"),$D107),""))</f>
        <v/>
      </c>
      <c r="M107" s="15">
        <f>IF(OR($C107="",$Q107=""),"",IFERROR(SUMIFS(INDIRECT("'"&amp;$Q107&amp;"'!$M$9:$M$408"),INDIRECT("'"&amp;$Q107&amp;"'!$D$9:$D$408"),$P107,INDIRECT("'"&amp;$Q107&amp;"'!$E$9:$E$408"),$C107,INDIRECT("'"&amp;$Q107&amp;"'!$F$9:$F$408"),$D107),""))</f>
        <v/>
      </c>
      <c r="N107" s="15">
        <f>IF(OR($C107="",$Q107=""),"",IFERROR(SUMIFS(INDIRECT("'"&amp;$Q107&amp;"'!$V$9:$V$408"),INDIRECT("'"&amp;$Q107&amp;"'!$D$9:$D$408"),$P107,INDIRECT("'"&amp;$Q107&amp;"'!$E$9:$E$408"),$C107,INDIRECT("'"&amp;$Q107&amp;"'!$F$9:$F$408"),$D107),""))</f>
        <v/>
      </c>
      <c r="P107" s="17" t="n"/>
      <c r="Q107" s="17" t="n"/>
    </row>
    <row r="108">
      <c r="B108" s="13">
        <f>IF(OR($C108="",$Q108=""),"",COUNTA($C$8:$C108))</f>
        <v/>
      </c>
      <c r="C108" s="14" t="n"/>
      <c r="D108" s="14" t="n"/>
      <c r="E108" s="15">
        <f>IF(OR($C108="",$Q108=""),"",IFERROR(SUMIFS(INDIRECT("'"&amp;$Q108&amp;"'!$G$9:$G$408"),INDIRECT("'"&amp;$Q108&amp;"'!$D$9:$D$408"),$P108,INDIRECT("'"&amp;$Q108&amp;"'!$E$9:$E$408"),$C108,INDIRECT("'"&amp;$Q108&amp;"'!$F$9:$F$408"),$D108),""))</f>
        <v/>
      </c>
      <c r="F108" s="15">
        <f>IF(OR($C108="",$Q108=""),"",IFERROR(SUMIFS(INDIRECT("'"&amp;$Q108&amp;"'!$H$9:$H$408"),INDIRECT("'"&amp;$Q108&amp;"'!$D$9:$D$408"),$P108,INDIRECT("'"&amp;$Q108&amp;"'!$E$9:$E$408"),$C108,INDIRECT("'"&amp;$Q108&amp;"'!$F$9:$F$408"),$D108),""))</f>
        <v/>
      </c>
      <c r="G108" s="15">
        <f>IF(OR($C108="",$Q108=""),"",IFERROR(SUMIFS(INDIRECT("'"&amp;$Q108&amp;"'!$I$9:$I$408"),INDIRECT("'"&amp;$Q108&amp;"'!$D$9:$D$408"),$P108,INDIRECT("'"&amp;$Q108&amp;"'!$E$9:$E$408"),$C108,INDIRECT("'"&amp;$Q108&amp;"'!$F$9:$F$408"),$D108),""))</f>
        <v/>
      </c>
      <c r="H108" s="15">
        <f>IF(OR($C108="",$Q108=""),"",IFERROR(SUMIFS(INDIRECT("'"&amp;$Q108&amp;"'!$R$9:$R$408"),INDIRECT("'"&amp;$Q108&amp;"'!$D$9:$D$408"),$P108,INDIRECT("'"&amp;$Q108&amp;"'!$E$9:$E$408"),$C108,INDIRECT("'"&amp;$Q108&amp;"'!$F$9:$F$408"),$D108),""))</f>
        <v/>
      </c>
      <c r="I108" s="16">
        <f>IF(OR(OR($C108="",$Q108=""),N(E108)=0),"",H108/E108)</f>
        <v/>
      </c>
      <c r="J108" s="15">
        <f>IF(OR($C108="",$Q108=""),"",N(E108)-N(H108))</f>
        <v/>
      </c>
      <c r="K108" s="15">
        <f>IF(OR($C108="",$Q108=""),"",IFERROR(SUMIFS(INDIRECT("'"&amp;$Q108&amp;"'!$K$9:$K$408"),INDIRECT("'"&amp;$Q108&amp;"'!$D$9:$D$408"),$P108,INDIRECT("'"&amp;$Q108&amp;"'!$E$9:$E$408"),$C108,INDIRECT("'"&amp;$Q108&amp;"'!$F$9:$F$408"),$D108),""))</f>
        <v/>
      </c>
      <c r="L108" s="15">
        <f>IF(OR($C108="",$Q108=""),"",IFERROR(SUMIFS(INDIRECT("'"&amp;$Q108&amp;"'!$Q$9:$Q$408"),INDIRECT("'"&amp;$Q108&amp;"'!$D$9:$D$408"),$P108,INDIRECT("'"&amp;$Q108&amp;"'!$E$9:$E$408"),$C108,INDIRECT("'"&amp;$Q108&amp;"'!$F$9:$F$408"),$D108),""))</f>
        <v/>
      </c>
      <c r="M108" s="15">
        <f>IF(OR($C108="",$Q108=""),"",IFERROR(SUMIFS(INDIRECT("'"&amp;$Q108&amp;"'!$M$9:$M$408"),INDIRECT("'"&amp;$Q108&amp;"'!$D$9:$D$408"),$P108,INDIRECT("'"&amp;$Q108&amp;"'!$E$9:$E$408"),$C108,INDIRECT("'"&amp;$Q108&amp;"'!$F$9:$F$408"),$D108),""))</f>
        <v/>
      </c>
      <c r="N108" s="15">
        <f>IF(OR($C108="",$Q108=""),"",IFERROR(SUMIFS(INDIRECT("'"&amp;$Q108&amp;"'!$V$9:$V$408"),INDIRECT("'"&amp;$Q108&amp;"'!$D$9:$D$408"),$P108,INDIRECT("'"&amp;$Q108&amp;"'!$E$9:$E$408"),$C108,INDIRECT("'"&amp;$Q108&amp;"'!$F$9:$F$408"),$D108),""))</f>
        <v/>
      </c>
      <c r="P108" s="17" t="n"/>
      <c r="Q108" s="17" t="n"/>
    </row>
    <row r="109">
      <c r="B109" s="13">
        <f>IF(OR($C109="",$Q109=""),"",COUNTA($C$8:$C109))</f>
        <v/>
      </c>
      <c r="C109" s="14" t="n"/>
      <c r="D109" s="14" t="n"/>
      <c r="E109" s="15">
        <f>IF(OR($C109="",$Q109=""),"",IFERROR(SUMIFS(INDIRECT("'"&amp;$Q109&amp;"'!$G$9:$G$408"),INDIRECT("'"&amp;$Q109&amp;"'!$D$9:$D$408"),$P109,INDIRECT("'"&amp;$Q109&amp;"'!$E$9:$E$408"),$C109,INDIRECT("'"&amp;$Q109&amp;"'!$F$9:$F$408"),$D109),""))</f>
        <v/>
      </c>
      <c r="F109" s="15">
        <f>IF(OR($C109="",$Q109=""),"",IFERROR(SUMIFS(INDIRECT("'"&amp;$Q109&amp;"'!$H$9:$H$408"),INDIRECT("'"&amp;$Q109&amp;"'!$D$9:$D$408"),$P109,INDIRECT("'"&amp;$Q109&amp;"'!$E$9:$E$408"),$C109,INDIRECT("'"&amp;$Q109&amp;"'!$F$9:$F$408"),$D109),""))</f>
        <v/>
      </c>
      <c r="G109" s="15">
        <f>IF(OR($C109="",$Q109=""),"",IFERROR(SUMIFS(INDIRECT("'"&amp;$Q109&amp;"'!$I$9:$I$408"),INDIRECT("'"&amp;$Q109&amp;"'!$D$9:$D$408"),$P109,INDIRECT("'"&amp;$Q109&amp;"'!$E$9:$E$408"),$C109,INDIRECT("'"&amp;$Q109&amp;"'!$F$9:$F$408"),$D109),""))</f>
        <v/>
      </c>
      <c r="H109" s="15">
        <f>IF(OR($C109="",$Q109=""),"",IFERROR(SUMIFS(INDIRECT("'"&amp;$Q109&amp;"'!$R$9:$R$408"),INDIRECT("'"&amp;$Q109&amp;"'!$D$9:$D$408"),$P109,INDIRECT("'"&amp;$Q109&amp;"'!$E$9:$E$408"),$C109,INDIRECT("'"&amp;$Q109&amp;"'!$F$9:$F$408"),$D109),""))</f>
        <v/>
      </c>
      <c r="I109" s="16">
        <f>IF(OR(OR($C109="",$Q109=""),N(E109)=0),"",H109/E109)</f>
        <v/>
      </c>
      <c r="J109" s="15">
        <f>IF(OR($C109="",$Q109=""),"",N(E109)-N(H109))</f>
        <v/>
      </c>
      <c r="K109" s="15">
        <f>IF(OR($C109="",$Q109=""),"",IFERROR(SUMIFS(INDIRECT("'"&amp;$Q109&amp;"'!$K$9:$K$408"),INDIRECT("'"&amp;$Q109&amp;"'!$D$9:$D$408"),$P109,INDIRECT("'"&amp;$Q109&amp;"'!$E$9:$E$408"),$C109,INDIRECT("'"&amp;$Q109&amp;"'!$F$9:$F$408"),$D109),""))</f>
        <v/>
      </c>
      <c r="L109" s="15">
        <f>IF(OR($C109="",$Q109=""),"",IFERROR(SUMIFS(INDIRECT("'"&amp;$Q109&amp;"'!$Q$9:$Q$408"),INDIRECT("'"&amp;$Q109&amp;"'!$D$9:$D$408"),$P109,INDIRECT("'"&amp;$Q109&amp;"'!$E$9:$E$408"),$C109,INDIRECT("'"&amp;$Q109&amp;"'!$F$9:$F$408"),$D109),""))</f>
        <v/>
      </c>
      <c r="M109" s="15">
        <f>IF(OR($C109="",$Q109=""),"",IFERROR(SUMIFS(INDIRECT("'"&amp;$Q109&amp;"'!$M$9:$M$408"),INDIRECT("'"&amp;$Q109&amp;"'!$D$9:$D$408"),$P109,INDIRECT("'"&amp;$Q109&amp;"'!$E$9:$E$408"),$C109,INDIRECT("'"&amp;$Q109&amp;"'!$F$9:$F$408"),$D109),""))</f>
        <v/>
      </c>
      <c r="N109" s="15">
        <f>IF(OR($C109="",$Q109=""),"",IFERROR(SUMIFS(INDIRECT("'"&amp;$Q109&amp;"'!$V$9:$V$408"),INDIRECT("'"&amp;$Q109&amp;"'!$D$9:$D$408"),$P109,INDIRECT("'"&amp;$Q109&amp;"'!$E$9:$E$408"),$C109,INDIRECT("'"&amp;$Q109&amp;"'!$F$9:$F$408"),$D109),""))</f>
        <v/>
      </c>
      <c r="P109" s="17" t="n"/>
      <c r="Q109" s="17" t="n"/>
    </row>
    <row r="110">
      <c r="B110" s="13">
        <f>IF(OR($C110="",$Q110=""),"",COUNTA($C$8:$C110))</f>
        <v/>
      </c>
      <c r="C110" s="14" t="n"/>
      <c r="D110" s="14" t="n"/>
      <c r="E110" s="15">
        <f>IF(OR($C110="",$Q110=""),"",IFERROR(SUMIFS(INDIRECT("'"&amp;$Q110&amp;"'!$G$9:$G$408"),INDIRECT("'"&amp;$Q110&amp;"'!$D$9:$D$408"),$P110,INDIRECT("'"&amp;$Q110&amp;"'!$E$9:$E$408"),$C110,INDIRECT("'"&amp;$Q110&amp;"'!$F$9:$F$408"),$D110),""))</f>
        <v/>
      </c>
      <c r="F110" s="15">
        <f>IF(OR($C110="",$Q110=""),"",IFERROR(SUMIFS(INDIRECT("'"&amp;$Q110&amp;"'!$H$9:$H$408"),INDIRECT("'"&amp;$Q110&amp;"'!$D$9:$D$408"),$P110,INDIRECT("'"&amp;$Q110&amp;"'!$E$9:$E$408"),$C110,INDIRECT("'"&amp;$Q110&amp;"'!$F$9:$F$408"),$D110),""))</f>
        <v/>
      </c>
      <c r="G110" s="15">
        <f>IF(OR($C110="",$Q110=""),"",IFERROR(SUMIFS(INDIRECT("'"&amp;$Q110&amp;"'!$I$9:$I$408"),INDIRECT("'"&amp;$Q110&amp;"'!$D$9:$D$408"),$P110,INDIRECT("'"&amp;$Q110&amp;"'!$E$9:$E$408"),$C110,INDIRECT("'"&amp;$Q110&amp;"'!$F$9:$F$408"),$D110),""))</f>
        <v/>
      </c>
      <c r="H110" s="15">
        <f>IF(OR($C110="",$Q110=""),"",IFERROR(SUMIFS(INDIRECT("'"&amp;$Q110&amp;"'!$R$9:$R$408"),INDIRECT("'"&amp;$Q110&amp;"'!$D$9:$D$408"),$P110,INDIRECT("'"&amp;$Q110&amp;"'!$E$9:$E$408"),$C110,INDIRECT("'"&amp;$Q110&amp;"'!$F$9:$F$408"),$D110),""))</f>
        <v/>
      </c>
      <c r="I110" s="16">
        <f>IF(OR(OR($C110="",$Q110=""),N(E110)=0),"",H110/E110)</f>
        <v/>
      </c>
      <c r="J110" s="15">
        <f>IF(OR($C110="",$Q110=""),"",N(E110)-N(H110))</f>
        <v/>
      </c>
      <c r="K110" s="15">
        <f>IF(OR($C110="",$Q110=""),"",IFERROR(SUMIFS(INDIRECT("'"&amp;$Q110&amp;"'!$K$9:$K$408"),INDIRECT("'"&amp;$Q110&amp;"'!$D$9:$D$408"),$P110,INDIRECT("'"&amp;$Q110&amp;"'!$E$9:$E$408"),$C110,INDIRECT("'"&amp;$Q110&amp;"'!$F$9:$F$408"),$D110),""))</f>
        <v/>
      </c>
      <c r="L110" s="15">
        <f>IF(OR($C110="",$Q110=""),"",IFERROR(SUMIFS(INDIRECT("'"&amp;$Q110&amp;"'!$Q$9:$Q$408"),INDIRECT("'"&amp;$Q110&amp;"'!$D$9:$D$408"),$P110,INDIRECT("'"&amp;$Q110&amp;"'!$E$9:$E$408"),$C110,INDIRECT("'"&amp;$Q110&amp;"'!$F$9:$F$408"),$D110),""))</f>
        <v/>
      </c>
      <c r="M110" s="15">
        <f>IF(OR($C110="",$Q110=""),"",IFERROR(SUMIFS(INDIRECT("'"&amp;$Q110&amp;"'!$M$9:$M$408"),INDIRECT("'"&amp;$Q110&amp;"'!$D$9:$D$408"),$P110,INDIRECT("'"&amp;$Q110&amp;"'!$E$9:$E$408"),$C110,INDIRECT("'"&amp;$Q110&amp;"'!$F$9:$F$408"),$D110),""))</f>
        <v/>
      </c>
      <c r="N110" s="15">
        <f>IF(OR($C110="",$Q110=""),"",IFERROR(SUMIFS(INDIRECT("'"&amp;$Q110&amp;"'!$V$9:$V$408"),INDIRECT("'"&amp;$Q110&amp;"'!$D$9:$D$408"),$P110,INDIRECT("'"&amp;$Q110&amp;"'!$E$9:$E$408"),$C110,INDIRECT("'"&amp;$Q110&amp;"'!$F$9:$F$408"),$D110),""))</f>
        <v/>
      </c>
      <c r="P110" s="17" t="n"/>
      <c r="Q110" s="17" t="n"/>
    </row>
    <row r="111">
      <c r="B111" s="13">
        <f>IF(OR($C111="",$Q111=""),"",COUNTA($C$8:$C111))</f>
        <v/>
      </c>
      <c r="C111" s="14" t="n"/>
      <c r="D111" s="14" t="n"/>
      <c r="E111" s="15">
        <f>IF(OR($C111="",$Q111=""),"",IFERROR(SUMIFS(INDIRECT("'"&amp;$Q111&amp;"'!$G$9:$G$408"),INDIRECT("'"&amp;$Q111&amp;"'!$D$9:$D$408"),$P111,INDIRECT("'"&amp;$Q111&amp;"'!$E$9:$E$408"),$C111,INDIRECT("'"&amp;$Q111&amp;"'!$F$9:$F$408"),$D111),""))</f>
        <v/>
      </c>
      <c r="F111" s="15">
        <f>IF(OR($C111="",$Q111=""),"",IFERROR(SUMIFS(INDIRECT("'"&amp;$Q111&amp;"'!$H$9:$H$408"),INDIRECT("'"&amp;$Q111&amp;"'!$D$9:$D$408"),$P111,INDIRECT("'"&amp;$Q111&amp;"'!$E$9:$E$408"),$C111,INDIRECT("'"&amp;$Q111&amp;"'!$F$9:$F$408"),$D111),""))</f>
        <v/>
      </c>
      <c r="G111" s="15">
        <f>IF(OR($C111="",$Q111=""),"",IFERROR(SUMIFS(INDIRECT("'"&amp;$Q111&amp;"'!$I$9:$I$408"),INDIRECT("'"&amp;$Q111&amp;"'!$D$9:$D$408"),$P111,INDIRECT("'"&amp;$Q111&amp;"'!$E$9:$E$408"),$C111,INDIRECT("'"&amp;$Q111&amp;"'!$F$9:$F$408"),$D111),""))</f>
        <v/>
      </c>
      <c r="H111" s="15">
        <f>IF(OR($C111="",$Q111=""),"",IFERROR(SUMIFS(INDIRECT("'"&amp;$Q111&amp;"'!$R$9:$R$408"),INDIRECT("'"&amp;$Q111&amp;"'!$D$9:$D$408"),$P111,INDIRECT("'"&amp;$Q111&amp;"'!$E$9:$E$408"),$C111,INDIRECT("'"&amp;$Q111&amp;"'!$F$9:$F$408"),$D111),""))</f>
        <v/>
      </c>
      <c r="I111" s="16">
        <f>IF(OR(OR($C111="",$Q111=""),N(E111)=0),"",H111/E111)</f>
        <v/>
      </c>
      <c r="J111" s="15">
        <f>IF(OR($C111="",$Q111=""),"",N(E111)-N(H111))</f>
        <v/>
      </c>
      <c r="K111" s="15">
        <f>IF(OR($C111="",$Q111=""),"",IFERROR(SUMIFS(INDIRECT("'"&amp;$Q111&amp;"'!$K$9:$K$408"),INDIRECT("'"&amp;$Q111&amp;"'!$D$9:$D$408"),$P111,INDIRECT("'"&amp;$Q111&amp;"'!$E$9:$E$408"),$C111,INDIRECT("'"&amp;$Q111&amp;"'!$F$9:$F$408"),$D111),""))</f>
        <v/>
      </c>
      <c r="L111" s="15">
        <f>IF(OR($C111="",$Q111=""),"",IFERROR(SUMIFS(INDIRECT("'"&amp;$Q111&amp;"'!$Q$9:$Q$408"),INDIRECT("'"&amp;$Q111&amp;"'!$D$9:$D$408"),$P111,INDIRECT("'"&amp;$Q111&amp;"'!$E$9:$E$408"),$C111,INDIRECT("'"&amp;$Q111&amp;"'!$F$9:$F$408"),$D111),""))</f>
        <v/>
      </c>
      <c r="M111" s="15">
        <f>IF(OR($C111="",$Q111=""),"",IFERROR(SUMIFS(INDIRECT("'"&amp;$Q111&amp;"'!$M$9:$M$408"),INDIRECT("'"&amp;$Q111&amp;"'!$D$9:$D$408"),$P111,INDIRECT("'"&amp;$Q111&amp;"'!$E$9:$E$408"),$C111,INDIRECT("'"&amp;$Q111&amp;"'!$F$9:$F$408"),$D111),""))</f>
        <v/>
      </c>
      <c r="N111" s="15">
        <f>IF(OR($C111="",$Q111=""),"",IFERROR(SUMIFS(INDIRECT("'"&amp;$Q111&amp;"'!$V$9:$V$408"),INDIRECT("'"&amp;$Q111&amp;"'!$D$9:$D$408"),$P111,INDIRECT("'"&amp;$Q111&amp;"'!$E$9:$E$408"),$C111,INDIRECT("'"&amp;$Q111&amp;"'!$F$9:$F$408"),$D111),""))</f>
        <v/>
      </c>
      <c r="P111" s="17" t="n"/>
      <c r="Q111" s="17" t="n"/>
    </row>
    <row r="112">
      <c r="B112" s="13">
        <f>IF(OR($C112="",$Q112=""),"",COUNTA($C$8:$C112))</f>
        <v/>
      </c>
      <c r="C112" s="14" t="n"/>
      <c r="D112" s="14" t="n"/>
      <c r="E112" s="15">
        <f>IF(OR($C112="",$Q112=""),"",IFERROR(SUMIFS(INDIRECT("'"&amp;$Q112&amp;"'!$G$9:$G$408"),INDIRECT("'"&amp;$Q112&amp;"'!$D$9:$D$408"),$P112,INDIRECT("'"&amp;$Q112&amp;"'!$E$9:$E$408"),$C112,INDIRECT("'"&amp;$Q112&amp;"'!$F$9:$F$408"),$D112),""))</f>
        <v/>
      </c>
      <c r="F112" s="15">
        <f>IF(OR($C112="",$Q112=""),"",IFERROR(SUMIFS(INDIRECT("'"&amp;$Q112&amp;"'!$H$9:$H$408"),INDIRECT("'"&amp;$Q112&amp;"'!$D$9:$D$408"),$P112,INDIRECT("'"&amp;$Q112&amp;"'!$E$9:$E$408"),$C112,INDIRECT("'"&amp;$Q112&amp;"'!$F$9:$F$408"),$D112),""))</f>
        <v/>
      </c>
      <c r="G112" s="15">
        <f>IF(OR($C112="",$Q112=""),"",IFERROR(SUMIFS(INDIRECT("'"&amp;$Q112&amp;"'!$I$9:$I$408"),INDIRECT("'"&amp;$Q112&amp;"'!$D$9:$D$408"),$P112,INDIRECT("'"&amp;$Q112&amp;"'!$E$9:$E$408"),$C112,INDIRECT("'"&amp;$Q112&amp;"'!$F$9:$F$408"),$D112),""))</f>
        <v/>
      </c>
      <c r="H112" s="15">
        <f>IF(OR($C112="",$Q112=""),"",IFERROR(SUMIFS(INDIRECT("'"&amp;$Q112&amp;"'!$R$9:$R$408"),INDIRECT("'"&amp;$Q112&amp;"'!$D$9:$D$408"),$P112,INDIRECT("'"&amp;$Q112&amp;"'!$E$9:$E$408"),$C112,INDIRECT("'"&amp;$Q112&amp;"'!$F$9:$F$408"),$D112),""))</f>
        <v/>
      </c>
      <c r="I112" s="16">
        <f>IF(OR(OR($C112="",$Q112=""),N(E112)=0),"",H112/E112)</f>
        <v/>
      </c>
      <c r="J112" s="15">
        <f>IF(OR($C112="",$Q112=""),"",N(E112)-N(H112))</f>
        <v/>
      </c>
      <c r="K112" s="15">
        <f>IF(OR($C112="",$Q112=""),"",IFERROR(SUMIFS(INDIRECT("'"&amp;$Q112&amp;"'!$K$9:$K$408"),INDIRECT("'"&amp;$Q112&amp;"'!$D$9:$D$408"),$P112,INDIRECT("'"&amp;$Q112&amp;"'!$E$9:$E$408"),$C112,INDIRECT("'"&amp;$Q112&amp;"'!$F$9:$F$408"),$D112),""))</f>
        <v/>
      </c>
      <c r="L112" s="15">
        <f>IF(OR($C112="",$Q112=""),"",IFERROR(SUMIFS(INDIRECT("'"&amp;$Q112&amp;"'!$Q$9:$Q$408"),INDIRECT("'"&amp;$Q112&amp;"'!$D$9:$D$408"),$P112,INDIRECT("'"&amp;$Q112&amp;"'!$E$9:$E$408"),$C112,INDIRECT("'"&amp;$Q112&amp;"'!$F$9:$F$408"),$D112),""))</f>
        <v/>
      </c>
      <c r="M112" s="15">
        <f>IF(OR($C112="",$Q112=""),"",IFERROR(SUMIFS(INDIRECT("'"&amp;$Q112&amp;"'!$M$9:$M$408"),INDIRECT("'"&amp;$Q112&amp;"'!$D$9:$D$408"),$P112,INDIRECT("'"&amp;$Q112&amp;"'!$E$9:$E$408"),$C112,INDIRECT("'"&amp;$Q112&amp;"'!$F$9:$F$408"),$D112),""))</f>
        <v/>
      </c>
      <c r="N112" s="15">
        <f>IF(OR($C112="",$Q112=""),"",IFERROR(SUMIFS(INDIRECT("'"&amp;$Q112&amp;"'!$V$9:$V$408"),INDIRECT("'"&amp;$Q112&amp;"'!$D$9:$D$408"),$P112,INDIRECT("'"&amp;$Q112&amp;"'!$E$9:$E$408"),$C112,INDIRECT("'"&amp;$Q112&amp;"'!$F$9:$F$408"),$D112),""))</f>
        <v/>
      </c>
      <c r="P112" s="17" t="n"/>
      <c r="Q112" s="17" t="n"/>
    </row>
    <row r="113">
      <c r="B113" s="13">
        <f>IF(OR($C113="",$Q113=""),"",COUNTA($C$8:$C113))</f>
        <v/>
      </c>
      <c r="C113" s="14" t="n"/>
      <c r="D113" s="14" t="n"/>
      <c r="E113" s="15">
        <f>IF(OR($C113="",$Q113=""),"",IFERROR(SUMIFS(INDIRECT("'"&amp;$Q113&amp;"'!$G$9:$G$408"),INDIRECT("'"&amp;$Q113&amp;"'!$D$9:$D$408"),$P113,INDIRECT("'"&amp;$Q113&amp;"'!$E$9:$E$408"),$C113,INDIRECT("'"&amp;$Q113&amp;"'!$F$9:$F$408"),$D113),""))</f>
        <v/>
      </c>
      <c r="F113" s="15">
        <f>IF(OR($C113="",$Q113=""),"",IFERROR(SUMIFS(INDIRECT("'"&amp;$Q113&amp;"'!$H$9:$H$408"),INDIRECT("'"&amp;$Q113&amp;"'!$D$9:$D$408"),$P113,INDIRECT("'"&amp;$Q113&amp;"'!$E$9:$E$408"),$C113,INDIRECT("'"&amp;$Q113&amp;"'!$F$9:$F$408"),$D113),""))</f>
        <v/>
      </c>
      <c r="G113" s="15">
        <f>IF(OR($C113="",$Q113=""),"",IFERROR(SUMIFS(INDIRECT("'"&amp;$Q113&amp;"'!$I$9:$I$408"),INDIRECT("'"&amp;$Q113&amp;"'!$D$9:$D$408"),$P113,INDIRECT("'"&amp;$Q113&amp;"'!$E$9:$E$408"),$C113,INDIRECT("'"&amp;$Q113&amp;"'!$F$9:$F$408"),$D113),""))</f>
        <v/>
      </c>
      <c r="H113" s="15">
        <f>IF(OR($C113="",$Q113=""),"",IFERROR(SUMIFS(INDIRECT("'"&amp;$Q113&amp;"'!$R$9:$R$408"),INDIRECT("'"&amp;$Q113&amp;"'!$D$9:$D$408"),$P113,INDIRECT("'"&amp;$Q113&amp;"'!$E$9:$E$408"),$C113,INDIRECT("'"&amp;$Q113&amp;"'!$F$9:$F$408"),$D113),""))</f>
        <v/>
      </c>
      <c r="I113" s="16">
        <f>IF(OR(OR($C113="",$Q113=""),N(E113)=0),"",H113/E113)</f>
        <v/>
      </c>
      <c r="J113" s="15">
        <f>IF(OR($C113="",$Q113=""),"",N(E113)-N(H113))</f>
        <v/>
      </c>
      <c r="K113" s="15">
        <f>IF(OR($C113="",$Q113=""),"",IFERROR(SUMIFS(INDIRECT("'"&amp;$Q113&amp;"'!$K$9:$K$408"),INDIRECT("'"&amp;$Q113&amp;"'!$D$9:$D$408"),$P113,INDIRECT("'"&amp;$Q113&amp;"'!$E$9:$E$408"),$C113,INDIRECT("'"&amp;$Q113&amp;"'!$F$9:$F$408"),$D113),""))</f>
        <v/>
      </c>
      <c r="L113" s="15">
        <f>IF(OR($C113="",$Q113=""),"",IFERROR(SUMIFS(INDIRECT("'"&amp;$Q113&amp;"'!$Q$9:$Q$408"),INDIRECT("'"&amp;$Q113&amp;"'!$D$9:$D$408"),$P113,INDIRECT("'"&amp;$Q113&amp;"'!$E$9:$E$408"),$C113,INDIRECT("'"&amp;$Q113&amp;"'!$F$9:$F$408"),$D113),""))</f>
        <v/>
      </c>
      <c r="M113" s="15">
        <f>IF(OR($C113="",$Q113=""),"",IFERROR(SUMIFS(INDIRECT("'"&amp;$Q113&amp;"'!$M$9:$M$408"),INDIRECT("'"&amp;$Q113&amp;"'!$D$9:$D$408"),$P113,INDIRECT("'"&amp;$Q113&amp;"'!$E$9:$E$408"),$C113,INDIRECT("'"&amp;$Q113&amp;"'!$F$9:$F$408"),$D113),""))</f>
        <v/>
      </c>
      <c r="N113" s="15">
        <f>IF(OR($C113="",$Q113=""),"",IFERROR(SUMIFS(INDIRECT("'"&amp;$Q113&amp;"'!$V$9:$V$408"),INDIRECT("'"&amp;$Q113&amp;"'!$D$9:$D$408"),$P113,INDIRECT("'"&amp;$Q113&amp;"'!$E$9:$E$408"),$C113,INDIRECT("'"&amp;$Q113&amp;"'!$F$9:$F$408"),$D113),""))</f>
        <v/>
      </c>
      <c r="P113" s="17" t="n"/>
      <c r="Q113" s="17" t="n"/>
    </row>
    <row r="114">
      <c r="B114" s="13">
        <f>IF(OR($C114="",$Q114=""),"",COUNTA($C$8:$C114))</f>
        <v/>
      </c>
      <c r="C114" s="14" t="n"/>
      <c r="D114" s="14" t="n"/>
      <c r="E114" s="15">
        <f>IF(OR($C114="",$Q114=""),"",IFERROR(SUMIFS(INDIRECT("'"&amp;$Q114&amp;"'!$G$9:$G$408"),INDIRECT("'"&amp;$Q114&amp;"'!$D$9:$D$408"),$P114,INDIRECT("'"&amp;$Q114&amp;"'!$E$9:$E$408"),$C114,INDIRECT("'"&amp;$Q114&amp;"'!$F$9:$F$408"),$D114),""))</f>
        <v/>
      </c>
      <c r="F114" s="15">
        <f>IF(OR($C114="",$Q114=""),"",IFERROR(SUMIFS(INDIRECT("'"&amp;$Q114&amp;"'!$H$9:$H$408"),INDIRECT("'"&amp;$Q114&amp;"'!$D$9:$D$408"),$P114,INDIRECT("'"&amp;$Q114&amp;"'!$E$9:$E$408"),$C114,INDIRECT("'"&amp;$Q114&amp;"'!$F$9:$F$408"),$D114),""))</f>
        <v/>
      </c>
      <c r="G114" s="15">
        <f>IF(OR($C114="",$Q114=""),"",IFERROR(SUMIFS(INDIRECT("'"&amp;$Q114&amp;"'!$I$9:$I$408"),INDIRECT("'"&amp;$Q114&amp;"'!$D$9:$D$408"),$P114,INDIRECT("'"&amp;$Q114&amp;"'!$E$9:$E$408"),$C114,INDIRECT("'"&amp;$Q114&amp;"'!$F$9:$F$408"),$D114),""))</f>
        <v/>
      </c>
      <c r="H114" s="15">
        <f>IF(OR($C114="",$Q114=""),"",IFERROR(SUMIFS(INDIRECT("'"&amp;$Q114&amp;"'!$R$9:$R$408"),INDIRECT("'"&amp;$Q114&amp;"'!$D$9:$D$408"),$P114,INDIRECT("'"&amp;$Q114&amp;"'!$E$9:$E$408"),$C114,INDIRECT("'"&amp;$Q114&amp;"'!$F$9:$F$408"),$D114),""))</f>
        <v/>
      </c>
      <c r="I114" s="16">
        <f>IF(OR(OR($C114="",$Q114=""),N(E114)=0),"",H114/E114)</f>
        <v/>
      </c>
      <c r="J114" s="15">
        <f>IF(OR($C114="",$Q114=""),"",N(E114)-N(H114))</f>
        <v/>
      </c>
      <c r="K114" s="15">
        <f>IF(OR($C114="",$Q114=""),"",IFERROR(SUMIFS(INDIRECT("'"&amp;$Q114&amp;"'!$K$9:$K$408"),INDIRECT("'"&amp;$Q114&amp;"'!$D$9:$D$408"),$P114,INDIRECT("'"&amp;$Q114&amp;"'!$E$9:$E$408"),$C114,INDIRECT("'"&amp;$Q114&amp;"'!$F$9:$F$408"),$D114),""))</f>
        <v/>
      </c>
      <c r="L114" s="15">
        <f>IF(OR($C114="",$Q114=""),"",IFERROR(SUMIFS(INDIRECT("'"&amp;$Q114&amp;"'!$Q$9:$Q$408"),INDIRECT("'"&amp;$Q114&amp;"'!$D$9:$D$408"),$P114,INDIRECT("'"&amp;$Q114&amp;"'!$E$9:$E$408"),$C114,INDIRECT("'"&amp;$Q114&amp;"'!$F$9:$F$408"),$D114),""))</f>
        <v/>
      </c>
      <c r="M114" s="15">
        <f>IF(OR($C114="",$Q114=""),"",IFERROR(SUMIFS(INDIRECT("'"&amp;$Q114&amp;"'!$M$9:$M$408"),INDIRECT("'"&amp;$Q114&amp;"'!$D$9:$D$408"),$P114,INDIRECT("'"&amp;$Q114&amp;"'!$E$9:$E$408"),$C114,INDIRECT("'"&amp;$Q114&amp;"'!$F$9:$F$408"),$D114),""))</f>
        <v/>
      </c>
      <c r="N114" s="15">
        <f>IF(OR($C114="",$Q114=""),"",IFERROR(SUMIFS(INDIRECT("'"&amp;$Q114&amp;"'!$V$9:$V$408"),INDIRECT("'"&amp;$Q114&amp;"'!$D$9:$D$408"),$P114,INDIRECT("'"&amp;$Q114&amp;"'!$E$9:$E$408"),$C114,INDIRECT("'"&amp;$Q114&amp;"'!$F$9:$F$408"),$D114),""))</f>
        <v/>
      </c>
      <c r="P114" s="17" t="n"/>
      <c r="Q114" s="17" t="n"/>
    </row>
    <row r="115">
      <c r="B115" s="13">
        <f>IF(OR($C115="",$Q115=""),"",COUNTA($C$8:$C115))</f>
        <v/>
      </c>
      <c r="C115" s="14" t="n"/>
      <c r="D115" s="14" t="n"/>
      <c r="E115" s="15">
        <f>IF(OR($C115="",$Q115=""),"",IFERROR(SUMIFS(INDIRECT("'"&amp;$Q115&amp;"'!$G$9:$G$408"),INDIRECT("'"&amp;$Q115&amp;"'!$D$9:$D$408"),$P115,INDIRECT("'"&amp;$Q115&amp;"'!$E$9:$E$408"),$C115,INDIRECT("'"&amp;$Q115&amp;"'!$F$9:$F$408"),$D115),""))</f>
        <v/>
      </c>
      <c r="F115" s="15">
        <f>IF(OR($C115="",$Q115=""),"",IFERROR(SUMIFS(INDIRECT("'"&amp;$Q115&amp;"'!$H$9:$H$408"),INDIRECT("'"&amp;$Q115&amp;"'!$D$9:$D$408"),$P115,INDIRECT("'"&amp;$Q115&amp;"'!$E$9:$E$408"),$C115,INDIRECT("'"&amp;$Q115&amp;"'!$F$9:$F$408"),$D115),""))</f>
        <v/>
      </c>
      <c r="G115" s="15">
        <f>IF(OR($C115="",$Q115=""),"",IFERROR(SUMIFS(INDIRECT("'"&amp;$Q115&amp;"'!$I$9:$I$408"),INDIRECT("'"&amp;$Q115&amp;"'!$D$9:$D$408"),$P115,INDIRECT("'"&amp;$Q115&amp;"'!$E$9:$E$408"),$C115,INDIRECT("'"&amp;$Q115&amp;"'!$F$9:$F$408"),$D115),""))</f>
        <v/>
      </c>
      <c r="H115" s="15">
        <f>IF(OR($C115="",$Q115=""),"",IFERROR(SUMIFS(INDIRECT("'"&amp;$Q115&amp;"'!$R$9:$R$408"),INDIRECT("'"&amp;$Q115&amp;"'!$D$9:$D$408"),$P115,INDIRECT("'"&amp;$Q115&amp;"'!$E$9:$E$408"),$C115,INDIRECT("'"&amp;$Q115&amp;"'!$F$9:$F$408"),$D115),""))</f>
        <v/>
      </c>
      <c r="I115" s="16">
        <f>IF(OR(OR($C115="",$Q115=""),N(E115)=0),"",H115/E115)</f>
        <v/>
      </c>
      <c r="J115" s="15">
        <f>IF(OR($C115="",$Q115=""),"",N(E115)-N(H115))</f>
        <v/>
      </c>
      <c r="K115" s="15">
        <f>IF(OR($C115="",$Q115=""),"",IFERROR(SUMIFS(INDIRECT("'"&amp;$Q115&amp;"'!$K$9:$K$408"),INDIRECT("'"&amp;$Q115&amp;"'!$D$9:$D$408"),$P115,INDIRECT("'"&amp;$Q115&amp;"'!$E$9:$E$408"),$C115,INDIRECT("'"&amp;$Q115&amp;"'!$F$9:$F$408"),$D115),""))</f>
        <v/>
      </c>
      <c r="L115" s="15">
        <f>IF(OR($C115="",$Q115=""),"",IFERROR(SUMIFS(INDIRECT("'"&amp;$Q115&amp;"'!$Q$9:$Q$408"),INDIRECT("'"&amp;$Q115&amp;"'!$D$9:$D$408"),$P115,INDIRECT("'"&amp;$Q115&amp;"'!$E$9:$E$408"),$C115,INDIRECT("'"&amp;$Q115&amp;"'!$F$9:$F$408"),$D115),""))</f>
        <v/>
      </c>
      <c r="M115" s="15">
        <f>IF(OR($C115="",$Q115=""),"",IFERROR(SUMIFS(INDIRECT("'"&amp;$Q115&amp;"'!$M$9:$M$408"),INDIRECT("'"&amp;$Q115&amp;"'!$D$9:$D$408"),$P115,INDIRECT("'"&amp;$Q115&amp;"'!$E$9:$E$408"),$C115,INDIRECT("'"&amp;$Q115&amp;"'!$F$9:$F$408"),$D115),""))</f>
        <v/>
      </c>
      <c r="N115" s="15">
        <f>IF(OR($C115="",$Q115=""),"",IFERROR(SUMIFS(INDIRECT("'"&amp;$Q115&amp;"'!$V$9:$V$408"),INDIRECT("'"&amp;$Q115&amp;"'!$D$9:$D$408"),$P115,INDIRECT("'"&amp;$Q115&amp;"'!$E$9:$E$408"),$C115,INDIRECT("'"&amp;$Q115&amp;"'!$F$9:$F$408"),$D115),""))</f>
        <v/>
      </c>
      <c r="P115" s="17" t="n"/>
      <c r="Q115" s="17" t="n"/>
    </row>
    <row r="116">
      <c r="B116" s="13">
        <f>IF(OR($C116="",$Q116=""),"",COUNTA($C$8:$C116))</f>
        <v/>
      </c>
      <c r="C116" s="14" t="n"/>
      <c r="D116" s="14" t="n"/>
      <c r="E116" s="15">
        <f>IF(OR($C116="",$Q116=""),"",IFERROR(SUMIFS(INDIRECT("'"&amp;$Q116&amp;"'!$G$9:$G$408"),INDIRECT("'"&amp;$Q116&amp;"'!$D$9:$D$408"),$P116,INDIRECT("'"&amp;$Q116&amp;"'!$E$9:$E$408"),$C116,INDIRECT("'"&amp;$Q116&amp;"'!$F$9:$F$408"),$D116),""))</f>
        <v/>
      </c>
      <c r="F116" s="15">
        <f>IF(OR($C116="",$Q116=""),"",IFERROR(SUMIFS(INDIRECT("'"&amp;$Q116&amp;"'!$H$9:$H$408"),INDIRECT("'"&amp;$Q116&amp;"'!$D$9:$D$408"),$P116,INDIRECT("'"&amp;$Q116&amp;"'!$E$9:$E$408"),$C116,INDIRECT("'"&amp;$Q116&amp;"'!$F$9:$F$408"),$D116),""))</f>
        <v/>
      </c>
      <c r="G116" s="15">
        <f>IF(OR($C116="",$Q116=""),"",IFERROR(SUMIFS(INDIRECT("'"&amp;$Q116&amp;"'!$I$9:$I$408"),INDIRECT("'"&amp;$Q116&amp;"'!$D$9:$D$408"),$P116,INDIRECT("'"&amp;$Q116&amp;"'!$E$9:$E$408"),$C116,INDIRECT("'"&amp;$Q116&amp;"'!$F$9:$F$408"),$D116),""))</f>
        <v/>
      </c>
      <c r="H116" s="15">
        <f>IF(OR($C116="",$Q116=""),"",IFERROR(SUMIFS(INDIRECT("'"&amp;$Q116&amp;"'!$R$9:$R$408"),INDIRECT("'"&amp;$Q116&amp;"'!$D$9:$D$408"),$P116,INDIRECT("'"&amp;$Q116&amp;"'!$E$9:$E$408"),$C116,INDIRECT("'"&amp;$Q116&amp;"'!$F$9:$F$408"),$D116),""))</f>
        <v/>
      </c>
      <c r="I116" s="16">
        <f>IF(OR(OR($C116="",$Q116=""),N(E116)=0),"",H116/E116)</f>
        <v/>
      </c>
      <c r="J116" s="15">
        <f>IF(OR($C116="",$Q116=""),"",N(E116)-N(H116))</f>
        <v/>
      </c>
      <c r="K116" s="15">
        <f>IF(OR($C116="",$Q116=""),"",IFERROR(SUMIFS(INDIRECT("'"&amp;$Q116&amp;"'!$K$9:$K$408"),INDIRECT("'"&amp;$Q116&amp;"'!$D$9:$D$408"),$P116,INDIRECT("'"&amp;$Q116&amp;"'!$E$9:$E$408"),$C116,INDIRECT("'"&amp;$Q116&amp;"'!$F$9:$F$408"),$D116),""))</f>
        <v/>
      </c>
      <c r="L116" s="15">
        <f>IF(OR($C116="",$Q116=""),"",IFERROR(SUMIFS(INDIRECT("'"&amp;$Q116&amp;"'!$Q$9:$Q$408"),INDIRECT("'"&amp;$Q116&amp;"'!$D$9:$D$408"),$P116,INDIRECT("'"&amp;$Q116&amp;"'!$E$9:$E$408"),$C116,INDIRECT("'"&amp;$Q116&amp;"'!$F$9:$F$408"),$D116),""))</f>
        <v/>
      </c>
      <c r="M116" s="15">
        <f>IF(OR($C116="",$Q116=""),"",IFERROR(SUMIFS(INDIRECT("'"&amp;$Q116&amp;"'!$M$9:$M$408"),INDIRECT("'"&amp;$Q116&amp;"'!$D$9:$D$408"),$P116,INDIRECT("'"&amp;$Q116&amp;"'!$E$9:$E$408"),$C116,INDIRECT("'"&amp;$Q116&amp;"'!$F$9:$F$408"),$D116),""))</f>
        <v/>
      </c>
      <c r="N116" s="15">
        <f>IF(OR($C116="",$Q116=""),"",IFERROR(SUMIFS(INDIRECT("'"&amp;$Q116&amp;"'!$V$9:$V$408"),INDIRECT("'"&amp;$Q116&amp;"'!$D$9:$D$408"),$P116,INDIRECT("'"&amp;$Q116&amp;"'!$E$9:$E$408"),$C116,INDIRECT("'"&amp;$Q116&amp;"'!$F$9:$F$408"),$D116),""))</f>
        <v/>
      </c>
      <c r="P116" s="17" t="n"/>
      <c r="Q116" s="17" t="n"/>
    </row>
    <row r="117">
      <c r="B117" s="13">
        <f>IF(OR($C117="",$Q117=""),"",COUNTA($C$8:$C117))</f>
        <v/>
      </c>
      <c r="C117" s="14" t="n"/>
      <c r="D117" s="14" t="n"/>
      <c r="E117" s="15">
        <f>IF(OR($C117="",$Q117=""),"",IFERROR(SUMIFS(INDIRECT("'"&amp;$Q117&amp;"'!$G$9:$G$408"),INDIRECT("'"&amp;$Q117&amp;"'!$D$9:$D$408"),$P117,INDIRECT("'"&amp;$Q117&amp;"'!$E$9:$E$408"),$C117,INDIRECT("'"&amp;$Q117&amp;"'!$F$9:$F$408"),$D117),""))</f>
        <v/>
      </c>
      <c r="F117" s="15">
        <f>IF(OR($C117="",$Q117=""),"",IFERROR(SUMIFS(INDIRECT("'"&amp;$Q117&amp;"'!$H$9:$H$408"),INDIRECT("'"&amp;$Q117&amp;"'!$D$9:$D$408"),$P117,INDIRECT("'"&amp;$Q117&amp;"'!$E$9:$E$408"),$C117,INDIRECT("'"&amp;$Q117&amp;"'!$F$9:$F$408"),$D117),""))</f>
        <v/>
      </c>
      <c r="G117" s="15">
        <f>IF(OR($C117="",$Q117=""),"",IFERROR(SUMIFS(INDIRECT("'"&amp;$Q117&amp;"'!$I$9:$I$408"),INDIRECT("'"&amp;$Q117&amp;"'!$D$9:$D$408"),$P117,INDIRECT("'"&amp;$Q117&amp;"'!$E$9:$E$408"),$C117,INDIRECT("'"&amp;$Q117&amp;"'!$F$9:$F$408"),$D117),""))</f>
        <v/>
      </c>
      <c r="H117" s="15">
        <f>IF(OR($C117="",$Q117=""),"",IFERROR(SUMIFS(INDIRECT("'"&amp;$Q117&amp;"'!$R$9:$R$408"),INDIRECT("'"&amp;$Q117&amp;"'!$D$9:$D$408"),$P117,INDIRECT("'"&amp;$Q117&amp;"'!$E$9:$E$408"),$C117,INDIRECT("'"&amp;$Q117&amp;"'!$F$9:$F$408"),$D117),""))</f>
        <v/>
      </c>
      <c r="I117" s="16">
        <f>IF(OR(OR($C117="",$Q117=""),N(E117)=0),"",H117/E117)</f>
        <v/>
      </c>
      <c r="J117" s="15">
        <f>IF(OR($C117="",$Q117=""),"",N(E117)-N(H117))</f>
        <v/>
      </c>
      <c r="K117" s="15">
        <f>IF(OR($C117="",$Q117=""),"",IFERROR(SUMIFS(INDIRECT("'"&amp;$Q117&amp;"'!$K$9:$K$408"),INDIRECT("'"&amp;$Q117&amp;"'!$D$9:$D$408"),$P117,INDIRECT("'"&amp;$Q117&amp;"'!$E$9:$E$408"),$C117,INDIRECT("'"&amp;$Q117&amp;"'!$F$9:$F$408"),$D117),""))</f>
        <v/>
      </c>
      <c r="L117" s="15">
        <f>IF(OR($C117="",$Q117=""),"",IFERROR(SUMIFS(INDIRECT("'"&amp;$Q117&amp;"'!$Q$9:$Q$408"),INDIRECT("'"&amp;$Q117&amp;"'!$D$9:$D$408"),$P117,INDIRECT("'"&amp;$Q117&amp;"'!$E$9:$E$408"),$C117,INDIRECT("'"&amp;$Q117&amp;"'!$F$9:$F$408"),$D117),""))</f>
        <v/>
      </c>
      <c r="M117" s="15">
        <f>IF(OR($C117="",$Q117=""),"",IFERROR(SUMIFS(INDIRECT("'"&amp;$Q117&amp;"'!$M$9:$M$408"),INDIRECT("'"&amp;$Q117&amp;"'!$D$9:$D$408"),$P117,INDIRECT("'"&amp;$Q117&amp;"'!$E$9:$E$408"),$C117,INDIRECT("'"&amp;$Q117&amp;"'!$F$9:$F$408"),$D117),""))</f>
        <v/>
      </c>
      <c r="N117" s="15">
        <f>IF(OR($C117="",$Q117=""),"",IFERROR(SUMIFS(INDIRECT("'"&amp;$Q117&amp;"'!$V$9:$V$408"),INDIRECT("'"&amp;$Q117&amp;"'!$D$9:$D$408"),$P117,INDIRECT("'"&amp;$Q117&amp;"'!$E$9:$E$408"),$C117,INDIRECT("'"&amp;$Q117&amp;"'!$F$9:$F$408"),$D117),""))</f>
        <v/>
      </c>
      <c r="P117" s="17" t="n"/>
      <c r="Q117" s="17" t="n"/>
    </row>
    <row r="118">
      <c r="B118" s="13">
        <f>IF(OR($C118="",$Q118=""),"",COUNTA($C$8:$C118))</f>
        <v/>
      </c>
      <c r="C118" s="14" t="n"/>
      <c r="D118" s="14" t="n"/>
      <c r="E118" s="15">
        <f>IF(OR($C118="",$Q118=""),"",IFERROR(SUMIFS(INDIRECT("'"&amp;$Q118&amp;"'!$G$9:$G$408"),INDIRECT("'"&amp;$Q118&amp;"'!$D$9:$D$408"),$P118,INDIRECT("'"&amp;$Q118&amp;"'!$E$9:$E$408"),$C118,INDIRECT("'"&amp;$Q118&amp;"'!$F$9:$F$408"),$D118),""))</f>
        <v/>
      </c>
      <c r="F118" s="15">
        <f>IF(OR($C118="",$Q118=""),"",IFERROR(SUMIFS(INDIRECT("'"&amp;$Q118&amp;"'!$H$9:$H$408"),INDIRECT("'"&amp;$Q118&amp;"'!$D$9:$D$408"),$P118,INDIRECT("'"&amp;$Q118&amp;"'!$E$9:$E$408"),$C118,INDIRECT("'"&amp;$Q118&amp;"'!$F$9:$F$408"),$D118),""))</f>
        <v/>
      </c>
      <c r="G118" s="15">
        <f>IF(OR($C118="",$Q118=""),"",IFERROR(SUMIFS(INDIRECT("'"&amp;$Q118&amp;"'!$I$9:$I$408"),INDIRECT("'"&amp;$Q118&amp;"'!$D$9:$D$408"),$P118,INDIRECT("'"&amp;$Q118&amp;"'!$E$9:$E$408"),$C118,INDIRECT("'"&amp;$Q118&amp;"'!$F$9:$F$408"),$D118),""))</f>
        <v/>
      </c>
      <c r="H118" s="15">
        <f>IF(OR($C118="",$Q118=""),"",IFERROR(SUMIFS(INDIRECT("'"&amp;$Q118&amp;"'!$R$9:$R$408"),INDIRECT("'"&amp;$Q118&amp;"'!$D$9:$D$408"),$P118,INDIRECT("'"&amp;$Q118&amp;"'!$E$9:$E$408"),$C118,INDIRECT("'"&amp;$Q118&amp;"'!$F$9:$F$408"),$D118),""))</f>
        <v/>
      </c>
      <c r="I118" s="16">
        <f>IF(OR(OR($C118="",$Q118=""),N(E118)=0),"",H118/E118)</f>
        <v/>
      </c>
      <c r="J118" s="15">
        <f>IF(OR($C118="",$Q118=""),"",N(E118)-N(H118))</f>
        <v/>
      </c>
      <c r="K118" s="15">
        <f>IF(OR($C118="",$Q118=""),"",IFERROR(SUMIFS(INDIRECT("'"&amp;$Q118&amp;"'!$K$9:$K$408"),INDIRECT("'"&amp;$Q118&amp;"'!$D$9:$D$408"),$P118,INDIRECT("'"&amp;$Q118&amp;"'!$E$9:$E$408"),$C118,INDIRECT("'"&amp;$Q118&amp;"'!$F$9:$F$408"),$D118),""))</f>
        <v/>
      </c>
      <c r="L118" s="15">
        <f>IF(OR($C118="",$Q118=""),"",IFERROR(SUMIFS(INDIRECT("'"&amp;$Q118&amp;"'!$Q$9:$Q$408"),INDIRECT("'"&amp;$Q118&amp;"'!$D$9:$D$408"),$P118,INDIRECT("'"&amp;$Q118&amp;"'!$E$9:$E$408"),$C118,INDIRECT("'"&amp;$Q118&amp;"'!$F$9:$F$408"),$D118),""))</f>
        <v/>
      </c>
      <c r="M118" s="15">
        <f>IF(OR($C118="",$Q118=""),"",IFERROR(SUMIFS(INDIRECT("'"&amp;$Q118&amp;"'!$M$9:$M$408"),INDIRECT("'"&amp;$Q118&amp;"'!$D$9:$D$408"),$P118,INDIRECT("'"&amp;$Q118&amp;"'!$E$9:$E$408"),$C118,INDIRECT("'"&amp;$Q118&amp;"'!$F$9:$F$408"),$D118),""))</f>
        <v/>
      </c>
      <c r="N118" s="15">
        <f>IF(OR($C118="",$Q118=""),"",IFERROR(SUMIFS(INDIRECT("'"&amp;$Q118&amp;"'!$V$9:$V$408"),INDIRECT("'"&amp;$Q118&amp;"'!$D$9:$D$408"),$P118,INDIRECT("'"&amp;$Q118&amp;"'!$E$9:$E$408"),$C118,INDIRECT("'"&amp;$Q118&amp;"'!$F$9:$F$408"),$D118),""))</f>
        <v/>
      </c>
      <c r="P118" s="17" t="n"/>
      <c r="Q118" s="17" t="n"/>
    </row>
    <row r="119">
      <c r="B119" s="13">
        <f>IF(OR($C119="",$Q119=""),"",COUNTA($C$8:$C119))</f>
        <v/>
      </c>
      <c r="C119" s="14" t="n"/>
      <c r="D119" s="14" t="n"/>
      <c r="E119" s="15">
        <f>IF(OR($C119="",$Q119=""),"",IFERROR(SUMIFS(INDIRECT("'"&amp;$Q119&amp;"'!$G$9:$G$408"),INDIRECT("'"&amp;$Q119&amp;"'!$D$9:$D$408"),$P119,INDIRECT("'"&amp;$Q119&amp;"'!$E$9:$E$408"),$C119,INDIRECT("'"&amp;$Q119&amp;"'!$F$9:$F$408"),$D119),""))</f>
        <v/>
      </c>
      <c r="F119" s="15">
        <f>IF(OR($C119="",$Q119=""),"",IFERROR(SUMIFS(INDIRECT("'"&amp;$Q119&amp;"'!$H$9:$H$408"),INDIRECT("'"&amp;$Q119&amp;"'!$D$9:$D$408"),$P119,INDIRECT("'"&amp;$Q119&amp;"'!$E$9:$E$408"),$C119,INDIRECT("'"&amp;$Q119&amp;"'!$F$9:$F$408"),$D119),""))</f>
        <v/>
      </c>
      <c r="G119" s="15">
        <f>IF(OR($C119="",$Q119=""),"",IFERROR(SUMIFS(INDIRECT("'"&amp;$Q119&amp;"'!$I$9:$I$408"),INDIRECT("'"&amp;$Q119&amp;"'!$D$9:$D$408"),$P119,INDIRECT("'"&amp;$Q119&amp;"'!$E$9:$E$408"),$C119,INDIRECT("'"&amp;$Q119&amp;"'!$F$9:$F$408"),$D119),""))</f>
        <v/>
      </c>
      <c r="H119" s="15">
        <f>IF(OR($C119="",$Q119=""),"",IFERROR(SUMIFS(INDIRECT("'"&amp;$Q119&amp;"'!$R$9:$R$408"),INDIRECT("'"&amp;$Q119&amp;"'!$D$9:$D$408"),$P119,INDIRECT("'"&amp;$Q119&amp;"'!$E$9:$E$408"),$C119,INDIRECT("'"&amp;$Q119&amp;"'!$F$9:$F$408"),$D119),""))</f>
        <v/>
      </c>
      <c r="I119" s="16">
        <f>IF(OR(OR($C119="",$Q119=""),N(E119)=0),"",H119/E119)</f>
        <v/>
      </c>
      <c r="J119" s="15">
        <f>IF(OR($C119="",$Q119=""),"",N(E119)-N(H119))</f>
        <v/>
      </c>
      <c r="K119" s="15">
        <f>IF(OR($C119="",$Q119=""),"",IFERROR(SUMIFS(INDIRECT("'"&amp;$Q119&amp;"'!$K$9:$K$408"),INDIRECT("'"&amp;$Q119&amp;"'!$D$9:$D$408"),$P119,INDIRECT("'"&amp;$Q119&amp;"'!$E$9:$E$408"),$C119,INDIRECT("'"&amp;$Q119&amp;"'!$F$9:$F$408"),$D119),""))</f>
        <v/>
      </c>
      <c r="L119" s="15">
        <f>IF(OR($C119="",$Q119=""),"",IFERROR(SUMIFS(INDIRECT("'"&amp;$Q119&amp;"'!$Q$9:$Q$408"),INDIRECT("'"&amp;$Q119&amp;"'!$D$9:$D$408"),$P119,INDIRECT("'"&amp;$Q119&amp;"'!$E$9:$E$408"),$C119,INDIRECT("'"&amp;$Q119&amp;"'!$F$9:$F$408"),$D119),""))</f>
        <v/>
      </c>
      <c r="M119" s="15">
        <f>IF(OR($C119="",$Q119=""),"",IFERROR(SUMIFS(INDIRECT("'"&amp;$Q119&amp;"'!$M$9:$M$408"),INDIRECT("'"&amp;$Q119&amp;"'!$D$9:$D$408"),$P119,INDIRECT("'"&amp;$Q119&amp;"'!$E$9:$E$408"),$C119,INDIRECT("'"&amp;$Q119&amp;"'!$F$9:$F$408"),$D119),""))</f>
        <v/>
      </c>
      <c r="N119" s="15">
        <f>IF(OR($C119="",$Q119=""),"",IFERROR(SUMIFS(INDIRECT("'"&amp;$Q119&amp;"'!$V$9:$V$408"),INDIRECT("'"&amp;$Q119&amp;"'!$D$9:$D$408"),$P119,INDIRECT("'"&amp;$Q119&amp;"'!$E$9:$E$408"),$C119,INDIRECT("'"&amp;$Q119&amp;"'!$F$9:$F$408"),$D119),""))</f>
        <v/>
      </c>
      <c r="P119" s="17" t="n"/>
      <c r="Q119" s="17" t="n"/>
    </row>
    <row r="120">
      <c r="B120" s="13">
        <f>IF(OR($C120="",$Q120=""),"",COUNTA($C$8:$C120))</f>
        <v/>
      </c>
      <c r="C120" s="14" t="n"/>
      <c r="D120" s="14" t="n"/>
      <c r="E120" s="15">
        <f>IF(OR($C120="",$Q120=""),"",IFERROR(SUMIFS(INDIRECT("'"&amp;$Q120&amp;"'!$G$9:$G$408"),INDIRECT("'"&amp;$Q120&amp;"'!$D$9:$D$408"),$P120,INDIRECT("'"&amp;$Q120&amp;"'!$E$9:$E$408"),$C120,INDIRECT("'"&amp;$Q120&amp;"'!$F$9:$F$408"),$D120),""))</f>
        <v/>
      </c>
      <c r="F120" s="15">
        <f>IF(OR($C120="",$Q120=""),"",IFERROR(SUMIFS(INDIRECT("'"&amp;$Q120&amp;"'!$H$9:$H$408"),INDIRECT("'"&amp;$Q120&amp;"'!$D$9:$D$408"),$P120,INDIRECT("'"&amp;$Q120&amp;"'!$E$9:$E$408"),$C120,INDIRECT("'"&amp;$Q120&amp;"'!$F$9:$F$408"),$D120),""))</f>
        <v/>
      </c>
      <c r="G120" s="15">
        <f>IF(OR($C120="",$Q120=""),"",IFERROR(SUMIFS(INDIRECT("'"&amp;$Q120&amp;"'!$I$9:$I$408"),INDIRECT("'"&amp;$Q120&amp;"'!$D$9:$D$408"),$P120,INDIRECT("'"&amp;$Q120&amp;"'!$E$9:$E$408"),$C120,INDIRECT("'"&amp;$Q120&amp;"'!$F$9:$F$408"),$D120),""))</f>
        <v/>
      </c>
      <c r="H120" s="15">
        <f>IF(OR($C120="",$Q120=""),"",IFERROR(SUMIFS(INDIRECT("'"&amp;$Q120&amp;"'!$R$9:$R$408"),INDIRECT("'"&amp;$Q120&amp;"'!$D$9:$D$408"),$P120,INDIRECT("'"&amp;$Q120&amp;"'!$E$9:$E$408"),$C120,INDIRECT("'"&amp;$Q120&amp;"'!$F$9:$F$408"),$D120),""))</f>
        <v/>
      </c>
      <c r="I120" s="16">
        <f>IF(OR(OR($C120="",$Q120=""),N(E120)=0),"",H120/E120)</f>
        <v/>
      </c>
      <c r="J120" s="15">
        <f>IF(OR($C120="",$Q120=""),"",N(E120)-N(H120))</f>
        <v/>
      </c>
      <c r="K120" s="15">
        <f>IF(OR($C120="",$Q120=""),"",IFERROR(SUMIFS(INDIRECT("'"&amp;$Q120&amp;"'!$K$9:$K$408"),INDIRECT("'"&amp;$Q120&amp;"'!$D$9:$D$408"),$P120,INDIRECT("'"&amp;$Q120&amp;"'!$E$9:$E$408"),$C120,INDIRECT("'"&amp;$Q120&amp;"'!$F$9:$F$408"),$D120),""))</f>
        <v/>
      </c>
      <c r="L120" s="15">
        <f>IF(OR($C120="",$Q120=""),"",IFERROR(SUMIFS(INDIRECT("'"&amp;$Q120&amp;"'!$Q$9:$Q$408"),INDIRECT("'"&amp;$Q120&amp;"'!$D$9:$D$408"),$P120,INDIRECT("'"&amp;$Q120&amp;"'!$E$9:$E$408"),$C120,INDIRECT("'"&amp;$Q120&amp;"'!$F$9:$F$408"),$D120),""))</f>
        <v/>
      </c>
      <c r="M120" s="15">
        <f>IF(OR($C120="",$Q120=""),"",IFERROR(SUMIFS(INDIRECT("'"&amp;$Q120&amp;"'!$M$9:$M$408"),INDIRECT("'"&amp;$Q120&amp;"'!$D$9:$D$408"),$P120,INDIRECT("'"&amp;$Q120&amp;"'!$E$9:$E$408"),$C120,INDIRECT("'"&amp;$Q120&amp;"'!$F$9:$F$408"),$D120),""))</f>
        <v/>
      </c>
      <c r="N120" s="15">
        <f>IF(OR($C120="",$Q120=""),"",IFERROR(SUMIFS(INDIRECT("'"&amp;$Q120&amp;"'!$V$9:$V$408"),INDIRECT("'"&amp;$Q120&amp;"'!$D$9:$D$408"),$P120,INDIRECT("'"&amp;$Q120&amp;"'!$E$9:$E$408"),$C120,INDIRECT("'"&amp;$Q120&amp;"'!$F$9:$F$408"),$D120),""))</f>
        <v/>
      </c>
      <c r="P120" s="17" t="n"/>
      <c r="Q120" s="17" t="n"/>
    </row>
    <row r="121">
      <c r="B121" s="13">
        <f>IF(OR($C121="",$Q121=""),"",COUNTA($C$8:$C121))</f>
        <v/>
      </c>
      <c r="C121" s="14" t="n"/>
      <c r="D121" s="14" t="n"/>
      <c r="E121" s="15">
        <f>IF(OR($C121="",$Q121=""),"",IFERROR(SUMIFS(INDIRECT("'"&amp;$Q121&amp;"'!$G$9:$G$408"),INDIRECT("'"&amp;$Q121&amp;"'!$D$9:$D$408"),$P121,INDIRECT("'"&amp;$Q121&amp;"'!$E$9:$E$408"),$C121,INDIRECT("'"&amp;$Q121&amp;"'!$F$9:$F$408"),$D121),""))</f>
        <v/>
      </c>
      <c r="F121" s="15">
        <f>IF(OR($C121="",$Q121=""),"",IFERROR(SUMIFS(INDIRECT("'"&amp;$Q121&amp;"'!$H$9:$H$408"),INDIRECT("'"&amp;$Q121&amp;"'!$D$9:$D$408"),$P121,INDIRECT("'"&amp;$Q121&amp;"'!$E$9:$E$408"),$C121,INDIRECT("'"&amp;$Q121&amp;"'!$F$9:$F$408"),$D121),""))</f>
        <v/>
      </c>
      <c r="G121" s="15">
        <f>IF(OR($C121="",$Q121=""),"",IFERROR(SUMIFS(INDIRECT("'"&amp;$Q121&amp;"'!$I$9:$I$408"),INDIRECT("'"&amp;$Q121&amp;"'!$D$9:$D$408"),$P121,INDIRECT("'"&amp;$Q121&amp;"'!$E$9:$E$408"),$C121,INDIRECT("'"&amp;$Q121&amp;"'!$F$9:$F$408"),$D121),""))</f>
        <v/>
      </c>
      <c r="H121" s="15">
        <f>IF(OR($C121="",$Q121=""),"",IFERROR(SUMIFS(INDIRECT("'"&amp;$Q121&amp;"'!$R$9:$R$408"),INDIRECT("'"&amp;$Q121&amp;"'!$D$9:$D$408"),$P121,INDIRECT("'"&amp;$Q121&amp;"'!$E$9:$E$408"),$C121,INDIRECT("'"&amp;$Q121&amp;"'!$F$9:$F$408"),$D121),""))</f>
        <v/>
      </c>
      <c r="I121" s="16">
        <f>IF(OR(OR($C121="",$Q121=""),N(E121)=0),"",H121/E121)</f>
        <v/>
      </c>
      <c r="J121" s="15">
        <f>IF(OR($C121="",$Q121=""),"",N(E121)-N(H121))</f>
        <v/>
      </c>
      <c r="K121" s="15">
        <f>IF(OR($C121="",$Q121=""),"",IFERROR(SUMIFS(INDIRECT("'"&amp;$Q121&amp;"'!$K$9:$K$408"),INDIRECT("'"&amp;$Q121&amp;"'!$D$9:$D$408"),$P121,INDIRECT("'"&amp;$Q121&amp;"'!$E$9:$E$408"),$C121,INDIRECT("'"&amp;$Q121&amp;"'!$F$9:$F$408"),$D121),""))</f>
        <v/>
      </c>
      <c r="L121" s="15">
        <f>IF(OR($C121="",$Q121=""),"",IFERROR(SUMIFS(INDIRECT("'"&amp;$Q121&amp;"'!$Q$9:$Q$408"),INDIRECT("'"&amp;$Q121&amp;"'!$D$9:$D$408"),$P121,INDIRECT("'"&amp;$Q121&amp;"'!$E$9:$E$408"),$C121,INDIRECT("'"&amp;$Q121&amp;"'!$F$9:$F$408"),$D121),""))</f>
        <v/>
      </c>
      <c r="M121" s="15">
        <f>IF(OR($C121="",$Q121=""),"",IFERROR(SUMIFS(INDIRECT("'"&amp;$Q121&amp;"'!$M$9:$M$408"),INDIRECT("'"&amp;$Q121&amp;"'!$D$9:$D$408"),$P121,INDIRECT("'"&amp;$Q121&amp;"'!$E$9:$E$408"),$C121,INDIRECT("'"&amp;$Q121&amp;"'!$F$9:$F$408"),$D121),""))</f>
        <v/>
      </c>
      <c r="N121" s="15">
        <f>IF(OR($C121="",$Q121=""),"",IFERROR(SUMIFS(INDIRECT("'"&amp;$Q121&amp;"'!$V$9:$V$408"),INDIRECT("'"&amp;$Q121&amp;"'!$D$9:$D$408"),$P121,INDIRECT("'"&amp;$Q121&amp;"'!$E$9:$E$408"),$C121,INDIRECT("'"&amp;$Q121&amp;"'!$F$9:$F$408"),$D121),""))</f>
        <v/>
      </c>
      <c r="P121" s="17" t="n"/>
      <c r="Q121" s="17" t="n"/>
    </row>
    <row r="122">
      <c r="B122" s="13">
        <f>IF(OR($C122="",$Q122=""),"",COUNTA($C$8:$C122))</f>
        <v/>
      </c>
      <c r="C122" s="14" t="n"/>
      <c r="D122" s="14" t="n"/>
      <c r="E122" s="15">
        <f>IF(OR($C122="",$Q122=""),"",IFERROR(SUMIFS(INDIRECT("'"&amp;$Q122&amp;"'!$G$9:$G$408"),INDIRECT("'"&amp;$Q122&amp;"'!$D$9:$D$408"),$P122,INDIRECT("'"&amp;$Q122&amp;"'!$E$9:$E$408"),$C122,INDIRECT("'"&amp;$Q122&amp;"'!$F$9:$F$408"),$D122),""))</f>
        <v/>
      </c>
      <c r="F122" s="15">
        <f>IF(OR($C122="",$Q122=""),"",IFERROR(SUMIFS(INDIRECT("'"&amp;$Q122&amp;"'!$H$9:$H$408"),INDIRECT("'"&amp;$Q122&amp;"'!$D$9:$D$408"),$P122,INDIRECT("'"&amp;$Q122&amp;"'!$E$9:$E$408"),$C122,INDIRECT("'"&amp;$Q122&amp;"'!$F$9:$F$408"),$D122),""))</f>
        <v/>
      </c>
      <c r="G122" s="15">
        <f>IF(OR($C122="",$Q122=""),"",IFERROR(SUMIFS(INDIRECT("'"&amp;$Q122&amp;"'!$I$9:$I$408"),INDIRECT("'"&amp;$Q122&amp;"'!$D$9:$D$408"),$P122,INDIRECT("'"&amp;$Q122&amp;"'!$E$9:$E$408"),$C122,INDIRECT("'"&amp;$Q122&amp;"'!$F$9:$F$408"),$D122),""))</f>
        <v/>
      </c>
      <c r="H122" s="15">
        <f>IF(OR($C122="",$Q122=""),"",IFERROR(SUMIFS(INDIRECT("'"&amp;$Q122&amp;"'!$R$9:$R$408"),INDIRECT("'"&amp;$Q122&amp;"'!$D$9:$D$408"),$P122,INDIRECT("'"&amp;$Q122&amp;"'!$E$9:$E$408"),$C122,INDIRECT("'"&amp;$Q122&amp;"'!$F$9:$F$408"),$D122),""))</f>
        <v/>
      </c>
      <c r="I122" s="16">
        <f>IF(OR(OR($C122="",$Q122=""),N(E122)=0),"",H122/E122)</f>
        <v/>
      </c>
      <c r="J122" s="15">
        <f>IF(OR($C122="",$Q122=""),"",N(E122)-N(H122))</f>
        <v/>
      </c>
      <c r="K122" s="15">
        <f>IF(OR($C122="",$Q122=""),"",IFERROR(SUMIFS(INDIRECT("'"&amp;$Q122&amp;"'!$K$9:$K$408"),INDIRECT("'"&amp;$Q122&amp;"'!$D$9:$D$408"),$P122,INDIRECT("'"&amp;$Q122&amp;"'!$E$9:$E$408"),$C122,INDIRECT("'"&amp;$Q122&amp;"'!$F$9:$F$408"),$D122),""))</f>
        <v/>
      </c>
      <c r="L122" s="15">
        <f>IF(OR($C122="",$Q122=""),"",IFERROR(SUMIFS(INDIRECT("'"&amp;$Q122&amp;"'!$Q$9:$Q$408"),INDIRECT("'"&amp;$Q122&amp;"'!$D$9:$D$408"),$P122,INDIRECT("'"&amp;$Q122&amp;"'!$E$9:$E$408"),$C122,INDIRECT("'"&amp;$Q122&amp;"'!$F$9:$F$408"),$D122),""))</f>
        <v/>
      </c>
      <c r="M122" s="15">
        <f>IF(OR($C122="",$Q122=""),"",IFERROR(SUMIFS(INDIRECT("'"&amp;$Q122&amp;"'!$M$9:$M$408"),INDIRECT("'"&amp;$Q122&amp;"'!$D$9:$D$408"),$P122,INDIRECT("'"&amp;$Q122&amp;"'!$E$9:$E$408"),$C122,INDIRECT("'"&amp;$Q122&amp;"'!$F$9:$F$408"),$D122),""))</f>
        <v/>
      </c>
      <c r="N122" s="15">
        <f>IF(OR($C122="",$Q122=""),"",IFERROR(SUMIFS(INDIRECT("'"&amp;$Q122&amp;"'!$V$9:$V$408"),INDIRECT("'"&amp;$Q122&amp;"'!$D$9:$D$408"),$P122,INDIRECT("'"&amp;$Q122&amp;"'!$E$9:$E$408"),$C122,INDIRECT("'"&amp;$Q122&amp;"'!$F$9:$F$408"),$D122),""))</f>
        <v/>
      </c>
      <c r="P122" s="17" t="n"/>
      <c r="Q122" s="17" t="n"/>
    </row>
    <row r="123">
      <c r="B123" s="13">
        <f>IF(OR($C123="",$Q123=""),"",COUNTA($C$8:$C123))</f>
        <v/>
      </c>
      <c r="C123" s="14" t="n"/>
      <c r="D123" s="14" t="n"/>
      <c r="E123" s="15">
        <f>IF(OR($C123="",$Q123=""),"",IFERROR(SUMIFS(INDIRECT("'"&amp;$Q123&amp;"'!$G$9:$G$408"),INDIRECT("'"&amp;$Q123&amp;"'!$D$9:$D$408"),$P123,INDIRECT("'"&amp;$Q123&amp;"'!$E$9:$E$408"),$C123,INDIRECT("'"&amp;$Q123&amp;"'!$F$9:$F$408"),$D123),""))</f>
        <v/>
      </c>
      <c r="F123" s="15">
        <f>IF(OR($C123="",$Q123=""),"",IFERROR(SUMIFS(INDIRECT("'"&amp;$Q123&amp;"'!$H$9:$H$408"),INDIRECT("'"&amp;$Q123&amp;"'!$D$9:$D$408"),$P123,INDIRECT("'"&amp;$Q123&amp;"'!$E$9:$E$408"),$C123,INDIRECT("'"&amp;$Q123&amp;"'!$F$9:$F$408"),$D123),""))</f>
        <v/>
      </c>
      <c r="G123" s="15">
        <f>IF(OR($C123="",$Q123=""),"",IFERROR(SUMIFS(INDIRECT("'"&amp;$Q123&amp;"'!$I$9:$I$408"),INDIRECT("'"&amp;$Q123&amp;"'!$D$9:$D$408"),$P123,INDIRECT("'"&amp;$Q123&amp;"'!$E$9:$E$408"),$C123,INDIRECT("'"&amp;$Q123&amp;"'!$F$9:$F$408"),$D123),""))</f>
        <v/>
      </c>
      <c r="H123" s="15">
        <f>IF(OR($C123="",$Q123=""),"",IFERROR(SUMIFS(INDIRECT("'"&amp;$Q123&amp;"'!$R$9:$R$408"),INDIRECT("'"&amp;$Q123&amp;"'!$D$9:$D$408"),$P123,INDIRECT("'"&amp;$Q123&amp;"'!$E$9:$E$408"),$C123,INDIRECT("'"&amp;$Q123&amp;"'!$F$9:$F$408"),$D123),""))</f>
        <v/>
      </c>
      <c r="I123" s="16">
        <f>IF(OR(OR($C123="",$Q123=""),N(E123)=0),"",H123/E123)</f>
        <v/>
      </c>
      <c r="J123" s="15">
        <f>IF(OR($C123="",$Q123=""),"",N(E123)-N(H123))</f>
        <v/>
      </c>
      <c r="K123" s="15">
        <f>IF(OR($C123="",$Q123=""),"",IFERROR(SUMIFS(INDIRECT("'"&amp;$Q123&amp;"'!$K$9:$K$408"),INDIRECT("'"&amp;$Q123&amp;"'!$D$9:$D$408"),$P123,INDIRECT("'"&amp;$Q123&amp;"'!$E$9:$E$408"),$C123,INDIRECT("'"&amp;$Q123&amp;"'!$F$9:$F$408"),$D123),""))</f>
        <v/>
      </c>
      <c r="L123" s="15">
        <f>IF(OR($C123="",$Q123=""),"",IFERROR(SUMIFS(INDIRECT("'"&amp;$Q123&amp;"'!$Q$9:$Q$408"),INDIRECT("'"&amp;$Q123&amp;"'!$D$9:$D$408"),$P123,INDIRECT("'"&amp;$Q123&amp;"'!$E$9:$E$408"),$C123,INDIRECT("'"&amp;$Q123&amp;"'!$F$9:$F$408"),$D123),""))</f>
        <v/>
      </c>
      <c r="M123" s="15">
        <f>IF(OR($C123="",$Q123=""),"",IFERROR(SUMIFS(INDIRECT("'"&amp;$Q123&amp;"'!$M$9:$M$408"),INDIRECT("'"&amp;$Q123&amp;"'!$D$9:$D$408"),$P123,INDIRECT("'"&amp;$Q123&amp;"'!$E$9:$E$408"),$C123,INDIRECT("'"&amp;$Q123&amp;"'!$F$9:$F$408"),$D123),""))</f>
        <v/>
      </c>
      <c r="N123" s="15">
        <f>IF(OR($C123="",$Q123=""),"",IFERROR(SUMIFS(INDIRECT("'"&amp;$Q123&amp;"'!$V$9:$V$408"),INDIRECT("'"&amp;$Q123&amp;"'!$D$9:$D$408"),$P123,INDIRECT("'"&amp;$Q123&amp;"'!$E$9:$E$408"),$C123,INDIRECT("'"&amp;$Q123&amp;"'!$F$9:$F$408"),$D123),""))</f>
        <v/>
      </c>
      <c r="P123" s="17" t="n"/>
      <c r="Q123" s="17" t="n"/>
    </row>
    <row r="124">
      <c r="B124" s="13">
        <f>IF(OR($C124="",$Q124=""),"",COUNTA($C$8:$C124))</f>
        <v/>
      </c>
      <c r="C124" s="14" t="n"/>
      <c r="D124" s="14" t="n"/>
      <c r="E124" s="15">
        <f>IF(OR($C124="",$Q124=""),"",IFERROR(SUMIFS(INDIRECT("'"&amp;$Q124&amp;"'!$G$9:$G$408"),INDIRECT("'"&amp;$Q124&amp;"'!$D$9:$D$408"),$P124,INDIRECT("'"&amp;$Q124&amp;"'!$E$9:$E$408"),$C124,INDIRECT("'"&amp;$Q124&amp;"'!$F$9:$F$408"),$D124),""))</f>
        <v/>
      </c>
      <c r="F124" s="15">
        <f>IF(OR($C124="",$Q124=""),"",IFERROR(SUMIFS(INDIRECT("'"&amp;$Q124&amp;"'!$H$9:$H$408"),INDIRECT("'"&amp;$Q124&amp;"'!$D$9:$D$408"),$P124,INDIRECT("'"&amp;$Q124&amp;"'!$E$9:$E$408"),$C124,INDIRECT("'"&amp;$Q124&amp;"'!$F$9:$F$408"),$D124),""))</f>
        <v/>
      </c>
      <c r="G124" s="15">
        <f>IF(OR($C124="",$Q124=""),"",IFERROR(SUMIFS(INDIRECT("'"&amp;$Q124&amp;"'!$I$9:$I$408"),INDIRECT("'"&amp;$Q124&amp;"'!$D$9:$D$408"),$P124,INDIRECT("'"&amp;$Q124&amp;"'!$E$9:$E$408"),$C124,INDIRECT("'"&amp;$Q124&amp;"'!$F$9:$F$408"),$D124),""))</f>
        <v/>
      </c>
      <c r="H124" s="15">
        <f>IF(OR($C124="",$Q124=""),"",IFERROR(SUMIFS(INDIRECT("'"&amp;$Q124&amp;"'!$R$9:$R$408"),INDIRECT("'"&amp;$Q124&amp;"'!$D$9:$D$408"),$P124,INDIRECT("'"&amp;$Q124&amp;"'!$E$9:$E$408"),$C124,INDIRECT("'"&amp;$Q124&amp;"'!$F$9:$F$408"),$D124),""))</f>
        <v/>
      </c>
      <c r="I124" s="16">
        <f>IF(OR(OR($C124="",$Q124=""),N(E124)=0),"",H124/E124)</f>
        <v/>
      </c>
      <c r="J124" s="15">
        <f>IF(OR($C124="",$Q124=""),"",N(E124)-N(H124))</f>
        <v/>
      </c>
      <c r="K124" s="15">
        <f>IF(OR($C124="",$Q124=""),"",IFERROR(SUMIFS(INDIRECT("'"&amp;$Q124&amp;"'!$K$9:$K$408"),INDIRECT("'"&amp;$Q124&amp;"'!$D$9:$D$408"),$P124,INDIRECT("'"&amp;$Q124&amp;"'!$E$9:$E$408"),$C124,INDIRECT("'"&amp;$Q124&amp;"'!$F$9:$F$408"),$D124),""))</f>
        <v/>
      </c>
      <c r="L124" s="15">
        <f>IF(OR($C124="",$Q124=""),"",IFERROR(SUMIFS(INDIRECT("'"&amp;$Q124&amp;"'!$Q$9:$Q$408"),INDIRECT("'"&amp;$Q124&amp;"'!$D$9:$D$408"),$P124,INDIRECT("'"&amp;$Q124&amp;"'!$E$9:$E$408"),$C124,INDIRECT("'"&amp;$Q124&amp;"'!$F$9:$F$408"),$D124),""))</f>
        <v/>
      </c>
      <c r="M124" s="15">
        <f>IF(OR($C124="",$Q124=""),"",IFERROR(SUMIFS(INDIRECT("'"&amp;$Q124&amp;"'!$M$9:$M$408"),INDIRECT("'"&amp;$Q124&amp;"'!$D$9:$D$408"),$P124,INDIRECT("'"&amp;$Q124&amp;"'!$E$9:$E$408"),$C124,INDIRECT("'"&amp;$Q124&amp;"'!$F$9:$F$408"),$D124),""))</f>
        <v/>
      </c>
      <c r="N124" s="15">
        <f>IF(OR($C124="",$Q124=""),"",IFERROR(SUMIFS(INDIRECT("'"&amp;$Q124&amp;"'!$V$9:$V$408"),INDIRECT("'"&amp;$Q124&amp;"'!$D$9:$D$408"),$P124,INDIRECT("'"&amp;$Q124&amp;"'!$E$9:$E$408"),$C124,INDIRECT("'"&amp;$Q124&amp;"'!$F$9:$F$408"),$D124),""))</f>
        <v/>
      </c>
      <c r="P124" s="17" t="n"/>
      <c r="Q124" s="17" t="n"/>
    </row>
    <row r="125">
      <c r="B125" s="13">
        <f>IF(OR($C125="",$Q125=""),"",COUNTA($C$8:$C125))</f>
        <v/>
      </c>
      <c r="C125" s="14" t="n"/>
      <c r="D125" s="14" t="n"/>
      <c r="E125" s="15">
        <f>IF(OR($C125="",$Q125=""),"",IFERROR(SUMIFS(INDIRECT("'"&amp;$Q125&amp;"'!$G$9:$G$408"),INDIRECT("'"&amp;$Q125&amp;"'!$D$9:$D$408"),$P125,INDIRECT("'"&amp;$Q125&amp;"'!$E$9:$E$408"),$C125,INDIRECT("'"&amp;$Q125&amp;"'!$F$9:$F$408"),$D125),""))</f>
        <v/>
      </c>
      <c r="F125" s="15">
        <f>IF(OR($C125="",$Q125=""),"",IFERROR(SUMIFS(INDIRECT("'"&amp;$Q125&amp;"'!$H$9:$H$408"),INDIRECT("'"&amp;$Q125&amp;"'!$D$9:$D$408"),$P125,INDIRECT("'"&amp;$Q125&amp;"'!$E$9:$E$408"),$C125,INDIRECT("'"&amp;$Q125&amp;"'!$F$9:$F$408"),$D125),""))</f>
        <v/>
      </c>
      <c r="G125" s="15">
        <f>IF(OR($C125="",$Q125=""),"",IFERROR(SUMIFS(INDIRECT("'"&amp;$Q125&amp;"'!$I$9:$I$408"),INDIRECT("'"&amp;$Q125&amp;"'!$D$9:$D$408"),$P125,INDIRECT("'"&amp;$Q125&amp;"'!$E$9:$E$408"),$C125,INDIRECT("'"&amp;$Q125&amp;"'!$F$9:$F$408"),$D125),""))</f>
        <v/>
      </c>
      <c r="H125" s="15">
        <f>IF(OR($C125="",$Q125=""),"",IFERROR(SUMIFS(INDIRECT("'"&amp;$Q125&amp;"'!$R$9:$R$408"),INDIRECT("'"&amp;$Q125&amp;"'!$D$9:$D$408"),$P125,INDIRECT("'"&amp;$Q125&amp;"'!$E$9:$E$408"),$C125,INDIRECT("'"&amp;$Q125&amp;"'!$F$9:$F$408"),$D125),""))</f>
        <v/>
      </c>
      <c r="I125" s="16">
        <f>IF(OR(OR($C125="",$Q125=""),N(E125)=0),"",H125/E125)</f>
        <v/>
      </c>
      <c r="J125" s="15">
        <f>IF(OR($C125="",$Q125=""),"",N(E125)-N(H125))</f>
        <v/>
      </c>
      <c r="K125" s="15">
        <f>IF(OR($C125="",$Q125=""),"",IFERROR(SUMIFS(INDIRECT("'"&amp;$Q125&amp;"'!$K$9:$K$408"),INDIRECT("'"&amp;$Q125&amp;"'!$D$9:$D$408"),$P125,INDIRECT("'"&amp;$Q125&amp;"'!$E$9:$E$408"),$C125,INDIRECT("'"&amp;$Q125&amp;"'!$F$9:$F$408"),$D125),""))</f>
        <v/>
      </c>
      <c r="L125" s="15">
        <f>IF(OR($C125="",$Q125=""),"",IFERROR(SUMIFS(INDIRECT("'"&amp;$Q125&amp;"'!$Q$9:$Q$408"),INDIRECT("'"&amp;$Q125&amp;"'!$D$9:$D$408"),$P125,INDIRECT("'"&amp;$Q125&amp;"'!$E$9:$E$408"),$C125,INDIRECT("'"&amp;$Q125&amp;"'!$F$9:$F$408"),$D125),""))</f>
        <v/>
      </c>
      <c r="M125" s="15">
        <f>IF(OR($C125="",$Q125=""),"",IFERROR(SUMIFS(INDIRECT("'"&amp;$Q125&amp;"'!$M$9:$M$408"),INDIRECT("'"&amp;$Q125&amp;"'!$D$9:$D$408"),$P125,INDIRECT("'"&amp;$Q125&amp;"'!$E$9:$E$408"),$C125,INDIRECT("'"&amp;$Q125&amp;"'!$F$9:$F$408"),$D125),""))</f>
        <v/>
      </c>
      <c r="N125" s="15">
        <f>IF(OR($C125="",$Q125=""),"",IFERROR(SUMIFS(INDIRECT("'"&amp;$Q125&amp;"'!$V$9:$V$408"),INDIRECT("'"&amp;$Q125&amp;"'!$D$9:$D$408"),$P125,INDIRECT("'"&amp;$Q125&amp;"'!$E$9:$E$408"),$C125,INDIRECT("'"&amp;$Q125&amp;"'!$F$9:$F$408"),$D125),""))</f>
        <v/>
      </c>
      <c r="P125" s="17" t="n"/>
      <c r="Q125" s="17" t="n"/>
    </row>
    <row r="126">
      <c r="B126" s="13">
        <f>IF(OR($C126="",$Q126=""),"",COUNTA($C$8:$C126))</f>
        <v/>
      </c>
      <c r="C126" s="14" t="n"/>
      <c r="D126" s="14" t="n"/>
      <c r="E126" s="15">
        <f>IF(OR($C126="",$Q126=""),"",IFERROR(SUMIFS(INDIRECT("'"&amp;$Q126&amp;"'!$G$9:$G$408"),INDIRECT("'"&amp;$Q126&amp;"'!$D$9:$D$408"),$P126,INDIRECT("'"&amp;$Q126&amp;"'!$E$9:$E$408"),$C126,INDIRECT("'"&amp;$Q126&amp;"'!$F$9:$F$408"),$D126),""))</f>
        <v/>
      </c>
      <c r="F126" s="15">
        <f>IF(OR($C126="",$Q126=""),"",IFERROR(SUMIFS(INDIRECT("'"&amp;$Q126&amp;"'!$H$9:$H$408"),INDIRECT("'"&amp;$Q126&amp;"'!$D$9:$D$408"),$P126,INDIRECT("'"&amp;$Q126&amp;"'!$E$9:$E$408"),$C126,INDIRECT("'"&amp;$Q126&amp;"'!$F$9:$F$408"),$D126),""))</f>
        <v/>
      </c>
      <c r="G126" s="15">
        <f>IF(OR($C126="",$Q126=""),"",IFERROR(SUMIFS(INDIRECT("'"&amp;$Q126&amp;"'!$I$9:$I$408"),INDIRECT("'"&amp;$Q126&amp;"'!$D$9:$D$408"),$P126,INDIRECT("'"&amp;$Q126&amp;"'!$E$9:$E$408"),$C126,INDIRECT("'"&amp;$Q126&amp;"'!$F$9:$F$408"),$D126),""))</f>
        <v/>
      </c>
      <c r="H126" s="15">
        <f>IF(OR($C126="",$Q126=""),"",IFERROR(SUMIFS(INDIRECT("'"&amp;$Q126&amp;"'!$R$9:$R$408"),INDIRECT("'"&amp;$Q126&amp;"'!$D$9:$D$408"),$P126,INDIRECT("'"&amp;$Q126&amp;"'!$E$9:$E$408"),$C126,INDIRECT("'"&amp;$Q126&amp;"'!$F$9:$F$408"),$D126),""))</f>
        <v/>
      </c>
      <c r="I126" s="16">
        <f>IF(OR(OR($C126="",$Q126=""),N(E126)=0),"",H126/E126)</f>
        <v/>
      </c>
      <c r="J126" s="15">
        <f>IF(OR($C126="",$Q126=""),"",N(E126)-N(H126))</f>
        <v/>
      </c>
      <c r="K126" s="15">
        <f>IF(OR($C126="",$Q126=""),"",IFERROR(SUMIFS(INDIRECT("'"&amp;$Q126&amp;"'!$K$9:$K$408"),INDIRECT("'"&amp;$Q126&amp;"'!$D$9:$D$408"),$P126,INDIRECT("'"&amp;$Q126&amp;"'!$E$9:$E$408"),$C126,INDIRECT("'"&amp;$Q126&amp;"'!$F$9:$F$408"),$D126),""))</f>
        <v/>
      </c>
      <c r="L126" s="15">
        <f>IF(OR($C126="",$Q126=""),"",IFERROR(SUMIFS(INDIRECT("'"&amp;$Q126&amp;"'!$Q$9:$Q$408"),INDIRECT("'"&amp;$Q126&amp;"'!$D$9:$D$408"),$P126,INDIRECT("'"&amp;$Q126&amp;"'!$E$9:$E$408"),$C126,INDIRECT("'"&amp;$Q126&amp;"'!$F$9:$F$408"),$D126),""))</f>
        <v/>
      </c>
      <c r="M126" s="15">
        <f>IF(OR($C126="",$Q126=""),"",IFERROR(SUMIFS(INDIRECT("'"&amp;$Q126&amp;"'!$M$9:$M$408"),INDIRECT("'"&amp;$Q126&amp;"'!$D$9:$D$408"),$P126,INDIRECT("'"&amp;$Q126&amp;"'!$E$9:$E$408"),$C126,INDIRECT("'"&amp;$Q126&amp;"'!$F$9:$F$408"),$D126),""))</f>
        <v/>
      </c>
      <c r="N126" s="15">
        <f>IF(OR($C126="",$Q126=""),"",IFERROR(SUMIFS(INDIRECT("'"&amp;$Q126&amp;"'!$V$9:$V$408"),INDIRECT("'"&amp;$Q126&amp;"'!$D$9:$D$408"),$P126,INDIRECT("'"&amp;$Q126&amp;"'!$E$9:$E$408"),$C126,INDIRECT("'"&amp;$Q126&amp;"'!$F$9:$F$408"),$D126),""))</f>
        <v/>
      </c>
      <c r="P126" s="17" t="n"/>
      <c r="Q126" s="17" t="n"/>
    </row>
    <row r="127">
      <c r="B127" s="13">
        <f>IF(OR($C127="",$Q127=""),"",COUNTA($C$8:$C127))</f>
        <v/>
      </c>
      <c r="C127" s="14" t="n"/>
      <c r="D127" s="14" t="n"/>
      <c r="E127" s="15">
        <f>IF(OR($C127="",$Q127=""),"",IFERROR(SUMIFS(INDIRECT("'"&amp;$Q127&amp;"'!$G$9:$G$408"),INDIRECT("'"&amp;$Q127&amp;"'!$D$9:$D$408"),$P127,INDIRECT("'"&amp;$Q127&amp;"'!$E$9:$E$408"),$C127,INDIRECT("'"&amp;$Q127&amp;"'!$F$9:$F$408"),$D127),""))</f>
        <v/>
      </c>
      <c r="F127" s="15">
        <f>IF(OR($C127="",$Q127=""),"",IFERROR(SUMIFS(INDIRECT("'"&amp;$Q127&amp;"'!$H$9:$H$408"),INDIRECT("'"&amp;$Q127&amp;"'!$D$9:$D$408"),$P127,INDIRECT("'"&amp;$Q127&amp;"'!$E$9:$E$408"),$C127,INDIRECT("'"&amp;$Q127&amp;"'!$F$9:$F$408"),$D127),""))</f>
        <v/>
      </c>
      <c r="G127" s="15">
        <f>IF(OR($C127="",$Q127=""),"",IFERROR(SUMIFS(INDIRECT("'"&amp;$Q127&amp;"'!$I$9:$I$408"),INDIRECT("'"&amp;$Q127&amp;"'!$D$9:$D$408"),$P127,INDIRECT("'"&amp;$Q127&amp;"'!$E$9:$E$408"),$C127,INDIRECT("'"&amp;$Q127&amp;"'!$F$9:$F$408"),$D127),""))</f>
        <v/>
      </c>
      <c r="H127" s="15">
        <f>IF(OR($C127="",$Q127=""),"",IFERROR(SUMIFS(INDIRECT("'"&amp;$Q127&amp;"'!$R$9:$R$408"),INDIRECT("'"&amp;$Q127&amp;"'!$D$9:$D$408"),$P127,INDIRECT("'"&amp;$Q127&amp;"'!$E$9:$E$408"),$C127,INDIRECT("'"&amp;$Q127&amp;"'!$F$9:$F$408"),$D127),""))</f>
        <v/>
      </c>
      <c r="I127" s="16">
        <f>IF(OR(OR($C127="",$Q127=""),N(E127)=0),"",H127/E127)</f>
        <v/>
      </c>
      <c r="J127" s="15">
        <f>IF(OR($C127="",$Q127=""),"",N(E127)-N(H127))</f>
        <v/>
      </c>
      <c r="K127" s="15">
        <f>IF(OR($C127="",$Q127=""),"",IFERROR(SUMIFS(INDIRECT("'"&amp;$Q127&amp;"'!$K$9:$K$408"),INDIRECT("'"&amp;$Q127&amp;"'!$D$9:$D$408"),$P127,INDIRECT("'"&amp;$Q127&amp;"'!$E$9:$E$408"),$C127,INDIRECT("'"&amp;$Q127&amp;"'!$F$9:$F$408"),$D127),""))</f>
        <v/>
      </c>
      <c r="L127" s="15">
        <f>IF(OR($C127="",$Q127=""),"",IFERROR(SUMIFS(INDIRECT("'"&amp;$Q127&amp;"'!$Q$9:$Q$408"),INDIRECT("'"&amp;$Q127&amp;"'!$D$9:$D$408"),$P127,INDIRECT("'"&amp;$Q127&amp;"'!$E$9:$E$408"),$C127,INDIRECT("'"&amp;$Q127&amp;"'!$F$9:$F$408"),$D127),""))</f>
        <v/>
      </c>
      <c r="M127" s="15">
        <f>IF(OR($C127="",$Q127=""),"",IFERROR(SUMIFS(INDIRECT("'"&amp;$Q127&amp;"'!$M$9:$M$408"),INDIRECT("'"&amp;$Q127&amp;"'!$D$9:$D$408"),$P127,INDIRECT("'"&amp;$Q127&amp;"'!$E$9:$E$408"),$C127,INDIRECT("'"&amp;$Q127&amp;"'!$F$9:$F$408"),$D127),""))</f>
        <v/>
      </c>
      <c r="N127" s="15">
        <f>IF(OR($C127="",$Q127=""),"",IFERROR(SUMIFS(INDIRECT("'"&amp;$Q127&amp;"'!$V$9:$V$408"),INDIRECT("'"&amp;$Q127&amp;"'!$D$9:$D$408"),$P127,INDIRECT("'"&amp;$Q127&amp;"'!$E$9:$E$408"),$C127,INDIRECT("'"&amp;$Q127&amp;"'!$F$9:$F$408"),$D127),""))</f>
        <v/>
      </c>
      <c r="P127" s="17" t="n"/>
      <c r="Q127" s="17" t="n"/>
    </row>
    <row r="128">
      <c r="B128" s="13">
        <f>IF(OR($C128="",$Q128=""),"",COUNTA($C$8:$C128))</f>
        <v/>
      </c>
      <c r="C128" s="14" t="n"/>
      <c r="D128" s="14" t="n"/>
      <c r="E128" s="15">
        <f>IF(OR($C128="",$Q128=""),"",IFERROR(SUMIFS(INDIRECT("'"&amp;$Q128&amp;"'!$G$9:$G$408"),INDIRECT("'"&amp;$Q128&amp;"'!$D$9:$D$408"),$P128,INDIRECT("'"&amp;$Q128&amp;"'!$E$9:$E$408"),$C128,INDIRECT("'"&amp;$Q128&amp;"'!$F$9:$F$408"),$D128),""))</f>
        <v/>
      </c>
      <c r="F128" s="15">
        <f>IF(OR($C128="",$Q128=""),"",IFERROR(SUMIFS(INDIRECT("'"&amp;$Q128&amp;"'!$H$9:$H$408"),INDIRECT("'"&amp;$Q128&amp;"'!$D$9:$D$408"),$P128,INDIRECT("'"&amp;$Q128&amp;"'!$E$9:$E$408"),$C128,INDIRECT("'"&amp;$Q128&amp;"'!$F$9:$F$408"),$D128),""))</f>
        <v/>
      </c>
      <c r="G128" s="15">
        <f>IF(OR($C128="",$Q128=""),"",IFERROR(SUMIFS(INDIRECT("'"&amp;$Q128&amp;"'!$I$9:$I$408"),INDIRECT("'"&amp;$Q128&amp;"'!$D$9:$D$408"),$P128,INDIRECT("'"&amp;$Q128&amp;"'!$E$9:$E$408"),$C128,INDIRECT("'"&amp;$Q128&amp;"'!$F$9:$F$408"),$D128),""))</f>
        <v/>
      </c>
      <c r="H128" s="15">
        <f>IF(OR($C128="",$Q128=""),"",IFERROR(SUMIFS(INDIRECT("'"&amp;$Q128&amp;"'!$R$9:$R$408"),INDIRECT("'"&amp;$Q128&amp;"'!$D$9:$D$408"),$P128,INDIRECT("'"&amp;$Q128&amp;"'!$E$9:$E$408"),$C128,INDIRECT("'"&amp;$Q128&amp;"'!$F$9:$F$408"),$D128),""))</f>
        <v/>
      </c>
      <c r="I128" s="16">
        <f>IF(OR(OR($C128="",$Q128=""),N(E128)=0),"",H128/E128)</f>
        <v/>
      </c>
      <c r="J128" s="15">
        <f>IF(OR($C128="",$Q128=""),"",N(E128)-N(H128))</f>
        <v/>
      </c>
      <c r="K128" s="15">
        <f>IF(OR($C128="",$Q128=""),"",IFERROR(SUMIFS(INDIRECT("'"&amp;$Q128&amp;"'!$K$9:$K$408"),INDIRECT("'"&amp;$Q128&amp;"'!$D$9:$D$408"),$P128,INDIRECT("'"&amp;$Q128&amp;"'!$E$9:$E$408"),$C128,INDIRECT("'"&amp;$Q128&amp;"'!$F$9:$F$408"),$D128),""))</f>
        <v/>
      </c>
      <c r="L128" s="15">
        <f>IF(OR($C128="",$Q128=""),"",IFERROR(SUMIFS(INDIRECT("'"&amp;$Q128&amp;"'!$Q$9:$Q$408"),INDIRECT("'"&amp;$Q128&amp;"'!$D$9:$D$408"),$P128,INDIRECT("'"&amp;$Q128&amp;"'!$E$9:$E$408"),$C128,INDIRECT("'"&amp;$Q128&amp;"'!$F$9:$F$408"),$D128),""))</f>
        <v/>
      </c>
      <c r="M128" s="15">
        <f>IF(OR($C128="",$Q128=""),"",IFERROR(SUMIFS(INDIRECT("'"&amp;$Q128&amp;"'!$M$9:$M$408"),INDIRECT("'"&amp;$Q128&amp;"'!$D$9:$D$408"),$P128,INDIRECT("'"&amp;$Q128&amp;"'!$E$9:$E$408"),$C128,INDIRECT("'"&amp;$Q128&amp;"'!$F$9:$F$408"),$D128),""))</f>
        <v/>
      </c>
      <c r="N128" s="15">
        <f>IF(OR($C128="",$Q128=""),"",IFERROR(SUMIFS(INDIRECT("'"&amp;$Q128&amp;"'!$V$9:$V$408"),INDIRECT("'"&amp;$Q128&amp;"'!$D$9:$D$408"),$P128,INDIRECT("'"&amp;$Q128&amp;"'!$E$9:$E$408"),$C128,INDIRECT("'"&amp;$Q128&amp;"'!$F$9:$F$408"),$D128),""))</f>
        <v/>
      </c>
      <c r="P128" s="17" t="n"/>
      <c r="Q128" s="17" t="n"/>
    </row>
    <row r="129">
      <c r="B129" s="13">
        <f>IF(OR($C129="",$Q129=""),"",COUNTA($C$8:$C129))</f>
        <v/>
      </c>
      <c r="C129" s="14" t="n"/>
      <c r="D129" s="14" t="n"/>
      <c r="E129" s="15">
        <f>IF(OR($C129="",$Q129=""),"",IFERROR(SUMIFS(INDIRECT("'"&amp;$Q129&amp;"'!$G$9:$G$408"),INDIRECT("'"&amp;$Q129&amp;"'!$D$9:$D$408"),$P129,INDIRECT("'"&amp;$Q129&amp;"'!$E$9:$E$408"),$C129,INDIRECT("'"&amp;$Q129&amp;"'!$F$9:$F$408"),$D129),""))</f>
        <v/>
      </c>
      <c r="F129" s="15">
        <f>IF(OR($C129="",$Q129=""),"",IFERROR(SUMIFS(INDIRECT("'"&amp;$Q129&amp;"'!$H$9:$H$408"),INDIRECT("'"&amp;$Q129&amp;"'!$D$9:$D$408"),$P129,INDIRECT("'"&amp;$Q129&amp;"'!$E$9:$E$408"),$C129,INDIRECT("'"&amp;$Q129&amp;"'!$F$9:$F$408"),$D129),""))</f>
        <v/>
      </c>
      <c r="G129" s="15">
        <f>IF(OR($C129="",$Q129=""),"",IFERROR(SUMIFS(INDIRECT("'"&amp;$Q129&amp;"'!$I$9:$I$408"),INDIRECT("'"&amp;$Q129&amp;"'!$D$9:$D$408"),$P129,INDIRECT("'"&amp;$Q129&amp;"'!$E$9:$E$408"),$C129,INDIRECT("'"&amp;$Q129&amp;"'!$F$9:$F$408"),$D129),""))</f>
        <v/>
      </c>
      <c r="H129" s="15">
        <f>IF(OR($C129="",$Q129=""),"",IFERROR(SUMIFS(INDIRECT("'"&amp;$Q129&amp;"'!$R$9:$R$408"),INDIRECT("'"&amp;$Q129&amp;"'!$D$9:$D$408"),$P129,INDIRECT("'"&amp;$Q129&amp;"'!$E$9:$E$408"),$C129,INDIRECT("'"&amp;$Q129&amp;"'!$F$9:$F$408"),$D129),""))</f>
        <v/>
      </c>
      <c r="I129" s="16">
        <f>IF(OR(OR($C129="",$Q129=""),N(E129)=0),"",H129/E129)</f>
        <v/>
      </c>
      <c r="J129" s="15">
        <f>IF(OR($C129="",$Q129=""),"",N(E129)-N(H129))</f>
        <v/>
      </c>
      <c r="K129" s="15">
        <f>IF(OR($C129="",$Q129=""),"",IFERROR(SUMIFS(INDIRECT("'"&amp;$Q129&amp;"'!$K$9:$K$408"),INDIRECT("'"&amp;$Q129&amp;"'!$D$9:$D$408"),$P129,INDIRECT("'"&amp;$Q129&amp;"'!$E$9:$E$408"),$C129,INDIRECT("'"&amp;$Q129&amp;"'!$F$9:$F$408"),$D129),""))</f>
        <v/>
      </c>
      <c r="L129" s="15">
        <f>IF(OR($C129="",$Q129=""),"",IFERROR(SUMIFS(INDIRECT("'"&amp;$Q129&amp;"'!$Q$9:$Q$408"),INDIRECT("'"&amp;$Q129&amp;"'!$D$9:$D$408"),$P129,INDIRECT("'"&amp;$Q129&amp;"'!$E$9:$E$408"),$C129,INDIRECT("'"&amp;$Q129&amp;"'!$F$9:$F$408"),$D129),""))</f>
        <v/>
      </c>
      <c r="M129" s="15">
        <f>IF(OR($C129="",$Q129=""),"",IFERROR(SUMIFS(INDIRECT("'"&amp;$Q129&amp;"'!$M$9:$M$408"),INDIRECT("'"&amp;$Q129&amp;"'!$D$9:$D$408"),$P129,INDIRECT("'"&amp;$Q129&amp;"'!$E$9:$E$408"),$C129,INDIRECT("'"&amp;$Q129&amp;"'!$F$9:$F$408"),$D129),""))</f>
        <v/>
      </c>
      <c r="N129" s="15">
        <f>IF(OR($C129="",$Q129=""),"",IFERROR(SUMIFS(INDIRECT("'"&amp;$Q129&amp;"'!$V$9:$V$408"),INDIRECT("'"&amp;$Q129&amp;"'!$D$9:$D$408"),$P129,INDIRECT("'"&amp;$Q129&amp;"'!$E$9:$E$408"),$C129,INDIRECT("'"&amp;$Q129&amp;"'!$F$9:$F$408"),$D129),""))</f>
        <v/>
      </c>
      <c r="P129" s="17" t="n"/>
      <c r="Q129" s="17" t="n"/>
    </row>
    <row r="130">
      <c r="B130" s="13">
        <f>IF(OR($C130="",$Q130=""),"",COUNTA($C$8:$C130))</f>
        <v/>
      </c>
      <c r="C130" s="14" t="n"/>
      <c r="D130" s="14" t="n"/>
      <c r="E130" s="15">
        <f>IF(OR($C130="",$Q130=""),"",IFERROR(SUMIFS(INDIRECT("'"&amp;$Q130&amp;"'!$G$9:$G$408"),INDIRECT("'"&amp;$Q130&amp;"'!$D$9:$D$408"),$P130,INDIRECT("'"&amp;$Q130&amp;"'!$E$9:$E$408"),$C130,INDIRECT("'"&amp;$Q130&amp;"'!$F$9:$F$408"),$D130),""))</f>
        <v/>
      </c>
      <c r="F130" s="15">
        <f>IF(OR($C130="",$Q130=""),"",IFERROR(SUMIFS(INDIRECT("'"&amp;$Q130&amp;"'!$H$9:$H$408"),INDIRECT("'"&amp;$Q130&amp;"'!$D$9:$D$408"),$P130,INDIRECT("'"&amp;$Q130&amp;"'!$E$9:$E$408"),$C130,INDIRECT("'"&amp;$Q130&amp;"'!$F$9:$F$408"),$D130),""))</f>
        <v/>
      </c>
      <c r="G130" s="15">
        <f>IF(OR($C130="",$Q130=""),"",IFERROR(SUMIFS(INDIRECT("'"&amp;$Q130&amp;"'!$I$9:$I$408"),INDIRECT("'"&amp;$Q130&amp;"'!$D$9:$D$408"),$P130,INDIRECT("'"&amp;$Q130&amp;"'!$E$9:$E$408"),$C130,INDIRECT("'"&amp;$Q130&amp;"'!$F$9:$F$408"),$D130),""))</f>
        <v/>
      </c>
      <c r="H130" s="15">
        <f>IF(OR($C130="",$Q130=""),"",IFERROR(SUMIFS(INDIRECT("'"&amp;$Q130&amp;"'!$R$9:$R$408"),INDIRECT("'"&amp;$Q130&amp;"'!$D$9:$D$408"),$P130,INDIRECT("'"&amp;$Q130&amp;"'!$E$9:$E$408"),$C130,INDIRECT("'"&amp;$Q130&amp;"'!$F$9:$F$408"),$D130),""))</f>
        <v/>
      </c>
      <c r="I130" s="16">
        <f>IF(OR(OR($C130="",$Q130=""),N(E130)=0),"",H130/E130)</f>
        <v/>
      </c>
      <c r="J130" s="15">
        <f>IF(OR($C130="",$Q130=""),"",N(E130)-N(H130))</f>
        <v/>
      </c>
      <c r="K130" s="15">
        <f>IF(OR($C130="",$Q130=""),"",IFERROR(SUMIFS(INDIRECT("'"&amp;$Q130&amp;"'!$K$9:$K$408"),INDIRECT("'"&amp;$Q130&amp;"'!$D$9:$D$408"),$P130,INDIRECT("'"&amp;$Q130&amp;"'!$E$9:$E$408"),$C130,INDIRECT("'"&amp;$Q130&amp;"'!$F$9:$F$408"),$D130),""))</f>
        <v/>
      </c>
      <c r="L130" s="15">
        <f>IF(OR($C130="",$Q130=""),"",IFERROR(SUMIFS(INDIRECT("'"&amp;$Q130&amp;"'!$Q$9:$Q$408"),INDIRECT("'"&amp;$Q130&amp;"'!$D$9:$D$408"),$P130,INDIRECT("'"&amp;$Q130&amp;"'!$E$9:$E$408"),$C130,INDIRECT("'"&amp;$Q130&amp;"'!$F$9:$F$408"),$D130),""))</f>
        <v/>
      </c>
      <c r="M130" s="15">
        <f>IF(OR($C130="",$Q130=""),"",IFERROR(SUMIFS(INDIRECT("'"&amp;$Q130&amp;"'!$M$9:$M$408"),INDIRECT("'"&amp;$Q130&amp;"'!$D$9:$D$408"),$P130,INDIRECT("'"&amp;$Q130&amp;"'!$E$9:$E$408"),$C130,INDIRECT("'"&amp;$Q130&amp;"'!$F$9:$F$408"),$D130),""))</f>
        <v/>
      </c>
      <c r="N130" s="15">
        <f>IF(OR($C130="",$Q130=""),"",IFERROR(SUMIFS(INDIRECT("'"&amp;$Q130&amp;"'!$V$9:$V$408"),INDIRECT("'"&amp;$Q130&amp;"'!$D$9:$D$408"),$P130,INDIRECT("'"&amp;$Q130&amp;"'!$E$9:$E$408"),$C130,INDIRECT("'"&amp;$Q130&amp;"'!$F$9:$F$408"),$D130),""))</f>
        <v/>
      </c>
      <c r="P130" s="17" t="n"/>
      <c r="Q130" s="17" t="n"/>
    </row>
    <row r="131">
      <c r="B131" s="13">
        <f>IF(OR($C131="",$Q131=""),"",COUNTA($C$8:$C131))</f>
        <v/>
      </c>
      <c r="C131" s="14" t="n"/>
      <c r="D131" s="14" t="n"/>
      <c r="E131" s="15">
        <f>IF(OR($C131="",$Q131=""),"",IFERROR(SUMIFS(INDIRECT("'"&amp;$Q131&amp;"'!$G$9:$G$408"),INDIRECT("'"&amp;$Q131&amp;"'!$D$9:$D$408"),$P131,INDIRECT("'"&amp;$Q131&amp;"'!$E$9:$E$408"),$C131,INDIRECT("'"&amp;$Q131&amp;"'!$F$9:$F$408"),$D131),""))</f>
        <v/>
      </c>
      <c r="F131" s="15">
        <f>IF(OR($C131="",$Q131=""),"",IFERROR(SUMIFS(INDIRECT("'"&amp;$Q131&amp;"'!$H$9:$H$408"),INDIRECT("'"&amp;$Q131&amp;"'!$D$9:$D$408"),$P131,INDIRECT("'"&amp;$Q131&amp;"'!$E$9:$E$408"),$C131,INDIRECT("'"&amp;$Q131&amp;"'!$F$9:$F$408"),$D131),""))</f>
        <v/>
      </c>
      <c r="G131" s="15">
        <f>IF(OR($C131="",$Q131=""),"",IFERROR(SUMIFS(INDIRECT("'"&amp;$Q131&amp;"'!$I$9:$I$408"),INDIRECT("'"&amp;$Q131&amp;"'!$D$9:$D$408"),$P131,INDIRECT("'"&amp;$Q131&amp;"'!$E$9:$E$408"),$C131,INDIRECT("'"&amp;$Q131&amp;"'!$F$9:$F$408"),$D131),""))</f>
        <v/>
      </c>
      <c r="H131" s="15">
        <f>IF(OR($C131="",$Q131=""),"",IFERROR(SUMIFS(INDIRECT("'"&amp;$Q131&amp;"'!$R$9:$R$408"),INDIRECT("'"&amp;$Q131&amp;"'!$D$9:$D$408"),$P131,INDIRECT("'"&amp;$Q131&amp;"'!$E$9:$E$408"),$C131,INDIRECT("'"&amp;$Q131&amp;"'!$F$9:$F$408"),$D131),""))</f>
        <v/>
      </c>
      <c r="I131" s="16">
        <f>IF(OR(OR($C131="",$Q131=""),N(E131)=0),"",H131/E131)</f>
        <v/>
      </c>
      <c r="J131" s="15">
        <f>IF(OR($C131="",$Q131=""),"",N(E131)-N(H131))</f>
        <v/>
      </c>
      <c r="K131" s="15">
        <f>IF(OR($C131="",$Q131=""),"",IFERROR(SUMIFS(INDIRECT("'"&amp;$Q131&amp;"'!$K$9:$K$408"),INDIRECT("'"&amp;$Q131&amp;"'!$D$9:$D$408"),$P131,INDIRECT("'"&amp;$Q131&amp;"'!$E$9:$E$408"),$C131,INDIRECT("'"&amp;$Q131&amp;"'!$F$9:$F$408"),$D131),""))</f>
        <v/>
      </c>
      <c r="L131" s="15">
        <f>IF(OR($C131="",$Q131=""),"",IFERROR(SUMIFS(INDIRECT("'"&amp;$Q131&amp;"'!$Q$9:$Q$408"),INDIRECT("'"&amp;$Q131&amp;"'!$D$9:$D$408"),$P131,INDIRECT("'"&amp;$Q131&amp;"'!$E$9:$E$408"),$C131,INDIRECT("'"&amp;$Q131&amp;"'!$F$9:$F$408"),$D131),""))</f>
        <v/>
      </c>
      <c r="M131" s="15">
        <f>IF(OR($C131="",$Q131=""),"",IFERROR(SUMIFS(INDIRECT("'"&amp;$Q131&amp;"'!$M$9:$M$408"),INDIRECT("'"&amp;$Q131&amp;"'!$D$9:$D$408"),$P131,INDIRECT("'"&amp;$Q131&amp;"'!$E$9:$E$408"),$C131,INDIRECT("'"&amp;$Q131&amp;"'!$F$9:$F$408"),$D131),""))</f>
        <v/>
      </c>
      <c r="N131" s="15">
        <f>IF(OR($C131="",$Q131=""),"",IFERROR(SUMIFS(INDIRECT("'"&amp;$Q131&amp;"'!$V$9:$V$408"),INDIRECT("'"&amp;$Q131&amp;"'!$D$9:$D$408"),$P131,INDIRECT("'"&amp;$Q131&amp;"'!$E$9:$E$408"),$C131,INDIRECT("'"&amp;$Q131&amp;"'!$F$9:$F$408"),$D131),""))</f>
        <v/>
      </c>
      <c r="P131" s="17" t="n"/>
      <c r="Q131" s="17" t="n"/>
    </row>
    <row r="132">
      <c r="B132" s="13">
        <f>IF(OR($C132="",$Q132=""),"",COUNTA($C$8:$C132))</f>
        <v/>
      </c>
      <c r="C132" s="14" t="n"/>
      <c r="D132" s="14" t="n"/>
      <c r="E132" s="15">
        <f>IF(OR($C132="",$Q132=""),"",IFERROR(SUMIFS(INDIRECT("'"&amp;$Q132&amp;"'!$G$9:$G$408"),INDIRECT("'"&amp;$Q132&amp;"'!$D$9:$D$408"),$P132,INDIRECT("'"&amp;$Q132&amp;"'!$E$9:$E$408"),$C132,INDIRECT("'"&amp;$Q132&amp;"'!$F$9:$F$408"),$D132),""))</f>
        <v/>
      </c>
      <c r="F132" s="15">
        <f>IF(OR($C132="",$Q132=""),"",IFERROR(SUMIFS(INDIRECT("'"&amp;$Q132&amp;"'!$H$9:$H$408"),INDIRECT("'"&amp;$Q132&amp;"'!$D$9:$D$408"),$P132,INDIRECT("'"&amp;$Q132&amp;"'!$E$9:$E$408"),$C132,INDIRECT("'"&amp;$Q132&amp;"'!$F$9:$F$408"),$D132),""))</f>
        <v/>
      </c>
      <c r="G132" s="15">
        <f>IF(OR($C132="",$Q132=""),"",IFERROR(SUMIFS(INDIRECT("'"&amp;$Q132&amp;"'!$I$9:$I$408"),INDIRECT("'"&amp;$Q132&amp;"'!$D$9:$D$408"),$P132,INDIRECT("'"&amp;$Q132&amp;"'!$E$9:$E$408"),$C132,INDIRECT("'"&amp;$Q132&amp;"'!$F$9:$F$408"),$D132),""))</f>
        <v/>
      </c>
      <c r="H132" s="15">
        <f>IF(OR($C132="",$Q132=""),"",IFERROR(SUMIFS(INDIRECT("'"&amp;$Q132&amp;"'!$R$9:$R$408"),INDIRECT("'"&amp;$Q132&amp;"'!$D$9:$D$408"),$P132,INDIRECT("'"&amp;$Q132&amp;"'!$E$9:$E$408"),$C132,INDIRECT("'"&amp;$Q132&amp;"'!$F$9:$F$408"),$D132),""))</f>
        <v/>
      </c>
      <c r="I132" s="16">
        <f>IF(OR(OR($C132="",$Q132=""),N(E132)=0),"",H132/E132)</f>
        <v/>
      </c>
      <c r="J132" s="15">
        <f>IF(OR($C132="",$Q132=""),"",N(E132)-N(H132))</f>
        <v/>
      </c>
      <c r="K132" s="15">
        <f>IF(OR($C132="",$Q132=""),"",IFERROR(SUMIFS(INDIRECT("'"&amp;$Q132&amp;"'!$K$9:$K$408"),INDIRECT("'"&amp;$Q132&amp;"'!$D$9:$D$408"),$P132,INDIRECT("'"&amp;$Q132&amp;"'!$E$9:$E$408"),$C132,INDIRECT("'"&amp;$Q132&amp;"'!$F$9:$F$408"),$D132),""))</f>
        <v/>
      </c>
      <c r="L132" s="15">
        <f>IF(OR($C132="",$Q132=""),"",IFERROR(SUMIFS(INDIRECT("'"&amp;$Q132&amp;"'!$Q$9:$Q$408"),INDIRECT("'"&amp;$Q132&amp;"'!$D$9:$D$408"),$P132,INDIRECT("'"&amp;$Q132&amp;"'!$E$9:$E$408"),$C132,INDIRECT("'"&amp;$Q132&amp;"'!$F$9:$F$408"),$D132),""))</f>
        <v/>
      </c>
      <c r="M132" s="15">
        <f>IF(OR($C132="",$Q132=""),"",IFERROR(SUMIFS(INDIRECT("'"&amp;$Q132&amp;"'!$M$9:$M$408"),INDIRECT("'"&amp;$Q132&amp;"'!$D$9:$D$408"),$P132,INDIRECT("'"&amp;$Q132&amp;"'!$E$9:$E$408"),$C132,INDIRECT("'"&amp;$Q132&amp;"'!$F$9:$F$408"),$D132),""))</f>
        <v/>
      </c>
      <c r="N132" s="15">
        <f>IF(OR($C132="",$Q132=""),"",IFERROR(SUMIFS(INDIRECT("'"&amp;$Q132&amp;"'!$V$9:$V$408"),INDIRECT("'"&amp;$Q132&amp;"'!$D$9:$D$408"),$P132,INDIRECT("'"&amp;$Q132&amp;"'!$E$9:$E$408"),$C132,INDIRECT("'"&amp;$Q132&amp;"'!$F$9:$F$408"),$D132),""))</f>
        <v/>
      </c>
      <c r="P132" s="17" t="n"/>
      <c r="Q132" s="17" t="n"/>
    </row>
    <row r="133">
      <c r="B133" s="13">
        <f>IF(OR($C133="",$Q133=""),"",COUNTA($C$8:$C133))</f>
        <v/>
      </c>
      <c r="C133" s="14" t="n"/>
      <c r="D133" s="14" t="n"/>
      <c r="E133" s="15">
        <f>IF(OR($C133="",$Q133=""),"",IFERROR(SUMIFS(INDIRECT("'"&amp;$Q133&amp;"'!$G$9:$G$408"),INDIRECT("'"&amp;$Q133&amp;"'!$D$9:$D$408"),$P133,INDIRECT("'"&amp;$Q133&amp;"'!$E$9:$E$408"),$C133,INDIRECT("'"&amp;$Q133&amp;"'!$F$9:$F$408"),$D133),""))</f>
        <v/>
      </c>
      <c r="F133" s="15">
        <f>IF(OR($C133="",$Q133=""),"",IFERROR(SUMIFS(INDIRECT("'"&amp;$Q133&amp;"'!$H$9:$H$408"),INDIRECT("'"&amp;$Q133&amp;"'!$D$9:$D$408"),$P133,INDIRECT("'"&amp;$Q133&amp;"'!$E$9:$E$408"),$C133,INDIRECT("'"&amp;$Q133&amp;"'!$F$9:$F$408"),$D133),""))</f>
        <v/>
      </c>
      <c r="G133" s="15">
        <f>IF(OR($C133="",$Q133=""),"",IFERROR(SUMIFS(INDIRECT("'"&amp;$Q133&amp;"'!$I$9:$I$408"),INDIRECT("'"&amp;$Q133&amp;"'!$D$9:$D$408"),$P133,INDIRECT("'"&amp;$Q133&amp;"'!$E$9:$E$408"),$C133,INDIRECT("'"&amp;$Q133&amp;"'!$F$9:$F$408"),$D133),""))</f>
        <v/>
      </c>
      <c r="H133" s="15">
        <f>IF(OR($C133="",$Q133=""),"",IFERROR(SUMIFS(INDIRECT("'"&amp;$Q133&amp;"'!$R$9:$R$408"),INDIRECT("'"&amp;$Q133&amp;"'!$D$9:$D$408"),$P133,INDIRECT("'"&amp;$Q133&amp;"'!$E$9:$E$408"),$C133,INDIRECT("'"&amp;$Q133&amp;"'!$F$9:$F$408"),$D133),""))</f>
        <v/>
      </c>
      <c r="I133" s="16">
        <f>IF(OR(OR($C133="",$Q133=""),N(E133)=0),"",H133/E133)</f>
        <v/>
      </c>
      <c r="J133" s="15">
        <f>IF(OR($C133="",$Q133=""),"",N(E133)-N(H133))</f>
        <v/>
      </c>
      <c r="K133" s="15">
        <f>IF(OR($C133="",$Q133=""),"",IFERROR(SUMIFS(INDIRECT("'"&amp;$Q133&amp;"'!$K$9:$K$408"),INDIRECT("'"&amp;$Q133&amp;"'!$D$9:$D$408"),$P133,INDIRECT("'"&amp;$Q133&amp;"'!$E$9:$E$408"),$C133,INDIRECT("'"&amp;$Q133&amp;"'!$F$9:$F$408"),$D133),""))</f>
        <v/>
      </c>
      <c r="L133" s="15">
        <f>IF(OR($C133="",$Q133=""),"",IFERROR(SUMIFS(INDIRECT("'"&amp;$Q133&amp;"'!$Q$9:$Q$408"),INDIRECT("'"&amp;$Q133&amp;"'!$D$9:$D$408"),$P133,INDIRECT("'"&amp;$Q133&amp;"'!$E$9:$E$408"),$C133,INDIRECT("'"&amp;$Q133&amp;"'!$F$9:$F$408"),$D133),""))</f>
        <v/>
      </c>
      <c r="M133" s="15">
        <f>IF(OR($C133="",$Q133=""),"",IFERROR(SUMIFS(INDIRECT("'"&amp;$Q133&amp;"'!$M$9:$M$408"),INDIRECT("'"&amp;$Q133&amp;"'!$D$9:$D$408"),$P133,INDIRECT("'"&amp;$Q133&amp;"'!$E$9:$E$408"),$C133,INDIRECT("'"&amp;$Q133&amp;"'!$F$9:$F$408"),$D133),""))</f>
        <v/>
      </c>
      <c r="N133" s="15">
        <f>IF(OR($C133="",$Q133=""),"",IFERROR(SUMIFS(INDIRECT("'"&amp;$Q133&amp;"'!$V$9:$V$408"),INDIRECT("'"&amp;$Q133&amp;"'!$D$9:$D$408"),$P133,INDIRECT("'"&amp;$Q133&amp;"'!$E$9:$E$408"),$C133,INDIRECT("'"&amp;$Q133&amp;"'!$F$9:$F$408"),$D133),""))</f>
        <v/>
      </c>
      <c r="P133" s="17" t="n"/>
      <c r="Q133" s="17" t="n"/>
    </row>
    <row r="134">
      <c r="B134" s="13">
        <f>IF(OR($C134="",$Q134=""),"",COUNTA($C$8:$C134))</f>
        <v/>
      </c>
      <c r="C134" s="14" t="n"/>
      <c r="D134" s="14" t="n"/>
      <c r="E134" s="15">
        <f>IF(OR($C134="",$Q134=""),"",IFERROR(SUMIFS(INDIRECT("'"&amp;$Q134&amp;"'!$G$9:$G$408"),INDIRECT("'"&amp;$Q134&amp;"'!$D$9:$D$408"),$P134,INDIRECT("'"&amp;$Q134&amp;"'!$E$9:$E$408"),$C134,INDIRECT("'"&amp;$Q134&amp;"'!$F$9:$F$408"),$D134),""))</f>
        <v/>
      </c>
      <c r="F134" s="15">
        <f>IF(OR($C134="",$Q134=""),"",IFERROR(SUMIFS(INDIRECT("'"&amp;$Q134&amp;"'!$H$9:$H$408"),INDIRECT("'"&amp;$Q134&amp;"'!$D$9:$D$408"),$P134,INDIRECT("'"&amp;$Q134&amp;"'!$E$9:$E$408"),$C134,INDIRECT("'"&amp;$Q134&amp;"'!$F$9:$F$408"),$D134),""))</f>
        <v/>
      </c>
      <c r="G134" s="15">
        <f>IF(OR($C134="",$Q134=""),"",IFERROR(SUMIFS(INDIRECT("'"&amp;$Q134&amp;"'!$I$9:$I$408"),INDIRECT("'"&amp;$Q134&amp;"'!$D$9:$D$408"),$P134,INDIRECT("'"&amp;$Q134&amp;"'!$E$9:$E$408"),$C134,INDIRECT("'"&amp;$Q134&amp;"'!$F$9:$F$408"),$D134),""))</f>
        <v/>
      </c>
      <c r="H134" s="15">
        <f>IF(OR($C134="",$Q134=""),"",IFERROR(SUMIFS(INDIRECT("'"&amp;$Q134&amp;"'!$R$9:$R$408"),INDIRECT("'"&amp;$Q134&amp;"'!$D$9:$D$408"),$P134,INDIRECT("'"&amp;$Q134&amp;"'!$E$9:$E$408"),$C134,INDIRECT("'"&amp;$Q134&amp;"'!$F$9:$F$408"),$D134),""))</f>
        <v/>
      </c>
      <c r="I134" s="16">
        <f>IF(OR(OR($C134="",$Q134=""),N(E134)=0),"",H134/E134)</f>
        <v/>
      </c>
      <c r="J134" s="15">
        <f>IF(OR($C134="",$Q134=""),"",N(E134)-N(H134))</f>
        <v/>
      </c>
      <c r="K134" s="15">
        <f>IF(OR($C134="",$Q134=""),"",IFERROR(SUMIFS(INDIRECT("'"&amp;$Q134&amp;"'!$K$9:$K$408"),INDIRECT("'"&amp;$Q134&amp;"'!$D$9:$D$408"),$P134,INDIRECT("'"&amp;$Q134&amp;"'!$E$9:$E$408"),$C134,INDIRECT("'"&amp;$Q134&amp;"'!$F$9:$F$408"),$D134),""))</f>
        <v/>
      </c>
      <c r="L134" s="15">
        <f>IF(OR($C134="",$Q134=""),"",IFERROR(SUMIFS(INDIRECT("'"&amp;$Q134&amp;"'!$Q$9:$Q$408"),INDIRECT("'"&amp;$Q134&amp;"'!$D$9:$D$408"),$P134,INDIRECT("'"&amp;$Q134&amp;"'!$E$9:$E$408"),$C134,INDIRECT("'"&amp;$Q134&amp;"'!$F$9:$F$408"),$D134),""))</f>
        <v/>
      </c>
      <c r="M134" s="15">
        <f>IF(OR($C134="",$Q134=""),"",IFERROR(SUMIFS(INDIRECT("'"&amp;$Q134&amp;"'!$M$9:$M$408"),INDIRECT("'"&amp;$Q134&amp;"'!$D$9:$D$408"),$P134,INDIRECT("'"&amp;$Q134&amp;"'!$E$9:$E$408"),$C134,INDIRECT("'"&amp;$Q134&amp;"'!$F$9:$F$408"),$D134),""))</f>
        <v/>
      </c>
      <c r="N134" s="15">
        <f>IF(OR($C134="",$Q134=""),"",IFERROR(SUMIFS(INDIRECT("'"&amp;$Q134&amp;"'!$V$9:$V$408"),INDIRECT("'"&amp;$Q134&amp;"'!$D$9:$D$408"),$P134,INDIRECT("'"&amp;$Q134&amp;"'!$E$9:$E$408"),$C134,INDIRECT("'"&amp;$Q134&amp;"'!$F$9:$F$408"),$D134),""))</f>
        <v/>
      </c>
      <c r="P134" s="17" t="n"/>
      <c r="Q134" s="17" t="n"/>
    </row>
    <row r="135">
      <c r="B135" s="13">
        <f>IF(OR($C135="",$Q135=""),"",COUNTA($C$8:$C135))</f>
        <v/>
      </c>
      <c r="C135" s="14" t="n"/>
      <c r="D135" s="14" t="n"/>
      <c r="E135" s="15">
        <f>IF(OR($C135="",$Q135=""),"",IFERROR(SUMIFS(INDIRECT("'"&amp;$Q135&amp;"'!$G$9:$G$408"),INDIRECT("'"&amp;$Q135&amp;"'!$D$9:$D$408"),$P135,INDIRECT("'"&amp;$Q135&amp;"'!$E$9:$E$408"),$C135,INDIRECT("'"&amp;$Q135&amp;"'!$F$9:$F$408"),$D135),""))</f>
        <v/>
      </c>
      <c r="F135" s="15">
        <f>IF(OR($C135="",$Q135=""),"",IFERROR(SUMIFS(INDIRECT("'"&amp;$Q135&amp;"'!$H$9:$H$408"),INDIRECT("'"&amp;$Q135&amp;"'!$D$9:$D$408"),$P135,INDIRECT("'"&amp;$Q135&amp;"'!$E$9:$E$408"),$C135,INDIRECT("'"&amp;$Q135&amp;"'!$F$9:$F$408"),$D135),""))</f>
        <v/>
      </c>
      <c r="G135" s="15">
        <f>IF(OR($C135="",$Q135=""),"",IFERROR(SUMIFS(INDIRECT("'"&amp;$Q135&amp;"'!$I$9:$I$408"),INDIRECT("'"&amp;$Q135&amp;"'!$D$9:$D$408"),$P135,INDIRECT("'"&amp;$Q135&amp;"'!$E$9:$E$408"),$C135,INDIRECT("'"&amp;$Q135&amp;"'!$F$9:$F$408"),$D135),""))</f>
        <v/>
      </c>
      <c r="H135" s="15">
        <f>IF(OR($C135="",$Q135=""),"",IFERROR(SUMIFS(INDIRECT("'"&amp;$Q135&amp;"'!$R$9:$R$408"),INDIRECT("'"&amp;$Q135&amp;"'!$D$9:$D$408"),$P135,INDIRECT("'"&amp;$Q135&amp;"'!$E$9:$E$408"),$C135,INDIRECT("'"&amp;$Q135&amp;"'!$F$9:$F$408"),$D135),""))</f>
        <v/>
      </c>
      <c r="I135" s="16">
        <f>IF(OR(OR($C135="",$Q135=""),N(E135)=0),"",H135/E135)</f>
        <v/>
      </c>
      <c r="J135" s="15">
        <f>IF(OR($C135="",$Q135=""),"",N(E135)-N(H135))</f>
        <v/>
      </c>
      <c r="K135" s="15">
        <f>IF(OR($C135="",$Q135=""),"",IFERROR(SUMIFS(INDIRECT("'"&amp;$Q135&amp;"'!$K$9:$K$408"),INDIRECT("'"&amp;$Q135&amp;"'!$D$9:$D$408"),$P135,INDIRECT("'"&amp;$Q135&amp;"'!$E$9:$E$408"),$C135,INDIRECT("'"&amp;$Q135&amp;"'!$F$9:$F$408"),$D135),""))</f>
        <v/>
      </c>
      <c r="L135" s="15">
        <f>IF(OR($C135="",$Q135=""),"",IFERROR(SUMIFS(INDIRECT("'"&amp;$Q135&amp;"'!$Q$9:$Q$408"),INDIRECT("'"&amp;$Q135&amp;"'!$D$9:$D$408"),$P135,INDIRECT("'"&amp;$Q135&amp;"'!$E$9:$E$408"),$C135,INDIRECT("'"&amp;$Q135&amp;"'!$F$9:$F$408"),$D135),""))</f>
        <v/>
      </c>
      <c r="M135" s="15">
        <f>IF(OR($C135="",$Q135=""),"",IFERROR(SUMIFS(INDIRECT("'"&amp;$Q135&amp;"'!$M$9:$M$408"),INDIRECT("'"&amp;$Q135&amp;"'!$D$9:$D$408"),$P135,INDIRECT("'"&amp;$Q135&amp;"'!$E$9:$E$408"),$C135,INDIRECT("'"&amp;$Q135&amp;"'!$F$9:$F$408"),$D135),""))</f>
        <v/>
      </c>
      <c r="N135" s="15">
        <f>IF(OR($C135="",$Q135=""),"",IFERROR(SUMIFS(INDIRECT("'"&amp;$Q135&amp;"'!$V$9:$V$408"),INDIRECT("'"&amp;$Q135&amp;"'!$D$9:$D$408"),$P135,INDIRECT("'"&amp;$Q135&amp;"'!$E$9:$E$408"),$C135,INDIRECT("'"&amp;$Q135&amp;"'!$F$9:$F$408"),$D135),""))</f>
        <v/>
      </c>
      <c r="P135" s="17" t="n"/>
      <c r="Q135" s="17" t="n"/>
    </row>
    <row r="136">
      <c r="B136" s="13">
        <f>IF(OR($C136="",$Q136=""),"",COUNTA($C$8:$C136))</f>
        <v/>
      </c>
      <c r="C136" s="14" t="n"/>
      <c r="D136" s="14" t="n"/>
      <c r="E136" s="15">
        <f>IF(OR($C136="",$Q136=""),"",IFERROR(SUMIFS(INDIRECT("'"&amp;$Q136&amp;"'!$G$9:$G$408"),INDIRECT("'"&amp;$Q136&amp;"'!$D$9:$D$408"),$P136,INDIRECT("'"&amp;$Q136&amp;"'!$E$9:$E$408"),$C136,INDIRECT("'"&amp;$Q136&amp;"'!$F$9:$F$408"),$D136),""))</f>
        <v/>
      </c>
      <c r="F136" s="15">
        <f>IF(OR($C136="",$Q136=""),"",IFERROR(SUMIFS(INDIRECT("'"&amp;$Q136&amp;"'!$H$9:$H$408"),INDIRECT("'"&amp;$Q136&amp;"'!$D$9:$D$408"),$P136,INDIRECT("'"&amp;$Q136&amp;"'!$E$9:$E$408"),$C136,INDIRECT("'"&amp;$Q136&amp;"'!$F$9:$F$408"),$D136),""))</f>
        <v/>
      </c>
      <c r="G136" s="15">
        <f>IF(OR($C136="",$Q136=""),"",IFERROR(SUMIFS(INDIRECT("'"&amp;$Q136&amp;"'!$I$9:$I$408"),INDIRECT("'"&amp;$Q136&amp;"'!$D$9:$D$408"),$P136,INDIRECT("'"&amp;$Q136&amp;"'!$E$9:$E$408"),$C136,INDIRECT("'"&amp;$Q136&amp;"'!$F$9:$F$408"),$D136),""))</f>
        <v/>
      </c>
      <c r="H136" s="15">
        <f>IF(OR($C136="",$Q136=""),"",IFERROR(SUMIFS(INDIRECT("'"&amp;$Q136&amp;"'!$R$9:$R$408"),INDIRECT("'"&amp;$Q136&amp;"'!$D$9:$D$408"),$P136,INDIRECT("'"&amp;$Q136&amp;"'!$E$9:$E$408"),$C136,INDIRECT("'"&amp;$Q136&amp;"'!$F$9:$F$408"),$D136),""))</f>
        <v/>
      </c>
      <c r="I136" s="16">
        <f>IF(OR(OR($C136="",$Q136=""),N(E136)=0),"",H136/E136)</f>
        <v/>
      </c>
      <c r="J136" s="15">
        <f>IF(OR($C136="",$Q136=""),"",N(E136)-N(H136))</f>
        <v/>
      </c>
      <c r="K136" s="15">
        <f>IF(OR($C136="",$Q136=""),"",IFERROR(SUMIFS(INDIRECT("'"&amp;$Q136&amp;"'!$K$9:$K$408"),INDIRECT("'"&amp;$Q136&amp;"'!$D$9:$D$408"),$P136,INDIRECT("'"&amp;$Q136&amp;"'!$E$9:$E$408"),$C136,INDIRECT("'"&amp;$Q136&amp;"'!$F$9:$F$408"),$D136),""))</f>
        <v/>
      </c>
      <c r="L136" s="15">
        <f>IF(OR($C136="",$Q136=""),"",IFERROR(SUMIFS(INDIRECT("'"&amp;$Q136&amp;"'!$Q$9:$Q$408"),INDIRECT("'"&amp;$Q136&amp;"'!$D$9:$D$408"),$P136,INDIRECT("'"&amp;$Q136&amp;"'!$E$9:$E$408"),$C136,INDIRECT("'"&amp;$Q136&amp;"'!$F$9:$F$408"),$D136),""))</f>
        <v/>
      </c>
      <c r="M136" s="15">
        <f>IF(OR($C136="",$Q136=""),"",IFERROR(SUMIFS(INDIRECT("'"&amp;$Q136&amp;"'!$M$9:$M$408"),INDIRECT("'"&amp;$Q136&amp;"'!$D$9:$D$408"),$P136,INDIRECT("'"&amp;$Q136&amp;"'!$E$9:$E$408"),$C136,INDIRECT("'"&amp;$Q136&amp;"'!$F$9:$F$408"),$D136),""))</f>
        <v/>
      </c>
      <c r="N136" s="15">
        <f>IF(OR($C136="",$Q136=""),"",IFERROR(SUMIFS(INDIRECT("'"&amp;$Q136&amp;"'!$V$9:$V$408"),INDIRECT("'"&amp;$Q136&amp;"'!$D$9:$D$408"),$P136,INDIRECT("'"&amp;$Q136&amp;"'!$E$9:$E$408"),$C136,INDIRECT("'"&amp;$Q136&amp;"'!$F$9:$F$408"),$D136),""))</f>
        <v/>
      </c>
      <c r="P136" s="17" t="n"/>
      <c r="Q136" s="17" t="n"/>
    </row>
    <row r="137">
      <c r="B137" s="13">
        <f>IF(OR($C137="",$Q137=""),"",COUNTA($C$8:$C137))</f>
        <v/>
      </c>
      <c r="C137" s="14" t="n"/>
      <c r="D137" s="14" t="n"/>
      <c r="E137" s="15">
        <f>IF(OR($C137="",$Q137=""),"",IFERROR(SUMIFS(INDIRECT("'"&amp;$Q137&amp;"'!$G$9:$G$408"),INDIRECT("'"&amp;$Q137&amp;"'!$D$9:$D$408"),$P137,INDIRECT("'"&amp;$Q137&amp;"'!$E$9:$E$408"),$C137,INDIRECT("'"&amp;$Q137&amp;"'!$F$9:$F$408"),$D137),""))</f>
        <v/>
      </c>
      <c r="F137" s="15">
        <f>IF(OR($C137="",$Q137=""),"",IFERROR(SUMIFS(INDIRECT("'"&amp;$Q137&amp;"'!$H$9:$H$408"),INDIRECT("'"&amp;$Q137&amp;"'!$D$9:$D$408"),$P137,INDIRECT("'"&amp;$Q137&amp;"'!$E$9:$E$408"),$C137,INDIRECT("'"&amp;$Q137&amp;"'!$F$9:$F$408"),$D137),""))</f>
        <v/>
      </c>
      <c r="G137" s="15">
        <f>IF(OR($C137="",$Q137=""),"",IFERROR(SUMIFS(INDIRECT("'"&amp;$Q137&amp;"'!$I$9:$I$408"),INDIRECT("'"&amp;$Q137&amp;"'!$D$9:$D$408"),$P137,INDIRECT("'"&amp;$Q137&amp;"'!$E$9:$E$408"),$C137,INDIRECT("'"&amp;$Q137&amp;"'!$F$9:$F$408"),$D137),""))</f>
        <v/>
      </c>
      <c r="H137" s="15">
        <f>IF(OR($C137="",$Q137=""),"",IFERROR(SUMIFS(INDIRECT("'"&amp;$Q137&amp;"'!$R$9:$R$408"),INDIRECT("'"&amp;$Q137&amp;"'!$D$9:$D$408"),$P137,INDIRECT("'"&amp;$Q137&amp;"'!$E$9:$E$408"),$C137,INDIRECT("'"&amp;$Q137&amp;"'!$F$9:$F$408"),$D137),""))</f>
        <v/>
      </c>
      <c r="I137" s="16">
        <f>IF(OR(OR($C137="",$Q137=""),N(E137)=0),"",H137/E137)</f>
        <v/>
      </c>
      <c r="J137" s="15">
        <f>IF(OR($C137="",$Q137=""),"",N(E137)-N(H137))</f>
        <v/>
      </c>
      <c r="K137" s="15">
        <f>IF(OR($C137="",$Q137=""),"",IFERROR(SUMIFS(INDIRECT("'"&amp;$Q137&amp;"'!$K$9:$K$408"),INDIRECT("'"&amp;$Q137&amp;"'!$D$9:$D$408"),$P137,INDIRECT("'"&amp;$Q137&amp;"'!$E$9:$E$408"),$C137,INDIRECT("'"&amp;$Q137&amp;"'!$F$9:$F$408"),$D137),""))</f>
        <v/>
      </c>
      <c r="L137" s="15">
        <f>IF(OR($C137="",$Q137=""),"",IFERROR(SUMIFS(INDIRECT("'"&amp;$Q137&amp;"'!$Q$9:$Q$408"),INDIRECT("'"&amp;$Q137&amp;"'!$D$9:$D$408"),$P137,INDIRECT("'"&amp;$Q137&amp;"'!$E$9:$E$408"),$C137,INDIRECT("'"&amp;$Q137&amp;"'!$F$9:$F$408"),$D137),""))</f>
        <v/>
      </c>
      <c r="M137" s="15">
        <f>IF(OR($C137="",$Q137=""),"",IFERROR(SUMIFS(INDIRECT("'"&amp;$Q137&amp;"'!$M$9:$M$408"),INDIRECT("'"&amp;$Q137&amp;"'!$D$9:$D$408"),$P137,INDIRECT("'"&amp;$Q137&amp;"'!$E$9:$E$408"),$C137,INDIRECT("'"&amp;$Q137&amp;"'!$F$9:$F$408"),$D137),""))</f>
        <v/>
      </c>
      <c r="N137" s="15">
        <f>IF(OR($C137="",$Q137=""),"",IFERROR(SUMIFS(INDIRECT("'"&amp;$Q137&amp;"'!$V$9:$V$408"),INDIRECT("'"&amp;$Q137&amp;"'!$D$9:$D$408"),$P137,INDIRECT("'"&amp;$Q137&amp;"'!$E$9:$E$408"),$C137,INDIRECT("'"&amp;$Q137&amp;"'!$F$9:$F$408"),$D137),""))</f>
        <v/>
      </c>
      <c r="P137" s="17" t="n"/>
      <c r="Q137" s="17" t="n"/>
    </row>
    <row r="138">
      <c r="B138" s="13">
        <f>IF(OR($C138="",$Q138=""),"",COUNTA($C$8:$C138))</f>
        <v/>
      </c>
      <c r="C138" s="14" t="n"/>
      <c r="D138" s="14" t="n"/>
      <c r="E138" s="15">
        <f>IF(OR($C138="",$Q138=""),"",IFERROR(SUMIFS(INDIRECT("'"&amp;$Q138&amp;"'!$G$9:$G$408"),INDIRECT("'"&amp;$Q138&amp;"'!$D$9:$D$408"),$P138,INDIRECT("'"&amp;$Q138&amp;"'!$E$9:$E$408"),$C138,INDIRECT("'"&amp;$Q138&amp;"'!$F$9:$F$408"),$D138),""))</f>
        <v/>
      </c>
      <c r="F138" s="15">
        <f>IF(OR($C138="",$Q138=""),"",IFERROR(SUMIFS(INDIRECT("'"&amp;$Q138&amp;"'!$H$9:$H$408"),INDIRECT("'"&amp;$Q138&amp;"'!$D$9:$D$408"),$P138,INDIRECT("'"&amp;$Q138&amp;"'!$E$9:$E$408"),$C138,INDIRECT("'"&amp;$Q138&amp;"'!$F$9:$F$408"),$D138),""))</f>
        <v/>
      </c>
      <c r="G138" s="15">
        <f>IF(OR($C138="",$Q138=""),"",IFERROR(SUMIFS(INDIRECT("'"&amp;$Q138&amp;"'!$I$9:$I$408"),INDIRECT("'"&amp;$Q138&amp;"'!$D$9:$D$408"),$P138,INDIRECT("'"&amp;$Q138&amp;"'!$E$9:$E$408"),$C138,INDIRECT("'"&amp;$Q138&amp;"'!$F$9:$F$408"),$D138),""))</f>
        <v/>
      </c>
      <c r="H138" s="15">
        <f>IF(OR($C138="",$Q138=""),"",IFERROR(SUMIFS(INDIRECT("'"&amp;$Q138&amp;"'!$R$9:$R$408"),INDIRECT("'"&amp;$Q138&amp;"'!$D$9:$D$408"),$P138,INDIRECT("'"&amp;$Q138&amp;"'!$E$9:$E$408"),$C138,INDIRECT("'"&amp;$Q138&amp;"'!$F$9:$F$408"),$D138),""))</f>
        <v/>
      </c>
      <c r="I138" s="16">
        <f>IF(OR(OR($C138="",$Q138=""),N(E138)=0),"",H138/E138)</f>
        <v/>
      </c>
      <c r="J138" s="15">
        <f>IF(OR($C138="",$Q138=""),"",N(E138)-N(H138))</f>
        <v/>
      </c>
      <c r="K138" s="15">
        <f>IF(OR($C138="",$Q138=""),"",IFERROR(SUMIFS(INDIRECT("'"&amp;$Q138&amp;"'!$K$9:$K$408"),INDIRECT("'"&amp;$Q138&amp;"'!$D$9:$D$408"),$P138,INDIRECT("'"&amp;$Q138&amp;"'!$E$9:$E$408"),$C138,INDIRECT("'"&amp;$Q138&amp;"'!$F$9:$F$408"),$D138),""))</f>
        <v/>
      </c>
      <c r="L138" s="15">
        <f>IF(OR($C138="",$Q138=""),"",IFERROR(SUMIFS(INDIRECT("'"&amp;$Q138&amp;"'!$Q$9:$Q$408"),INDIRECT("'"&amp;$Q138&amp;"'!$D$9:$D$408"),$P138,INDIRECT("'"&amp;$Q138&amp;"'!$E$9:$E$408"),$C138,INDIRECT("'"&amp;$Q138&amp;"'!$F$9:$F$408"),$D138),""))</f>
        <v/>
      </c>
      <c r="M138" s="15">
        <f>IF(OR($C138="",$Q138=""),"",IFERROR(SUMIFS(INDIRECT("'"&amp;$Q138&amp;"'!$M$9:$M$408"),INDIRECT("'"&amp;$Q138&amp;"'!$D$9:$D$408"),$P138,INDIRECT("'"&amp;$Q138&amp;"'!$E$9:$E$408"),$C138,INDIRECT("'"&amp;$Q138&amp;"'!$F$9:$F$408"),$D138),""))</f>
        <v/>
      </c>
      <c r="N138" s="15">
        <f>IF(OR($C138="",$Q138=""),"",IFERROR(SUMIFS(INDIRECT("'"&amp;$Q138&amp;"'!$V$9:$V$408"),INDIRECT("'"&amp;$Q138&amp;"'!$D$9:$D$408"),$P138,INDIRECT("'"&amp;$Q138&amp;"'!$E$9:$E$408"),$C138,INDIRECT("'"&amp;$Q138&amp;"'!$F$9:$F$408"),$D138),""))</f>
        <v/>
      </c>
      <c r="P138" s="17" t="n"/>
      <c r="Q138" s="17" t="n"/>
    </row>
    <row r="139">
      <c r="B139" s="13">
        <f>IF(OR($C139="",$Q139=""),"",COUNTA($C$8:$C139))</f>
        <v/>
      </c>
      <c r="C139" s="14" t="n"/>
      <c r="D139" s="14" t="n"/>
      <c r="E139" s="15">
        <f>IF(OR($C139="",$Q139=""),"",IFERROR(SUMIFS(INDIRECT("'"&amp;$Q139&amp;"'!$G$9:$G$408"),INDIRECT("'"&amp;$Q139&amp;"'!$D$9:$D$408"),$P139,INDIRECT("'"&amp;$Q139&amp;"'!$E$9:$E$408"),$C139,INDIRECT("'"&amp;$Q139&amp;"'!$F$9:$F$408"),$D139),""))</f>
        <v/>
      </c>
      <c r="F139" s="15">
        <f>IF(OR($C139="",$Q139=""),"",IFERROR(SUMIFS(INDIRECT("'"&amp;$Q139&amp;"'!$H$9:$H$408"),INDIRECT("'"&amp;$Q139&amp;"'!$D$9:$D$408"),$P139,INDIRECT("'"&amp;$Q139&amp;"'!$E$9:$E$408"),$C139,INDIRECT("'"&amp;$Q139&amp;"'!$F$9:$F$408"),$D139),""))</f>
        <v/>
      </c>
      <c r="G139" s="15">
        <f>IF(OR($C139="",$Q139=""),"",IFERROR(SUMIFS(INDIRECT("'"&amp;$Q139&amp;"'!$I$9:$I$408"),INDIRECT("'"&amp;$Q139&amp;"'!$D$9:$D$408"),$P139,INDIRECT("'"&amp;$Q139&amp;"'!$E$9:$E$408"),$C139,INDIRECT("'"&amp;$Q139&amp;"'!$F$9:$F$408"),$D139),""))</f>
        <v/>
      </c>
      <c r="H139" s="15">
        <f>IF(OR($C139="",$Q139=""),"",IFERROR(SUMIFS(INDIRECT("'"&amp;$Q139&amp;"'!$R$9:$R$408"),INDIRECT("'"&amp;$Q139&amp;"'!$D$9:$D$408"),$P139,INDIRECT("'"&amp;$Q139&amp;"'!$E$9:$E$408"),$C139,INDIRECT("'"&amp;$Q139&amp;"'!$F$9:$F$408"),$D139),""))</f>
        <v/>
      </c>
      <c r="I139" s="16">
        <f>IF(OR(OR($C139="",$Q139=""),N(E139)=0),"",H139/E139)</f>
        <v/>
      </c>
      <c r="J139" s="15">
        <f>IF(OR($C139="",$Q139=""),"",N(E139)-N(H139))</f>
        <v/>
      </c>
      <c r="K139" s="15">
        <f>IF(OR($C139="",$Q139=""),"",IFERROR(SUMIFS(INDIRECT("'"&amp;$Q139&amp;"'!$K$9:$K$408"),INDIRECT("'"&amp;$Q139&amp;"'!$D$9:$D$408"),$P139,INDIRECT("'"&amp;$Q139&amp;"'!$E$9:$E$408"),$C139,INDIRECT("'"&amp;$Q139&amp;"'!$F$9:$F$408"),$D139),""))</f>
        <v/>
      </c>
      <c r="L139" s="15">
        <f>IF(OR($C139="",$Q139=""),"",IFERROR(SUMIFS(INDIRECT("'"&amp;$Q139&amp;"'!$Q$9:$Q$408"),INDIRECT("'"&amp;$Q139&amp;"'!$D$9:$D$408"),$P139,INDIRECT("'"&amp;$Q139&amp;"'!$E$9:$E$408"),$C139,INDIRECT("'"&amp;$Q139&amp;"'!$F$9:$F$408"),$D139),""))</f>
        <v/>
      </c>
      <c r="M139" s="15">
        <f>IF(OR($C139="",$Q139=""),"",IFERROR(SUMIFS(INDIRECT("'"&amp;$Q139&amp;"'!$M$9:$M$408"),INDIRECT("'"&amp;$Q139&amp;"'!$D$9:$D$408"),$P139,INDIRECT("'"&amp;$Q139&amp;"'!$E$9:$E$408"),$C139,INDIRECT("'"&amp;$Q139&amp;"'!$F$9:$F$408"),$D139),""))</f>
        <v/>
      </c>
      <c r="N139" s="15">
        <f>IF(OR($C139="",$Q139=""),"",IFERROR(SUMIFS(INDIRECT("'"&amp;$Q139&amp;"'!$V$9:$V$408"),INDIRECT("'"&amp;$Q139&amp;"'!$D$9:$D$408"),$P139,INDIRECT("'"&amp;$Q139&amp;"'!$E$9:$E$408"),$C139,INDIRECT("'"&amp;$Q139&amp;"'!$F$9:$F$408"),$D139),""))</f>
        <v/>
      </c>
      <c r="P139" s="17" t="n"/>
      <c r="Q139" s="17" t="n"/>
    </row>
    <row r="140">
      <c r="B140" s="13">
        <f>IF(OR($C140="",$Q140=""),"",COUNTA($C$8:$C140))</f>
        <v/>
      </c>
      <c r="C140" s="14" t="n"/>
      <c r="D140" s="14" t="n"/>
      <c r="E140" s="15">
        <f>IF(OR($C140="",$Q140=""),"",IFERROR(SUMIFS(INDIRECT("'"&amp;$Q140&amp;"'!$G$9:$G$408"),INDIRECT("'"&amp;$Q140&amp;"'!$D$9:$D$408"),$P140,INDIRECT("'"&amp;$Q140&amp;"'!$E$9:$E$408"),$C140,INDIRECT("'"&amp;$Q140&amp;"'!$F$9:$F$408"),$D140),""))</f>
        <v/>
      </c>
      <c r="F140" s="15">
        <f>IF(OR($C140="",$Q140=""),"",IFERROR(SUMIFS(INDIRECT("'"&amp;$Q140&amp;"'!$H$9:$H$408"),INDIRECT("'"&amp;$Q140&amp;"'!$D$9:$D$408"),$P140,INDIRECT("'"&amp;$Q140&amp;"'!$E$9:$E$408"),$C140,INDIRECT("'"&amp;$Q140&amp;"'!$F$9:$F$408"),$D140),""))</f>
        <v/>
      </c>
      <c r="G140" s="15">
        <f>IF(OR($C140="",$Q140=""),"",IFERROR(SUMIFS(INDIRECT("'"&amp;$Q140&amp;"'!$I$9:$I$408"),INDIRECT("'"&amp;$Q140&amp;"'!$D$9:$D$408"),$P140,INDIRECT("'"&amp;$Q140&amp;"'!$E$9:$E$408"),$C140,INDIRECT("'"&amp;$Q140&amp;"'!$F$9:$F$408"),$D140),""))</f>
        <v/>
      </c>
      <c r="H140" s="15">
        <f>IF(OR($C140="",$Q140=""),"",IFERROR(SUMIFS(INDIRECT("'"&amp;$Q140&amp;"'!$R$9:$R$408"),INDIRECT("'"&amp;$Q140&amp;"'!$D$9:$D$408"),$P140,INDIRECT("'"&amp;$Q140&amp;"'!$E$9:$E$408"),$C140,INDIRECT("'"&amp;$Q140&amp;"'!$F$9:$F$408"),$D140),""))</f>
        <v/>
      </c>
      <c r="I140" s="16">
        <f>IF(OR(OR($C140="",$Q140=""),N(E140)=0),"",H140/E140)</f>
        <v/>
      </c>
      <c r="J140" s="15">
        <f>IF(OR($C140="",$Q140=""),"",N(E140)-N(H140))</f>
        <v/>
      </c>
      <c r="K140" s="15">
        <f>IF(OR($C140="",$Q140=""),"",IFERROR(SUMIFS(INDIRECT("'"&amp;$Q140&amp;"'!$K$9:$K$408"),INDIRECT("'"&amp;$Q140&amp;"'!$D$9:$D$408"),$P140,INDIRECT("'"&amp;$Q140&amp;"'!$E$9:$E$408"),$C140,INDIRECT("'"&amp;$Q140&amp;"'!$F$9:$F$408"),$D140),""))</f>
        <v/>
      </c>
      <c r="L140" s="15">
        <f>IF(OR($C140="",$Q140=""),"",IFERROR(SUMIFS(INDIRECT("'"&amp;$Q140&amp;"'!$Q$9:$Q$408"),INDIRECT("'"&amp;$Q140&amp;"'!$D$9:$D$408"),$P140,INDIRECT("'"&amp;$Q140&amp;"'!$E$9:$E$408"),$C140,INDIRECT("'"&amp;$Q140&amp;"'!$F$9:$F$408"),$D140),""))</f>
        <v/>
      </c>
      <c r="M140" s="15">
        <f>IF(OR($C140="",$Q140=""),"",IFERROR(SUMIFS(INDIRECT("'"&amp;$Q140&amp;"'!$M$9:$M$408"),INDIRECT("'"&amp;$Q140&amp;"'!$D$9:$D$408"),$P140,INDIRECT("'"&amp;$Q140&amp;"'!$E$9:$E$408"),$C140,INDIRECT("'"&amp;$Q140&amp;"'!$F$9:$F$408"),$D140),""))</f>
        <v/>
      </c>
      <c r="N140" s="15">
        <f>IF(OR($C140="",$Q140=""),"",IFERROR(SUMIFS(INDIRECT("'"&amp;$Q140&amp;"'!$V$9:$V$408"),INDIRECT("'"&amp;$Q140&amp;"'!$D$9:$D$408"),$P140,INDIRECT("'"&amp;$Q140&amp;"'!$E$9:$E$408"),$C140,INDIRECT("'"&amp;$Q140&amp;"'!$F$9:$F$408"),$D140),""))</f>
        <v/>
      </c>
      <c r="P140" s="17" t="n"/>
      <c r="Q140" s="17" t="n"/>
    </row>
    <row r="141">
      <c r="B141" s="13">
        <f>IF(OR($C141="",$Q141=""),"",COUNTA($C$8:$C141))</f>
        <v/>
      </c>
      <c r="C141" s="14" t="n"/>
      <c r="D141" s="14" t="n"/>
      <c r="E141" s="15">
        <f>IF(OR($C141="",$Q141=""),"",IFERROR(SUMIFS(INDIRECT("'"&amp;$Q141&amp;"'!$G$9:$G$408"),INDIRECT("'"&amp;$Q141&amp;"'!$D$9:$D$408"),$P141,INDIRECT("'"&amp;$Q141&amp;"'!$E$9:$E$408"),$C141,INDIRECT("'"&amp;$Q141&amp;"'!$F$9:$F$408"),$D141),""))</f>
        <v/>
      </c>
      <c r="F141" s="15">
        <f>IF(OR($C141="",$Q141=""),"",IFERROR(SUMIFS(INDIRECT("'"&amp;$Q141&amp;"'!$H$9:$H$408"),INDIRECT("'"&amp;$Q141&amp;"'!$D$9:$D$408"),$P141,INDIRECT("'"&amp;$Q141&amp;"'!$E$9:$E$408"),$C141,INDIRECT("'"&amp;$Q141&amp;"'!$F$9:$F$408"),$D141),""))</f>
        <v/>
      </c>
      <c r="G141" s="15">
        <f>IF(OR($C141="",$Q141=""),"",IFERROR(SUMIFS(INDIRECT("'"&amp;$Q141&amp;"'!$I$9:$I$408"),INDIRECT("'"&amp;$Q141&amp;"'!$D$9:$D$408"),$P141,INDIRECT("'"&amp;$Q141&amp;"'!$E$9:$E$408"),$C141,INDIRECT("'"&amp;$Q141&amp;"'!$F$9:$F$408"),$D141),""))</f>
        <v/>
      </c>
      <c r="H141" s="15">
        <f>IF(OR($C141="",$Q141=""),"",IFERROR(SUMIFS(INDIRECT("'"&amp;$Q141&amp;"'!$R$9:$R$408"),INDIRECT("'"&amp;$Q141&amp;"'!$D$9:$D$408"),$P141,INDIRECT("'"&amp;$Q141&amp;"'!$E$9:$E$408"),$C141,INDIRECT("'"&amp;$Q141&amp;"'!$F$9:$F$408"),$D141),""))</f>
        <v/>
      </c>
      <c r="I141" s="16">
        <f>IF(OR(OR($C141="",$Q141=""),N(E141)=0),"",H141/E141)</f>
        <v/>
      </c>
      <c r="J141" s="15">
        <f>IF(OR($C141="",$Q141=""),"",N(E141)-N(H141))</f>
        <v/>
      </c>
      <c r="K141" s="15">
        <f>IF(OR($C141="",$Q141=""),"",IFERROR(SUMIFS(INDIRECT("'"&amp;$Q141&amp;"'!$K$9:$K$408"),INDIRECT("'"&amp;$Q141&amp;"'!$D$9:$D$408"),$P141,INDIRECT("'"&amp;$Q141&amp;"'!$E$9:$E$408"),$C141,INDIRECT("'"&amp;$Q141&amp;"'!$F$9:$F$408"),$D141),""))</f>
        <v/>
      </c>
      <c r="L141" s="15">
        <f>IF(OR($C141="",$Q141=""),"",IFERROR(SUMIFS(INDIRECT("'"&amp;$Q141&amp;"'!$Q$9:$Q$408"),INDIRECT("'"&amp;$Q141&amp;"'!$D$9:$D$408"),$P141,INDIRECT("'"&amp;$Q141&amp;"'!$E$9:$E$408"),$C141,INDIRECT("'"&amp;$Q141&amp;"'!$F$9:$F$408"),$D141),""))</f>
        <v/>
      </c>
      <c r="M141" s="15">
        <f>IF(OR($C141="",$Q141=""),"",IFERROR(SUMIFS(INDIRECT("'"&amp;$Q141&amp;"'!$M$9:$M$408"),INDIRECT("'"&amp;$Q141&amp;"'!$D$9:$D$408"),$P141,INDIRECT("'"&amp;$Q141&amp;"'!$E$9:$E$408"),$C141,INDIRECT("'"&amp;$Q141&amp;"'!$F$9:$F$408"),$D141),""))</f>
        <v/>
      </c>
      <c r="N141" s="15">
        <f>IF(OR($C141="",$Q141=""),"",IFERROR(SUMIFS(INDIRECT("'"&amp;$Q141&amp;"'!$V$9:$V$408"),INDIRECT("'"&amp;$Q141&amp;"'!$D$9:$D$408"),$P141,INDIRECT("'"&amp;$Q141&amp;"'!$E$9:$E$408"),$C141,INDIRECT("'"&amp;$Q141&amp;"'!$F$9:$F$408"),$D141),""))</f>
        <v/>
      </c>
      <c r="P141" s="17" t="n"/>
      <c r="Q141" s="17" t="n"/>
    </row>
    <row r="142">
      <c r="B142" s="13">
        <f>IF(OR($C142="",$Q142=""),"",COUNTA($C$8:$C142))</f>
        <v/>
      </c>
      <c r="C142" s="14" t="n"/>
      <c r="D142" s="14" t="n"/>
      <c r="E142" s="15">
        <f>IF(OR($C142="",$Q142=""),"",IFERROR(SUMIFS(INDIRECT("'"&amp;$Q142&amp;"'!$G$9:$G$408"),INDIRECT("'"&amp;$Q142&amp;"'!$D$9:$D$408"),$P142,INDIRECT("'"&amp;$Q142&amp;"'!$E$9:$E$408"),$C142,INDIRECT("'"&amp;$Q142&amp;"'!$F$9:$F$408"),$D142),""))</f>
        <v/>
      </c>
      <c r="F142" s="15">
        <f>IF(OR($C142="",$Q142=""),"",IFERROR(SUMIFS(INDIRECT("'"&amp;$Q142&amp;"'!$H$9:$H$408"),INDIRECT("'"&amp;$Q142&amp;"'!$D$9:$D$408"),$P142,INDIRECT("'"&amp;$Q142&amp;"'!$E$9:$E$408"),$C142,INDIRECT("'"&amp;$Q142&amp;"'!$F$9:$F$408"),$D142),""))</f>
        <v/>
      </c>
      <c r="G142" s="15">
        <f>IF(OR($C142="",$Q142=""),"",IFERROR(SUMIFS(INDIRECT("'"&amp;$Q142&amp;"'!$I$9:$I$408"),INDIRECT("'"&amp;$Q142&amp;"'!$D$9:$D$408"),$P142,INDIRECT("'"&amp;$Q142&amp;"'!$E$9:$E$408"),$C142,INDIRECT("'"&amp;$Q142&amp;"'!$F$9:$F$408"),$D142),""))</f>
        <v/>
      </c>
      <c r="H142" s="15">
        <f>IF(OR($C142="",$Q142=""),"",IFERROR(SUMIFS(INDIRECT("'"&amp;$Q142&amp;"'!$R$9:$R$408"),INDIRECT("'"&amp;$Q142&amp;"'!$D$9:$D$408"),$P142,INDIRECT("'"&amp;$Q142&amp;"'!$E$9:$E$408"),$C142,INDIRECT("'"&amp;$Q142&amp;"'!$F$9:$F$408"),$D142),""))</f>
        <v/>
      </c>
      <c r="I142" s="16">
        <f>IF(OR(OR($C142="",$Q142=""),N(E142)=0),"",H142/E142)</f>
        <v/>
      </c>
      <c r="J142" s="15">
        <f>IF(OR($C142="",$Q142=""),"",N(E142)-N(H142))</f>
        <v/>
      </c>
      <c r="K142" s="15">
        <f>IF(OR($C142="",$Q142=""),"",IFERROR(SUMIFS(INDIRECT("'"&amp;$Q142&amp;"'!$K$9:$K$408"),INDIRECT("'"&amp;$Q142&amp;"'!$D$9:$D$408"),$P142,INDIRECT("'"&amp;$Q142&amp;"'!$E$9:$E$408"),$C142,INDIRECT("'"&amp;$Q142&amp;"'!$F$9:$F$408"),$D142),""))</f>
        <v/>
      </c>
      <c r="L142" s="15">
        <f>IF(OR($C142="",$Q142=""),"",IFERROR(SUMIFS(INDIRECT("'"&amp;$Q142&amp;"'!$Q$9:$Q$408"),INDIRECT("'"&amp;$Q142&amp;"'!$D$9:$D$408"),$P142,INDIRECT("'"&amp;$Q142&amp;"'!$E$9:$E$408"),$C142,INDIRECT("'"&amp;$Q142&amp;"'!$F$9:$F$408"),$D142),""))</f>
        <v/>
      </c>
      <c r="M142" s="15">
        <f>IF(OR($C142="",$Q142=""),"",IFERROR(SUMIFS(INDIRECT("'"&amp;$Q142&amp;"'!$M$9:$M$408"),INDIRECT("'"&amp;$Q142&amp;"'!$D$9:$D$408"),$P142,INDIRECT("'"&amp;$Q142&amp;"'!$E$9:$E$408"),$C142,INDIRECT("'"&amp;$Q142&amp;"'!$F$9:$F$408"),$D142),""))</f>
        <v/>
      </c>
      <c r="N142" s="15">
        <f>IF(OR($C142="",$Q142=""),"",IFERROR(SUMIFS(INDIRECT("'"&amp;$Q142&amp;"'!$V$9:$V$408"),INDIRECT("'"&amp;$Q142&amp;"'!$D$9:$D$408"),$P142,INDIRECT("'"&amp;$Q142&amp;"'!$E$9:$E$408"),$C142,INDIRECT("'"&amp;$Q142&amp;"'!$F$9:$F$408"),$D142),""))</f>
        <v/>
      </c>
      <c r="P142" s="17" t="n"/>
      <c r="Q142" s="17" t="n"/>
    </row>
    <row r="143">
      <c r="B143" s="13">
        <f>IF(OR($C143="",$Q143=""),"",COUNTA($C$8:$C143))</f>
        <v/>
      </c>
      <c r="C143" s="14" t="n"/>
      <c r="D143" s="14" t="n"/>
      <c r="E143" s="15">
        <f>IF(OR($C143="",$Q143=""),"",IFERROR(SUMIFS(INDIRECT("'"&amp;$Q143&amp;"'!$G$9:$G$408"),INDIRECT("'"&amp;$Q143&amp;"'!$D$9:$D$408"),$P143,INDIRECT("'"&amp;$Q143&amp;"'!$E$9:$E$408"),$C143,INDIRECT("'"&amp;$Q143&amp;"'!$F$9:$F$408"),$D143),""))</f>
        <v/>
      </c>
      <c r="F143" s="15">
        <f>IF(OR($C143="",$Q143=""),"",IFERROR(SUMIFS(INDIRECT("'"&amp;$Q143&amp;"'!$H$9:$H$408"),INDIRECT("'"&amp;$Q143&amp;"'!$D$9:$D$408"),$P143,INDIRECT("'"&amp;$Q143&amp;"'!$E$9:$E$408"),$C143,INDIRECT("'"&amp;$Q143&amp;"'!$F$9:$F$408"),$D143),""))</f>
        <v/>
      </c>
      <c r="G143" s="15">
        <f>IF(OR($C143="",$Q143=""),"",IFERROR(SUMIFS(INDIRECT("'"&amp;$Q143&amp;"'!$I$9:$I$408"),INDIRECT("'"&amp;$Q143&amp;"'!$D$9:$D$408"),$P143,INDIRECT("'"&amp;$Q143&amp;"'!$E$9:$E$408"),$C143,INDIRECT("'"&amp;$Q143&amp;"'!$F$9:$F$408"),$D143),""))</f>
        <v/>
      </c>
      <c r="H143" s="15">
        <f>IF(OR($C143="",$Q143=""),"",IFERROR(SUMIFS(INDIRECT("'"&amp;$Q143&amp;"'!$R$9:$R$408"),INDIRECT("'"&amp;$Q143&amp;"'!$D$9:$D$408"),$P143,INDIRECT("'"&amp;$Q143&amp;"'!$E$9:$E$408"),$C143,INDIRECT("'"&amp;$Q143&amp;"'!$F$9:$F$408"),$D143),""))</f>
        <v/>
      </c>
      <c r="I143" s="16">
        <f>IF(OR(OR($C143="",$Q143=""),N(E143)=0),"",H143/E143)</f>
        <v/>
      </c>
      <c r="J143" s="15">
        <f>IF(OR($C143="",$Q143=""),"",N(E143)-N(H143))</f>
        <v/>
      </c>
      <c r="K143" s="15">
        <f>IF(OR($C143="",$Q143=""),"",IFERROR(SUMIFS(INDIRECT("'"&amp;$Q143&amp;"'!$K$9:$K$408"),INDIRECT("'"&amp;$Q143&amp;"'!$D$9:$D$408"),$P143,INDIRECT("'"&amp;$Q143&amp;"'!$E$9:$E$408"),$C143,INDIRECT("'"&amp;$Q143&amp;"'!$F$9:$F$408"),$D143),""))</f>
        <v/>
      </c>
      <c r="L143" s="15">
        <f>IF(OR($C143="",$Q143=""),"",IFERROR(SUMIFS(INDIRECT("'"&amp;$Q143&amp;"'!$Q$9:$Q$408"),INDIRECT("'"&amp;$Q143&amp;"'!$D$9:$D$408"),$P143,INDIRECT("'"&amp;$Q143&amp;"'!$E$9:$E$408"),$C143,INDIRECT("'"&amp;$Q143&amp;"'!$F$9:$F$408"),$D143),""))</f>
        <v/>
      </c>
      <c r="M143" s="15">
        <f>IF(OR($C143="",$Q143=""),"",IFERROR(SUMIFS(INDIRECT("'"&amp;$Q143&amp;"'!$M$9:$M$408"),INDIRECT("'"&amp;$Q143&amp;"'!$D$9:$D$408"),$P143,INDIRECT("'"&amp;$Q143&amp;"'!$E$9:$E$408"),$C143,INDIRECT("'"&amp;$Q143&amp;"'!$F$9:$F$408"),$D143),""))</f>
        <v/>
      </c>
      <c r="N143" s="15">
        <f>IF(OR($C143="",$Q143=""),"",IFERROR(SUMIFS(INDIRECT("'"&amp;$Q143&amp;"'!$V$9:$V$408"),INDIRECT("'"&amp;$Q143&amp;"'!$D$9:$D$408"),$P143,INDIRECT("'"&amp;$Q143&amp;"'!$E$9:$E$408"),$C143,INDIRECT("'"&amp;$Q143&amp;"'!$F$9:$F$408"),$D143),""))</f>
        <v/>
      </c>
      <c r="P143" s="17" t="n"/>
      <c r="Q143" s="17" t="n"/>
    </row>
    <row r="144">
      <c r="B144" s="13">
        <f>IF(OR($C144="",$Q144=""),"",COUNTA($C$8:$C144))</f>
        <v/>
      </c>
      <c r="C144" s="14" t="n"/>
      <c r="D144" s="14" t="n"/>
      <c r="E144" s="15">
        <f>IF(OR($C144="",$Q144=""),"",IFERROR(SUMIFS(INDIRECT("'"&amp;$Q144&amp;"'!$G$9:$G$408"),INDIRECT("'"&amp;$Q144&amp;"'!$D$9:$D$408"),$P144,INDIRECT("'"&amp;$Q144&amp;"'!$E$9:$E$408"),$C144,INDIRECT("'"&amp;$Q144&amp;"'!$F$9:$F$408"),$D144),""))</f>
        <v/>
      </c>
      <c r="F144" s="15">
        <f>IF(OR($C144="",$Q144=""),"",IFERROR(SUMIFS(INDIRECT("'"&amp;$Q144&amp;"'!$H$9:$H$408"),INDIRECT("'"&amp;$Q144&amp;"'!$D$9:$D$408"),$P144,INDIRECT("'"&amp;$Q144&amp;"'!$E$9:$E$408"),$C144,INDIRECT("'"&amp;$Q144&amp;"'!$F$9:$F$408"),$D144),""))</f>
        <v/>
      </c>
      <c r="G144" s="15">
        <f>IF(OR($C144="",$Q144=""),"",IFERROR(SUMIFS(INDIRECT("'"&amp;$Q144&amp;"'!$I$9:$I$408"),INDIRECT("'"&amp;$Q144&amp;"'!$D$9:$D$408"),$P144,INDIRECT("'"&amp;$Q144&amp;"'!$E$9:$E$408"),$C144,INDIRECT("'"&amp;$Q144&amp;"'!$F$9:$F$408"),$D144),""))</f>
        <v/>
      </c>
      <c r="H144" s="15">
        <f>IF(OR($C144="",$Q144=""),"",IFERROR(SUMIFS(INDIRECT("'"&amp;$Q144&amp;"'!$R$9:$R$408"),INDIRECT("'"&amp;$Q144&amp;"'!$D$9:$D$408"),$P144,INDIRECT("'"&amp;$Q144&amp;"'!$E$9:$E$408"),$C144,INDIRECT("'"&amp;$Q144&amp;"'!$F$9:$F$408"),$D144),""))</f>
        <v/>
      </c>
      <c r="I144" s="16">
        <f>IF(OR(OR($C144="",$Q144=""),N(E144)=0),"",H144/E144)</f>
        <v/>
      </c>
      <c r="J144" s="15">
        <f>IF(OR($C144="",$Q144=""),"",N(E144)-N(H144))</f>
        <v/>
      </c>
      <c r="K144" s="15">
        <f>IF(OR($C144="",$Q144=""),"",IFERROR(SUMIFS(INDIRECT("'"&amp;$Q144&amp;"'!$K$9:$K$408"),INDIRECT("'"&amp;$Q144&amp;"'!$D$9:$D$408"),$P144,INDIRECT("'"&amp;$Q144&amp;"'!$E$9:$E$408"),$C144,INDIRECT("'"&amp;$Q144&amp;"'!$F$9:$F$408"),$D144),""))</f>
        <v/>
      </c>
      <c r="L144" s="15">
        <f>IF(OR($C144="",$Q144=""),"",IFERROR(SUMIFS(INDIRECT("'"&amp;$Q144&amp;"'!$Q$9:$Q$408"),INDIRECT("'"&amp;$Q144&amp;"'!$D$9:$D$408"),$P144,INDIRECT("'"&amp;$Q144&amp;"'!$E$9:$E$408"),$C144,INDIRECT("'"&amp;$Q144&amp;"'!$F$9:$F$408"),$D144),""))</f>
        <v/>
      </c>
      <c r="M144" s="15">
        <f>IF(OR($C144="",$Q144=""),"",IFERROR(SUMIFS(INDIRECT("'"&amp;$Q144&amp;"'!$M$9:$M$408"),INDIRECT("'"&amp;$Q144&amp;"'!$D$9:$D$408"),$P144,INDIRECT("'"&amp;$Q144&amp;"'!$E$9:$E$408"),$C144,INDIRECT("'"&amp;$Q144&amp;"'!$F$9:$F$408"),$D144),""))</f>
        <v/>
      </c>
      <c r="N144" s="15">
        <f>IF(OR($C144="",$Q144=""),"",IFERROR(SUMIFS(INDIRECT("'"&amp;$Q144&amp;"'!$V$9:$V$408"),INDIRECT("'"&amp;$Q144&amp;"'!$D$9:$D$408"),$P144,INDIRECT("'"&amp;$Q144&amp;"'!$E$9:$E$408"),$C144,INDIRECT("'"&amp;$Q144&amp;"'!$F$9:$F$408"),$D144),""))</f>
        <v/>
      </c>
      <c r="P144" s="17" t="n"/>
      <c r="Q144" s="17" t="n"/>
    </row>
    <row r="145">
      <c r="B145" s="13">
        <f>IF(OR($C145="",$Q145=""),"",COUNTA($C$8:$C145))</f>
        <v/>
      </c>
      <c r="C145" s="14" t="n"/>
      <c r="D145" s="14" t="n"/>
      <c r="E145" s="15">
        <f>IF(OR($C145="",$Q145=""),"",IFERROR(SUMIFS(INDIRECT("'"&amp;$Q145&amp;"'!$G$9:$G$408"),INDIRECT("'"&amp;$Q145&amp;"'!$D$9:$D$408"),$P145,INDIRECT("'"&amp;$Q145&amp;"'!$E$9:$E$408"),$C145,INDIRECT("'"&amp;$Q145&amp;"'!$F$9:$F$408"),$D145),""))</f>
        <v/>
      </c>
      <c r="F145" s="15">
        <f>IF(OR($C145="",$Q145=""),"",IFERROR(SUMIFS(INDIRECT("'"&amp;$Q145&amp;"'!$H$9:$H$408"),INDIRECT("'"&amp;$Q145&amp;"'!$D$9:$D$408"),$P145,INDIRECT("'"&amp;$Q145&amp;"'!$E$9:$E$408"),$C145,INDIRECT("'"&amp;$Q145&amp;"'!$F$9:$F$408"),$D145),""))</f>
        <v/>
      </c>
      <c r="G145" s="15">
        <f>IF(OR($C145="",$Q145=""),"",IFERROR(SUMIFS(INDIRECT("'"&amp;$Q145&amp;"'!$I$9:$I$408"),INDIRECT("'"&amp;$Q145&amp;"'!$D$9:$D$408"),$P145,INDIRECT("'"&amp;$Q145&amp;"'!$E$9:$E$408"),$C145,INDIRECT("'"&amp;$Q145&amp;"'!$F$9:$F$408"),$D145),""))</f>
        <v/>
      </c>
      <c r="H145" s="15">
        <f>IF(OR($C145="",$Q145=""),"",IFERROR(SUMIFS(INDIRECT("'"&amp;$Q145&amp;"'!$R$9:$R$408"),INDIRECT("'"&amp;$Q145&amp;"'!$D$9:$D$408"),$P145,INDIRECT("'"&amp;$Q145&amp;"'!$E$9:$E$408"),$C145,INDIRECT("'"&amp;$Q145&amp;"'!$F$9:$F$408"),$D145),""))</f>
        <v/>
      </c>
      <c r="I145" s="16">
        <f>IF(OR(OR($C145="",$Q145=""),N(E145)=0),"",H145/E145)</f>
        <v/>
      </c>
      <c r="J145" s="15">
        <f>IF(OR($C145="",$Q145=""),"",N(E145)-N(H145))</f>
        <v/>
      </c>
      <c r="K145" s="15">
        <f>IF(OR($C145="",$Q145=""),"",IFERROR(SUMIFS(INDIRECT("'"&amp;$Q145&amp;"'!$K$9:$K$408"),INDIRECT("'"&amp;$Q145&amp;"'!$D$9:$D$408"),$P145,INDIRECT("'"&amp;$Q145&amp;"'!$E$9:$E$408"),$C145,INDIRECT("'"&amp;$Q145&amp;"'!$F$9:$F$408"),$D145),""))</f>
        <v/>
      </c>
      <c r="L145" s="15">
        <f>IF(OR($C145="",$Q145=""),"",IFERROR(SUMIFS(INDIRECT("'"&amp;$Q145&amp;"'!$Q$9:$Q$408"),INDIRECT("'"&amp;$Q145&amp;"'!$D$9:$D$408"),$P145,INDIRECT("'"&amp;$Q145&amp;"'!$E$9:$E$408"),$C145,INDIRECT("'"&amp;$Q145&amp;"'!$F$9:$F$408"),$D145),""))</f>
        <v/>
      </c>
      <c r="M145" s="15">
        <f>IF(OR($C145="",$Q145=""),"",IFERROR(SUMIFS(INDIRECT("'"&amp;$Q145&amp;"'!$M$9:$M$408"),INDIRECT("'"&amp;$Q145&amp;"'!$D$9:$D$408"),$P145,INDIRECT("'"&amp;$Q145&amp;"'!$E$9:$E$408"),$C145,INDIRECT("'"&amp;$Q145&amp;"'!$F$9:$F$408"),$D145),""))</f>
        <v/>
      </c>
      <c r="N145" s="15">
        <f>IF(OR($C145="",$Q145=""),"",IFERROR(SUMIFS(INDIRECT("'"&amp;$Q145&amp;"'!$V$9:$V$408"),INDIRECT("'"&amp;$Q145&amp;"'!$D$9:$D$408"),$P145,INDIRECT("'"&amp;$Q145&amp;"'!$E$9:$E$408"),$C145,INDIRECT("'"&amp;$Q145&amp;"'!$F$9:$F$408"),$D145),""))</f>
        <v/>
      </c>
      <c r="P145" s="17" t="n"/>
      <c r="Q145" s="17" t="n"/>
    </row>
    <row r="146">
      <c r="B146" s="13">
        <f>IF(OR($C146="",$Q146=""),"",COUNTA($C$8:$C146))</f>
        <v/>
      </c>
      <c r="C146" s="14" t="n"/>
      <c r="D146" s="14" t="n"/>
      <c r="E146" s="15">
        <f>IF(OR($C146="",$Q146=""),"",IFERROR(SUMIFS(INDIRECT("'"&amp;$Q146&amp;"'!$G$9:$G$408"),INDIRECT("'"&amp;$Q146&amp;"'!$D$9:$D$408"),$P146,INDIRECT("'"&amp;$Q146&amp;"'!$E$9:$E$408"),$C146,INDIRECT("'"&amp;$Q146&amp;"'!$F$9:$F$408"),$D146),""))</f>
        <v/>
      </c>
      <c r="F146" s="15">
        <f>IF(OR($C146="",$Q146=""),"",IFERROR(SUMIFS(INDIRECT("'"&amp;$Q146&amp;"'!$H$9:$H$408"),INDIRECT("'"&amp;$Q146&amp;"'!$D$9:$D$408"),$P146,INDIRECT("'"&amp;$Q146&amp;"'!$E$9:$E$408"),$C146,INDIRECT("'"&amp;$Q146&amp;"'!$F$9:$F$408"),$D146),""))</f>
        <v/>
      </c>
      <c r="G146" s="15">
        <f>IF(OR($C146="",$Q146=""),"",IFERROR(SUMIFS(INDIRECT("'"&amp;$Q146&amp;"'!$I$9:$I$408"),INDIRECT("'"&amp;$Q146&amp;"'!$D$9:$D$408"),$P146,INDIRECT("'"&amp;$Q146&amp;"'!$E$9:$E$408"),$C146,INDIRECT("'"&amp;$Q146&amp;"'!$F$9:$F$408"),$D146),""))</f>
        <v/>
      </c>
      <c r="H146" s="15">
        <f>IF(OR($C146="",$Q146=""),"",IFERROR(SUMIFS(INDIRECT("'"&amp;$Q146&amp;"'!$R$9:$R$408"),INDIRECT("'"&amp;$Q146&amp;"'!$D$9:$D$408"),$P146,INDIRECT("'"&amp;$Q146&amp;"'!$E$9:$E$408"),$C146,INDIRECT("'"&amp;$Q146&amp;"'!$F$9:$F$408"),$D146),""))</f>
        <v/>
      </c>
      <c r="I146" s="16">
        <f>IF(OR(OR($C146="",$Q146=""),N(E146)=0),"",H146/E146)</f>
        <v/>
      </c>
      <c r="J146" s="15">
        <f>IF(OR($C146="",$Q146=""),"",N(E146)-N(H146))</f>
        <v/>
      </c>
      <c r="K146" s="15">
        <f>IF(OR($C146="",$Q146=""),"",IFERROR(SUMIFS(INDIRECT("'"&amp;$Q146&amp;"'!$K$9:$K$408"),INDIRECT("'"&amp;$Q146&amp;"'!$D$9:$D$408"),$P146,INDIRECT("'"&amp;$Q146&amp;"'!$E$9:$E$408"),$C146,INDIRECT("'"&amp;$Q146&amp;"'!$F$9:$F$408"),$D146),""))</f>
        <v/>
      </c>
      <c r="L146" s="15">
        <f>IF(OR($C146="",$Q146=""),"",IFERROR(SUMIFS(INDIRECT("'"&amp;$Q146&amp;"'!$Q$9:$Q$408"),INDIRECT("'"&amp;$Q146&amp;"'!$D$9:$D$408"),$P146,INDIRECT("'"&amp;$Q146&amp;"'!$E$9:$E$408"),$C146,INDIRECT("'"&amp;$Q146&amp;"'!$F$9:$F$408"),$D146),""))</f>
        <v/>
      </c>
      <c r="M146" s="15">
        <f>IF(OR($C146="",$Q146=""),"",IFERROR(SUMIFS(INDIRECT("'"&amp;$Q146&amp;"'!$M$9:$M$408"),INDIRECT("'"&amp;$Q146&amp;"'!$D$9:$D$408"),$P146,INDIRECT("'"&amp;$Q146&amp;"'!$E$9:$E$408"),$C146,INDIRECT("'"&amp;$Q146&amp;"'!$F$9:$F$408"),$D146),""))</f>
        <v/>
      </c>
      <c r="N146" s="15">
        <f>IF(OR($C146="",$Q146=""),"",IFERROR(SUMIFS(INDIRECT("'"&amp;$Q146&amp;"'!$V$9:$V$408"),INDIRECT("'"&amp;$Q146&amp;"'!$D$9:$D$408"),$P146,INDIRECT("'"&amp;$Q146&amp;"'!$E$9:$E$408"),$C146,INDIRECT("'"&amp;$Q146&amp;"'!$F$9:$F$408"),$D146),""))</f>
        <v/>
      </c>
      <c r="P146" s="17" t="n"/>
      <c r="Q146" s="17" t="n"/>
    </row>
    <row r="147">
      <c r="B147" s="13">
        <f>IF(OR($C147="",$Q147=""),"",COUNTA($C$8:$C147))</f>
        <v/>
      </c>
      <c r="C147" s="14" t="n"/>
      <c r="D147" s="14" t="n"/>
      <c r="E147" s="15">
        <f>IF(OR($C147="",$Q147=""),"",IFERROR(SUMIFS(INDIRECT("'"&amp;$Q147&amp;"'!$G$9:$G$408"),INDIRECT("'"&amp;$Q147&amp;"'!$D$9:$D$408"),$P147,INDIRECT("'"&amp;$Q147&amp;"'!$E$9:$E$408"),$C147,INDIRECT("'"&amp;$Q147&amp;"'!$F$9:$F$408"),$D147),""))</f>
        <v/>
      </c>
      <c r="F147" s="15">
        <f>IF(OR($C147="",$Q147=""),"",IFERROR(SUMIFS(INDIRECT("'"&amp;$Q147&amp;"'!$H$9:$H$408"),INDIRECT("'"&amp;$Q147&amp;"'!$D$9:$D$408"),$P147,INDIRECT("'"&amp;$Q147&amp;"'!$E$9:$E$408"),$C147,INDIRECT("'"&amp;$Q147&amp;"'!$F$9:$F$408"),$D147),""))</f>
        <v/>
      </c>
      <c r="G147" s="15">
        <f>IF(OR($C147="",$Q147=""),"",IFERROR(SUMIFS(INDIRECT("'"&amp;$Q147&amp;"'!$I$9:$I$408"),INDIRECT("'"&amp;$Q147&amp;"'!$D$9:$D$408"),$P147,INDIRECT("'"&amp;$Q147&amp;"'!$E$9:$E$408"),$C147,INDIRECT("'"&amp;$Q147&amp;"'!$F$9:$F$408"),$D147),""))</f>
        <v/>
      </c>
      <c r="H147" s="15">
        <f>IF(OR($C147="",$Q147=""),"",IFERROR(SUMIFS(INDIRECT("'"&amp;$Q147&amp;"'!$R$9:$R$408"),INDIRECT("'"&amp;$Q147&amp;"'!$D$9:$D$408"),$P147,INDIRECT("'"&amp;$Q147&amp;"'!$E$9:$E$408"),$C147,INDIRECT("'"&amp;$Q147&amp;"'!$F$9:$F$408"),$D147),""))</f>
        <v/>
      </c>
      <c r="I147" s="16">
        <f>IF(OR(OR($C147="",$Q147=""),N(E147)=0),"",H147/E147)</f>
        <v/>
      </c>
      <c r="J147" s="15">
        <f>IF(OR($C147="",$Q147=""),"",N(E147)-N(H147))</f>
        <v/>
      </c>
      <c r="K147" s="15">
        <f>IF(OR($C147="",$Q147=""),"",IFERROR(SUMIFS(INDIRECT("'"&amp;$Q147&amp;"'!$K$9:$K$408"),INDIRECT("'"&amp;$Q147&amp;"'!$D$9:$D$408"),$P147,INDIRECT("'"&amp;$Q147&amp;"'!$E$9:$E$408"),$C147,INDIRECT("'"&amp;$Q147&amp;"'!$F$9:$F$408"),$D147),""))</f>
        <v/>
      </c>
      <c r="L147" s="15">
        <f>IF(OR($C147="",$Q147=""),"",IFERROR(SUMIFS(INDIRECT("'"&amp;$Q147&amp;"'!$Q$9:$Q$408"),INDIRECT("'"&amp;$Q147&amp;"'!$D$9:$D$408"),$P147,INDIRECT("'"&amp;$Q147&amp;"'!$E$9:$E$408"),$C147,INDIRECT("'"&amp;$Q147&amp;"'!$F$9:$F$408"),$D147),""))</f>
        <v/>
      </c>
      <c r="M147" s="15">
        <f>IF(OR($C147="",$Q147=""),"",IFERROR(SUMIFS(INDIRECT("'"&amp;$Q147&amp;"'!$M$9:$M$408"),INDIRECT("'"&amp;$Q147&amp;"'!$D$9:$D$408"),$P147,INDIRECT("'"&amp;$Q147&amp;"'!$E$9:$E$408"),$C147,INDIRECT("'"&amp;$Q147&amp;"'!$F$9:$F$408"),$D147),""))</f>
        <v/>
      </c>
      <c r="N147" s="15">
        <f>IF(OR($C147="",$Q147=""),"",IFERROR(SUMIFS(INDIRECT("'"&amp;$Q147&amp;"'!$V$9:$V$408"),INDIRECT("'"&amp;$Q147&amp;"'!$D$9:$D$408"),$P147,INDIRECT("'"&amp;$Q147&amp;"'!$E$9:$E$408"),$C147,INDIRECT("'"&amp;$Q147&amp;"'!$F$9:$F$408"),$D147),""))</f>
        <v/>
      </c>
      <c r="P147" s="17" t="n"/>
      <c r="Q147" s="17" t="n"/>
    </row>
    <row r="148">
      <c r="B148" s="13">
        <f>IF(OR($C148="",$Q148=""),"",COUNTA($C$8:$C148))</f>
        <v/>
      </c>
      <c r="C148" s="14" t="n"/>
      <c r="D148" s="14" t="n"/>
      <c r="E148" s="15">
        <f>IF(OR($C148="",$Q148=""),"",IFERROR(SUMIFS(INDIRECT("'"&amp;$Q148&amp;"'!$G$9:$G$408"),INDIRECT("'"&amp;$Q148&amp;"'!$D$9:$D$408"),$P148,INDIRECT("'"&amp;$Q148&amp;"'!$E$9:$E$408"),$C148,INDIRECT("'"&amp;$Q148&amp;"'!$F$9:$F$408"),$D148),""))</f>
        <v/>
      </c>
      <c r="F148" s="15">
        <f>IF(OR($C148="",$Q148=""),"",IFERROR(SUMIFS(INDIRECT("'"&amp;$Q148&amp;"'!$H$9:$H$408"),INDIRECT("'"&amp;$Q148&amp;"'!$D$9:$D$408"),$P148,INDIRECT("'"&amp;$Q148&amp;"'!$E$9:$E$408"),$C148,INDIRECT("'"&amp;$Q148&amp;"'!$F$9:$F$408"),$D148),""))</f>
        <v/>
      </c>
      <c r="G148" s="15">
        <f>IF(OR($C148="",$Q148=""),"",IFERROR(SUMIFS(INDIRECT("'"&amp;$Q148&amp;"'!$I$9:$I$408"),INDIRECT("'"&amp;$Q148&amp;"'!$D$9:$D$408"),$P148,INDIRECT("'"&amp;$Q148&amp;"'!$E$9:$E$408"),$C148,INDIRECT("'"&amp;$Q148&amp;"'!$F$9:$F$408"),$D148),""))</f>
        <v/>
      </c>
      <c r="H148" s="15">
        <f>IF(OR($C148="",$Q148=""),"",IFERROR(SUMIFS(INDIRECT("'"&amp;$Q148&amp;"'!$R$9:$R$408"),INDIRECT("'"&amp;$Q148&amp;"'!$D$9:$D$408"),$P148,INDIRECT("'"&amp;$Q148&amp;"'!$E$9:$E$408"),$C148,INDIRECT("'"&amp;$Q148&amp;"'!$F$9:$F$408"),$D148),""))</f>
        <v/>
      </c>
      <c r="I148" s="16">
        <f>IF(OR(OR($C148="",$Q148=""),N(E148)=0),"",H148/E148)</f>
        <v/>
      </c>
      <c r="J148" s="15">
        <f>IF(OR($C148="",$Q148=""),"",N(E148)-N(H148))</f>
        <v/>
      </c>
      <c r="K148" s="15">
        <f>IF(OR($C148="",$Q148=""),"",IFERROR(SUMIFS(INDIRECT("'"&amp;$Q148&amp;"'!$K$9:$K$408"),INDIRECT("'"&amp;$Q148&amp;"'!$D$9:$D$408"),$P148,INDIRECT("'"&amp;$Q148&amp;"'!$E$9:$E$408"),$C148,INDIRECT("'"&amp;$Q148&amp;"'!$F$9:$F$408"),$D148),""))</f>
        <v/>
      </c>
      <c r="L148" s="15">
        <f>IF(OR($C148="",$Q148=""),"",IFERROR(SUMIFS(INDIRECT("'"&amp;$Q148&amp;"'!$Q$9:$Q$408"),INDIRECT("'"&amp;$Q148&amp;"'!$D$9:$D$408"),$P148,INDIRECT("'"&amp;$Q148&amp;"'!$E$9:$E$408"),$C148,INDIRECT("'"&amp;$Q148&amp;"'!$F$9:$F$408"),$D148),""))</f>
        <v/>
      </c>
      <c r="M148" s="15">
        <f>IF(OR($C148="",$Q148=""),"",IFERROR(SUMIFS(INDIRECT("'"&amp;$Q148&amp;"'!$M$9:$M$408"),INDIRECT("'"&amp;$Q148&amp;"'!$D$9:$D$408"),$P148,INDIRECT("'"&amp;$Q148&amp;"'!$E$9:$E$408"),$C148,INDIRECT("'"&amp;$Q148&amp;"'!$F$9:$F$408"),$D148),""))</f>
        <v/>
      </c>
      <c r="N148" s="15">
        <f>IF(OR($C148="",$Q148=""),"",IFERROR(SUMIFS(INDIRECT("'"&amp;$Q148&amp;"'!$V$9:$V$408"),INDIRECT("'"&amp;$Q148&amp;"'!$D$9:$D$408"),$P148,INDIRECT("'"&amp;$Q148&amp;"'!$E$9:$E$408"),$C148,INDIRECT("'"&amp;$Q148&amp;"'!$F$9:$F$408"),$D148),""))</f>
        <v/>
      </c>
      <c r="P148" s="17" t="n"/>
      <c r="Q148" s="17" t="n"/>
    </row>
    <row r="149">
      <c r="B149" s="13">
        <f>IF(OR($C149="",$Q149=""),"",COUNTA($C$8:$C149))</f>
        <v/>
      </c>
      <c r="C149" s="14" t="n"/>
      <c r="D149" s="14" t="n"/>
      <c r="E149" s="15">
        <f>IF(OR($C149="",$Q149=""),"",IFERROR(SUMIFS(INDIRECT("'"&amp;$Q149&amp;"'!$G$9:$G$408"),INDIRECT("'"&amp;$Q149&amp;"'!$D$9:$D$408"),$P149,INDIRECT("'"&amp;$Q149&amp;"'!$E$9:$E$408"),$C149,INDIRECT("'"&amp;$Q149&amp;"'!$F$9:$F$408"),$D149),""))</f>
        <v/>
      </c>
      <c r="F149" s="15">
        <f>IF(OR($C149="",$Q149=""),"",IFERROR(SUMIFS(INDIRECT("'"&amp;$Q149&amp;"'!$H$9:$H$408"),INDIRECT("'"&amp;$Q149&amp;"'!$D$9:$D$408"),$P149,INDIRECT("'"&amp;$Q149&amp;"'!$E$9:$E$408"),$C149,INDIRECT("'"&amp;$Q149&amp;"'!$F$9:$F$408"),$D149),""))</f>
        <v/>
      </c>
      <c r="G149" s="15">
        <f>IF(OR($C149="",$Q149=""),"",IFERROR(SUMIFS(INDIRECT("'"&amp;$Q149&amp;"'!$I$9:$I$408"),INDIRECT("'"&amp;$Q149&amp;"'!$D$9:$D$408"),$P149,INDIRECT("'"&amp;$Q149&amp;"'!$E$9:$E$408"),$C149,INDIRECT("'"&amp;$Q149&amp;"'!$F$9:$F$408"),$D149),""))</f>
        <v/>
      </c>
      <c r="H149" s="15">
        <f>IF(OR($C149="",$Q149=""),"",IFERROR(SUMIFS(INDIRECT("'"&amp;$Q149&amp;"'!$R$9:$R$408"),INDIRECT("'"&amp;$Q149&amp;"'!$D$9:$D$408"),$P149,INDIRECT("'"&amp;$Q149&amp;"'!$E$9:$E$408"),$C149,INDIRECT("'"&amp;$Q149&amp;"'!$F$9:$F$408"),$D149),""))</f>
        <v/>
      </c>
      <c r="I149" s="16">
        <f>IF(OR(OR($C149="",$Q149=""),N(E149)=0),"",H149/E149)</f>
        <v/>
      </c>
      <c r="J149" s="15">
        <f>IF(OR($C149="",$Q149=""),"",N(E149)-N(H149))</f>
        <v/>
      </c>
      <c r="K149" s="15">
        <f>IF(OR($C149="",$Q149=""),"",IFERROR(SUMIFS(INDIRECT("'"&amp;$Q149&amp;"'!$K$9:$K$408"),INDIRECT("'"&amp;$Q149&amp;"'!$D$9:$D$408"),$P149,INDIRECT("'"&amp;$Q149&amp;"'!$E$9:$E$408"),$C149,INDIRECT("'"&amp;$Q149&amp;"'!$F$9:$F$408"),$D149),""))</f>
        <v/>
      </c>
      <c r="L149" s="15">
        <f>IF(OR($C149="",$Q149=""),"",IFERROR(SUMIFS(INDIRECT("'"&amp;$Q149&amp;"'!$Q$9:$Q$408"),INDIRECT("'"&amp;$Q149&amp;"'!$D$9:$D$408"),$P149,INDIRECT("'"&amp;$Q149&amp;"'!$E$9:$E$408"),$C149,INDIRECT("'"&amp;$Q149&amp;"'!$F$9:$F$408"),$D149),""))</f>
        <v/>
      </c>
      <c r="M149" s="15">
        <f>IF(OR($C149="",$Q149=""),"",IFERROR(SUMIFS(INDIRECT("'"&amp;$Q149&amp;"'!$M$9:$M$408"),INDIRECT("'"&amp;$Q149&amp;"'!$D$9:$D$408"),$P149,INDIRECT("'"&amp;$Q149&amp;"'!$E$9:$E$408"),$C149,INDIRECT("'"&amp;$Q149&amp;"'!$F$9:$F$408"),$D149),""))</f>
        <v/>
      </c>
      <c r="N149" s="15">
        <f>IF(OR($C149="",$Q149=""),"",IFERROR(SUMIFS(INDIRECT("'"&amp;$Q149&amp;"'!$V$9:$V$408"),INDIRECT("'"&amp;$Q149&amp;"'!$D$9:$D$408"),$P149,INDIRECT("'"&amp;$Q149&amp;"'!$E$9:$E$408"),$C149,INDIRECT("'"&amp;$Q149&amp;"'!$F$9:$F$408"),$D149),""))</f>
        <v/>
      </c>
      <c r="P149" s="17" t="n"/>
      <c r="Q149" s="17" t="n"/>
    </row>
    <row r="150">
      <c r="B150" s="13">
        <f>IF(OR($C150="",$Q150=""),"",COUNTA($C$8:$C150))</f>
        <v/>
      </c>
      <c r="C150" s="14" t="n"/>
      <c r="D150" s="14" t="n"/>
      <c r="E150" s="15">
        <f>IF(OR($C150="",$Q150=""),"",IFERROR(SUMIFS(INDIRECT("'"&amp;$Q150&amp;"'!$G$9:$G$408"),INDIRECT("'"&amp;$Q150&amp;"'!$D$9:$D$408"),$P150,INDIRECT("'"&amp;$Q150&amp;"'!$E$9:$E$408"),$C150,INDIRECT("'"&amp;$Q150&amp;"'!$F$9:$F$408"),$D150),""))</f>
        <v/>
      </c>
      <c r="F150" s="15">
        <f>IF(OR($C150="",$Q150=""),"",IFERROR(SUMIFS(INDIRECT("'"&amp;$Q150&amp;"'!$H$9:$H$408"),INDIRECT("'"&amp;$Q150&amp;"'!$D$9:$D$408"),$P150,INDIRECT("'"&amp;$Q150&amp;"'!$E$9:$E$408"),$C150,INDIRECT("'"&amp;$Q150&amp;"'!$F$9:$F$408"),$D150),""))</f>
        <v/>
      </c>
      <c r="G150" s="15">
        <f>IF(OR($C150="",$Q150=""),"",IFERROR(SUMIFS(INDIRECT("'"&amp;$Q150&amp;"'!$I$9:$I$408"),INDIRECT("'"&amp;$Q150&amp;"'!$D$9:$D$408"),$P150,INDIRECT("'"&amp;$Q150&amp;"'!$E$9:$E$408"),$C150,INDIRECT("'"&amp;$Q150&amp;"'!$F$9:$F$408"),$D150),""))</f>
        <v/>
      </c>
      <c r="H150" s="15">
        <f>IF(OR($C150="",$Q150=""),"",IFERROR(SUMIFS(INDIRECT("'"&amp;$Q150&amp;"'!$R$9:$R$408"),INDIRECT("'"&amp;$Q150&amp;"'!$D$9:$D$408"),$P150,INDIRECT("'"&amp;$Q150&amp;"'!$E$9:$E$408"),$C150,INDIRECT("'"&amp;$Q150&amp;"'!$F$9:$F$408"),$D150),""))</f>
        <v/>
      </c>
      <c r="I150" s="16">
        <f>IF(OR(OR($C150="",$Q150=""),N(E150)=0),"",H150/E150)</f>
        <v/>
      </c>
      <c r="J150" s="15">
        <f>IF(OR($C150="",$Q150=""),"",N(E150)-N(H150))</f>
        <v/>
      </c>
      <c r="K150" s="15">
        <f>IF(OR($C150="",$Q150=""),"",IFERROR(SUMIFS(INDIRECT("'"&amp;$Q150&amp;"'!$K$9:$K$408"),INDIRECT("'"&amp;$Q150&amp;"'!$D$9:$D$408"),$P150,INDIRECT("'"&amp;$Q150&amp;"'!$E$9:$E$408"),$C150,INDIRECT("'"&amp;$Q150&amp;"'!$F$9:$F$408"),$D150),""))</f>
        <v/>
      </c>
      <c r="L150" s="15">
        <f>IF(OR($C150="",$Q150=""),"",IFERROR(SUMIFS(INDIRECT("'"&amp;$Q150&amp;"'!$Q$9:$Q$408"),INDIRECT("'"&amp;$Q150&amp;"'!$D$9:$D$408"),$P150,INDIRECT("'"&amp;$Q150&amp;"'!$E$9:$E$408"),$C150,INDIRECT("'"&amp;$Q150&amp;"'!$F$9:$F$408"),$D150),""))</f>
        <v/>
      </c>
      <c r="M150" s="15">
        <f>IF(OR($C150="",$Q150=""),"",IFERROR(SUMIFS(INDIRECT("'"&amp;$Q150&amp;"'!$M$9:$M$408"),INDIRECT("'"&amp;$Q150&amp;"'!$D$9:$D$408"),$P150,INDIRECT("'"&amp;$Q150&amp;"'!$E$9:$E$408"),$C150,INDIRECT("'"&amp;$Q150&amp;"'!$F$9:$F$408"),$D150),""))</f>
        <v/>
      </c>
      <c r="N150" s="15">
        <f>IF(OR($C150="",$Q150=""),"",IFERROR(SUMIFS(INDIRECT("'"&amp;$Q150&amp;"'!$V$9:$V$408"),INDIRECT("'"&amp;$Q150&amp;"'!$D$9:$D$408"),$P150,INDIRECT("'"&amp;$Q150&amp;"'!$E$9:$E$408"),$C150,INDIRECT("'"&amp;$Q150&amp;"'!$F$9:$F$408"),$D150),""))</f>
        <v/>
      </c>
      <c r="P150" s="17" t="n"/>
      <c r="Q150" s="17" t="n"/>
    </row>
    <row r="151">
      <c r="B151" s="13">
        <f>IF(OR($C151="",$Q151=""),"",COUNTA($C$8:$C151))</f>
        <v/>
      </c>
      <c r="C151" s="14" t="n"/>
      <c r="D151" s="14" t="n"/>
      <c r="E151" s="15">
        <f>IF(OR($C151="",$Q151=""),"",IFERROR(SUMIFS(INDIRECT("'"&amp;$Q151&amp;"'!$G$9:$G$408"),INDIRECT("'"&amp;$Q151&amp;"'!$D$9:$D$408"),$P151,INDIRECT("'"&amp;$Q151&amp;"'!$E$9:$E$408"),$C151,INDIRECT("'"&amp;$Q151&amp;"'!$F$9:$F$408"),$D151),""))</f>
        <v/>
      </c>
      <c r="F151" s="15">
        <f>IF(OR($C151="",$Q151=""),"",IFERROR(SUMIFS(INDIRECT("'"&amp;$Q151&amp;"'!$H$9:$H$408"),INDIRECT("'"&amp;$Q151&amp;"'!$D$9:$D$408"),$P151,INDIRECT("'"&amp;$Q151&amp;"'!$E$9:$E$408"),$C151,INDIRECT("'"&amp;$Q151&amp;"'!$F$9:$F$408"),$D151),""))</f>
        <v/>
      </c>
      <c r="G151" s="15">
        <f>IF(OR($C151="",$Q151=""),"",IFERROR(SUMIFS(INDIRECT("'"&amp;$Q151&amp;"'!$I$9:$I$408"),INDIRECT("'"&amp;$Q151&amp;"'!$D$9:$D$408"),$P151,INDIRECT("'"&amp;$Q151&amp;"'!$E$9:$E$408"),$C151,INDIRECT("'"&amp;$Q151&amp;"'!$F$9:$F$408"),$D151),""))</f>
        <v/>
      </c>
      <c r="H151" s="15">
        <f>IF(OR($C151="",$Q151=""),"",IFERROR(SUMIFS(INDIRECT("'"&amp;$Q151&amp;"'!$R$9:$R$408"),INDIRECT("'"&amp;$Q151&amp;"'!$D$9:$D$408"),$P151,INDIRECT("'"&amp;$Q151&amp;"'!$E$9:$E$408"),$C151,INDIRECT("'"&amp;$Q151&amp;"'!$F$9:$F$408"),$D151),""))</f>
        <v/>
      </c>
      <c r="I151" s="16">
        <f>IF(OR(OR($C151="",$Q151=""),N(E151)=0),"",H151/E151)</f>
        <v/>
      </c>
      <c r="J151" s="15">
        <f>IF(OR($C151="",$Q151=""),"",N(E151)-N(H151))</f>
        <v/>
      </c>
      <c r="K151" s="15">
        <f>IF(OR($C151="",$Q151=""),"",IFERROR(SUMIFS(INDIRECT("'"&amp;$Q151&amp;"'!$K$9:$K$408"),INDIRECT("'"&amp;$Q151&amp;"'!$D$9:$D$408"),$P151,INDIRECT("'"&amp;$Q151&amp;"'!$E$9:$E$408"),$C151,INDIRECT("'"&amp;$Q151&amp;"'!$F$9:$F$408"),$D151),""))</f>
        <v/>
      </c>
      <c r="L151" s="15">
        <f>IF(OR($C151="",$Q151=""),"",IFERROR(SUMIFS(INDIRECT("'"&amp;$Q151&amp;"'!$Q$9:$Q$408"),INDIRECT("'"&amp;$Q151&amp;"'!$D$9:$D$408"),$P151,INDIRECT("'"&amp;$Q151&amp;"'!$E$9:$E$408"),$C151,INDIRECT("'"&amp;$Q151&amp;"'!$F$9:$F$408"),$D151),""))</f>
        <v/>
      </c>
      <c r="M151" s="15">
        <f>IF(OR($C151="",$Q151=""),"",IFERROR(SUMIFS(INDIRECT("'"&amp;$Q151&amp;"'!$M$9:$M$408"),INDIRECT("'"&amp;$Q151&amp;"'!$D$9:$D$408"),$P151,INDIRECT("'"&amp;$Q151&amp;"'!$E$9:$E$408"),$C151,INDIRECT("'"&amp;$Q151&amp;"'!$F$9:$F$408"),$D151),""))</f>
        <v/>
      </c>
      <c r="N151" s="15">
        <f>IF(OR($C151="",$Q151=""),"",IFERROR(SUMIFS(INDIRECT("'"&amp;$Q151&amp;"'!$V$9:$V$408"),INDIRECT("'"&amp;$Q151&amp;"'!$D$9:$D$408"),$P151,INDIRECT("'"&amp;$Q151&amp;"'!$E$9:$E$408"),$C151,INDIRECT("'"&amp;$Q151&amp;"'!$F$9:$F$408"),$D151),""))</f>
        <v/>
      </c>
      <c r="P151" s="17" t="n"/>
      <c r="Q151" s="17" t="n"/>
    </row>
    <row r="152">
      <c r="B152" s="13">
        <f>IF(OR($C152="",$Q152=""),"",COUNTA($C$8:$C152))</f>
        <v/>
      </c>
      <c r="C152" s="14" t="n"/>
      <c r="D152" s="14" t="n"/>
      <c r="E152" s="15">
        <f>IF(OR($C152="",$Q152=""),"",IFERROR(SUMIFS(INDIRECT("'"&amp;$Q152&amp;"'!$G$9:$G$408"),INDIRECT("'"&amp;$Q152&amp;"'!$D$9:$D$408"),$P152,INDIRECT("'"&amp;$Q152&amp;"'!$E$9:$E$408"),$C152,INDIRECT("'"&amp;$Q152&amp;"'!$F$9:$F$408"),$D152),""))</f>
        <v/>
      </c>
      <c r="F152" s="15">
        <f>IF(OR($C152="",$Q152=""),"",IFERROR(SUMIFS(INDIRECT("'"&amp;$Q152&amp;"'!$H$9:$H$408"),INDIRECT("'"&amp;$Q152&amp;"'!$D$9:$D$408"),$P152,INDIRECT("'"&amp;$Q152&amp;"'!$E$9:$E$408"),$C152,INDIRECT("'"&amp;$Q152&amp;"'!$F$9:$F$408"),$D152),""))</f>
        <v/>
      </c>
      <c r="G152" s="15">
        <f>IF(OR($C152="",$Q152=""),"",IFERROR(SUMIFS(INDIRECT("'"&amp;$Q152&amp;"'!$I$9:$I$408"),INDIRECT("'"&amp;$Q152&amp;"'!$D$9:$D$408"),$P152,INDIRECT("'"&amp;$Q152&amp;"'!$E$9:$E$408"),$C152,INDIRECT("'"&amp;$Q152&amp;"'!$F$9:$F$408"),$D152),""))</f>
        <v/>
      </c>
      <c r="H152" s="15">
        <f>IF(OR($C152="",$Q152=""),"",IFERROR(SUMIFS(INDIRECT("'"&amp;$Q152&amp;"'!$R$9:$R$408"),INDIRECT("'"&amp;$Q152&amp;"'!$D$9:$D$408"),$P152,INDIRECT("'"&amp;$Q152&amp;"'!$E$9:$E$408"),$C152,INDIRECT("'"&amp;$Q152&amp;"'!$F$9:$F$408"),$D152),""))</f>
        <v/>
      </c>
      <c r="I152" s="16">
        <f>IF(OR(OR($C152="",$Q152=""),N(E152)=0),"",H152/E152)</f>
        <v/>
      </c>
      <c r="J152" s="15">
        <f>IF(OR($C152="",$Q152=""),"",N(E152)-N(H152))</f>
        <v/>
      </c>
      <c r="K152" s="15">
        <f>IF(OR($C152="",$Q152=""),"",IFERROR(SUMIFS(INDIRECT("'"&amp;$Q152&amp;"'!$K$9:$K$408"),INDIRECT("'"&amp;$Q152&amp;"'!$D$9:$D$408"),$P152,INDIRECT("'"&amp;$Q152&amp;"'!$E$9:$E$408"),$C152,INDIRECT("'"&amp;$Q152&amp;"'!$F$9:$F$408"),$D152),""))</f>
        <v/>
      </c>
      <c r="L152" s="15">
        <f>IF(OR($C152="",$Q152=""),"",IFERROR(SUMIFS(INDIRECT("'"&amp;$Q152&amp;"'!$Q$9:$Q$408"),INDIRECT("'"&amp;$Q152&amp;"'!$D$9:$D$408"),$P152,INDIRECT("'"&amp;$Q152&amp;"'!$E$9:$E$408"),$C152,INDIRECT("'"&amp;$Q152&amp;"'!$F$9:$F$408"),$D152),""))</f>
        <v/>
      </c>
      <c r="M152" s="15">
        <f>IF(OR($C152="",$Q152=""),"",IFERROR(SUMIFS(INDIRECT("'"&amp;$Q152&amp;"'!$M$9:$M$408"),INDIRECT("'"&amp;$Q152&amp;"'!$D$9:$D$408"),$P152,INDIRECT("'"&amp;$Q152&amp;"'!$E$9:$E$408"),$C152,INDIRECT("'"&amp;$Q152&amp;"'!$F$9:$F$408"),$D152),""))</f>
        <v/>
      </c>
      <c r="N152" s="15">
        <f>IF(OR($C152="",$Q152=""),"",IFERROR(SUMIFS(INDIRECT("'"&amp;$Q152&amp;"'!$V$9:$V$408"),INDIRECT("'"&amp;$Q152&amp;"'!$D$9:$D$408"),$P152,INDIRECT("'"&amp;$Q152&amp;"'!$E$9:$E$408"),$C152,INDIRECT("'"&amp;$Q152&amp;"'!$F$9:$F$408"),$D152),""))</f>
        <v/>
      </c>
      <c r="P152" s="17" t="n"/>
      <c r="Q152" s="17" t="n"/>
    </row>
    <row r="153">
      <c r="B153" s="13">
        <f>IF(OR($C153="",$Q153=""),"",COUNTA($C$8:$C153))</f>
        <v/>
      </c>
      <c r="C153" s="14" t="n"/>
      <c r="D153" s="14" t="n"/>
      <c r="E153" s="15">
        <f>IF(OR($C153="",$Q153=""),"",IFERROR(SUMIFS(INDIRECT("'"&amp;$Q153&amp;"'!$G$9:$G$408"),INDIRECT("'"&amp;$Q153&amp;"'!$D$9:$D$408"),$P153,INDIRECT("'"&amp;$Q153&amp;"'!$E$9:$E$408"),$C153,INDIRECT("'"&amp;$Q153&amp;"'!$F$9:$F$408"),$D153),""))</f>
        <v/>
      </c>
      <c r="F153" s="15">
        <f>IF(OR($C153="",$Q153=""),"",IFERROR(SUMIFS(INDIRECT("'"&amp;$Q153&amp;"'!$H$9:$H$408"),INDIRECT("'"&amp;$Q153&amp;"'!$D$9:$D$408"),$P153,INDIRECT("'"&amp;$Q153&amp;"'!$E$9:$E$408"),$C153,INDIRECT("'"&amp;$Q153&amp;"'!$F$9:$F$408"),$D153),""))</f>
        <v/>
      </c>
      <c r="G153" s="15">
        <f>IF(OR($C153="",$Q153=""),"",IFERROR(SUMIFS(INDIRECT("'"&amp;$Q153&amp;"'!$I$9:$I$408"),INDIRECT("'"&amp;$Q153&amp;"'!$D$9:$D$408"),$P153,INDIRECT("'"&amp;$Q153&amp;"'!$E$9:$E$408"),$C153,INDIRECT("'"&amp;$Q153&amp;"'!$F$9:$F$408"),$D153),""))</f>
        <v/>
      </c>
      <c r="H153" s="15">
        <f>IF(OR($C153="",$Q153=""),"",IFERROR(SUMIFS(INDIRECT("'"&amp;$Q153&amp;"'!$R$9:$R$408"),INDIRECT("'"&amp;$Q153&amp;"'!$D$9:$D$408"),$P153,INDIRECT("'"&amp;$Q153&amp;"'!$E$9:$E$408"),$C153,INDIRECT("'"&amp;$Q153&amp;"'!$F$9:$F$408"),$D153),""))</f>
        <v/>
      </c>
      <c r="I153" s="16">
        <f>IF(OR(OR($C153="",$Q153=""),N(E153)=0),"",H153/E153)</f>
        <v/>
      </c>
      <c r="J153" s="15">
        <f>IF(OR($C153="",$Q153=""),"",N(E153)-N(H153))</f>
        <v/>
      </c>
      <c r="K153" s="15">
        <f>IF(OR($C153="",$Q153=""),"",IFERROR(SUMIFS(INDIRECT("'"&amp;$Q153&amp;"'!$K$9:$K$408"),INDIRECT("'"&amp;$Q153&amp;"'!$D$9:$D$408"),$P153,INDIRECT("'"&amp;$Q153&amp;"'!$E$9:$E$408"),$C153,INDIRECT("'"&amp;$Q153&amp;"'!$F$9:$F$408"),$D153),""))</f>
        <v/>
      </c>
      <c r="L153" s="15">
        <f>IF(OR($C153="",$Q153=""),"",IFERROR(SUMIFS(INDIRECT("'"&amp;$Q153&amp;"'!$Q$9:$Q$408"),INDIRECT("'"&amp;$Q153&amp;"'!$D$9:$D$408"),$P153,INDIRECT("'"&amp;$Q153&amp;"'!$E$9:$E$408"),$C153,INDIRECT("'"&amp;$Q153&amp;"'!$F$9:$F$408"),$D153),""))</f>
        <v/>
      </c>
      <c r="M153" s="15">
        <f>IF(OR($C153="",$Q153=""),"",IFERROR(SUMIFS(INDIRECT("'"&amp;$Q153&amp;"'!$M$9:$M$408"),INDIRECT("'"&amp;$Q153&amp;"'!$D$9:$D$408"),$P153,INDIRECT("'"&amp;$Q153&amp;"'!$E$9:$E$408"),$C153,INDIRECT("'"&amp;$Q153&amp;"'!$F$9:$F$408"),$D153),""))</f>
        <v/>
      </c>
      <c r="N153" s="15">
        <f>IF(OR($C153="",$Q153=""),"",IFERROR(SUMIFS(INDIRECT("'"&amp;$Q153&amp;"'!$V$9:$V$408"),INDIRECT("'"&amp;$Q153&amp;"'!$D$9:$D$408"),$P153,INDIRECT("'"&amp;$Q153&amp;"'!$E$9:$E$408"),$C153,INDIRECT("'"&amp;$Q153&amp;"'!$F$9:$F$408"),$D153),""))</f>
        <v/>
      </c>
      <c r="P153" s="17" t="n"/>
      <c r="Q153" s="17" t="n"/>
    </row>
    <row r="154">
      <c r="B154" s="13">
        <f>IF(OR($C154="",$Q154=""),"",COUNTA($C$8:$C154))</f>
        <v/>
      </c>
      <c r="C154" s="14" t="n"/>
      <c r="D154" s="14" t="n"/>
      <c r="E154" s="15">
        <f>IF(OR($C154="",$Q154=""),"",IFERROR(SUMIFS(INDIRECT("'"&amp;$Q154&amp;"'!$G$9:$G$408"),INDIRECT("'"&amp;$Q154&amp;"'!$D$9:$D$408"),$P154,INDIRECT("'"&amp;$Q154&amp;"'!$E$9:$E$408"),$C154,INDIRECT("'"&amp;$Q154&amp;"'!$F$9:$F$408"),$D154),""))</f>
        <v/>
      </c>
      <c r="F154" s="15">
        <f>IF(OR($C154="",$Q154=""),"",IFERROR(SUMIFS(INDIRECT("'"&amp;$Q154&amp;"'!$H$9:$H$408"),INDIRECT("'"&amp;$Q154&amp;"'!$D$9:$D$408"),$P154,INDIRECT("'"&amp;$Q154&amp;"'!$E$9:$E$408"),$C154,INDIRECT("'"&amp;$Q154&amp;"'!$F$9:$F$408"),$D154),""))</f>
        <v/>
      </c>
      <c r="G154" s="15">
        <f>IF(OR($C154="",$Q154=""),"",IFERROR(SUMIFS(INDIRECT("'"&amp;$Q154&amp;"'!$I$9:$I$408"),INDIRECT("'"&amp;$Q154&amp;"'!$D$9:$D$408"),$P154,INDIRECT("'"&amp;$Q154&amp;"'!$E$9:$E$408"),$C154,INDIRECT("'"&amp;$Q154&amp;"'!$F$9:$F$408"),$D154),""))</f>
        <v/>
      </c>
      <c r="H154" s="15">
        <f>IF(OR($C154="",$Q154=""),"",IFERROR(SUMIFS(INDIRECT("'"&amp;$Q154&amp;"'!$R$9:$R$408"),INDIRECT("'"&amp;$Q154&amp;"'!$D$9:$D$408"),$P154,INDIRECT("'"&amp;$Q154&amp;"'!$E$9:$E$408"),$C154,INDIRECT("'"&amp;$Q154&amp;"'!$F$9:$F$408"),$D154),""))</f>
        <v/>
      </c>
      <c r="I154" s="16">
        <f>IF(OR(OR($C154="",$Q154=""),N(E154)=0),"",H154/E154)</f>
        <v/>
      </c>
      <c r="J154" s="15">
        <f>IF(OR($C154="",$Q154=""),"",N(E154)-N(H154))</f>
        <v/>
      </c>
      <c r="K154" s="15">
        <f>IF(OR($C154="",$Q154=""),"",IFERROR(SUMIFS(INDIRECT("'"&amp;$Q154&amp;"'!$K$9:$K$408"),INDIRECT("'"&amp;$Q154&amp;"'!$D$9:$D$408"),$P154,INDIRECT("'"&amp;$Q154&amp;"'!$E$9:$E$408"),$C154,INDIRECT("'"&amp;$Q154&amp;"'!$F$9:$F$408"),$D154),""))</f>
        <v/>
      </c>
      <c r="L154" s="15">
        <f>IF(OR($C154="",$Q154=""),"",IFERROR(SUMIFS(INDIRECT("'"&amp;$Q154&amp;"'!$Q$9:$Q$408"),INDIRECT("'"&amp;$Q154&amp;"'!$D$9:$D$408"),$P154,INDIRECT("'"&amp;$Q154&amp;"'!$E$9:$E$408"),$C154,INDIRECT("'"&amp;$Q154&amp;"'!$F$9:$F$408"),$D154),""))</f>
        <v/>
      </c>
      <c r="M154" s="15">
        <f>IF(OR($C154="",$Q154=""),"",IFERROR(SUMIFS(INDIRECT("'"&amp;$Q154&amp;"'!$M$9:$M$408"),INDIRECT("'"&amp;$Q154&amp;"'!$D$9:$D$408"),$P154,INDIRECT("'"&amp;$Q154&amp;"'!$E$9:$E$408"),$C154,INDIRECT("'"&amp;$Q154&amp;"'!$F$9:$F$408"),$D154),""))</f>
        <v/>
      </c>
      <c r="N154" s="15">
        <f>IF(OR($C154="",$Q154=""),"",IFERROR(SUMIFS(INDIRECT("'"&amp;$Q154&amp;"'!$V$9:$V$408"),INDIRECT("'"&amp;$Q154&amp;"'!$D$9:$D$408"),$P154,INDIRECT("'"&amp;$Q154&amp;"'!$E$9:$E$408"),$C154,INDIRECT("'"&amp;$Q154&amp;"'!$F$9:$F$408"),$D154),""))</f>
        <v/>
      </c>
      <c r="P154" s="17" t="n"/>
      <c r="Q154" s="17" t="n"/>
    </row>
    <row r="155">
      <c r="B155" s="13">
        <f>IF(OR($C155="",$Q155=""),"",COUNTA($C$8:$C155))</f>
        <v/>
      </c>
      <c r="C155" s="14" t="n"/>
      <c r="D155" s="14" t="n"/>
      <c r="E155" s="15">
        <f>IF(OR($C155="",$Q155=""),"",IFERROR(SUMIFS(INDIRECT("'"&amp;$Q155&amp;"'!$G$9:$G$408"),INDIRECT("'"&amp;$Q155&amp;"'!$D$9:$D$408"),$P155,INDIRECT("'"&amp;$Q155&amp;"'!$E$9:$E$408"),$C155,INDIRECT("'"&amp;$Q155&amp;"'!$F$9:$F$408"),$D155),""))</f>
        <v/>
      </c>
      <c r="F155" s="15">
        <f>IF(OR($C155="",$Q155=""),"",IFERROR(SUMIFS(INDIRECT("'"&amp;$Q155&amp;"'!$H$9:$H$408"),INDIRECT("'"&amp;$Q155&amp;"'!$D$9:$D$408"),$P155,INDIRECT("'"&amp;$Q155&amp;"'!$E$9:$E$408"),$C155,INDIRECT("'"&amp;$Q155&amp;"'!$F$9:$F$408"),$D155),""))</f>
        <v/>
      </c>
      <c r="G155" s="15">
        <f>IF(OR($C155="",$Q155=""),"",IFERROR(SUMIFS(INDIRECT("'"&amp;$Q155&amp;"'!$I$9:$I$408"),INDIRECT("'"&amp;$Q155&amp;"'!$D$9:$D$408"),$P155,INDIRECT("'"&amp;$Q155&amp;"'!$E$9:$E$408"),$C155,INDIRECT("'"&amp;$Q155&amp;"'!$F$9:$F$408"),$D155),""))</f>
        <v/>
      </c>
      <c r="H155" s="15">
        <f>IF(OR($C155="",$Q155=""),"",IFERROR(SUMIFS(INDIRECT("'"&amp;$Q155&amp;"'!$R$9:$R$408"),INDIRECT("'"&amp;$Q155&amp;"'!$D$9:$D$408"),$P155,INDIRECT("'"&amp;$Q155&amp;"'!$E$9:$E$408"),$C155,INDIRECT("'"&amp;$Q155&amp;"'!$F$9:$F$408"),$D155),""))</f>
        <v/>
      </c>
      <c r="I155" s="16">
        <f>IF(OR(OR($C155="",$Q155=""),N(E155)=0),"",H155/E155)</f>
        <v/>
      </c>
      <c r="J155" s="15">
        <f>IF(OR($C155="",$Q155=""),"",N(E155)-N(H155))</f>
        <v/>
      </c>
      <c r="K155" s="15">
        <f>IF(OR($C155="",$Q155=""),"",IFERROR(SUMIFS(INDIRECT("'"&amp;$Q155&amp;"'!$K$9:$K$408"),INDIRECT("'"&amp;$Q155&amp;"'!$D$9:$D$408"),$P155,INDIRECT("'"&amp;$Q155&amp;"'!$E$9:$E$408"),$C155,INDIRECT("'"&amp;$Q155&amp;"'!$F$9:$F$408"),$D155),""))</f>
        <v/>
      </c>
      <c r="L155" s="15">
        <f>IF(OR($C155="",$Q155=""),"",IFERROR(SUMIFS(INDIRECT("'"&amp;$Q155&amp;"'!$Q$9:$Q$408"),INDIRECT("'"&amp;$Q155&amp;"'!$D$9:$D$408"),$P155,INDIRECT("'"&amp;$Q155&amp;"'!$E$9:$E$408"),$C155,INDIRECT("'"&amp;$Q155&amp;"'!$F$9:$F$408"),$D155),""))</f>
        <v/>
      </c>
      <c r="M155" s="15">
        <f>IF(OR($C155="",$Q155=""),"",IFERROR(SUMIFS(INDIRECT("'"&amp;$Q155&amp;"'!$M$9:$M$408"),INDIRECT("'"&amp;$Q155&amp;"'!$D$9:$D$408"),$P155,INDIRECT("'"&amp;$Q155&amp;"'!$E$9:$E$408"),$C155,INDIRECT("'"&amp;$Q155&amp;"'!$F$9:$F$408"),$D155),""))</f>
        <v/>
      </c>
      <c r="N155" s="15">
        <f>IF(OR($C155="",$Q155=""),"",IFERROR(SUMIFS(INDIRECT("'"&amp;$Q155&amp;"'!$V$9:$V$408"),INDIRECT("'"&amp;$Q155&amp;"'!$D$9:$D$408"),$P155,INDIRECT("'"&amp;$Q155&amp;"'!$E$9:$E$408"),$C155,INDIRECT("'"&amp;$Q155&amp;"'!$F$9:$F$408"),$D155),""))</f>
        <v/>
      </c>
      <c r="P155" s="17" t="n"/>
      <c r="Q155" s="17" t="n"/>
    </row>
    <row r="156">
      <c r="B156" s="13">
        <f>IF(OR($C156="",$Q156=""),"",COUNTA($C$8:$C156))</f>
        <v/>
      </c>
      <c r="C156" s="14" t="n"/>
      <c r="D156" s="14" t="n"/>
      <c r="E156" s="15">
        <f>IF(OR($C156="",$Q156=""),"",IFERROR(SUMIFS(INDIRECT("'"&amp;$Q156&amp;"'!$G$9:$G$408"),INDIRECT("'"&amp;$Q156&amp;"'!$D$9:$D$408"),$P156,INDIRECT("'"&amp;$Q156&amp;"'!$E$9:$E$408"),$C156,INDIRECT("'"&amp;$Q156&amp;"'!$F$9:$F$408"),$D156),""))</f>
        <v/>
      </c>
      <c r="F156" s="15">
        <f>IF(OR($C156="",$Q156=""),"",IFERROR(SUMIFS(INDIRECT("'"&amp;$Q156&amp;"'!$H$9:$H$408"),INDIRECT("'"&amp;$Q156&amp;"'!$D$9:$D$408"),$P156,INDIRECT("'"&amp;$Q156&amp;"'!$E$9:$E$408"),$C156,INDIRECT("'"&amp;$Q156&amp;"'!$F$9:$F$408"),$D156),""))</f>
        <v/>
      </c>
      <c r="G156" s="15">
        <f>IF(OR($C156="",$Q156=""),"",IFERROR(SUMIFS(INDIRECT("'"&amp;$Q156&amp;"'!$I$9:$I$408"),INDIRECT("'"&amp;$Q156&amp;"'!$D$9:$D$408"),$P156,INDIRECT("'"&amp;$Q156&amp;"'!$E$9:$E$408"),$C156,INDIRECT("'"&amp;$Q156&amp;"'!$F$9:$F$408"),$D156),""))</f>
        <v/>
      </c>
      <c r="H156" s="15">
        <f>IF(OR($C156="",$Q156=""),"",IFERROR(SUMIFS(INDIRECT("'"&amp;$Q156&amp;"'!$R$9:$R$408"),INDIRECT("'"&amp;$Q156&amp;"'!$D$9:$D$408"),$P156,INDIRECT("'"&amp;$Q156&amp;"'!$E$9:$E$408"),$C156,INDIRECT("'"&amp;$Q156&amp;"'!$F$9:$F$408"),$D156),""))</f>
        <v/>
      </c>
      <c r="I156" s="16">
        <f>IF(OR(OR($C156="",$Q156=""),N(E156)=0),"",H156/E156)</f>
        <v/>
      </c>
      <c r="J156" s="15">
        <f>IF(OR($C156="",$Q156=""),"",N(E156)-N(H156))</f>
        <v/>
      </c>
      <c r="K156" s="15">
        <f>IF(OR($C156="",$Q156=""),"",IFERROR(SUMIFS(INDIRECT("'"&amp;$Q156&amp;"'!$K$9:$K$408"),INDIRECT("'"&amp;$Q156&amp;"'!$D$9:$D$408"),$P156,INDIRECT("'"&amp;$Q156&amp;"'!$E$9:$E$408"),$C156,INDIRECT("'"&amp;$Q156&amp;"'!$F$9:$F$408"),$D156),""))</f>
        <v/>
      </c>
      <c r="L156" s="15">
        <f>IF(OR($C156="",$Q156=""),"",IFERROR(SUMIFS(INDIRECT("'"&amp;$Q156&amp;"'!$Q$9:$Q$408"),INDIRECT("'"&amp;$Q156&amp;"'!$D$9:$D$408"),$P156,INDIRECT("'"&amp;$Q156&amp;"'!$E$9:$E$408"),$C156,INDIRECT("'"&amp;$Q156&amp;"'!$F$9:$F$408"),$D156),""))</f>
        <v/>
      </c>
      <c r="M156" s="15">
        <f>IF(OR($C156="",$Q156=""),"",IFERROR(SUMIFS(INDIRECT("'"&amp;$Q156&amp;"'!$M$9:$M$408"),INDIRECT("'"&amp;$Q156&amp;"'!$D$9:$D$408"),$P156,INDIRECT("'"&amp;$Q156&amp;"'!$E$9:$E$408"),$C156,INDIRECT("'"&amp;$Q156&amp;"'!$F$9:$F$408"),$D156),""))</f>
        <v/>
      </c>
      <c r="N156" s="15">
        <f>IF(OR($C156="",$Q156=""),"",IFERROR(SUMIFS(INDIRECT("'"&amp;$Q156&amp;"'!$V$9:$V$408"),INDIRECT("'"&amp;$Q156&amp;"'!$D$9:$D$408"),$P156,INDIRECT("'"&amp;$Q156&amp;"'!$E$9:$E$408"),$C156,INDIRECT("'"&amp;$Q156&amp;"'!$F$9:$F$408"),$D156),""))</f>
        <v/>
      </c>
      <c r="P156" s="17" t="n"/>
      <c r="Q156" s="17" t="n"/>
    </row>
    <row r="157">
      <c r="B157" s="13">
        <f>IF(OR($C157="",$Q157=""),"",COUNTA($C$8:$C157))</f>
        <v/>
      </c>
      <c r="C157" s="14" t="n"/>
      <c r="D157" s="14" t="n"/>
      <c r="E157" s="15">
        <f>IF(OR($C157="",$Q157=""),"",IFERROR(SUMIFS(INDIRECT("'"&amp;$Q157&amp;"'!$G$9:$G$408"),INDIRECT("'"&amp;$Q157&amp;"'!$D$9:$D$408"),$P157,INDIRECT("'"&amp;$Q157&amp;"'!$E$9:$E$408"),$C157,INDIRECT("'"&amp;$Q157&amp;"'!$F$9:$F$408"),$D157),""))</f>
        <v/>
      </c>
      <c r="F157" s="15">
        <f>IF(OR($C157="",$Q157=""),"",IFERROR(SUMIFS(INDIRECT("'"&amp;$Q157&amp;"'!$H$9:$H$408"),INDIRECT("'"&amp;$Q157&amp;"'!$D$9:$D$408"),$P157,INDIRECT("'"&amp;$Q157&amp;"'!$E$9:$E$408"),$C157,INDIRECT("'"&amp;$Q157&amp;"'!$F$9:$F$408"),$D157),""))</f>
        <v/>
      </c>
      <c r="G157" s="15">
        <f>IF(OR($C157="",$Q157=""),"",IFERROR(SUMIFS(INDIRECT("'"&amp;$Q157&amp;"'!$I$9:$I$408"),INDIRECT("'"&amp;$Q157&amp;"'!$D$9:$D$408"),$P157,INDIRECT("'"&amp;$Q157&amp;"'!$E$9:$E$408"),$C157,INDIRECT("'"&amp;$Q157&amp;"'!$F$9:$F$408"),$D157),""))</f>
        <v/>
      </c>
      <c r="H157" s="15">
        <f>IF(OR($C157="",$Q157=""),"",IFERROR(SUMIFS(INDIRECT("'"&amp;$Q157&amp;"'!$R$9:$R$408"),INDIRECT("'"&amp;$Q157&amp;"'!$D$9:$D$408"),$P157,INDIRECT("'"&amp;$Q157&amp;"'!$E$9:$E$408"),$C157,INDIRECT("'"&amp;$Q157&amp;"'!$F$9:$F$408"),$D157),""))</f>
        <v/>
      </c>
      <c r="I157" s="16">
        <f>IF(OR(OR($C157="",$Q157=""),N(E157)=0),"",H157/E157)</f>
        <v/>
      </c>
      <c r="J157" s="15">
        <f>IF(OR($C157="",$Q157=""),"",N(E157)-N(H157))</f>
        <v/>
      </c>
      <c r="K157" s="15">
        <f>IF(OR($C157="",$Q157=""),"",IFERROR(SUMIFS(INDIRECT("'"&amp;$Q157&amp;"'!$K$9:$K$408"),INDIRECT("'"&amp;$Q157&amp;"'!$D$9:$D$408"),$P157,INDIRECT("'"&amp;$Q157&amp;"'!$E$9:$E$408"),$C157,INDIRECT("'"&amp;$Q157&amp;"'!$F$9:$F$408"),$D157),""))</f>
        <v/>
      </c>
      <c r="L157" s="15">
        <f>IF(OR($C157="",$Q157=""),"",IFERROR(SUMIFS(INDIRECT("'"&amp;$Q157&amp;"'!$Q$9:$Q$408"),INDIRECT("'"&amp;$Q157&amp;"'!$D$9:$D$408"),$P157,INDIRECT("'"&amp;$Q157&amp;"'!$E$9:$E$408"),$C157,INDIRECT("'"&amp;$Q157&amp;"'!$F$9:$F$408"),$D157),""))</f>
        <v/>
      </c>
      <c r="M157" s="15">
        <f>IF(OR($C157="",$Q157=""),"",IFERROR(SUMIFS(INDIRECT("'"&amp;$Q157&amp;"'!$M$9:$M$408"),INDIRECT("'"&amp;$Q157&amp;"'!$D$9:$D$408"),$P157,INDIRECT("'"&amp;$Q157&amp;"'!$E$9:$E$408"),$C157,INDIRECT("'"&amp;$Q157&amp;"'!$F$9:$F$408"),$D157),""))</f>
        <v/>
      </c>
      <c r="N157" s="15">
        <f>IF(OR($C157="",$Q157=""),"",IFERROR(SUMIFS(INDIRECT("'"&amp;$Q157&amp;"'!$V$9:$V$408"),INDIRECT("'"&amp;$Q157&amp;"'!$D$9:$D$408"),$P157,INDIRECT("'"&amp;$Q157&amp;"'!$E$9:$E$408"),$C157,INDIRECT("'"&amp;$Q157&amp;"'!$F$9:$F$408"),$D157),""))</f>
        <v/>
      </c>
      <c r="P157" s="17" t="n"/>
      <c r="Q157" s="17" t="n"/>
    </row>
  </sheetData>
  <mergeCells count="2">
    <mergeCell ref="C3:N3"/>
    <mergeCell ref="C2:N2"/>
  </mergeCells>
  <conditionalFormatting sqref="I8:I157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dataValidations count="4">
    <dataValidation sqref="P8:P157" showDropDown="0" showInputMessage="0" showErrorMessage="0" allowBlank="1" type="list">
      <formula1>=Areas</formula1>
    </dataValidation>
    <dataValidation sqref="C8:C157" showDropDown="0" showInputMessage="0" showErrorMessage="0" allowBlank="1" type="list">
      <formula1>=Activities</formula1>
    </dataValidation>
    <dataValidation sqref="D8:D157" showDropDown="0" showInputMessage="0" showErrorMessage="0" allowBlank="1" type="list">
      <formula1>=Agencies</formula1>
    </dataValidation>
    <dataValidation sqref="Q8:Q157" showDropDown="0" showInputMessage="0" showErrorMessage="0" allowBlank="1" type="list">
      <formula1>"Piling,Civil,Structural,Equipment,Piping,Cable Trays (Km),Cabling (Km),Panels (Nos)"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B1:V408"/>
  <sheetViews>
    <sheetView zoomScale="85" workbookViewId="0">
      <pane xSplit="6" ySplit="8" topLeftCell="G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6" customWidth="1" min="2" max="2"/>
    <col width="38" customWidth="1" min="3" max="3"/>
    <col width="22" customWidth="1" min="4" max="4"/>
    <col width="24" customWidth="1" min="5" max="5"/>
    <col width="22" customWidth="1" min="6" max="6"/>
    <col width="11" customWidth="1" min="7" max="7"/>
    <col width="12" customWidth="1" min="8" max="8"/>
    <col width="12" customWidth="1" min="9" max="9"/>
    <col width="13" customWidth="1" min="10" max="10"/>
    <col width="11" customWidth="1" min="11" max="11"/>
    <col width="11" customWidth="1" min="12" max="12"/>
    <col width="11" customWidth="1" min="13" max="13"/>
    <col width="13" customWidth="1" min="14" max="14"/>
    <col width="12" customWidth="1" min="15" max="15"/>
    <col width="26" customWidth="1" min="16" max="16"/>
    <col width="13" customWidth="1" min="17" max="17"/>
    <col width="13" customWidth="1" min="18" max="18"/>
    <col width="10" customWidth="1" min="19" max="19"/>
    <col width="11" customWidth="1" min="20" max="20"/>
    <col width="30" customWidth="1" min="21" max="21"/>
    <col width="11" customWidth="1" min="22" max="22"/>
  </cols>
  <sheetData>
    <row r="1" ht="15" customHeight="1"/>
    <row r="2" ht="15" customHeight="1">
      <c r="B2" s="5" t="inlineStr">
        <is>
          <t>JSW</t>
        </is>
      </c>
    </row>
    <row r="3" ht="15" customHeight="1">
      <c r="C3" s="18" t="inlineStr">
        <is>
          <t>Piling Works  —  Backup Sheet   (UOM: Nos)</t>
        </is>
      </c>
    </row>
    <row r="4" ht="15" customHeight="1">
      <c r="C4" s="19">
        <f>Config!$C$4</f>
        <v/>
      </c>
    </row>
    <row r="5" ht="15" customHeight="1">
      <c r="S5" s="8" t="inlineStr">
        <is>
          <t>Data date:</t>
        </is>
      </c>
      <c r="T5" s="9">
        <f>Config!$C$6</f>
        <v/>
      </c>
    </row>
    <row r="6" ht="15" customHeight="1">
      <c r="S6" s="8" t="inlineStr">
        <is>
          <t>Reporting date:</t>
        </is>
      </c>
      <c r="T6" s="9">
        <f>Config!$C$7</f>
        <v/>
      </c>
    </row>
    <row r="7" ht="34" customHeight="1">
      <c r="B7" s="20" t="inlineStr">
        <is>
          <t>SL.</t>
        </is>
      </c>
      <c r="C7" s="20" t="inlineStr">
        <is>
          <t>Name of the Structures</t>
        </is>
      </c>
      <c r="D7" s="20" t="inlineStr">
        <is>
          <t>Area</t>
        </is>
      </c>
      <c r="E7" s="20" t="inlineStr">
        <is>
          <t>Activity</t>
        </is>
      </c>
      <c r="F7" s="20" t="inlineStr">
        <is>
          <t>Agency / Contractor</t>
        </is>
      </c>
      <c r="G7" s="20" t="inlineStr">
        <is>
          <t>Scope</t>
        </is>
      </c>
      <c r="H7" s="20" t="inlineStr">
        <is>
          <t>Drawing Released</t>
        </is>
      </c>
      <c r="I7" s="20" t="inlineStr">
        <is>
          <t>Cum Front Available</t>
        </is>
      </c>
      <c r="J7" s="20" t="inlineStr">
        <is>
          <t>Achieved till last month</t>
        </is>
      </c>
      <c r="K7" s="20" t="inlineStr">
        <is>
          <t>Plan FTM</t>
        </is>
      </c>
      <c r="L7" s="20" t="inlineStr">
        <is>
          <t>Plan FTD</t>
        </is>
      </c>
      <c r="M7" s="20" t="inlineStr">
        <is>
          <t>Achieved FTD</t>
        </is>
      </c>
      <c r="N7" s="20" t="inlineStr">
        <is>
          <t>Achieved FTM till previous date</t>
        </is>
      </c>
      <c r="O7" s="20" t="inlineStr">
        <is>
          <t>Variance for the Day</t>
        </is>
      </c>
      <c r="P7" s="20" t="inlineStr">
        <is>
          <t>Reason(s) for Variance</t>
        </is>
      </c>
      <c r="Q7" s="20" t="inlineStr">
        <is>
          <t>Achieved FTM till date</t>
        </is>
      </c>
      <c r="R7" s="20" t="inlineStr">
        <is>
          <t>Workdone Till Date</t>
        </is>
      </c>
      <c r="S7" s="20" t="inlineStr">
        <is>
          <t>% Complete</t>
        </is>
      </c>
      <c r="T7" s="20" t="inlineStr">
        <is>
          <t>Balance</t>
        </is>
      </c>
      <c r="U7" s="20" t="inlineStr">
        <is>
          <t>Remarks</t>
        </is>
      </c>
      <c r="V7" s="20" t="inlineStr">
        <is>
          <t>Available Manpower</t>
        </is>
      </c>
    </row>
    <row r="8" ht="15" customHeight="1">
      <c r="B8" s="12" t="inlineStr">
        <is>
          <t>a</t>
        </is>
      </c>
      <c r="C8" s="12" t="inlineStr">
        <is>
          <t>b</t>
        </is>
      </c>
      <c r="D8" s="12" t="inlineStr">
        <is>
          <t>c</t>
        </is>
      </c>
      <c r="E8" s="12" t="inlineStr">
        <is>
          <t>d</t>
        </is>
      </c>
      <c r="F8" s="12" t="inlineStr">
        <is>
          <t>e</t>
        </is>
      </c>
      <c r="G8" s="12" t="inlineStr">
        <is>
          <t>f</t>
        </is>
      </c>
      <c r="H8" s="12" t="inlineStr">
        <is>
          <t>g</t>
        </is>
      </c>
      <c r="I8" s="12" t="inlineStr">
        <is>
          <t>h</t>
        </is>
      </c>
      <c r="J8" s="12" t="inlineStr">
        <is>
          <t>i</t>
        </is>
      </c>
      <c r="K8" s="12" t="inlineStr">
        <is>
          <t>j</t>
        </is>
      </c>
      <c r="L8" s="12" t="inlineStr">
        <is>
          <t>k</t>
        </is>
      </c>
      <c r="M8" s="12" t="inlineStr">
        <is>
          <t>l</t>
        </is>
      </c>
      <c r="N8" s="12" t="inlineStr">
        <is>
          <t>m</t>
        </is>
      </c>
      <c r="O8" s="12" t="inlineStr">
        <is>
          <t>n = k-l</t>
        </is>
      </c>
      <c r="P8" s="12" t="inlineStr">
        <is>
          <t>o</t>
        </is>
      </c>
      <c r="Q8" s="12" t="inlineStr">
        <is>
          <t>p = l+m</t>
        </is>
      </c>
      <c r="R8" s="12" t="inlineStr">
        <is>
          <t>q = i+p</t>
        </is>
      </c>
      <c r="S8" s="12" t="inlineStr">
        <is>
          <t>r = (q/f)x100</t>
        </is>
      </c>
      <c r="T8" s="12" t="inlineStr">
        <is>
          <t>s = f-q</t>
        </is>
      </c>
      <c r="U8" s="12" t="inlineStr">
        <is>
          <t>t</t>
        </is>
      </c>
      <c r="V8" s="12" t="inlineStr">
        <is>
          <t>u</t>
        </is>
      </c>
    </row>
    <row r="9">
      <c r="B9" s="13">
        <f>IF($C9="","",COUNTA($C$9:$C9))</f>
        <v/>
      </c>
      <c r="C9" s="21" t="n"/>
      <c r="D9" s="14" t="n"/>
      <c r="E9" s="14" t="n"/>
      <c r="F9" s="14" t="n"/>
      <c r="G9" s="22" t="n"/>
      <c r="H9" s="22" t="n"/>
      <c r="I9" s="22" t="n"/>
      <c r="J9" s="22" t="n"/>
      <c r="K9" s="22" t="n"/>
      <c r="L9" s="22" t="n"/>
      <c r="M9" s="22" t="n"/>
      <c r="N9" s="22" t="n"/>
      <c r="O9" s="23">
        <f>IF($C9="","",N(L9)-N(M9))</f>
        <v/>
      </c>
      <c r="P9" s="24" t="n"/>
      <c r="Q9" s="23">
        <f>IF($C9="","",N(M9)+N(N9))</f>
        <v/>
      </c>
      <c r="R9" s="23">
        <f>IF($C9="","",N(J9)+N(Q9))</f>
        <v/>
      </c>
      <c r="S9" s="25">
        <f>IF(OR($C9="",N($G9)=0),"",R9/$G9)</f>
        <v/>
      </c>
      <c r="T9" s="23">
        <f>IF($C9="","",N($G9)-N(R9))</f>
        <v/>
      </c>
      <c r="U9" s="24" t="n"/>
      <c r="V9" s="22" t="n"/>
    </row>
    <row r="10">
      <c r="B10" s="13">
        <f>IF($C10="","",COUNTA($C$9:$C10))</f>
        <v/>
      </c>
      <c r="C10" s="21" t="n"/>
      <c r="D10" s="14" t="n"/>
      <c r="E10" s="14" t="n"/>
      <c r="F10" s="14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3">
        <f>IF($C10="","",N(L10)-N(M10))</f>
        <v/>
      </c>
      <c r="P10" s="24" t="n"/>
      <c r="Q10" s="23">
        <f>IF($C10="","",N(M10)+N(N10))</f>
        <v/>
      </c>
      <c r="R10" s="23">
        <f>IF($C10="","",N(J10)+N(Q10))</f>
        <v/>
      </c>
      <c r="S10" s="25">
        <f>IF(OR($C10="",N($G10)=0),"",R10/$G10)</f>
        <v/>
      </c>
      <c r="T10" s="23">
        <f>IF($C10="","",N($G10)-N(R10))</f>
        <v/>
      </c>
      <c r="U10" s="24" t="n"/>
      <c r="V10" s="22" t="n"/>
    </row>
    <row r="11">
      <c r="B11" s="13">
        <f>IF($C11="","",COUNTA($C$9:$C11))</f>
        <v/>
      </c>
      <c r="C11" s="21" t="n"/>
      <c r="D11" s="14" t="n"/>
      <c r="E11" s="14" t="n"/>
      <c r="F11" s="14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3">
        <f>IF($C11="","",N(L11)-N(M11))</f>
        <v/>
      </c>
      <c r="P11" s="24" t="n"/>
      <c r="Q11" s="23">
        <f>IF($C11="","",N(M11)+N(N11))</f>
        <v/>
      </c>
      <c r="R11" s="23">
        <f>IF($C11="","",N(J11)+N(Q11))</f>
        <v/>
      </c>
      <c r="S11" s="25">
        <f>IF(OR($C11="",N($G11)=0),"",R11/$G11)</f>
        <v/>
      </c>
      <c r="T11" s="23">
        <f>IF($C11="","",N($G11)-N(R11))</f>
        <v/>
      </c>
      <c r="U11" s="24" t="n"/>
      <c r="V11" s="22" t="n"/>
    </row>
    <row r="12">
      <c r="B12" s="13">
        <f>IF($C12="","",COUNTA($C$9:$C12))</f>
        <v/>
      </c>
      <c r="C12" s="21" t="n"/>
      <c r="D12" s="14" t="n"/>
      <c r="E12" s="14" t="n"/>
      <c r="F12" s="14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3">
        <f>IF($C12="","",N(L12)-N(M12))</f>
        <v/>
      </c>
      <c r="P12" s="24" t="n"/>
      <c r="Q12" s="23">
        <f>IF($C12="","",N(M12)+N(N12))</f>
        <v/>
      </c>
      <c r="R12" s="23">
        <f>IF($C12="","",N(J12)+N(Q12))</f>
        <v/>
      </c>
      <c r="S12" s="25">
        <f>IF(OR($C12="",N($G12)=0),"",R12/$G12)</f>
        <v/>
      </c>
      <c r="T12" s="23">
        <f>IF($C12="","",N($G12)-N(R12))</f>
        <v/>
      </c>
      <c r="U12" s="24" t="n"/>
      <c r="V12" s="22" t="n"/>
    </row>
    <row r="13">
      <c r="B13" s="13">
        <f>IF($C13="","",COUNTA($C$9:$C13))</f>
        <v/>
      </c>
      <c r="C13" s="21" t="n"/>
      <c r="D13" s="14" t="n"/>
      <c r="E13" s="14" t="n"/>
      <c r="F13" s="14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3">
        <f>IF($C13="","",N(L13)-N(M13))</f>
        <v/>
      </c>
      <c r="P13" s="24" t="n"/>
      <c r="Q13" s="23">
        <f>IF($C13="","",N(M13)+N(N13))</f>
        <v/>
      </c>
      <c r="R13" s="23">
        <f>IF($C13="","",N(J13)+N(Q13))</f>
        <v/>
      </c>
      <c r="S13" s="25">
        <f>IF(OR($C13="",N($G13)=0),"",R13/$G13)</f>
        <v/>
      </c>
      <c r="T13" s="23">
        <f>IF($C13="","",N($G13)-N(R13))</f>
        <v/>
      </c>
      <c r="U13" s="24" t="n"/>
      <c r="V13" s="22" t="n"/>
    </row>
    <row r="14">
      <c r="B14" s="13">
        <f>IF($C14="","",COUNTA($C$9:$C14))</f>
        <v/>
      </c>
      <c r="C14" s="21" t="n"/>
      <c r="D14" s="14" t="n"/>
      <c r="E14" s="14" t="n"/>
      <c r="F14" s="14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3">
        <f>IF($C14="","",N(L14)-N(M14))</f>
        <v/>
      </c>
      <c r="P14" s="24" t="n"/>
      <c r="Q14" s="23">
        <f>IF($C14="","",N(M14)+N(N14))</f>
        <v/>
      </c>
      <c r="R14" s="23">
        <f>IF($C14="","",N(J14)+N(Q14))</f>
        <v/>
      </c>
      <c r="S14" s="25">
        <f>IF(OR($C14="",N($G14)=0),"",R14/$G14)</f>
        <v/>
      </c>
      <c r="T14" s="23">
        <f>IF($C14="","",N($G14)-N(R14))</f>
        <v/>
      </c>
      <c r="U14" s="24" t="n"/>
      <c r="V14" s="22" t="n"/>
    </row>
    <row r="15">
      <c r="B15" s="13">
        <f>IF($C15="","",COUNTA($C$9:$C15))</f>
        <v/>
      </c>
      <c r="C15" s="21" t="n"/>
      <c r="D15" s="14" t="n"/>
      <c r="E15" s="14" t="n"/>
      <c r="F15" s="14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3">
        <f>IF($C15="","",N(L15)-N(M15))</f>
        <v/>
      </c>
      <c r="P15" s="24" t="n"/>
      <c r="Q15" s="23">
        <f>IF($C15="","",N(M15)+N(N15))</f>
        <v/>
      </c>
      <c r="R15" s="23">
        <f>IF($C15="","",N(J15)+N(Q15))</f>
        <v/>
      </c>
      <c r="S15" s="25">
        <f>IF(OR($C15="",N($G15)=0),"",R15/$G15)</f>
        <v/>
      </c>
      <c r="T15" s="23">
        <f>IF($C15="","",N($G15)-N(R15))</f>
        <v/>
      </c>
      <c r="U15" s="24" t="n"/>
      <c r="V15" s="22" t="n"/>
    </row>
    <row r="16">
      <c r="B16" s="13">
        <f>IF($C16="","",COUNTA($C$9:$C16))</f>
        <v/>
      </c>
      <c r="C16" s="21" t="n"/>
      <c r="D16" s="14" t="n"/>
      <c r="E16" s="14" t="n"/>
      <c r="F16" s="14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3">
        <f>IF($C16="","",N(L16)-N(M16))</f>
        <v/>
      </c>
      <c r="P16" s="24" t="n"/>
      <c r="Q16" s="23">
        <f>IF($C16="","",N(M16)+N(N16))</f>
        <v/>
      </c>
      <c r="R16" s="23">
        <f>IF($C16="","",N(J16)+N(Q16))</f>
        <v/>
      </c>
      <c r="S16" s="25">
        <f>IF(OR($C16="",N($G16)=0),"",R16/$G16)</f>
        <v/>
      </c>
      <c r="T16" s="23">
        <f>IF($C16="","",N($G16)-N(R16))</f>
        <v/>
      </c>
      <c r="U16" s="24" t="n"/>
      <c r="V16" s="22" t="n"/>
    </row>
    <row r="17">
      <c r="B17" s="13">
        <f>IF($C17="","",COUNTA($C$9:$C17))</f>
        <v/>
      </c>
      <c r="C17" s="21" t="n"/>
      <c r="D17" s="14" t="n"/>
      <c r="E17" s="14" t="n"/>
      <c r="F17" s="14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3">
        <f>IF($C17="","",N(L17)-N(M17))</f>
        <v/>
      </c>
      <c r="P17" s="24" t="n"/>
      <c r="Q17" s="23">
        <f>IF($C17="","",N(M17)+N(N17))</f>
        <v/>
      </c>
      <c r="R17" s="23">
        <f>IF($C17="","",N(J17)+N(Q17))</f>
        <v/>
      </c>
      <c r="S17" s="25">
        <f>IF(OR($C17="",N($G17)=0),"",R17/$G17)</f>
        <v/>
      </c>
      <c r="T17" s="23">
        <f>IF($C17="","",N($G17)-N(R17))</f>
        <v/>
      </c>
      <c r="U17" s="24" t="n"/>
      <c r="V17" s="22" t="n"/>
    </row>
    <row r="18">
      <c r="B18" s="13">
        <f>IF($C18="","",COUNTA($C$9:$C18))</f>
        <v/>
      </c>
      <c r="C18" s="21" t="n"/>
      <c r="D18" s="14" t="n"/>
      <c r="E18" s="14" t="n"/>
      <c r="F18" s="14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3">
        <f>IF($C18="","",N(L18)-N(M18))</f>
        <v/>
      </c>
      <c r="P18" s="24" t="n"/>
      <c r="Q18" s="23">
        <f>IF($C18="","",N(M18)+N(N18))</f>
        <v/>
      </c>
      <c r="R18" s="23">
        <f>IF($C18="","",N(J18)+N(Q18))</f>
        <v/>
      </c>
      <c r="S18" s="25">
        <f>IF(OR($C18="",N($G18)=0),"",R18/$G18)</f>
        <v/>
      </c>
      <c r="T18" s="23">
        <f>IF($C18="","",N($G18)-N(R18))</f>
        <v/>
      </c>
      <c r="U18" s="24" t="n"/>
      <c r="V18" s="22" t="n"/>
    </row>
    <row r="19">
      <c r="B19" s="13">
        <f>IF($C19="","",COUNTA($C$9:$C19))</f>
        <v/>
      </c>
      <c r="C19" s="21" t="n"/>
      <c r="D19" s="14" t="n"/>
      <c r="E19" s="14" t="n"/>
      <c r="F19" s="14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3">
        <f>IF($C19="","",N(L19)-N(M19))</f>
        <v/>
      </c>
      <c r="P19" s="24" t="n"/>
      <c r="Q19" s="23">
        <f>IF($C19="","",N(M19)+N(N19))</f>
        <v/>
      </c>
      <c r="R19" s="23">
        <f>IF($C19="","",N(J19)+N(Q19))</f>
        <v/>
      </c>
      <c r="S19" s="25">
        <f>IF(OR($C19="",N($G19)=0),"",R19/$G19)</f>
        <v/>
      </c>
      <c r="T19" s="23">
        <f>IF($C19="","",N($G19)-N(R19))</f>
        <v/>
      </c>
      <c r="U19" s="24" t="n"/>
      <c r="V19" s="22" t="n"/>
    </row>
    <row r="20">
      <c r="B20" s="13">
        <f>IF($C20="","",COUNTA($C$9:$C20))</f>
        <v/>
      </c>
      <c r="C20" s="21" t="n"/>
      <c r="D20" s="14" t="n"/>
      <c r="E20" s="14" t="n"/>
      <c r="F20" s="14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3">
        <f>IF($C20="","",N(L20)-N(M20))</f>
        <v/>
      </c>
      <c r="P20" s="24" t="n"/>
      <c r="Q20" s="23">
        <f>IF($C20="","",N(M20)+N(N20))</f>
        <v/>
      </c>
      <c r="R20" s="23">
        <f>IF($C20="","",N(J20)+N(Q20))</f>
        <v/>
      </c>
      <c r="S20" s="25">
        <f>IF(OR($C20="",N($G20)=0),"",R20/$G20)</f>
        <v/>
      </c>
      <c r="T20" s="23">
        <f>IF($C20="","",N($G20)-N(R20))</f>
        <v/>
      </c>
      <c r="U20" s="24" t="n"/>
      <c r="V20" s="22" t="n"/>
    </row>
    <row r="21">
      <c r="B21" s="13">
        <f>IF($C21="","",COUNTA($C$9:$C21))</f>
        <v/>
      </c>
      <c r="C21" s="21" t="n"/>
      <c r="D21" s="14" t="n"/>
      <c r="E21" s="14" t="n"/>
      <c r="F21" s="14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3">
        <f>IF($C21="","",N(L21)-N(M21))</f>
        <v/>
      </c>
      <c r="P21" s="24" t="n"/>
      <c r="Q21" s="23">
        <f>IF($C21="","",N(M21)+N(N21))</f>
        <v/>
      </c>
      <c r="R21" s="23">
        <f>IF($C21="","",N(J21)+N(Q21))</f>
        <v/>
      </c>
      <c r="S21" s="25">
        <f>IF(OR($C21="",N($G21)=0),"",R21/$G21)</f>
        <v/>
      </c>
      <c r="T21" s="23">
        <f>IF($C21="","",N($G21)-N(R21))</f>
        <v/>
      </c>
      <c r="U21" s="24" t="n"/>
      <c r="V21" s="22" t="n"/>
    </row>
    <row r="22">
      <c r="B22" s="13">
        <f>IF($C22="","",COUNTA($C$9:$C22))</f>
        <v/>
      </c>
      <c r="C22" s="21" t="n"/>
      <c r="D22" s="14" t="n"/>
      <c r="E22" s="14" t="n"/>
      <c r="F22" s="14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3">
        <f>IF($C22="","",N(L22)-N(M22))</f>
        <v/>
      </c>
      <c r="P22" s="24" t="n"/>
      <c r="Q22" s="23">
        <f>IF($C22="","",N(M22)+N(N22))</f>
        <v/>
      </c>
      <c r="R22" s="23">
        <f>IF($C22="","",N(J22)+N(Q22))</f>
        <v/>
      </c>
      <c r="S22" s="25">
        <f>IF(OR($C22="",N($G22)=0),"",R22/$G22)</f>
        <v/>
      </c>
      <c r="T22" s="23">
        <f>IF($C22="","",N($G22)-N(R22))</f>
        <v/>
      </c>
      <c r="U22" s="24" t="n"/>
      <c r="V22" s="22" t="n"/>
    </row>
    <row r="23">
      <c r="B23" s="13">
        <f>IF($C23="","",COUNTA($C$9:$C23))</f>
        <v/>
      </c>
      <c r="C23" s="21" t="n"/>
      <c r="D23" s="14" t="n"/>
      <c r="E23" s="14" t="n"/>
      <c r="F23" s="14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3">
        <f>IF($C23="","",N(L23)-N(M23))</f>
        <v/>
      </c>
      <c r="P23" s="24" t="n"/>
      <c r="Q23" s="23">
        <f>IF($C23="","",N(M23)+N(N23))</f>
        <v/>
      </c>
      <c r="R23" s="23">
        <f>IF($C23="","",N(J23)+N(Q23))</f>
        <v/>
      </c>
      <c r="S23" s="25">
        <f>IF(OR($C23="",N($G23)=0),"",R23/$G23)</f>
        <v/>
      </c>
      <c r="T23" s="23">
        <f>IF($C23="","",N($G23)-N(R23))</f>
        <v/>
      </c>
      <c r="U23" s="24" t="n"/>
      <c r="V23" s="22" t="n"/>
    </row>
    <row r="24">
      <c r="B24" s="13">
        <f>IF($C24="","",COUNTA($C$9:$C24))</f>
        <v/>
      </c>
      <c r="C24" s="21" t="n"/>
      <c r="D24" s="14" t="n"/>
      <c r="E24" s="14" t="n"/>
      <c r="F24" s="14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3">
        <f>IF($C24="","",N(L24)-N(M24))</f>
        <v/>
      </c>
      <c r="P24" s="24" t="n"/>
      <c r="Q24" s="23">
        <f>IF($C24="","",N(M24)+N(N24))</f>
        <v/>
      </c>
      <c r="R24" s="23">
        <f>IF($C24="","",N(J24)+N(Q24))</f>
        <v/>
      </c>
      <c r="S24" s="25">
        <f>IF(OR($C24="",N($G24)=0),"",R24/$G24)</f>
        <v/>
      </c>
      <c r="T24" s="23">
        <f>IF($C24="","",N($G24)-N(R24))</f>
        <v/>
      </c>
      <c r="U24" s="24" t="n"/>
      <c r="V24" s="22" t="n"/>
    </row>
    <row r="25">
      <c r="B25" s="13">
        <f>IF($C25="","",COUNTA($C$9:$C25))</f>
        <v/>
      </c>
      <c r="C25" s="21" t="n"/>
      <c r="D25" s="14" t="n"/>
      <c r="E25" s="14" t="n"/>
      <c r="F25" s="14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3">
        <f>IF($C25="","",N(L25)-N(M25))</f>
        <v/>
      </c>
      <c r="P25" s="24" t="n"/>
      <c r="Q25" s="23">
        <f>IF($C25="","",N(M25)+N(N25))</f>
        <v/>
      </c>
      <c r="R25" s="23">
        <f>IF($C25="","",N(J25)+N(Q25))</f>
        <v/>
      </c>
      <c r="S25" s="25">
        <f>IF(OR($C25="",N($G25)=0),"",R25/$G25)</f>
        <v/>
      </c>
      <c r="T25" s="23">
        <f>IF($C25="","",N($G25)-N(R25))</f>
        <v/>
      </c>
      <c r="U25" s="24" t="n"/>
      <c r="V25" s="22" t="n"/>
    </row>
    <row r="26">
      <c r="B26" s="13">
        <f>IF($C26="","",COUNTA($C$9:$C26))</f>
        <v/>
      </c>
      <c r="C26" s="21" t="n"/>
      <c r="D26" s="14" t="n"/>
      <c r="E26" s="14" t="n"/>
      <c r="F26" s="14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3">
        <f>IF($C26="","",N(L26)-N(M26))</f>
        <v/>
      </c>
      <c r="P26" s="24" t="n"/>
      <c r="Q26" s="23">
        <f>IF($C26="","",N(M26)+N(N26))</f>
        <v/>
      </c>
      <c r="R26" s="23">
        <f>IF($C26="","",N(J26)+N(Q26))</f>
        <v/>
      </c>
      <c r="S26" s="25">
        <f>IF(OR($C26="",N($G26)=0),"",R26/$G26)</f>
        <v/>
      </c>
      <c r="T26" s="23">
        <f>IF($C26="","",N($G26)-N(R26))</f>
        <v/>
      </c>
      <c r="U26" s="24" t="n"/>
      <c r="V26" s="22" t="n"/>
    </row>
    <row r="27">
      <c r="B27" s="13">
        <f>IF($C27="","",COUNTA($C$9:$C27))</f>
        <v/>
      </c>
      <c r="C27" s="21" t="n"/>
      <c r="D27" s="14" t="n"/>
      <c r="E27" s="14" t="n"/>
      <c r="F27" s="14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3">
        <f>IF($C27="","",N(L27)-N(M27))</f>
        <v/>
      </c>
      <c r="P27" s="24" t="n"/>
      <c r="Q27" s="23">
        <f>IF($C27="","",N(M27)+N(N27))</f>
        <v/>
      </c>
      <c r="R27" s="23">
        <f>IF($C27="","",N(J27)+N(Q27))</f>
        <v/>
      </c>
      <c r="S27" s="25">
        <f>IF(OR($C27="",N($G27)=0),"",R27/$G27)</f>
        <v/>
      </c>
      <c r="T27" s="23">
        <f>IF($C27="","",N($G27)-N(R27))</f>
        <v/>
      </c>
      <c r="U27" s="24" t="n"/>
      <c r="V27" s="22" t="n"/>
    </row>
    <row r="28">
      <c r="B28" s="13">
        <f>IF($C28="","",COUNTA($C$9:$C28))</f>
        <v/>
      </c>
      <c r="C28" s="21" t="n"/>
      <c r="D28" s="14" t="n"/>
      <c r="E28" s="14" t="n"/>
      <c r="F28" s="14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3">
        <f>IF($C28="","",N(L28)-N(M28))</f>
        <v/>
      </c>
      <c r="P28" s="24" t="n"/>
      <c r="Q28" s="23">
        <f>IF($C28="","",N(M28)+N(N28))</f>
        <v/>
      </c>
      <c r="R28" s="23">
        <f>IF($C28="","",N(J28)+N(Q28))</f>
        <v/>
      </c>
      <c r="S28" s="25">
        <f>IF(OR($C28="",N($G28)=0),"",R28/$G28)</f>
        <v/>
      </c>
      <c r="T28" s="23">
        <f>IF($C28="","",N($G28)-N(R28))</f>
        <v/>
      </c>
      <c r="U28" s="24" t="n"/>
      <c r="V28" s="22" t="n"/>
    </row>
    <row r="29">
      <c r="B29" s="13">
        <f>IF($C29="","",COUNTA($C$9:$C29))</f>
        <v/>
      </c>
      <c r="C29" s="21" t="n"/>
      <c r="D29" s="14" t="n"/>
      <c r="E29" s="14" t="n"/>
      <c r="F29" s="14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3">
        <f>IF($C29="","",N(L29)-N(M29))</f>
        <v/>
      </c>
      <c r="P29" s="24" t="n"/>
      <c r="Q29" s="23">
        <f>IF($C29="","",N(M29)+N(N29))</f>
        <v/>
      </c>
      <c r="R29" s="23">
        <f>IF($C29="","",N(J29)+N(Q29))</f>
        <v/>
      </c>
      <c r="S29" s="25">
        <f>IF(OR($C29="",N($G29)=0),"",R29/$G29)</f>
        <v/>
      </c>
      <c r="T29" s="23">
        <f>IF($C29="","",N($G29)-N(R29))</f>
        <v/>
      </c>
      <c r="U29" s="24" t="n"/>
      <c r="V29" s="22" t="n"/>
    </row>
    <row r="30">
      <c r="B30" s="13">
        <f>IF($C30="","",COUNTA($C$9:$C30))</f>
        <v/>
      </c>
      <c r="C30" s="21" t="n"/>
      <c r="D30" s="14" t="n"/>
      <c r="E30" s="14" t="n"/>
      <c r="F30" s="14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3">
        <f>IF($C30="","",N(L30)-N(M30))</f>
        <v/>
      </c>
      <c r="P30" s="24" t="n"/>
      <c r="Q30" s="23">
        <f>IF($C30="","",N(M30)+N(N30))</f>
        <v/>
      </c>
      <c r="R30" s="23">
        <f>IF($C30="","",N(J30)+N(Q30))</f>
        <v/>
      </c>
      <c r="S30" s="25">
        <f>IF(OR($C30="",N($G30)=0),"",R30/$G30)</f>
        <v/>
      </c>
      <c r="T30" s="23">
        <f>IF($C30="","",N($G30)-N(R30))</f>
        <v/>
      </c>
      <c r="U30" s="24" t="n"/>
      <c r="V30" s="22" t="n"/>
    </row>
    <row r="31">
      <c r="B31" s="13">
        <f>IF($C31="","",COUNTA($C$9:$C31))</f>
        <v/>
      </c>
      <c r="C31" s="21" t="n"/>
      <c r="D31" s="14" t="n"/>
      <c r="E31" s="14" t="n"/>
      <c r="F31" s="14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3">
        <f>IF($C31="","",N(L31)-N(M31))</f>
        <v/>
      </c>
      <c r="P31" s="24" t="n"/>
      <c r="Q31" s="23">
        <f>IF($C31="","",N(M31)+N(N31))</f>
        <v/>
      </c>
      <c r="R31" s="23">
        <f>IF($C31="","",N(J31)+N(Q31))</f>
        <v/>
      </c>
      <c r="S31" s="25">
        <f>IF(OR($C31="",N($G31)=0),"",R31/$G31)</f>
        <v/>
      </c>
      <c r="T31" s="23">
        <f>IF($C31="","",N($G31)-N(R31))</f>
        <v/>
      </c>
      <c r="U31" s="24" t="n"/>
      <c r="V31" s="22" t="n"/>
    </row>
    <row r="32">
      <c r="B32" s="13">
        <f>IF($C32="","",COUNTA($C$9:$C32))</f>
        <v/>
      </c>
      <c r="C32" s="21" t="n"/>
      <c r="D32" s="14" t="n"/>
      <c r="E32" s="14" t="n"/>
      <c r="F32" s="14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3">
        <f>IF($C32="","",N(L32)-N(M32))</f>
        <v/>
      </c>
      <c r="P32" s="24" t="n"/>
      <c r="Q32" s="23">
        <f>IF($C32="","",N(M32)+N(N32))</f>
        <v/>
      </c>
      <c r="R32" s="23">
        <f>IF($C32="","",N(J32)+N(Q32))</f>
        <v/>
      </c>
      <c r="S32" s="25">
        <f>IF(OR($C32="",N($G32)=0),"",R32/$G32)</f>
        <v/>
      </c>
      <c r="T32" s="23">
        <f>IF($C32="","",N($G32)-N(R32))</f>
        <v/>
      </c>
      <c r="U32" s="24" t="n"/>
      <c r="V32" s="22" t="n"/>
    </row>
    <row r="33">
      <c r="B33" s="13">
        <f>IF($C33="","",COUNTA($C$9:$C33))</f>
        <v/>
      </c>
      <c r="C33" s="21" t="n"/>
      <c r="D33" s="14" t="n"/>
      <c r="E33" s="14" t="n"/>
      <c r="F33" s="14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3">
        <f>IF($C33="","",N(L33)-N(M33))</f>
        <v/>
      </c>
      <c r="P33" s="24" t="n"/>
      <c r="Q33" s="23">
        <f>IF($C33="","",N(M33)+N(N33))</f>
        <v/>
      </c>
      <c r="R33" s="23">
        <f>IF($C33="","",N(J33)+N(Q33))</f>
        <v/>
      </c>
      <c r="S33" s="25">
        <f>IF(OR($C33="",N($G33)=0),"",R33/$G33)</f>
        <v/>
      </c>
      <c r="T33" s="23">
        <f>IF($C33="","",N($G33)-N(R33))</f>
        <v/>
      </c>
      <c r="U33" s="24" t="n"/>
      <c r="V33" s="22" t="n"/>
    </row>
    <row r="34">
      <c r="B34" s="13">
        <f>IF($C34="","",COUNTA($C$9:$C34))</f>
        <v/>
      </c>
      <c r="C34" s="21" t="n"/>
      <c r="D34" s="14" t="n"/>
      <c r="E34" s="14" t="n"/>
      <c r="F34" s="14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3">
        <f>IF($C34="","",N(L34)-N(M34))</f>
        <v/>
      </c>
      <c r="P34" s="24" t="n"/>
      <c r="Q34" s="23">
        <f>IF($C34="","",N(M34)+N(N34))</f>
        <v/>
      </c>
      <c r="R34" s="23">
        <f>IF($C34="","",N(J34)+N(Q34))</f>
        <v/>
      </c>
      <c r="S34" s="25">
        <f>IF(OR($C34="",N($G34)=0),"",R34/$G34)</f>
        <v/>
      </c>
      <c r="T34" s="23">
        <f>IF($C34="","",N($G34)-N(R34))</f>
        <v/>
      </c>
      <c r="U34" s="24" t="n"/>
      <c r="V34" s="22" t="n"/>
    </row>
    <row r="35">
      <c r="B35" s="13">
        <f>IF($C35="","",COUNTA($C$9:$C35))</f>
        <v/>
      </c>
      <c r="C35" s="21" t="n"/>
      <c r="D35" s="14" t="n"/>
      <c r="E35" s="14" t="n"/>
      <c r="F35" s="14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3">
        <f>IF($C35="","",N(L35)-N(M35))</f>
        <v/>
      </c>
      <c r="P35" s="24" t="n"/>
      <c r="Q35" s="23">
        <f>IF($C35="","",N(M35)+N(N35))</f>
        <v/>
      </c>
      <c r="R35" s="23">
        <f>IF($C35="","",N(J35)+N(Q35))</f>
        <v/>
      </c>
      <c r="S35" s="25">
        <f>IF(OR($C35="",N($G35)=0),"",R35/$G35)</f>
        <v/>
      </c>
      <c r="T35" s="23">
        <f>IF($C35="","",N($G35)-N(R35))</f>
        <v/>
      </c>
      <c r="U35" s="24" t="n"/>
      <c r="V35" s="22" t="n"/>
    </row>
    <row r="36">
      <c r="B36" s="13">
        <f>IF($C36="","",COUNTA($C$9:$C36))</f>
        <v/>
      </c>
      <c r="C36" s="21" t="n"/>
      <c r="D36" s="14" t="n"/>
      <c r="E36" s="14" t="n"/>
      <c r="F36" s="14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3">
        <f>IF($C36="","",N(L36)-N(M36))</f>
        <v/>
      </c>
      <c r="P36" s="24" t="n"/>
      <c r="Q36" s="23">
        <f>IF($C36="","",N(M36)+N(N36))</f>
        <v/>
      </c>
      <c r="R36" s="23">
        <f>IF($C36="","",N(J36)+N(Q36))</f>
        <v/>
      </c>
      <c r="S36" s="25">
        <f>IF(OR($C36="",N($G36)=0),"",R36/$G36)</f>
        <v/>
      </c>
      <c r="T36" s="23">
        <f>IF($C36="","",N($G36)-N(R36))</f>
        <v/>
      </c>
      <c r="U36" s="24" t="n"/>
      <c r="V36" s="22" t="n"/>
    </row>
    <row r="37">
      <c r="B37" s="13">
        <f>IF($C37="","",COUNTA($C$9:$C37))</f>
        <v/>
      </c>
      <c r="C37" s="21" t="n"/>
      <c r="D37" s="14" t="n"/>
      <c r="E37" s="14" t="n"/>
      <c r="F37" s="14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3">
        <f>IF($C37="","",N(L37)-N(M37))</f>
        <v/>
      </c>
      <c r="P37" s="24" t="n"/>
      <c r="Q37" s="23">
        <f>IF($C37="","",N(M37)+N(N37))</f>
        <v/>
      </c>
      <c r="R37" s="23">
        <f>IF($C37="","",N(J37)+N(Q37))</f>
        <v/>
      </c>
      <c r="S37" s="25">
        <f>IF(OR($C37="",N($G37)=0),"",R37/$G37)</f>
        <v/>
      </c>
      <c r="T37" s="23">
        <f>IF($C37="","",N($G37)-N(R37))</f>
        <v/>
      </c>
      <c r="U37" s="24" t="n"/>
      <c r="V37" s="22" t="n"/>
    </row>
    <row r="38">
      <c r="B38" s="13">
        <f>IF($C38="","",COUNTA($C$9:$C38))</f>
        <v/>
      </c>
      <c r="C38" s="21" t="n"/>
      <c r="D38" s="14" t="n"/>
      <c r="E38" s="14" t="n"/>
      <c r="F38" s="14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3">
        <f>IF($C38="","",N(L38)-N(M38))</f>
        <v/>
      </c>
      <c r="P38" s="24" t="n"/>
      <c r="Q38" s="23">
        <f>IF($C38="","",N(M38)+N(N38))</f>
        <v/>
      </c>
      <c r="R38" s="23">
        <f>IF($C38="","",N(J38)+N(Q38))</f>
        <v/>
      </c>
      <c r="S38" s="25">
        <f>IF(OR($C38="",N($G38)=0),"",R38/$G38)</f>
        <v/>
      </c>
      <c r="T38" s="23">
        <f>IF($C38="","",N($G38)-N(R38))</f>
        <v/>
      </c>
      <c r="U38" s="24" t="n"/>
      <c r="V38" s="22" t="n"/>
    </row>
    <row r="39">
      <c r="B39" s="13">
        <f>IF($C39="","",COUNTA($C$9:$C39))</f>
        <v/>
      </c>
      <c r="C39" s="21" t="n"/>
      <c r="D39" s="14" t="n"/>
      <c r="E39" s="14" t="n"/>
      <c r="F39" s="14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3">
        <f>IF($C39="","",N(L39)-N(M39))</f>
        <v/>
      </c>
      <c r="P39" s="24" t="n"/>
      <c r="Q39" s="23">
        <f>IF($C39="","",N(M39)+N(N39))</f>
        <v/>
      </c>
      <c r="R39" s="23">
        <f>IF($C39="","",N(J39)+N(Q39))</f>
        <v/>
      </c>
      <c r="S39" s="25">
        <f>IF(OR($C39="",N($G39)=0),"",R39/$G39)</f>
        <v/>
      </c>
      <c r="T39" s="23">
        <f>IF($C39="","",N($G39)-N(R39))</f>
        <v/>
      </c>
      <c r="U39" s="24" t="n"/>
      <c r="V39" s="22" t="n"/>
    </row>
    <row r="40">
      <c r="B40" s="13">
        <f>IF($C40="","",COUNTA($C$9:$C40))</f>
        <v/>
      </c>
      <c r="C40" s="21" t="n"/>
      <c r="D40" s="14" t="n"/>
      <c r="E40" s="14" t="n"/>
      <c r="F40" s="14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3">
        <f>IF($C40="","",N(L40)-N(M40))</f>
        <v/>
      </c>
      <c r="P40" s="24" t="n"/>
      <c r="Q40" s="23">
        <f>IF($C40="","",N(M40)+N(N40))</f>
        <v/>
      </c>
      <c r="R40" s="23">
        <f>IF($C40="","",N(J40)+N(Q40))</f>
        <v/>
      </c>
      <c r="S40" s="25">
        <f>IF(OR($C40="",N($G40)=0),"",R40/$G40)</f>
        <v/>
      </c>
      <c r="T40" s="23">
        <f>IF($C40="","",N($G40)-N(R40))</f>
        <v/>
      </c>
      <c r="U40" s="24" t="n"/>
      <c r="V40" s="22" t="n"/>
    </row>
    <row r="41">
      <c r="B41" s="13">
        <f>IF($C41="","",COUNTA($C$9:$C41))</f>
        <v/>
      </c>
      <c r="C41" s="21" t="n"/>
      <c r="D41" s="14" t="n"/>
      <c r="E41" s="14" t="n"/>
      <c r="F41" s="14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3">
        <f>IF($C41="","",N(L41)-N(M41))</f>
        <v/>
      </c>
      <c r="P41" s="24" t="n"/>
      <c r="Q41" s="23">
        <f>IF($C41="","",N(M41)+N(N41))</f>
        <v/>
      </c>
      <c r="R41" s="23">
        <f>IF($C41="","",N(J41)+N(Q41))</f>
        <v/>
      </c>
      <c r="S41" s="25">
        <f>IF(OR($C41="",N($G41)=0),"",R41/$G41)</f>
        <v/>
      </c>
      <c r="T41" s="23">
        <f>IF($C41="","",N($G41)-N(R41))</f>
        <v/>
      </c>
      <c r="U41" s="24" t="n"/>
      <c r="V41" s="22" t="n"/>
    </row>
    <row r="42">
      <c r="B42" s="13">
        <f>IF($C42="","",COUNTA($C$9:$C42))</f>
        <v/>
      </c>
      <c r="C42" s="21" t="n"/>
      <c r="D42" s="14" t="n"/>
      <c r="E42" s="14" t="n"/>
      <c r="F42" s="14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3">
        <f>IF($C42="","",N(L42)-N(M42))</f>
        <v/>
      </c>
      <c r="P42" s="24" t="n"/>
      <c r="Q42" s="23">
        <f>IF($C42="","",N(M42)+N(N42))</f>
        <v/>
      </c>
      <c r="R42" s="23">
        <f>IF($C42="","",N(J42)+N(Q42))</f>
        <v/>
      </c>
      <c r="S42" s="25">
        <f>IF(OR($C42="",N($G42)=0),"",R42/$G42)</f>
        <v/>
      </c>
      <c r="T42" s="23">
        <f>IF($C42="","",N($G42)-N(R42))</f>
        <v/>
      </c>
      <c r="U42" s="24" t="n"/>
      <c r="V42" s="22" t="n"/>
    </row>
    <row r="43">
      <c r="B43" s="13">
        <f>IF($C43="","",COUNTA($C$9:$C43))</f>
        <v/>
      </c>
      <c r="C43" s="21" t="n"/>
      <c r="D43" s="14" t="n"/>
      <c r="E43" s="14" t="n"/>
      <c r="F43" s="14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3">
        <f>IF($C43="","",N(L43)-N(M43))</f>
        <v/>
      </c>
      <c r="P43" s="24" t="n"/>
      <c r="Q43" s="23">
        <f>IF($C43="","",N(M43)+N(N43))</f>
        <v/>
      </c>
      <c r="R43" s="23">
        <f>IF($C43="","",N(J43)+N(Q43))</f>
        <v/>
      </c>
      <c r="S43" s="25">
        <f>IF(OR($C43="",N($G43)=0),"",R43/$G43)</f>
        <v/>
      </c>
      <c r="T43" s="23">
        <f>IF($C43="","",N($G43)-N(R43))</f>
        <v/>
      </c>
      <c r="U43" s="24" t="n"/>
      <c r="V43" s="22" t="n"/>
    </row>
    <row r="44">
      <c r="B44" s="13">
        <f>IF($C44="","",COUNTA($C$9:$C44))</f>
        <v/>
      </c>
      <c r="C44" s="21" t="n"/>
      <c r="D44" s="14" t="n"/>
      <c r="E44" s="14" t="n"/>
      <c r="F44" s="14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3">
        <f>IF($C44="","",N(L44)-N(M44))</f>
        <v/>
      </c>
      <c r="P44" s="24" t="n"/>
      <c r="Q44" s="23">
        <f>IF($C44="","",N(M44)+N(N44))</f>
        <v/>
      </c>
      <c r="R44" s="23">
        <f>IF($C44="","",N(J44)+N(Q44))</f>
        <v/>
      </c>
      <c r="S44" s="25">
        <f>IF(OR($C44="",N($G44)=0),"",R44/$G44)</f>
        <v/>
      </c>
      <c r="T44" s="23">
        <f>IF($C44="","",N($G44)-N(R44))</f>
        <v/>
      </c>
      <c r="U44" s="24" t="n"/>
      <c r="V44" s="22" t="n"/>
    </row>
    <row r="45">
      <c r="B45" s="13">
        <f>IF($C45="","",COUNTA($C$9:$C45))</f>
        <v/>
      </c>
      <c r="C45" s="21" t="n"/>
      <c r="D45" s="14" t="n"/>
      <c r="E45" s="14" t="n"/>
      <c r="F45" s="14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3">
        <f>IF($C45="","",N(L45)-N(M45))</f>
        <v/>
      </c>
      <c r="P45" s="24" t="n"/>
      <c r="Q45" s="23">
        <f>IF($C45="","",N(M45)+N(N45))</f>
        <v/>
      </c>
      <c r="R45" s="23">
        <f>IF($C45="","",N(J45)+N(Q45))</f>
        <v/>
      </c>
      <c r="S45" s="25">
        <f>IF(OR($C45="",N($G45)=0),"",R45/$G45)</f>
        <v/>
      </c>
      <c r="T45" s="23">
        <f>IF($C45="","",N($G45)-N(R45))</f>
        <v/>
      </c>
      <c r="U45" s="24" t="n"/>
      <c r="V45" s="22" t="n"/>
    </row>
    <row r="46">
      <c r="B46" s="13">
        <f>IF($C46="","",COUNTA($C$9:$C46))</f>
        <v/>
      </c>
      <c r="C46" s="21" t="n"/>
      <c r="D46" s="14" t="n"/>
      <c r="E46" s="14" t="n"/>
      <c r="F46" s="14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3">
        <f>IF($C46="","",N(L46)-N(M46))</f>
        <v/>
      </c>
      <c r="P46" s="24" t="n"/>
      <c r="Q46" s="23">
        <f>IF($C46="","",N(M46)+N(N46))</f>
        <v/>
      </c>
      <c r="R46" s="23">
        <f>IF($C46="","",N(J46)+N(Q46))</f>
        <v/>
      </c>
      <c r="S46" s="25">
        <f>IF(OR($C46="",N($G46)=0),"",R46/$G46)</f>
        <v/>
      </c>
      <c r="T46" s="23">
        <f>IF($C46="","",N($G46)-N(R46))</f>
        <v/>
      </c>
      <c r="U46" s="24" t="n"/>
      <c r="V46" s="22" t="n"/>
    </row>
    <row r="47">
      <c r="B47" s="13">
        <f>IF($C47="","",COUNTA($C$9:$C47))</f>
        <v/>
      </c>
      <c r="C47" s="21" t="n"/>
      <c r="D47" s="14" t="n"/>
      <c r="E47" s="14" t="n"/>
      <c r="F47" s="14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3">
        <f>IF($C47="","",N(L47)-N(M47))</f>
        <v/>
      </c>
      <c r="P47" s="24" t="n"/>
      <c r="Q47" s="23">
        <f>IF($C47="","",N(M47)+N(N47))</f>
        <v/>
      </c>
      <c r="R47" s="23">
        <f>IF($C47="","",N(J47)+N(Q47))</f>
        <v/>
      </c>
      <c r="S47" s="25">
        <f>IF(OR($C47="",N($G47)=0),"",R47/$G47)</f>
        <v/>
      </c>
      <c r="T47" s="23">
        <f>IF($C47="","",N($G47)-N(R47))</f>
        <v/>
      </c>
      <c r="U47" s="24" t="n"/>
      <c r="V47" s="22" t="n"/>
    </row>
    <row r="48">
      <c r="B48" s="13">
        <f>IF($C48="","",COUNTA($C$9:$C48))</f>
        <v/>
      </c>
      <c r="C48" s="21" t="n"/>
      <c r="D48" s="14" t="n"/>
      <c r="E48" s="14" t="n"/>
      <c r="F48" s="14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3">
        <f>IF($C48="","",N(L48)-N(M48))</f>
        <v/>
      </c>
      <c r="P48" s="24" t="n"/>
      <c r="Q48" s="23">
        <f>IF($C48="","",N(M48)+N(N48))</f>
        <v/>
      </c>
      <c r="R48" s="23">
        <f>IF($C48="","",N(J48)+N(Q48))</f>
        <v/>
      </c>
      <c r="S48" s="25">
        <f>IF(OR($C48="",N($G48)=0),"",R48/$G48)</f>
        <v/>
      </c>
      <c r="T48" s="23">
        <f>IF($C48="","",N($G48)-N(R48))</f>
        <v/>
      </c>
      <c r="U48" s="24" t="n"/>
      <c r="V48" s="22" t="n"/>
    </row>
    <row r="49">
      <c r="B49" s="13">
        <f>IF($C49="","",COUNTA($C$9:$C49))</f>
        <v/>
      </c>
      <c r="C49" s="21" t="n"/>
      <c r="D49" s="14" t="n"/>
      <c r="E49" s="14" t="n"/>
      <c r="F49" s="14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3">
        <f>IF($C49="","",N(L49)-N(M49))</f>
        <v/>
      </c>
      <c r="P49" s="24" t="n"/>
      <c r="Q49" s="23">
        <f>IF($C49="","",N(M49)+N(N49))</f>
        <v/>
      </c>
      <c r="R49" s="23">
        <f>IF($C49="","",N(J49)+N(Q49))</f>
        <v/>
      </c>
      <c r="S49" s="25">
        <f>IF(OR($C49="",N($G49)=0),"",R49/$G49)</f>
        <v/>
      </c>
      <c r="T49" s="23">
        <f>IF($C49="","",N($G49)-N(R49))</f>
        <v/>
      </c>
      <c r="U49" s="24" t="n"/>
      <c r="V49" s="22" t="n"/>
    </row>
    <row r="50">
      <c r="B50" s="13">
        <f>IF($C50="","",COUNTA($C$9:$C50))</f>
        <v/>
      </c>
      <c r="C50" s="21" t="n"/>
      <c r="D50" s="14" t="n"/>
      <c r="E50" s="14" t="n"/>
      <c r="F50" s="14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3">
        <f>IF($C50="","",N(L50)-N(M50))</f>
        <v/>
      </c>
      <c r="P50" s="24" t="n"/>
      <c r="Q50" s="23">
        <f>IF($C50="","",N(M50)+N(N50))</f>
        <v/>
      </c>
      <c r="R50" s="23">
        <f>IF($C50="","",N(J50)+N(Q50))</f>
        <v/>
      </c>
      <c r="S50" s="25">
        <f>IF(OR($C50="",N($G50)=0),"",R50/$G50)</f>
        <v/>
      </c>
      <c r="T50" s="23">
        <f>IF($C50="","",N($G50)-N(R50))</f>
        <v/>
      </c>
      <c r="U50" s="24" t="n"/>
      <c r="V50" s="22" t="n"/>
    </row>
    <row r="51">
      <c r="B51" s="13">
        <f>IF($C51="","",COUNTA($C$9:$C51))</f>
        <v/>
      </c>
      <c r="C51" s="21" t="n"/>
      <c r="D51" s="14" t="n"/>
      <c r="E51" s="14" t="n"/>
      <c r="F51" s="14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3">
        <f>IF($C51="","",N(L51)-N(M51))</f>
        <v/>
      </c>
      <c r="P51" s="24" t="n"/>
      <c r="Q51" s="23">
        <f>IF($C51="","",N(M51)+N(N51))</f>
        <v/>
      </c>
      <c r="R51" s="23">
        <f>IF($C51="","",N(J51)+N(Q51))</f>
        <v/>
      </c>
      <c r="S51" s="25">
        <f>IF(OR($C51="",N($G51)=0),"",R51/$G51)</f>
        <v/>
      </c>
      <c r="T51" s="23">
        <f>IF($C51="","",N($G51)-N(R51))</f>
        <v/>
      </c>
      <c r="U51" s="24" t="n"/>
      <c r="V51" s="22" t="n"/>
    </row>
    <row r="52">
      <c r="B52" s="13">
        <f>IF($C52="","",COUNTA($C$9:$C52))</f>
        <v/>
      </c>
      <c r="C52" s="21" t="n"/>
      <c r="D52" s="14" t="n"/>
      <c r="E52" s="14" t="n"/>
      <c r="F52" s="14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3">
        <f>IF($C52="","",N(L52)-N(M52))</f>
        <v/>
      </c>
      <c r="P52" s="24" t="n"/>
      <c r="Q52" s="23">
        <f>IF($C52="","",N(M52)+N(N52))</f>
        <v/>
      </c>
      <c r="R52" s="23">
        <f>IF($C52="","",N(J52)+N(Q52))</f>
        <v/>
      </c>
      <c r="S52" s="25">
        <f>IF(OR($C52="",N($G52)=0),"",R52/$G52)</f>
        <v/>
      </c>
      <c r="T52" s="23">
        <f>IF($C52="","",N($G52)-N(R52))</f>
        <v/>
      </c>
      <c r="U52" s="24" t="n"/>
      <c r="V52" s="22" t="n"/>
    </row>
    <row r="53">
      <c r="B53" s="13">
        <f>IF($C53="","",COUNTA($C$9:$C53))</f>
        <v/>
      </c>
      <c r="C53" s="21" t="n"/>
      <c r="D53" s="14" t="n"/>
      <c r="E53" s="14" t="n"/>
      <c r="F53" s="14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3">
        <f>IF($C53="","",N(L53)-N(M53))</f>
        <v/>
      </c>
      <c r="P53" s="24" t="n"/>
      <c r="Q53" s="23">
        <f>IF($C53="","",N(M53)+N(N53))</f>
        <v/>
      </c>
      <c r="R53" s="23">
        <f>IF($C53="","",N(J53)+N(Q53))</f>
        <v/>
      </c>
      <c r="S53" s="25">
        <f>IF(OR($C53="",N($G53)=0),"",R53/$G53)</f>
        <v/>
      </c>
      <c r="T53" s="23">
        <f>IF($C53="","",N($G53)-N(R53))</f>
        <v/>
      </c>
      <c r="U53" s="24" t="n"/>
      <c r="V53" s="22" t="n"/>
    </row>
    <row r="54">
      <c r="B54" s="13">
        <f>IF($C54="","",COUNTA($C$9:$C54))</f>
        <v/>
      </c>
      <c r="C54" s="21" t="n"/>
      <c r="D54" s="14" t="n"/>
      <c r="E54" s="14" t="n"/>
      <c r="F54" s="14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3">
        <f>IF($C54="","",N(L54)-N(M54))</f>
        <v/>
      </c>
      <c r="P54" s="24" t="n"/>
      <c r="Q54" s="23">
        <f>IF($C54="","",N(M54)+N(N54))</f>
        <v/>
      </c>
      <c r="R54" s="23">
        <f>IF($C54="","",N(J54)+N(Q54))</f>
        <v/>
      </c>
      <c r="S54" s="25">
        <f>IF(OR($C54="",N($G54)=0),"",R54/$G54)</f>
        <v/>
      </c>
      <c r="T54" s="23">
        <f>IF($C54="","",N($G54)-N(R54))</f>
        <v/>
      </c>
      <c r="U54" s="24" t="n"/>
      <c r="V54" s="22" t="n"/>
    </row>
    <row r="55">
      <c r="B55" s="13">
        <f>IF($C55="","",COUNTA($C$9:$C55))</f>
        <v/>
      </c>
      <c r="C55" s="21" t="n"/>
      <c r="D55" s="14" t="n"/>
      <c r="E55" s="14" t="n"/>
      <c r="F55" s="14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3">
        <f>IF($C55="","",N(L55)-N(M55))</f>
        <v/>
      </c>
      <c r="P55" s="24" t="n"/>
      <c r="Q55" s="23">
        <f>IF($C55="","",N(M55)+N(N55))</f>
        <v/>
      </c>
      <c r="R55" s="23">
        <f>IF($C55="","",N(J55)+N(Q55))</f>
        <v/>
      </c>
      <c r="S55" s="25">
        <f>IF(OR($C55="",N($G55)=0),"",R55/$G55)</f>
        <v/>
      </c>
      <c r="T55" s="23">
        <f>IF($C55="","",N($G55)-N(R55))</f>
        <v/>
      </c>
      <c r="U55" s="24" t="n"/>
      <c r="V55" s="22" t="n"/>
    </row>
    <row r="56">
      <c r="B56" s="13">
        <f>IF($C56="","",COUNTA($C$9:$C56))</f>
        <v/>
      </c>
      <c r="C56" s="21" t="n"/>
      <c r="D56" s="14" t="n"/>
      <c r="E56" s="14" t="n"/>
      <c r="F56" s="14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3">
        <f>IF($C56="","",N(L56)-N(M56))</f>
        <v/>
      </c>
      <c r="P56" s="24" t="n"/>
      <c r="Q56" s="23">
        <f>IF($C56="","",N(M56)+N(N56))</f>
        <v/>
      </c>
      <c r="R56" s="23">
        <f>IF($C56="","",N(J56)+N(Q56))</f>
        <v/>
      </c>
      <c r="S56" s="25">
        <f>IF(OR($C56="",N($G56)=0),"",R56/$G56)</f>
        <v/>
      </c>
      <c r="T56" s="23">
        <f>IF($C56="","",N($G56)-N(R56))</f>
        <v/>
      </c>
      <c r="U56" s="24" t="n"/>
      <c r="V56" s="22" t="n"/>
    </row>
    <row r="57">
      <c r="B57" s="13">
        <f>IF($C57="","",COUNTA($C$9:$C57))</f>
        <v/>
      </c>
      <c r="C57" s="21" t="n"/>
      <c r="D57" s="14" t="n"/>
      <c r="E57" s="14" t="n"/>
      <c r="F57" s="14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3">
        <f>IF($C57="","",N(L57)-N(M57))</f>
        <v/>
      </c>
      <c r="P57" s="24" t="n"/>
      <c r="Q57" s="23">
        <f>IF($C57="","",N(M57)+N(N57))</f>
        <v/>
      </c>
      <c r="R57" s="23">
        <f>IF($C57="","",N(J57)+N(Q57))</f>
        <v/>
      </c>
      <c r="S57" s="25">
        <f>IF(OR($C57="",N($G57)=0),"",R57/$G57)</f>
        <v/>
      </c>
      <c r="T57" s="23">
        <f>IF($C57="","",N($G57)-N(R57))</f>
        <v/>
      </c>
      <c r="U57" s="24" t="n"/>
      <c r="V57" s="22" t="n"/>
    </row>
    <row r="58">
      <c r="B58" s="13">
        <f>IF($C58="","",COUNTA($C$9:$C58))</f>
        <v/>
      </c>
      <c r="C58" s="21" t="n"/>
      <c r="D58" s="14" t="n"/>
      <c r="E58" s="14" t="n"/>
      <c r="F58" s="14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3">
        <f>IF($C58="","",N(L58)-N(M58))</f>
        <v/>
      </c>
      <c r="P58" s="24" t="n"/>
      <c r="Q58" s="23">
        <f>IF($C58="","",N(M58)+N(N58))</f>
        <v/>
      </c>
      <c r="R58" s="23">
        <f>IF($C58="","",N(J58)+N(Q58))</f>
        <v/>
      </c>
      <c r="S58" s="25">
        <f>IF(OR($C58="",N($G58)=0),"",R58/$G58)</f>
        <v/>
      </c>
      <c r="T58" s="23">
        <f>IF($C58="","",N($G58)-N(R58))</f>
        <v/>
      </c>
      <c r="U58" s="24" t="n"/>
      <c r="V58" s="22" t="n"/>
    </row>
    <row r="59">
      <c r="B59" s="13">
        <f>IF($C59="","",COUNTA($C$9:$C59))</f>
        <v/>
      </c>
      <c r="C59" s="21" t="n"/>
      <c r="D59" s="14" t="n"/>
      <c r="E59" s="14" t="n"/>
      <c r="F59" s="14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3">
        <f>IF($C59="","",N(L59)-N(M59))</f>
        <v/>
      </c>
      <c r="P59" s="24" t="n"/>
      <c r="Q59" s="23">
        <f>IF($C59="","",N(M59)+N(N59))</f>
        <v/>
      </c>
      <c r="R59" s="23">
        <f>IF($C59="","",N(J59)+N(Q59))</f>
        <v/>
      </c>
      <c r="S59" s="25">
        <f>IF(OR($C59="",N($G59)=0),"",R59/$G59)</f>
        <v/>
      </c>
      <c r="T59" s="23">
        <f>IF($C59="","",N($G59)-N(R59))</f>
        <v/>
      </c>
      <c r="U59" s="24" t="n"/>
      <c r="V59" s="22" t="n"/>
    </row>
    <row r="60">
      <c r="B60" s="13">
        <f>IF($C60="","",COUNTA($C$9:$C60))</f>
        <v/>
      </c>
      <c r="C60" s="21" t="n"/>
      <c r="D60" s="14" t="n"/>
      <c r="E60" s="14" t="n"/>
      <c r="F60" s="14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3">
        <f>IF($C60="","",N(L60)-N(M60))</f>
        <v/>
      </c>
      <c r="P60" s="24" t="n"/>
      <c r="Q60" s="23">
        <f>IF($C60="","",N(M60)+N(N60))</f>
        <v/>
      </c>
      <c r="R60" s="23">
        <f>IF($C60="","",N(J60)+N(Q60))</f>
        <v/>
      </c>
      <c r="S60" s="25">
        <f>IF(OR($C60="",N($G60)=0),"",R60/$G60)</f>
        <v/>
      </c>
      <c r="T60" s="23">
        <f>IF($C60="","",N($G60)-N(R60))</f>
        <v/>
      </c>
      <c r="U60" s="24" t="n"/>
      <c r="V60" s="22" t="n"/>
    </row>
    <row r="61">
      <c r="B61" s="13">
        <f>IF($C61="","",COUNTA($C$9:$C61))</f>
        <v/>
      </c>
      <c r="C61" s="21" t="n"/>
      <c r="D61" s="14" t="n"/>
      <c r="E61" s="14" t="n"/>
      <c r="F61" s="14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3">
        <f>IF($C61="","",N(L61)-N(M61))</f>
        <v/>
      </c>
      <c r="P61" s="24" t="n"/>
      <c r="Q61" s="23">
        <f>IF($C61="","",N(M61)+N(N61))</f>
        <v/>
      </c>
      <c r="R61" s="23">
        <f>IF($C61="","",N(J61)+N(Q61))</f>
        <v/>
      </c>
      <c r="S61" s="25">
        <f>IF(OR($C61="",N($G61)=0),"",R61/$G61)</f>
        <v/>
      </c>
      <c r="T61" s="23">
        <f>IF($C61="","",N($G61)-N(R61))</f>
        <v/>
      </c>
      <c r="U61" s="24" t="n"/>
      <c r="V61" s="22" t="n"/>
    </row>
    <row r="62">
      <c r="B62" s="13">
        <f>IF($C62="","",COUNTA($C$9:$C62))</f>
        <v/>
      </c>
      <c r="C62" s="21" t="n"/>
      <c r="D62" s="14" t="n"/>
      <c r="E62" s="14" t="n"/>
      <c r="F62" s="14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3">
        <f>IF($C62="","",N(L62)-N(M62))</f>
        <v/>
      </c>
      <c r="P62" s="24" t="n"/>
      <c r="Q62" s="23">
        <f>IF($C62="","",N(M62)+N(N62))</f>
        <v/>
      </c>
      <c r="R62" s="23">
        <f>IF($C62="","",N(J62)+N(Q62))</f>
        <v/>
      </c>
      <c r="S62" s="25">
        <f>IF(OR($C62="",N($G62)=0),"",R62/$G62)</f>
        <v/>
      </c>
      <c r="T62" s="23">
        <f>IF($C62="","",N($G62)-N(R62))</f>
        <v/>
      </c>
      <c r="U62" s="24" t="n"/>
      <c r="V62" s="22" t="n"/>
    </row>
    <row r="63">
      <c r="B63" s="13">
        <f>IF($C63="","",COUNTA($C$9:$C63))</f>
        <v/>
      </c>
      <c r="C63" s="21" t="n"/>
      <c r="D63" s="14" t="n"/>
      <c r="E63" s="14" t="n"/>
      <c r="F63" s="14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3">
        <f>IF($C63="","",N(L63)-N(M63))</f>
        <v/>
      </c>
      <c r="P63" s="24" t="n"/>
      <c r="Q63" s="23">
        <f>IF($C63="","",N(M63)+N(N63))</f>
        <v/>
      </c>
      <c r="R63" s="23">
        <f>IF($C63="","",N(J63)+N(Q63))</f>
        <v/>
      </c>
      <c r="S63" s="25">
        <f>IF(OR($C63="",N($G63)=0),"",R63/$G63)</f>
        <v/>
      </c>
      <c r="T63" s="23">
        <f>IF($C63="","",N($G63)-N(R63))</f>
        <v/>
      </c>
      <c r="U63" s="24" t="n"/>
      <c r="V63" s="22" t="n"/>
    </row>
    <row r="64">
      <c r="B64" s="13">
        <f>IF($C64="","",COUNTA($C$9:$C64))</f>
        <v/>
      </c>
      <c r="C64" s="21" t="n"/>
      <c r="D64" s="14" t="n"/>
      <c r="E64" s="14" t="n"/>
      <c r="F64" s="14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3">
        <f>IF($C64="","",N(L64)-N(M64))</f>
        <v/>
      </c>
      <c r="P64" s="24" t="n"/>
      <c r="Q64" s="23">
        <f>IF($C64="","",N(M64)+N(N64))</f>
        <v/>
      </c>
      <c r="R64" s="23">
        <f>IF($C64="","",N(J64)+N(Q64))</f>
        <v/>
      </c>
      <c r="S64" s="25">
        <f>IF(OR($C64="",N($G64)=0),"",R64/$G64)</f>
        <v/>
      </c>
      <c r="T64" s="23">
        <f>IF($C64="","",N($G64)-N(R64))</f>
        <v/>
      </c>
      <c r="U64" s="24" t="n"/>
      <c r="V64" s="22" t="n"/>
    </row>
    <row r="65">
      <c r="B65" s="13">
        <f>IF($C65="","",COUNTA($C$9:$C65))</f>
        <v/>
      </c>
      <c r="C65" s="21" t="n"/>
      <c r="D65" s="14" t="n"/>
      <c r="E65" s="14" t="n"/>
      <c r="F65" s="14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3">
        <f>IF($C65="","",N(L65)-N(M65))</f>
        <v/>
      </c>
      <c r="P65" s="24" t="n"/>
      <c r="Q65" s="23">
        <f>IF($C65="","",N(M65)+N(N65))</f>
        <v/>
      </c>
      <c r="R65" s="23">
        <f>IF($C65="","",N(J65)+N(Q65))</f>
        <v/>
      </c>
      <c r="S65" s="25">
        <f>IF(OR($C65="",N($G65)=0),"",R65/$G65)</f>
        <v/>
      </c>
      <c r="T65" s="23">
        <f>IF($C65="","",N($G65)-N(R65))</f>
        <v/>
      </c>
      <c r="U65" s="24" t="n"/>
      <c r="V65" s="22" t="n"/>
    </row>
    <row r="66">
      <c r="B66" s="13">
        <f>IF($C66="","",COUNTA($C$9:$C66))</f>
        <v/>
      </c>
      <c r="C66" s="21" t="n"/>
      <c r="D66" s="14" t="n"/>
      <c r="E66" s="14" t="n"/>
      <c r="F66" s="14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3">
        <f>IF($C66="","",N(L66)-N(M66))</f>
        <v/>
      </c>
      <c r="P66" s="24" t="n"/>
      <c r="Q66" s="23">
        <f>IF($C66="","",N(M66)+N(N66))</f>
        <v/>
      </c>
      <c r="R66" s="23">
        <f>IF($C66="","",N(J66)+N(Q66))</f>
        <v/>
      </c>
      <c r="S66" s="25">
        <f>IF(OR($C66="",N($G66)=0),"",R66/$G66)</f>
        <v/>
      </c>
      <c r="T66" s="23">
        <f>IF($C66="","",N($G66)-N(R66))</f>
        <v/>
      </c>
      <c r="U66" s="24" t="n"/>
      <c r="V66" s="22" t="n"/>
    </row>
    <row r="67">
      <c r="B67" s="13">
        <f>IF($C67="","",COUNTA($C$9:$C67))</f>
        <v/>
      </c>
      <c r="C67" s="21" t="n"/>
      <c r="D67" s="14" t="n"/>
      <c r="E67" s="14" t="n"/>
      <c r="F67" s="14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3">
        <f>IF($C67="","",N(L67)-N(M67))</f>
        <v/>
      </c>
      <c r="P67" s="24" t="n"/>
      <c r="Q67" s="23">
        <f>IF($C67="","",N(M67)+N(N67))</f>
        <v/>
      </c>
      <c r="R67" s="23">
        <f>IF($C67="","",N(J67)+N(Q67))</f>
        <v/>
      </c>
      <c r="S67" s="25">
        <f>IF(OR($C67="",N($G67)=0),"",R67/$G67)</f>
        <v/>
      </c>
      <c r="T67" s="23">
        <f>IF($C67="","",N($G67)-N(R67))</f>
        <v/>
      </c>
      <c r="U67" s="24" t="n"/>
      <c r="V67" s="22" t="n"/>
    </row>
    <row r="68">
      <c r="B68" s="13">
        <f>IF($C68="","",COUNTA($C$9:$C68))</f>
        <v/>
      </c>
      <c r="C68" s="21" t="n"/>
      <c r="D68" s="14" t="n"/>
      <c r="E68" s="14" t="n"/>
      <c r="F68" s="14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3">
        <f>IF($C68="","",N(L68)-N(M68))</f>
        <v/>
      </c>
      <c r="P68" s="24" t="n"/>
      <c r="Q68" s="23">
        <f>IF($C68="","",N(M68)+N(N68))</f>
        <v/>
      </c>
      <c r="R68" s="23">
        <f>IF($C68="","",N(J68)+N(Q68))</f>
        <v/>
      </c>
      <c r="S68" s="25">
        <f>IF(OR($C68="",N($G68)=0),"",R68/$G68)</f>
        <v/>
      </c>
      <c r="T68" s="23">
        <f>IF($C68="","",N($G68)-N(R68))</f>
        <v/>
      </c>
      <c r="U68" s="24" t="n"/>
      <c r="V68" s="22" t="n"/>
    </row>
    <row r="69">
      <c r="B69" s="13">
        <f>IF($C69="","",COUNTA($C$9:$C69))</f>
        <v/>
      </c>
      <c r="C69" s="21" t="n"/>
      <c r="D69" s="14" t="n"/>
      <c r="E69" s="14" t="n"/>
      <c r="F69" s="14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3">
        <f>IF($C69="","",N(L69)-N(M69))</f>
        <v/>
      </c>
      <c r="P69" s="24" t="n"/>
      <c r="Q69" s="23">
        <f>IF($C69="","",N(M69)+N(N69))</f>
        <v/>
      </c>
      <c r="R69" s="23">
        <f>IF($C69="","",N(J69)+N(Q69))</f>
        <v/>
      </c>
      <c r="S69" s="25">
        <f>IF(OR($C69="",N($G69)=0),"",R69/$G69)</f>
        <v/>
      </c>
      <c r="T69" s="23">
        <f>IF($C69="","",N($G69)-N(R69))</f>
        <v/>
      </c>
      <c r="U69" s="24" t="n"/>
      <c r="V69" s="22" t="n"/>
    </row>
    <row r="70">
      <c r="B70" s="13">
        <f>IF($C70="","",COUNTA($C$9:$C70))</f>
        <v/>
      </c>
      <c r="C70" s="21" t="n"/>
      <c r="D70" s="14" t="n"/>
      <c r="E70" s="14" t="n"/>
      <c r="F70" s="14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3">
        <f>IF($C70="","",N(L70)-N(M70))</f>
        <v/>
      </c>
      <c r="P70" s="24" t="n"/>
      <c r="Q70" s="23">
        <f>IF($C70="","",N(M70)+N(N70))</f>
        <v/>
      </c>
      <c r="R70" s="23">
        <f>IF($C70="","",N(J70)+N(Q70))</f>
        <v/>
      </c>
      <c r="S70" s="25">
        <f>IF(OR($C70="",N($G70)=0),"",R70/$G70)</f>
        <v/>
      </c>
      <c r="T70" s="23">
        <f>IF($C70="","",N($G70)-N(R70))</f>
        <v/>
      </c>
      <c r="U70" s="24" t="n"/>
      <c r="V70" s="22" t="n"/>
    </row>
    <row r="71">
      <c r="B71" s="13">
        <f>IF($C71="","",COUNTA($C$9:$C71))</f>
        <v/>
      </c>
      <c r="C71" s="21" t="n"/>
      <c r="D71" s="14" t="n"/>
      <c r="E71" s="14" t="n"/>
      <c r="F71" s="14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3">
        <f>IF($C71="","",N(L71)-N(M71))</f>
        <v/>
      </c>
      <c r="P71" s="24" t="n"/>
      <c r="Q71" s="23">
        <f>IF($C71="","",N(M71)+N(N71))</f>
        <v/>
      </c>
      <c r="R71" s="23">
        <f>IF($C71="","",N(J71)+N(Q71))</f>
        <v/>
      </c>
      <c r="S71" s="25">
        <f>IF(OR($C71="",N($G71)=0),"",R71/$G71)</f>
        <v/>
      </c>
      <c r="T71" s="23">
        <f>IF($C71="","",N($G71)-N(R71))</f>
        <v/>
      </c>
      <c r="U71" s="24" t="n"/>
      <c r="V71" s="22" t="n"/>
    </row>
    <row r="72">
      <c r="B72" s="13">
        <f>IF($C72="","",COUNTA($C$9:$C72))</f>
        <v/>
      </c>
      <c r="C72" s="21" t="n"/>
      <c r="D72" s="14" t="n"/>
      <c r="E72" s="14" t="n"/>
      <c r="F72" s="14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3">
        <f>IF($C72="","",N(L72)-N(M72))</f>
        <v/>
      </c>
      <c r="P72" s="24" t="n"/>
      <c r="Q72" s="23">
        <f>IF($C72="","",N(M72)+N(N72))</f>
        <v/>
      </c>
      <c r="R72" s="23">
        <f>IF($C72="","",N(J72)+N(Q72))</f>
        <v/>
      </c>
      <c r="S72" s="25">
        <f>IF(OR($C72="",N($G72)=0),"",R72/$G72)</f>
        <v/>
      </c>
      <c r="T72" s="23">
        <f>IF($C72="","",N($G72)-N(R72))</f>
        <v/>
      </c>
      <c r="U72" s="24" t="n"/>
      <c r="V72" s="22" t="n"/>
    </row>
    <row r="73">
      <c r="B73" s="13">
        <f>IF($C73="","",COUNTA($C$9:$C73))</f>
        <v/>
      </c>
      <c r="C73" s="21" t="n"/>
      <c r="D73" s="14" t="n"/>
      <c r="E73" s="14" t="n"/>
      <c r="F73" s="14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3">
        <f>IF($C73="","",N(L73)-N(M73))</f>
        <v/>
      </c>
      <c r="P73" s="24" t="n"/>
      <c r="Q73" s="23">
        <f>IF($C73="","",N(M73)+N(N73))</f>
        <v/>
      </c>
      <c r="R73" s="23">
        <f>IF($C73="","",N(J73)+N(Q73))</f>
        <v/>
      </c>
      <c r="S73" s="25">
        <f>IF(OR($C73="",N($G73)=0),"",R73/$G73)</f>
        <v/>
      </c>
      <c r="T73" s="23">
        <f>IF($C73="","",N($G73)-N(R73))</f>
        <v/>
      </c>
      <c r="U73" s="24" t="n"/>
      <c r="V73" s="22" t="n"/>
    </row>
    <row r="74">
      <c r="B74" s="13">
        <f>IF($C74="","",COUNTA($C$9:$C74))</f>
        <v/>
      </c>
      <c r="C74" s="21" t="n"/>
      <c r="D74" s="14" t="n"/>
      <c r="E74" s="14" t="n"/>
      <c r="F74" s="14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3">
        <f>IF($C74="","",N(L74)-N(M74))</f>
        <v/>
      </c>
      <c r="P74" s="24" t="n"/>
      <c r="Q74" s="23">
        <f>IF($C74="","",N(M74)+N(N74))</f>
        <v/>
      </c>
      <c r="R74" s="23">
        <f>IF($C74="","",N(J74)+N(Q74))</f>
        <v/>
      </c>
      <c r="S74" s="25">
        <f>IF(OR($C74="",N($G74)=0),"",R74/$G74)</f>
        <v/>
      </c>
      <c r="T74" s="23">
        <f>IF($C74="","",N($G74)-N(R74))</f>
        <v/>
      </c>
      <c r="U74" s="24" t="n"/>
      <c r="V74" s="22" t="n"/>
    </row>
    <row r="75">
      <c r="B75" s="13">
        <f>IF($C75="","",COUNTA($C$9:$C75))</f>
        <v/>
      </c>
      <c r="C75" s="21" t="n"/>
      <c r="D75" s="14" t="n"/>
      <c r="E75" s="14" t="n"/>
      <c r="F75" s="14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3">
        <f>IF($C75="","",N(L75)-N(M75))</f>
        <v/>
      </c>
      <c r="P75" s="24" t="n"/>
      <c r="Q75" s="23">
        <f>IF($C75="","",N(M75)+N(N75))</f>
        <v/>
      </c>
      <c r="R75" s="23">
        <f>IF($C75="","",N(J75)+N(Q75))</f>
        <v/>
      </c>
      <c r="S75" s="25">
        <f>IF(OR($C75="",N($G75)=0),"",R75/$G75)</f>
        <v/>
      </c>
      <c r="T75" s="23">
        <f>IF($C75="","",N($G75)-N(R75))</f>
        <v/>
      </c>
      <c r="U75" s="24" t="n"/>
      <c r="V75" s="22" t="n"/>
    </row>
    <row r="76">
      <c r="B76" s="13">
        <f>IF($C76="","",COUNTA($C$9:$C76))</f>
        <v/>
      </c>
      <c r="C76" s="21" t="n"/>
      <c r="D76" s="14" t="n"/>
      <c r="E76" s="14" t="n"/>
      <c r="F76" s="14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3">
        <f>IF($C76="","",N(L76)-N(M76))</f>
        <v/>
      </c>
      <c r="P76" s="24" t="n"/>
      <c r="Q76" s="23">
        <f>IF($C76="","",N(M76)+N(N76))</f>
        <v/>
      </c>
      <c r="R76" s="23">
        <f>IF($C76="","",N(J76)+N(Q76))</f>
        <v/>
      </c>
      <c r="S76" s="25">
        <f>IF(OR($C76="",N($G76)=0),"",R76/$G76)</f>
        <v/>
      </c>
      <c r="T76" s="23">
        <f>IF($C76="","",N($G76)-N(R76))</f>
        <v/>
      </c>
      <c r="U76" s="24" t="n"/>
      <c r="V76" s="22" t="n"/>
    </row>
    <row r="77">
      <c r="B77" s="13">
        <f>IF($C77="","",COUNTA($C$9:$C77))</f>
        <v/>
      </c>
      <c r="C77" s="21" t="n"/>
      <c r="D77" s="14" t="n"/>
      <c r="E77" s="14" t="n"/>
      <c r="F77" s="14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3">
        <f>IF($C77="","",N(L77)-N(M77))</f>
        <v/>
      </c>
      <c r="P77" s="24" t="n"/>
      <c r="Q77" s="23">
        <f>IF($C77="","",N(M77)+N(N77))</f>
        <v/>
      </c>
      <c r="R77" s="23">
        <f>IF($C77="","",N(J77)+N(Q77))</f>
        <v/>
      </c>
      <c r="S77" s="25">
        <f>IF(OR($C77="",N($G77)=0),"",R77/$G77)</f>
        <v/>
      </c>
      <c r="T77" s="23">
        <f>IF($C77="","",N($G77)-N(R77))</f>
        <v/>
      </c>
      <c r="U77" s="24" t="n"/>
      <c r="V77" s="22" t="n"/>
    </row>
    <row r="78">
      <c r="B78" s="13">
        <f>IF($C78="","",COUNTA($C$9:$C78))</f>
        <v/>
      </c>
      <c r="C78" s="21" t="n"/>
      <c r="D78" s="14" t="n"/>
      <c r="E78" s="14" t="n"/>
      <c r="F78" s="14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3">
        <f>IF($C78="","",N(L78)-N(M78))</f>
        <v/>
      </c>
      <c r="P78" s="24" t="n"/>
      <c r="Q78" s="23">
        <f>IF($C78="","",N(M78)+N(N78))</f>
        <v/>
      </c>
      <c r="R78" s="23">
        <f>IF($C78="","",N(J78)+N(Q78))</f>
        <v/>
      </c>
      <c r="S78" s="25">
        <f>IF(OR($C78="",N($G78)=0),"",R78/$G78)</f>
        <v/>
      </c>
      <c r="T78" s="23">
        <f>IF($C78="","",N($G78)-N(R78))</f>
        <v/>
      </c>
      <c r="U78" s="24" t="n"/>
      <c r="V78" s="22" t="n"/>
    </row>
    <row r="79">
      <c r="B79" s="13">
        <f>IF($C79="","",COUNTA($C$9:$C79))</f>
        <v/>
      </c>
      <c r="C79" s="21" t="n"/>
      <c r="D79" s="14" t="n"/>
      <c r="E79" s="14" t="n"/>
      <c r="F79" s="14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3">
        <f>IF($C79="","",N(L79)-N(M79))</f>
        <v/>
      </c>
      <c r="P79" s="24" t="n"/>
      <c r="Q79" s="23">
        <f>IF($C79="","",N(M79)+N(N79))</f>
        <v/>
      </c>
      <c r="R79" s="23">
        <f>IF($C79="","",N(J79)+N(Q79))</f>
        <v/>
      </c>
      <c r="S79" s="25">
        <f>IF(OR($C79="",N($G79)=0),"",R79/$G79)</f>
        <v/>
      </c>
      <c r="T79" s="23">
        <f>IF($C79="","",N($G79)-N(R79))</f>
        <v/>
      </c>
      <c r="U79" s="24" t="n"/>
      <c r="V79" s="22" t="n"/>
    </row>
    <row r="80">
      <c r="B80" s="13">
        <f>IF($C80="","",COUNTA($C$9:$C80))</f>
        <v/>
      </c>
      <c r="C80" s="21" t="n"/>
      <c r="D80" s="14" t="n"/>
      <c r="E80" s="14" t="n"/>
      <c r="F80" s="14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3">
        <f>IF($C80="","",N(L80)-N(M80))</f>
        <v/>
      </c>
      <c r="P80" s="24" t="n"/>
      <c r="Q80" s="23">
        <f>IF($C80="","",N(M80)+N(N80))</f>
        <v/>
      </c>
      <c r="R80" s="23">
        <f>IF($C80="","",N(J80)+N(Q80))</f>
        <v/>
      </c>
      <c r="S80" s="25">
        <f>IF(OR($C80="",N($G80)=0),"",R80/$G80)</f>
        <v/>
      </c>
      <c r="T80" s="23">
        <f>IF($C80="","",N($G80)-N(R80))</f>
        <v/>
      </c>
      <c r="U80" s="24" t="n"/>
      <c r="V80" s="22" t="n"/>
    </row>
    <row r="81">
      <c r="B81" s="13">
        <f>IF($C81="","",COUNTA($C$9:$C81))</f>
        <v/>
      </c>
      <c r="C81" s="21" t="n"/>
      <c r="D81" s="14" t="n"/>
      <c r="E81" s="14" t="n"/>
      <c r="F81" s="14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3">
        <f>IF($C81="","",N(L81)-N(M81))</f>
        <v/>
      </c>
      <c r="P81" s="24" t="n"/>
      <c r="Q81" s="23">
        <f>IF($C81="","",N(M81)+N(N81))</f>
        <v/>
      </c>
      <c r="R81" s="23">
        <f>IF($C81="","",N(J81)+N(Q81))</f>
        <v/>
      </c>
      <c r="S81" s="25">
        <f>IF(OR($C81="",N($G81)=0),"",R81/$G81)</f>
        <v/>
      </c>
      <c r="T81" s="23">
        <f>IF($C81="","",N($G81)-N(R81))</f>
        <v/>
      </c>
      <c r="U81" s="24" t="n"/>
      <c r="V81" s="22" t="n"/>
    </row>
    <row r="82">
      <c r="B82" s="13">
        <f>IF($C82="","",COUNTA($C$9:$C82))</f>
        <v/>
      </c>
      <c r="C82" s="21" t="n"/>
      <c r="D82" s="14" t="n"/>
      <c r="E82" s="14" t="n"/>
      <c r="F82" s="14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3">
        <f>IF($C82="","",N(L82)-N(M82))</f>
        <v/>
      </c>
      <c r="P82" s="24" t="n"/>
      <c r="Q82" s="23">
        <f>IF($C82="","",N(M82)+N(N82))</f>
        <v/>
      </c>
      <c r="R82" s="23">
        <f>IF($C82="","",N(J82)+N(Q82))</f>
        <v/>
      </c>
      <c r="S82" s="25">
        <f>IF(OR($C82="",N($G82)=0),"",R82/$G82)</f>
        <v/>
      </c>
      <c r="T82" s="23">
        <f>IF($C82="","",N($G82)-N(R82))</f>
        <v/>
      </c>
      <c r="U82" s="24" t="n"/>
      <c r="V82" s="22" t="n"/>
    </row>
    <row r="83">
      <c r="B83" s="13">
        <f>IF($C83="","",COUNTA($C$9:$C83))</f>
        <v/>
      </c>
      <c r="C83" s="21" t="n"/>
      <c r="D83" s="14" t="n"/>
      <c r="E83" s="14" t="n"/>
      <c r="F83" s="14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3">
        <f>IF($C83="","",N(L83)-N(M83))</f>
        <v/>
      </c>
      <c r="P83" s="24" t="n"/>
      <c r="Q83" s="23">
        <f>IF($C83="","",N(M83)+N(N83))</f>
        <v/>
      </c>
      <c r="R83" s="23">
        <f>IF($C83="","",N(J83)+N(Q83))</f>
        <v/>
      </c>
      <c r="S83" s="25">
        <f>IF(OR($C83="",N($G83)=0),"",R83/$G83)</f>
        <v/>
      </c>
      <c r="T83" s="23">
        <f>IF($C83="","",N($G83)-N(R83))</f>
        <v/>
      </c>
      <c r="U83" s="24" t="n"/>
      <c r="V83" s="22" t="n"/>
    </row>
    <row r="84">
      <c r="B84" s="13">
        <f>IF($C84="","",COUNTA($C$9:$C84))</f>
        <v/>
      </c>
      <c r="C84" s="21" t="n"/>
      <c r="D84" s="14" t="n"/>
      <c r="E84" s="14" t="n"/>
      <c r="F84" s="14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3">
        <f>IF($C84="","",N(L84)-N(M84))</f>
        <v/>
      </c>
      <c r="P84" s="24" t="n"/>
      <c r="Q84" s="23">
        <f>IF($C84="","",N(M84)+N(N84))</f>
        <v/>
      </c>
      <c r="R84" s="23">
        <f>IF($C84="","",N(J84)+N(Q84))</f>
        <v/>
      </c>
      <c r="S84" s="25">
        <f>IF(OR($C84="",N($G84)=0),"",R84/$G84)</f>
        <v/>
      </c>
      <c r="T84" s="23">
        <f>IF($C84="","",N($G84)-N(R84))</f>
        <v/>
      </c>
      <c r="U84" s="24" t="n"/>
      <c r="V84" s="22" t="n"/>
    </row>
    <row r="85">
      <c r="B85" s="13">
        <f>IF($C85="","",COUNTA($C$9:$C85))</f>
        <v/>
      </c>
      <c r="C85" s="21" t="n"/>
      <c r="D85" s="14" t="n"/>
      <c r="E85" s="14" t="n"/>
      <c r="F85" s="14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3">
        <f>IF($C85="","",N(L85)-N(M85))</f>
        <v/>
      </c>
      <c r="P85" s="24" t="n"/>
      <c r="Q85" s="23">
        <f>IF($C85="","",N(M85)+N(N85))</f>
        <v/>
      </c>
      <c r="R85" s="23">
        <f>IF($C85="","",N(J85)+N(Q85))</f>
        <v/>
      </c>
      <c r="S85" s="25">
        <f>IF(OR($C85="",N($G85)=0),"",R85/$G85)</f>
        <v/>
      </c>
      <c r="T85" s="23">
        <f>IF($C85="","",N($G85)-N(R85))</f>
        <v/>
      </c>
      <c r="U85" s="24" t="n"/>
      <c r="V85" s="22" t="n"/>
    </row>
    <row r="86">
      <c r="B86" s="13">
        <f>IF($C86="","",COUNTA($C$9:$C86))</f>
        <v/>
      </c>
      <c r="C86" s="21" t="n"/>
      <c r="D86" s="14" t="n"/>
      <c r="E86" s="14" t="n"/>
      <c r="F86" s="14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3">
        <f>IF($C86="","",N(L86)-N(M86))</f>
        <v/>
      </c>
      <c r="P86" s="24" t="n"/>
      <c r="Q86" s="23">
        <f>IF($C86="","",N(M86)+N(N86))</f>
        <v/>
      </c>
      <c r="R86" s="23">
        <f>IF($C86="","",N(J86)+N(Q86))</f>
        <v/>
      </c>
      <c r="S86" s="25">
        <f>IF(OR($C86="",N($G86)=0),"",R86/$G86)</f>
        <v/>
      </c>
      <c r="T86" s="23">
        <f>IF($C86="","",N($G86)-N(R86))</f>
        <v/>
      </c>
      <c r="U86" s="24" t="n"/>
      <c r="V86" s="22" t="n"/>
    </row>
    <row r="87">
      <c r="B87" s="13">
        <f>IF($C87="","",COUNTA($C$9:$C87))</f>
        <v/>
      </c>
      <c r="C87" s="21" t="n"/>
      <c r="D87" s="14" t="n"/>
      <c r="E87" s="14" t="n"/>
      <c r="F87" s="14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3">
        <f>IF($C87="","",N(L87)-N(M87))</f>
        <v/>
      </c>
      <c r="P87" s="24" t="n"/>
      <c r="Q87" s="23">
        <f>IF($C87="","",N(M87)+N(N87))</f>
        <v/>
      </c>
      <c r="R87" s="23">
        <f>IF($C87="","",N(J87)+N(Q87))</f>
        <v/>
      </c>
      <c r="S87" s="25">
        <f>IF(OR($C87="",N($G87)=0),"",R87/$G87)</f>
        <v/>
      </c>
      <c r="T87" s="23">
        <f>IF($C87="","",N($G87)-N(R87))</f>
        <v/>
      </c>
      <c r="U87" s="24" t="n"/>
      <c r="V87" s="22" t="n"/>
    </row>
    <row r="88">
      <c r="B88" s="13">
        <f>IF($C88="","",COUNTA($C$9:$C88))</f>
        <v/>
      </c>
      <c r="C88" s="21" t="n"/>
      <c r="D88" s="14" t="n"/>
      <c r="E88" s="14" t="n"/>
      <c r="F88" s="14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3">
        <f>IF($C88="","",N(L88)-N(M88))</f>
        <v/>
      </c>
      <c r="P88" s="24" t="n"/>
      <c r="Q88" s="23">
        <f>IF($C88="","",N(M88)+N(N88))</f>
        <v/>
      </c>
      <c r="R88" s="23">
        <f>IF($C88="","",N(J88)+N(Q88))</f>
        <v/>
      </c>
      <c r="S88" s="25">
        <f>IF(OR($C88="",N($G88)=0),"",R88/$G88)</f>
        <v/>
      </c>
      <c r="T88" s="23">
        <f>IF($C88="","",N($G88)-N(R88))</f>
        <v/>
      </c>
      <c r="U88" s="24" t="n"/>
      <c r="V88" s="22" t="n"/>
    </row>
    <row r="89">
      <c r="B89" s="13">
        <f>IF($C89="","",COUNTA($C$9:$C89))</f>
        <v/>
      </c>
      <c r="C89" s="21" t="n"/>
      <c r="D89" s="14" t="n"/>
      <c r="E89" s="14" t="n"/>
      <c r="F89" s="14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3">
        <f>IF($C89="","",N(L89)-N(M89))</f>
        <v/>
      </c>
      <c r="P89" s="24" t="n"/>
      <c r="Q89" s="23">
        <f>IF($C89="","",N(M89)+N(N89))</f>
        <v/>
      </c>
      <c r="R89" s="23">
        <f>IF($C89="","",N(J89)+N(Q89))</f>
        <v/>
      </c>
      <c r="S89" s="25">
        <f>IF(OR($C89="",N($G89)=0),"",R89/$G89)</f>
        <v/>
      </c>
      <c r="T89" s="23">
        <f>IF($C89="","",N($G89)-N(R89))</f>
        <v/>
      </c>
      <c r="U89" s="24" t="n"/>
      <c r="V89" s="22" t="n"/>
    </row>
    <row r="90">
      <c r="B90" s="13">
        <f>IF($C90="","",COUNTA($C$9:$C90))</f>
        <v/>
      </c>
      <c r="C90" s="21" t="n"/>
      <c r="D90" s="14" t="n"/>
      <c r="E90" s="14" t="n"/>
      <c r="F90" s="14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3">
        <f>IF($C90="","",N(L90)-N(M90))</f>
        <v/>
      </c>
      <c r="P90" s="24" t="n"/>
      <c r="Q90" s="23">
        <f>IF($C90="","",N(M90)+N(N90))</f>
        <v/>
      </c>
      <c r="R90" s="23">
        <f>IF($C90="","",N(J90)+N(Q90))</f>
        <v/>
      </c>
      <c r="S90" s="25">
        <f>IF(OR($C90="",N($G90)=0),"",R90/$G90)</f>
        <v/>
      </c>
      <c r="T90" s="23">
        <f>IF($C90="","",N($G90)-N(R90))</f>
        <v/>
      </c>
      <c r="U90" s="24" t="n"/>
      <c r="V90" s="22" t="n"/>
    </row>
    <row r="91">
      <c r="B91" s="13">
        <f>IF($C91="","",COUNTA($C$9:$C91))</f>
        <v/>
      </c>
      <c r="C91" s="21" t="n"/>
      <c r="D91" s="14" t="n"/>
      <c r="E91" s="14" t="n"/>
      <c r="F91" s="14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3">
        <f>IF($C91="","",N(L91)-N(M91))</f>
        <v/>
      </c>
      <c r="P91" s="24" t="n"/>
      <c r="Q91" s="23">
        <f>IF($C91="","",N(M91)+N(N91))</f>
        <v/>
      </c>
      <c r="R91" s="23">
        <f>IF($C91="","",N(J91)+N(Q91))</f>
        <v/>
      </c>
      <c r="S91" s="25">
        <f>IF(OR($C91="",N($G91)=0),"",R91/$G91)</f>
        <v/>
      </c>
      <c r="T91" s="23">
        <f>IF($C91="","",N($G91)-N(R91))</f>
        <v/>
      </c>
      <c r="U91" s="24" t="n"/>
      <c r="V91" s="22" t="n"/>
    </row>
    <row r="92">
      <c r="B92" s="13">
        <f>IF($C92="","",COUNTA($C$9:$C92))</f>
        <v/>
      </c>
      <c r="C92" s="21" t="n"/>
      <c r="D92" s="14" t="n"/>
      <c r="E92" s="14" t="n"/>
      <c r="F92" s="14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3">
        <f>IF($C92="","",N(L92)-N(M92))</f>
        <v/>
      </c>
      <c r="P92" s="24" t="n"/>
      <c r="Q92" s="23">
        <f>IF($C92="","",N(M92)+N(N92))</f>
        <v/>
      </c>
      <c r="R92" s="23">
        <f>IF($C92="","",N(J92)+N(Q92))</f>
        <v/>
      </c>
      <c r="S92" s="25">
        <f>IF(OR($C92="",N($G92)=0),"",R92/$G92)</f>
        <v/>
      </c>
      <c r="T92" s="23">
        <f>IF($C92="","",N($G92)-N(R92))</f>
        <v/>
      </c>
      <c r="U92" s="24" t="n"/>
      <c r="V92" s="22" t="n"/>
    </row>
    <row r="93">
      <c r="B93" s="13">
        <f>IF($C93="","",COUNTA($C$9:$C93))</f>
        <v/>
      </c>
      <c r="C93" s="21" t="n"/>
      <c r="D93" s="14" t="n"/>
      <c r="E93" s="14" t="n"/>
      <c r="F93" s="14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3">
        <f>IF($C93="","",N(L93)-N(M93))</f>
        <v/>
      </c>
      <c r="P93" s="24" t="n"/>
      <c r="Q93" s="23">
        <f>IF($C93="","",N(M93)+N(N93))</f>
        <v/>
      </c>
      <c r="R93" s="23">
        <f>IF($C93="","",N(J93)+N(Q93))</f>
        <v/>
      </c>
      <c r="S93" s="25">
        <f>IF(OR($C93="",N($G93)=0),"",R93/$G93)</f>
        <v/>
      </c>
      <c r="T93" s="23">
        <f>IF($C93="","",N($G93)-N(R93))</f>
        <v/>
      </c>
      <c r="U93" s="24" t="n"/>
      <c r="V93" s="22" t="n"/>
    </row>
    <row r="94">
      <c r="B94" s="13">
        <f>IF($C94="","",COUNTA($C$9:$C94))</f>
        <v/>
      </c>
      <c r="C94" s="21" t="n"/>
      <c r="D94" s="14" t="n"/>
      <c r="E94" s="14" t="n"/>
      <c r="F94" s="14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3">
        <f>IF($C94="","",N(L94)-N(M94))</f>
        <v/>
      </c>
      <c r="P94" s="24" t="n"/>
      <c r="Q94" s="23">
        <f>IF($C94="","",N(M94)+N(N94))</f>
        <v/>
      </c>
      <c r="R94" s="23">
        <f>IF($C94="","",N(J94)+N(Q94))</f>
        <v/>
      </c>
      <c r="S94" s="25">
        <f>IF(OR($C94="",N($G94)=0),"",R94/$G94)</f>
        <v/>
      </c>
      <c r="T94" s="23">
        <f>IF($C94="","",N($G94)-N(R94))</f>
        <v/>
      </c>
      <c r="U94" s="24" t="n"/>
      <c r="V94" s="22" t="n"/>
    </row>
    <row r="95">
      <c r="B95" s="13">
        <f>IF($C95="","",COUNTA($C$9:$C95))</f>
        <v/>
      </c>
      <c r="C95" s="21" t="n"/>
      <c r="D95" s="14" t="n"/>
      <c r="E95" s="14" t="n"/>
      <c r="F95" s="14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3">
        <f>IF($C95="","",N(L95)-N(M95))</f>
        <v/>
      </c>
      <c r="P95" s="24" t="n"/>
      <c r="Q95" s="23">
        <f>IF($C95="","",N(M95)+N(N95))</f>
        <v/>
      </c>
      <c r="R95" s="23">
        <f>IF($C95="","",N(J95)+N(Q95))</f>
        <v/>
      </c>
      <c r="S95" s="25">
        <f>IF(OR($C95="",N($G95)=0),"",R95/$G95)</f>
        <v/>
      </c>
      <c r="T95" s="23">
        <f>IF($C95="","",N($G95)-N(R95))</f>
        <v/>
      </c>
      <c r="U95" s="24" t="n"/>
      <c r="V95" s="22" t="n"/>
    </row>
    <row r="96">
      <c r="B96" s="13">
        <f>IF($C96="","",COUNTA($C$9:$C96))</f>
        <v/>
      </c>
      <c r="C96" s="21" t="n"/>
      <c r="D96" s="14" t="n"/>
      <c r="E96" s="14" t="n"/>
      <c r="F96" s="14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3">
        <f>IF($C96="","",N(L96)-N(M96))</f>
        <v/>
      </c>
      <c r="P96" s="24" t="n"/>
      <c r="Q96" s="23">
        <f>IF($C96="","",N(M96)+N(N96))</f>
        <v/>
      </c>
      <c r="R96" s="23">
        <f>IF($C96="","",N(J96)+N(Q96))</f>
        <v/>
      </c>
      <c r="S96" s="25">
        <f>IF(OR($C96="",N($G96)=0),"",R96/$G96)</f>
        <v/>
      </c>
      <c r="T96" s="23">
        <f>IF($C96="","",N($G96)-N(R96))</f>
        <v/>
      </c>
      <c r="U96" s="24" t="n"/>
      <c r="V96" s="22" t="n"/>
    </row>
    <row r="97">
      <c r="B97" s="13">
        <f>IF($C97="","",COUNTA($C$9:$C97))</f>
        <v/>
      </c>
      <c r="C97" s="21" t="n"/>
      <c r="D97" s="14" t="n"/>
      <c r="E97" s="14" t="n"/>
      <c r="F97" s="14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3">
        <f>IF($C97="","",N(L97)-N(M97))</f>
        <v/>
      </c>
      <c r="P97" s="24" t="n"/>
      <c r="Q97" s="23">
        <f>IF($C97="","",N(M97)+N(N97))</f>
        <v/>
      </c>
      <c r="R97" s="23">
        <f>IF($C97="","",N(J97)+N(Q97))</f>
        <v/>
      </c>
      <c r="S97" s="25">
        <f>IF(OR($C97="",N($G97)=0),"",R97/$G97)</f>
        <v/>
      </c>
      <c r="T97" s="23">
        <f>IF($C97="","",N($G97)-N(R97))</f>
        <v/>
      </c>
      <c r="U97" s="24" t="n"/>
      <c r="V97" s="22" t="n"/>
    </row>
    <row r="98">
      <c r="B98" s="13">
        <f>IF($C98="","",COUNTA($C$9:$C98))</f>
        <v/>
      </c>
      <c r="C98" s="21" t="n"/>
      <c r="D98" s="14" t="n"/>
      <c r="E98" s="14" t="n"/>
      <c r="F98" s="14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3">
        <f>IF($C98="","",N(L98)-N(M98))</f>
        <v/>
      </c>
      <c r="P98" s="24" t="n"/>
      <c r="Q98" s="23">
        <f>IF($C98="","",N(M98)+N(N98))</f>
        <v/>
      </c>
      <c r="R98" s="23">
        <f>IF($C98="","",N(J98)+N(Q98))</f>
        <v/>
      </c>
      <c r="S98" s="25">
        <f>IF(OR($C98="",N($G98)=0),"",R98/$G98)</f>
        <v/>
      </c>
      <c r="T98" s="23">
        <f>IF($C98="","",N($G98)-N(R98))</f>
        <v/>
      </c>
      <c r="U98" s="24" t="n"/>
      <c r="V98" s="22" t="n"/>
    </row>
    <row r="99">
      <c r="B99" s="13">
        <f>IF($C99="","",COUNTA($C$9:$C99))</f>
        <v/>
      </c>
      <c r="C99" s="21" t="n"/>
      <c r="D99" s="14" t="n"/>
      <c r="E99" s="14" t="n"/>
      <c r="F99" s="14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3">
        <f>IF($C99="","",N(L99)-N(M99))</f>
        <v/>
      </c>
      <c r="P99" s="24" t="n"/>
      <c r="Q99" s="23">
        <f>IF($C99="","",N(M99)+N(N99))</f>
        <v/>
      </c>
      <c r="R99" s="23">
        <f>IF($C99="","",N(J99)+N(Q99))</f>
        <v/>
      </c>
      <c r="S99" s="25">
        <f>IF(OR($C99="",N($G99)=0),"",R99/$G99)</f>
        <v/>
      </c>
      <c r="T99" s="23">
        <f>IF($C99="","",N($G99)-N(R99))</f>
        <v/>
      </c>
      <c r="U99" s="24" t="n"/>
      <c r="V99" s="22" t="n"/>
    </row>
    <row r="100">
      <c r="B100" s="13">
        <f>IF($C100="","",COUNTA($C$9:$C100))</f>
        <v/>
      </c>
      <c r="C100" s="21" t="n"/>
      <c r="D100" s="14" t="n"/>
      <c r="E100" s="14" t="n"/>
      <c r="F100" s="14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3">
        <f>IF($C100="","",N(L100)-N(M100))</f>
        <v/>
      </c>
      <c r="P100" s="24" t="n"/>
      <c r="Q100" s="23">
        <f>IF($C100="","",N(M100)+N(N100))</f>
        <v/>
      </c>
      <c r="R100" s="23">
        <f>IF($C100="","",N(J100)+N(Q100))</f>
        <v/>
      </c>
      <c r="S100" s="25">
        <f>IF(OR($C100="",N($G100)=0),"",R100/$G100)</f>
        <v/>
      </c>
      <c r="T100" s="23">
        <f>IF($C100="","",N($G100)-N(R100))</f>
        <v/>
      </c>
      <c r="U100" s="24" t="n"/>
      <c r="V100" s="22" t="n"/>
    </row>
    <row r="101">
      <c r="B101" s="13">
        <f>IF($C101="","",COUNTA($C$9:$C101))</f>
        <v/>
      </c>
      <c r="C101" s="21" t="n"/>
      <c r="D101" s="14" t="n"/>
      <c r="E101" s="14" t="n"/>
      <c r="F101" s="14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3">
        <f>IF($C101="","",N(L101)-N(M101))</f>
        <v/>
      </c>
      <c r="P101" s="24" t="n"/>
      <c r="Q101" s="23">
        <f>IF($C101="","",N(M101)+N(N101))</f>
        <v/>
      </c>
      <c r="R101" s="23">
        <f>IF($C101="","",N(J101)+N(Q101))</f>
        <v/>
      </c>
      <c r="S101" s="25">
        <f>IF(OR($C101="",N($G101)=0),"",R101/$G101)</f>
        <v/>
      </c>
      <c r="T101" s="23">
        <f>IF($C101="","",N($G101)-N(R101))</f>
        <v/>
      </c>
      <c r="U101" s="24" t="n"/>
      <c r="V101" s="22" t="n"/>
    </row>
    <row r="102">
      <c r="B102" s="13">
        <f>IF($C102="","",COUNTA($C$9:$C102))</f>
        <v/>
      </c>
      <c r="C102" s="21" t="n"/>
      <c r="D102" s="14" t="n"/>
      <c r="E102" s="14" t="n"/>
      <c r="F102" s="14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3">
        <f>IF($C102="","",N(L102)-N(M102))</f>
        <v/>
      </c>
      <c r="P102" s="24" t="n"/>
      <c r="Q102" s="23">
        <f>IF($C102="","",N(M102)+N(N102))</f>
        <v/>
      </c>
      <c r="R102" s="23">
        <f>IF($C102="","",N(J102)+N(Q102))</f>
        <v/>
      </c>
      <c r="S102" s="25">
        <f>IF(OR($C102="",N($G102)=0),"",R102/$G102)</f>
        <v/>
      </c>
      <c r="T102" s="23">
        <f>IF($C102="","",N($G102)-N(R102))</f>
        <v/>
      </c>
      <c r="U102" s="24" t="n"/>
      <c r="V102" s="22" t="n"/>
    </row>
    <row r="103">
      <c r="B103" s="13">
        <f>IF($C103="","",COUNTA($C$9:$C103))</f>
        <v/>
      </c>
      <c r="C103" s="21" t="n"/>
      <c r="D103" s="14" t="n"/>
      <c r="E103" s="14" t="n"/>
      <c r="F103" s="14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3">
        <f>IF($C103="","",N(L103)-N(M103))</f>
        <v/>
      </c>
      <c r="P103" s="24" t="n"/>
      <c r="Q103" s="23">
        <f>IF($C103="","",N(M103)+N(N103))</f>
        <v/>
      </c>
      <c r="R103" s="23">
        <f>IF($C103="","",N(J103)+N(Q103))</f>
        <v/>
      </c>
      <c r="S103" s="25">
        <f>IF(OR($C103="",N($G103)=0),"",R103/$G103)</f>
        <v/>
      </c>
      <c r="T103" s="23">
        <f>IF($C103="","",N($G103)-N(R103))</f>
        <v/>
      </c>
      <c r="U103" s="24" t="n"/>
      <c r="V103" s="22" t="n"/>
    </row>
    <row r="104">
      <c r="B104" s="13">
        <f>IF($C104="","",COUNTA($C$9:$C104))</f>
        <v/>
      </c>
      <c r="C104" s="21" t="n"/>
      <c r="D104" s="14" t="n"/>
      <c r="E104" s="14" t="n"/>
      <c r="F104" s="14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3">
        <f>IF($C104="","",N(L104)-N(M104))</f>
        <v/>
      </c>
      <c r="P104" s="24" t="n"/>
      <c r="Q104" s="23">
        <f>IF($C104="","",N(M104)+N(N104))</f>
        <v/>
      </c>
      <c r="R104" s="23">
        <f>IF($C104="","",N(J104)+N(Q104))</f>
        <v/>
      </c>
      <c r="S104" s="25">
        <f>IF(OR($C104="",N($G104)=0),"",R104/$G104)</f>
        <v/>
      </c>
      <c r="T104" s="23">
        <f>IF($C104="","",N($G104)-N(R104))</f>
        <v/>
      </c>
      <c r="U104" s="24" t="n"/>
      <c r="V104" s="22" t="n"/>
    </row>
    <row r="105">
      <c r="B105" s="13">
        <f>IF($C105="","",COUNTA($C$9:$C105))</f>
        <v/>
      </c>
      <c r="C105" s="21" t="n"/>
      <c r="D105" s="14" t="n"/>
      <c r="E105" s="14" t="n"/>
      <c r="F105" s="14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3">
        <f>IF($C105="","",N(L105)-N(M105))</f>
        <v/>
      </c>
      <c r="P105" s="24" t="n"/>
      <c r="Q105" s="23">
        <f>IF($C105="","",N(M105)+N(N105))</f>
        <v/>
      </c>
      <c r="R105" s="23">
        <f>IF($C105="","",N(J105)+N(Q105))</f>
        <v/>
      </c>
      <c r="S105" s="25">
        <f>IF(OR($C105="",N($G105)=0),"",R105/$G105)</f>
        <v/>
      </c>
      <c r="T105" s="23">
        <f>IF($C105="","",N($G105)-N(R105))</f>
        <v/>
      </c>
      <c r="U105" s="24" t="n"/>
      <c r="V105" s="22" t="n"/>
    </row>
    <row r="106">
      <c r="B106" s="13">
        <f>IF($C106="","",COUNTA($C$9:$C106))</f>
        <v/>
      </c>
      <c r="C106" s="21" t="n"/>
      <c r="D106" s="14" t="n"/>
      <c r="E106" s="14" t="n"/>
      <c r="F106" s="14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3">
        <f>IF($C106="","",N(L106)-N(M106))</f>
        <v/>
      </c>
      <c r="P106" s="24" t="n"/>
      <c r="Q106" s="23">
        <f>IF($C106="","",N(M106)+N(N106))</f>
        <v/>
      </c>
      <c r="R106" s="23">
        <f>IF($C106="","",N(J106)+N(Q106))</f>
        <v/>
      </c>
      <c r="S106" s="25">
        <f>IF(OR($C106="",N($G106)=0),"",R106/$G106)</f>
        <v/>
      </c>
      <c r="T106" s="23">
        <f>IF($C106="","",N($G106)-N(R106))</f>
        <v/>
      </c>
      <c r="U106" s="24" t="n"/>
      <c r="V106" s="22" t="n"/>
    </row>
    <row r="107">
      <c r="B107" s="13">
        <f>IF($C107="","",COUNTA($C$9:$C107))</f>
        <v/>
      </c>
      <c r="C107" s="21" t="n"/>
      <c r="D107" s="14" t="n"/>
      <c r="E107" s="14" t="n"/>
      <c r="F107" s="14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3">
        <f>IF($C107="","",N(L107)-N(M107))</f>
        <v/>
      </c>
      <c r="P107" s="24" t="n"/>
      <c r="Q107" s="23">
        <f>IF($C107="","",N(M107)+N(N107))</f>
        <v/>
      </c>
      <c r="R107" s="23">
        <f>IF($C107="","",N(J107)+N(Q107))</f>
        <v/>
      </c>
      <c r="S107" s="25">
        <f>IF(OR($C107="",N($G107)=0),"",R107/$G107)</f>
        <v/>
      </c>
      <c r="T107" s="23">
        <f>IF($C107="","",N($G107)-N(R107))</f>
        <v/>
      </c>
      <c r="U107" s="24" t="n"/>
      <c r="V107" s="22" t="n"/>
    </row>
    <row r="108">
      <c r="B108" s="13">
        <f>IF($C108="","",COUNTA($C$9:$C108))</f>
        <v/>
      </c>
      <c r="C108" s="21" t="n"/>
      <c r="D108" s="14" t="n"/>
      <c r="E108" s="14" t="n"/>
      <c r="F108" s="14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3">
        <f>IF($C108="","",N(L108)-N(M108))</f>
        <v/>
      </c>
      <c r="P108" s="24" t="n"/>
      <c r="Q108" s="23">
        <f>IF($C108="","",N(M108)+N(N108))</f>
        <v/>
      </c>
      <c r="R108" s="23">
        <f>IF($C108="","",N(J108)+N(Q108))</f>
        <v/>
      </c>
      <c r="S108" s="25">
        <f>IF(OR($C108="",N($G108)=0),"",R108/$G108)</f>
        <v/>
      </c>
      <c r="T108" s="23">
        <f>IF($C108="","",N($G108)-N(R108))</f>
        <v/>
      </c>
      <c r="U108" s="24" t="n"/>
      <c r="V108" s="22" t="n"/>
    </row>
    <row r="109">
      <c r="B109" s="13">
        <f>IF($C109="","",COUNTA($C$9:$C109))</f>
        <v/>
      </c>
      <c r="C109" s="21" t="n"/>
      <c r="D109" s="14" t="n"/>
      <c r="E109" s="14" t="n"/>
      <c r="F109" s="14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3">
        <f>IF($C109="","",N(L109)-N(M109))</f>
        <v/>
      </c>
      <c r="P109" s="24" t="n"/>
      <c r="Q109" s="23">
        <f>IF($C109="","",N(M109)+N(N109))</f>
        <v/>
      </c>
      <c r="R109" s="23">
        <f>IF($C109="","",N(J109)+N(Q109))</f>
        <v/>
      </c>
      <c r="S109" s="25">
        <f>IF(OR($C109="",N($G109)=0),"",R109/$G109)</f>
        <v/>
      </c>
      <c r="T109" s="23">
        <f>IF($C109="","",N($G109)-N(R109))</f>
        <v/>
      </c>
      <c r="U109" s="24" t="n"/>
      <c r="V109" s="22" t="n"/>
    </row>
    <row r="110">
      <c r="B110" s="13">
        <f>IF($C110="","",COUNTA($C$9:$C110))</f>
        <v/>
      </c>
      <c r="C110" s="21" t="n"/>
      <c r="D110" s="14" t="n"/>
      <c r="E110" s="14" t="n"/>
      <c r="F110" s="14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3">
        <f>IF($C110="","",N(L110)-N(M110))</f>
        <v/>
      </c>
      <c r="P110" s="24" t="n"/>
      <c r="Q110" s="23">
        <f>IF($C110="","",N(M110)+N(N110))</f>
        <v/>
      </c>
      <c r="R110" s="23">
        <f>IF($C110="","",N(J110)+N(Q110))</f>
        <v/>
      </c>
      <c r="S110" s="25">
        <f>IF(OR($C110="",N($G110)=0),"",R110/$G110)</f>
        <v/>
      </c>
      <c r="T110" s="23">
        <f>IF($C110="","",N($G110)-N(R110))</f>
        <v/>
      </c>
      <c r="U110" s="24" t="n"/>
      <c r="V110" s="22" t="n"/>
    </row>
    <row r="111">
      <c r="B111" s="13">
        <f>IF($C111="","",COUNTA($C$9:$C111))</f>
        <v/>
      </c>
      <c r="C111" s="21" t="n"/>
      <c r="D111" s="14" t="n"/>
      <c r="E111" s="14" t="n"/>
      <c r="F111" s="14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3">
        <f>IF($C111="","",N(L111)-N(M111))</f>
        <v/>
      </c>
      <c r="P111" s="24" t="n"/>
      <c r="Q111" s="23">
        <f>IF($C111="","",N(M111)+N(N111))</f>
        <v/>
      </c>
      <c r="R111" s="23">
        <f>IF($C111="","",N(J111)+N(Q111))</f>
        <v/>
      </c>
      <c r="S111" s="25">
        <f>IF(OR($C111="",N($G111)=0),"",R111/$G111)</f>
        <v/>
      </c>
      <c r="T111" s="23">
        <f>IF($C111="","",N($G111)-N(R111))</f>
        <v/>
      </c>
      <c r="U111" s="24" t="n"/>
      <c r="V111" s="22" t="n"/>
    </row>
    <row r="112">
      <c r="B112" s="13">
        <f>IF($C112="","",COUNTA($C$9:$C112))</f>
        <v/>
      </c>
      <c r="C112" s="21" t="n"/>
      <c r="D112" s="14" t="n"/>
      <c r="E112" s="14" t="n"/>
      <c r="F112" s="14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3">
        <f>IF($C112="","",N(L112)-N(M112))</f>
        <v/>
      </c>
      <c r="P112" s="24" t="n"/>
      <c r="Q112" s="23">
        <f>IF($C112="","",N(M112)+N(N112))</f>
        <v/>
      </c>
      <c r="R112" s="23">
        <f>IF($C112="","",N(J112)+N(Q112))</f>
        <v/>
      </c>
      <c r="S112" s="25">
        <f>IF(OR($C112="",N($G112)=0),"",R112/$G112)</f>
        <v/>
      </c>
      <c r="T112" s="23">
        <f>IF($C112="","",N($G112)-N(R112))</f>
        <v/>
      </c>
      <c r="U112" s="24" t="n"/>
      <c r="V112" s="22" t="n"/>
    </row>
    <row r="113">
      <c r="B113" s="13">
        <f>IF($C113="","",COUNTA($C$9:$C113))</f>
        <v/>
      </c>
      <c r="C113" s="21" t="n"/>
      <c r="D113" s="14" t="n"/>
      <c r="E113" s="14" t="n"/>
      <c r="F113" s="14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3">
        <f>IF($C113="","",N(L113)-N(M113))</f>
        <v/>
      </c>
      <c r="P113" s="24" t="n"/>
      <c r="Q113" s="23">
        <f>IF($C113="","",N(M113)+N(N113))</f>
        <v/>
      </c>
      <c r="R113" s="23">
        <f>IF($C113="","",N(J113)+N(Q113))</f>
        <v/>
      </c>
      <c r="S113" s="25">
        <f>IF(OR($C113="",N($G113)=0),"",R113/$G113)</f>
        <v/>
      </c>
      <c r="T113" s="23">
        <f>IF($C113="","",N($G113)-N(R113))</f>
        <v/>
      </c>
      <c r="U113" s="24" t="n"/>
      <c r="V113" s="22" t="n"/>
    </row>
    <row r="114">
      <c r="B114" s="13">
        <f>IF($C114="","",COUNTA($C$9:$C114))</f>
        <v/>
      </c>
      <c r="C114" s="21" t="n"/>
      <c r="D114" s="14" t="n"/>
      <c r="E114" s="14" t="n"/>
      <c r="F114" s="14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3">
        <f>IF($C114="","",N(L114)-N(M114))</f>
        <v/>
      </c>
      <c r="P114" s="24" t="n"/>
      <c r="Q114" s="23">
        <f>IF($C114="","",N(M114)+N(N114))</f>
        <v/>
      </c>
      <c r="R114" s="23">
        <f>IF($C114="","",N(J114)+N(Q114))</f>
        <v/>
      </c>
      <c r="S114" s="25">
        <f>IF(OR($C114="",N($G114)=0),"",R114/$G114)</f>
        <v/>
      </c>
      <c r="T114" s="23">
        <f>IF($C114="","",N($G114)-N(R114))</f>
        <v/>
      </c>
      <c r="U114" s="24" t="n"/>
      <c r="V114" s="22" t="n"/>
    </row>
    <row r="115">
      <c r="B115" s="13">
        <f>IF($C115="","",COUNTA($C$9:$C115))</f>
        <v/>
      </c>
      <c r="C115" s="21" t="n"/>
      <c r="D115" s="14" t="n"/>
      <c r="E115" s="14" t="n"/>
      <c r="F115" s="14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3">
        <f>IF($C115="","",N(L115)-N(M115))</f>
        <v/>
      </c>
      <c r="P115" s="24" t="n"/>
      <c r="Q115" s="23">
        <f>IF($C115="","",N(M115)+N(N115))</f>
        <v/>
      </c>
      <c r="R115" s="23">
        <f>IF($C115="","",N(J115)+N(Q115))</f>
        <v/>
      </c>
      <c r="S115" s="25">
        <f>IF(OR($C115="",N($G115)=0),"",R115/$G115)</f>
        <v/>
      </c>
      <c r="T115" s="23">
        <f>IF($C115="","",N($G115)-N(R115))</f>
        <v/>
      </c>
      <c r="U115" s="24" t="n"/>
      <c r="V115" s="22" t="n"/>
    </row>
    <row r="116">
      <c r="B116" s="13">
        <f>IF($C116="","",COUNTA($C$9:$C116))</f>
        <v/>
      </c>
      <c r="C116" s="21" t="n"/>
      <c r="D116" s="14" t="n"/>
      <c r="E116" s="14" t="n"/>
      <c r="F116" s="14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3">
        <f>IF($C116="","",N(L116)-N(M116))</f>
        <v/>
      </c>
      <c r="P116" s="24" t="n"/>
      <c r="Q116" s="23">
        <f>IF($C116="","",N(M116)+N(N116))</f>
        <v/>
      </c>
      <c r="R116" s="23">
        <f>IF($C116="","",N(J116)+N(Q116))</f>
        <v/>
      </c>
      <c r="S116" s="25">
        <f>IF(OR($C116="",N($G116)=0),"",R116/$G116)</f>
        <v/>
      </c>
      <c r="T116" s="23">
        <f>IF($C116="","",N($G116)-N(R116))</f>
        <v/>
      </c>
      <c r="U116" s="24" t="n"/>
      <c r="V116" s="22" t="n"/>
    </row>
    <row r="117">
      <c r="B117" s="13">
        <f>IF($C117="","",COUNTA($C$9:$C117))</f>
        <v/>
      </c>
      <c r="C117" s="21" t="n"/>
      <c r="D117" s="14" t="n"/>
      <c r="E117" s="14" t="n"/>
      <c r="F117" s="14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3">
        <f>IF($C117="","",N(L117)-N(M117))</f>
        <v/>
      </c>
      <c r="P117" s="24" t="n"/>
      <c r="Q117" s="23">
        <f>IF($C117="","",N(M117)+N(N117))</f>
        <v/>
      </c>
      <c r="R117" s="23">
        <f>IF($C117="","",N(J117)+N(Q117))</f>
        <v/>
      </c>
      <c r="S117" s="25">
        <f>IF(OR($C117="",N($G117)=0),"",R117/$G117)</f>
        <v/>
      </c>
      <c r="T117" s="23">
        <f>IF($C117="","",N($G117)-N(R117))</f>
        <v/>
      </c>
      <c r="U117" s="24" t="n"/>
      <c r="V117" s="22" t="n"/>
    </row>
    <row r="118">
      <c r="B118" s="13">
        <f>IF($C118="","",COUNTA($C$9:$C118))</f>
        <v/>
      </c>
      <c r="C118" s="21" t="n"/>
      <c r="D118" s="14" t="n"/>
      <c r="E118" s="14" t="n"/>
      <c r="F118" s="14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3">
        <f>IF($C118="","",N(L118)-N(M118))</f>
        <v/>
      </c>
      <c r="P118" s="24" t="n"/>
      <c r="Q118" s="23">
        <f>IF($C118="","",N(M118)+N(N118))</f>
        <v/>
      </c>
      <c r="R118" s="23">
        <f>IF($C118="","",N(J118)+N(Q118))</f>
        <v/>
      </c>
      <c r="S118" s="25">
        <f>IF(OR($C118="",N($G118)=0),"",R118/$G118)</f>
        <v/>
      </c>
      <c r="T118" s="23">
        <f>IF($C118="","",N($G118)-N(R118))</f>
        <v/>
      </c>
      <c r="U118" s="24" t="n"/>
      <c r="V118" s="22" t="n"/>
    </row>
    <row r="119">
      <c r="B119" s="13">
        <f>IF($C119="","",COUNTA($C$9:$C119))</f>
        <v/>
      </c>
      <c r="C119" s="21" t="n"/>
      <c r="D119" s="14" t="n"/>
      <c r="E119" s="14" t="n"/>
      <c r="F119" s="14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3">
        <f>IF($C119="","",N(L119)-N(M119))</f>
        <v/>
      </c>
      <c r="P119" s="24" t="n"/>
      <c r="Q119" s="23">
        <f>IF($C119="","",N(M119)+N(N119))</f>
        <v/>
      </c>
      <c r="R119" s="23">
        <f>IF($C119="","",N(J119)+N(Q119))</f>
        <v/>
      </c>
      <c r="S119" s="25">
        <f>IF(OR($C119="",N($G119)=0),"",R119/$G119)</f>
        <v/>
      </c>
      <c r="T119" s="23">
        <f>IF($C119="","",N($G119)-N(R119))</f>
        <v/>
      </c>
      <c r="U119" s="24" t="n"/>
      <c r="V119" s="22" t="n"/>
    </row>
    <row r="120">
      <c r="B120" s="13">
        <f>IF($C120="","",COUNTA($C$9:$C120))</f>
        <v/>
      </c>
      <c r="C120" s="21" t="n"/>
      <c r="D120" s="14" t="n"/>
      <c r="E120" s="14" t="n"/>
      <c r="F120" s="14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3">
        <f>IF($C120="","",N(L120)-N(M120))</f>
        <v/>
      </c>
      <c r="P120" s="24" t="n"/>
      <c r="Q120" s="23">
        <f>IF($C120="","",N(M120)+N(N120))</f>
        <v/>
      </c>
      <c r="R120" s="23">
        <f>IF($C120="","",N(J120)+N(Q120))</f>
        <v/>
      </c>
      <c r="S120" s="25">
        <f>IF(OR($C120="",N($G120)=0),"",R120/$G120)</f>
        <v/>
      </c>
      <c r="T120" s="23">
        <f>IF($C120="","",N($G120)-N(R120))</f>
        <v/>
      </c>
      <c r="U120" s="24" t="n"/>
      <c r="V120" s="22" t="n"/>
    </row>
    <row r="121">
      <c r="B121" s="13">
        <f>IF($C121="","",COUNTA($C$9:$C121))</f>
        <v/>
      </c>
      <c r="C121" s="21" t="n"/>
      <c r="D121" s="14" t="n"/>
      <c r="E121" s="14" t="n"/>
      <c r="F121" s="14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3">
        <f>IF($C121="","",N(L121)-N(M121))</f>
        <v/>
      </c>
      <c r="P121" s="24" t="n"/>
      <c r="Q121" s="23">
        <f>IF($C121="","",N(M121)+N(N121))</f>
        <v/>
      </c>
      <c r="R121" s="23">
        <f>IF($C121="","",N(J121)+N(Q121))</f>
        <v/>
      </c>
      <c r="S121" s="25">
        <f>IF(OR($C121="",N($G121)=0),"",R121/$G121)</f>
        <v/>
      </c>
      <c r="T121" s="23">
        <f>IF($C121="","",N($G121)-N(R121))</f>
        <v/>
      </c>
      <c r="U121" s="24" t="n"/>
      <c r="V121" s="22" t="n"/>
    </row>
    <row r="122">
      <c r="B122" s="13">
        <f>IF($C122="","",COUNTA($C$9:$C122))</f>
        <v/>
      </c>
      <c r="C122" s="21" t="n"/>
      <c r="D122" s="14" t="n"/>
      <c r="E122" s="14" t="n"/>
      <c r="F122" s="14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3">
        <f>IF($C122="","",N(L122)-N(M122))</f>
        <v/>
      </c>
      <c r="P122" s="24" t="n"/>
      <c r="Q122" s="23">
        <f>IF($C122="","",N(M122)+N(N122))</f>
        <v/>
      </c>
      <c r="R122" s="23">
        <f>IF($C122="","",N(J122)+N(Q122))</f>
        <v/>
      </c>
      <c r="S122" s="25">
        <f>IF(OR($C122="",N($G122)=0),"",R122/$G122)</f>
        <v/>
      </c>
      <c r="T122" s="23">
        <f>IF($C122="","",N($G122)-N(R122))</f>
        <v/>
      </c>
      <c r="U122" s="24" t="n"/>
      <c r="V122" s="22" t="n"/>
    </row>
    <row r="123">
      <c r="B123" s="13">
        <f>IF($C123="","",COUNTA($C$9:$C123))</f>
        <v/>
      </c>
      <c r="C123" s="21" t="n"/>
      <c r="D123" s="14" t="n"/>
      <c r="E123" s="14" t="n"/>
      <c r="F123" s="14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3">
        <f>IF($C123="","",N(L123)-N(M123))</f>
        <v/>
      </c>
      <c r="P123" s="24" t="n"/>
      <c r="Q123" s="23">
        <f>IF($C123="","",N(M123)+N(N123))</f>
        <v/>
      </c>
      <c r="R123" s="23">
        <f>IF($C123="","",N(J123)+N(Q123))</f>
        <v/>
      </c>
      <c r="S123" s="25">
        <f>IF(OR($C123="",N($G123)=0),"",R123/$G123)</f>
        <v/>
      </c>
      <c r="T123" s="23">
        <f>IF($C123="","",N($G123)-N(R123))</f>
        <v/>
      </c>
      <c r="U123" s="24" t="n"/>
      <c r="V123" s="22" t="n"/>
    </row>
    <row r="124">
      <c r="B124" s="13">
        <f>IF($C124="","",COUNTA($C$9:$C124))</f>
        <v/>
      </c>
      <c r="C124" s="21" t="n"/>
      <c r="D124" s="14" t="n"/>
      <c r="E124" s="14" t="n"/>
      <c r="F124" s="14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3">
        <f>IF($C124="","",N(L124)-N(M124))</f>
        <v/>
      </c>
      <c r="P124" s="24" t="n"/>
      <c r="Q124" s="23">
        <f>IF($C124="","",N(M124)+N(N124))</f>
        <v/>
      </c>
      <c r="R124" s="23">
        <f>IF($C124="","",N(J124)+N(Q124))</f>
        <v/>
      </c>
      <c r="S124" s="25">
        <f>IF(OR($C124="",N($G124)=0),"",R124/$G124)</f>
        <v/>
      </c>
      <c r="T124" s="23">
        <f>IF($C124="","",N($G124)-N(R124))</f>
        <v/>
      </c>
      <c r="U124" s="24" t="n"/>
      <c r="V124" s="22" t="n"/>
    </row>
    <row r="125">
      <c r="B125" s="13">
        <f>IF($C125="","",COUNTA($C$9:$C125))</f>
        <v/>
      </c>
      <c r="C125" s="21" t="n"/>
      <c r="D125" s="14" t="n"/>
      <c r="E125" s="14" t="n"/>
      <c r="F125" s="14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3">
        <f>IF($C125="","",N(L125)-N(M125))</f>
        <v/>
      </c>
      <c r="P125" s="24" t="n"/>
      <c r="Q125" s="23">
        <f>IF($C125="","",N(M125)+N(N125))</f>
        <v/>
      </c>
      <c r="R125" s="23">
        <f>IF($C125="","",N(J125)+N(Q125))</f>
        <v/>
      </c>
      <c r="S125" s="25">
        <f>IF(OR($C125="",N($G125)=0),"",R125/$G125)</f>
        <v/>
      </c>
      <c r="T125" s="23">
        <f>IF($C125="","",N($G125)-N(R125))</f>
        <v/>
      </c>
      <c r="U125" s="24" t="n"/>
      <c r="V125" s="22" t="n"/>
    </row>
    <row r="126">
      <c r="B126" s="13">
        <f>IF($C126="","",COUNTA($C$9:$C126))</f>
        <v/>
      </c>
      <c r="C126" s="21" t="n"/>
      <c r="D126" s="14" t="n"/>
      <c r="E126" s="14" t="n"/>
      <c r="F126" s="14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3">
        <f>IF($C126="","",N(L126)-N(M126))</f>
        <v/>
      </c>
      <c r="P126" s="24" t="n"/>
      <c r="Q126" s="23">
        <f>IF($C126="","",N(M126)+N(N126))</f>
        <v/>
      </c>
      <c r="R126" s="23">
        <f>IF($C126="","",N(J126)+N(Q126))</f>
        <v/>
      </c>
      <c r="S126" s="25">
        <f>IF(OR($C126="",N($G126)=0),"",R126/$G126)</f>
        <v/>
      </c>
      <c r="T126" s="23">
        <f>IF($C126="","",N($G126)-N(R126))</f>
        <v/>
      </c>
      <c r="U126" s="24" t="n"/>
      <c r="V126" s="22" t="n"/>
    </row>
    <row r="127">
      <c r="B127" s="13">
        <f>IF($C127="","",COUNTA($C$9:$C127))</f>
        <v/>
      </c>
      <c r="C127" s="21" t="n"/>
      <c r="D127" s="14" t="n"/>
      <c r="E127" s="14" t="n"/>
      <c r="F127" s="14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3">
        <f>IF($C127="","",N(L127)-N(M127))</f>
        <v/>
      </c>
      <c r="P127" s="24" t="n"/>
      <c r="Q127" s="23">
        <f>IF($C127="","",N(M127)+N(N127))</f>
        <v/>
      </c>
      <c r="R127" s="23">
        <f>IF($C127="","",N(J127)+N(Q127))</f>
        <v/>
      </c>
      <c r="S127" s="25">
        <f>IF(OR($C127="",N($G127)=0),"",R127/$G127)</f>
        <v/>
      </c>
      <c r="T127" s="23">
        <f>IF($C127="","",N($G127)-N(R127))</f>
        <v/>
      </c>
      <c r="U127" s="24" t="n"/>
      <c r="V127" s="22" t="n"/>
    </row>
    <row r="128">
      <c r="B128" s="13">
        <f>IF($C128="","",COUNTA($C$9:$C128))</f>
        <v/>
      </c>
      <c r="C128" s="21" t="n"/>
      <c r="D128" s="14" t="n"/>
      <c r="E128" s="14" t="n"/>
      <c r="F128" s="14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3">
        <f>IF($C128="","",N(L128)-N(M128))</f>
        <v/>
      </c>
      <c r="P128" s="24" t="n"/>
      <c r="Q128" s="23">
        <f>IF($C128="","",N(M128)+N(N128))</f>
        <v/>
      </c>
      <c r="R128" s="23">
        <f>IF($C128="","",N(J128)+N(Q128))</f>
        <v/>
      </c>
      <c r="S128" s="25">
        <f>IF(OR($C128="",N($G128)=0),"",R128/$G128)</f>
        <v/>
      </c>
      <c r="T128" s="23">
        <f>IF($C128="","",N($G128)-N(R128))</f>
        <v/>
      </c>
      <c r="U128" s="24" t="n"/>
      <c r="V128" s="22" t="n"/>
    </row>
    <row r="129">
      <c r="B129" s="13">
        <f>IF($C129="","",COUNTA($C$9:$C129))</f>
        <v/>
      </c>
      <c r="C129" s="21" t="n"/>
      <c r="D129" s="14" t="n"/>
      <c r="E129" s="14" t="n"/>
      <c r="F129" s="14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3">
        <f>IF($C129="","",N(L129)-N(M129))</f>
        <v/>
      </c>
      <c r="P129" s="24" t="n"/>
      <c r="Q129" s="23">
        <f>IF($C129="","",N(M129)+N(N129))</f>
        <v/>
      </c>
      <c r="R129" s="23">
        <f>IF($C129="","",N(J129)+N(Q129))</f>
        <v/>
      </c>
      <c r="S129" s="25">
        <f>IF(OR($C129="",N($G129)=0),"",R129/$G129)</f>
        <v/>
      </c>
      <c r="T129" s="23">
        <f>IF($C129="","",N($G129)-N(R129))</f>
        <v/>
      </c>
      <c r="U129" s="24" t="n"/>
      <c r="V129" s="22" t="n"/>
    </row>
    <row r="130">
      <c r="B130" s="13">
        <f>IF($C130="","",COUNTA($C$9:$C130))</f>
        <v/>
      </c>
      <c r="C130" s="21" t="n"/>
      <c r="D130" s="14" t="n"/>
      <c r="E130" s="14" t="n"/>
      <c r="F130" s="14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3">
        <f>IF($C130="","",N(L130)-N(M130))</f>
        <v/>
      </c>
      <c r="P130" s="24" t="n"/>
      <c r="Q130" s="23">
        <f>IF($C130="","",N(M130)+N(N130))</f>
        <v/>
      </c>
      <c r="R130" s="23">
        <f>IF($C130="","",N(J130)+N(Q130))</f>
        <v/>
      </c>
      <c r="S130" s="25">
        <f>IF(OR($C130="",N($G130)=0),"",R130/$G130)</f>
        <v/>
      </c>
      <c r="T130" s="23">
        <f>IF($C130="","",N($G130)-N(R130))</f>
        <v/>
      </c>
      <c r="U130" s="24" t="n"/>
      <c r="V130" s="22" t="n"/>
    </row>
    <row r="131">
      <c r="B131" s="13">
        <f>IF($C131="","",COUNTA($C$9:$C131))</f>
        <v/>
      </c>
      <c r="C131" s="21" t="n"/>
      <c r="D131" s="14" t="n"/>
      <c r="E131" s="14" t="n"/>
      <c r="F131" s="14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3">
        <f>IF($C131="","",N(L131)-N(M131))</f>
        <v/>
      </c>
      <c r="P131" s="24" t="n"/>
      <c r="Q131" s="23">
        <f>IF($C131="","",N(M131)+N(N131))</f>
        <v/>
      </c>
      <c r="R131" s="23">
        <f>IF($C131="","",N(J131)+N(Q131))</f>
        <v/>
      </c>
      <c r="S131" s="25">
        <f>IF(OR($C131="",N($G131)=0),"",R131/$G131)</f>
        <v/>
      </c>
      <c r="T131" s="23">
        <f>IF($C131="","",N($G131)-N(R131))</f>
        <v/>
      </c>
      <c r="U131" s="24" t="n"/>
      <c r="V131" s="22" t="n"/>
    </row>
    <row r="132">
      <c r="B132" s="13">
        <f>IF($C132="","",COUNTA($C$9:$C132))</f>
        <v/>
      </c>
      <c r="C132" s="21" t="n"/>
      <c r="D132" s="14" t="n"/>
      <c r="E132" s="14" t="n"/>
      <c r="F132" s="14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3">
        <f>IF($C132="","",N(L132)-N(M132))</f>
        <v/>
      </c>
      <c r="P132" s="24" t="n"/>
      <c r="Q132" s="23">
        <f>IF($C132="","",N(M132)+N(N132))</f>
        <v/>
      </c>
      <c r="R132" s="23">
        <f>IF($C132="","",N(J132)+N(Q132))</f>
        <v/>
      </c>
      <c r="S132" s="25">
        <f>IF(OR($C132="",N($G132)=0),"",R132/$G132)</f>
        <v/>
      </c>
      <c r="T132" s="23">
        <f>IF($C132="","",N($G132)-N(R132))</f>
        <v/>
      </c>
      <c r="U132" s="24" t="n"/>
      <c r="V132" s="22" t="n"/>
    </row>
    <row r="133">
      <c r="B133" s="13">
        <f>IF($C133="","",COUNTA($C$9:$C133))</f>
        <v/>
      </c>
      <c r="C133" s="21" t="n"/>
      <c r="D133" s="14" t="n"/>
      <c r="E133" s="14" t="n"/>
      <c r="F133" s="14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3">
        <f>IF($C133="","",N(L133)-N(M133))</f>
        <v/>
      </c>
      <c r="P133" s="24" t="n"/>
      <c r="Q133" s="23">
        <f>IF($C133="","",N(M133)+N(N133))</f>
        <v/>
      </c>
      <c r="R133" s="23">
        <f>IF($C133="","",N(J133)+N(Q133))</f>
        <v/>
      </c>
      <c r="S133" s="25">
        <f>IF(OR($C133="",N($G133)=0),"",R133/$G133)</f>
        <v/>
      </c>
      <c r="T133" s="23">
        <f>IF($C133="","",N($G133)-N(R133))</f>
        <v/>
      </c>
      <c r="U133" s="24" t="n"/>
      <c r="V133" s="22" t="n"/>
    </row>
    <row r="134">
      <c r="B134" s="13">
        <f>IF($C134="","",COUNTA($C$9:$C134))</f>
        <v/>
      </c>
      <c r="C134" s="21" t="n"/>
      <c r="D134" s="14" t="n"/>
      <c r="E134" s="14" t="n"/>
      <c r="F134" s="14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3">
        <f>IF($C134="","",N(L134)-N(M134))</f>
        <v/>
      </c>
      <c r="P134" s="24" t="n"/>
      <c r="Q134" s="23">
        <f>IF($C134="","",N(M134)+N(N134))</f>
        <v/>
      </c>
      <c r="R134" s="23">
        <f>IF($C134="","",N(J134)+N(Q134))</f>
        <v/>
      </c>
      <c r="S134" s="25">
        <f>IF(OR($C134="",N($G134)=0),"",R134/$G134)</f>
        <v/>
      </c>
      <c r="T134" s="23">
        <f>IF($C134="","",N($G134)-N(R134))</f>
        <v/>
      </c>
      <c r="U134" s="24" t="n"/>
      <c r="V134" s="22" t="n"/>
    </row>
    <row r="135">
      <c r="B135" s="13">
        <f>IF($C135="","",COUNTA($C$9:$C135))</f>
        <v/>
      </c>
      <c r="C135" s="21" t="n"/>
      <c r="D135" s="14" t="n"/>
      <c r="E135" s="14" t="n"/>
      <c r="F135" s="14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3">
        <f>IF($C135="","",N(L135)-N(M135))</f>
        <v/>
      </c>
      <c r="P135" s="24" t="n"/>
      <c r="Q135" s="23">
        <f>IF($C135="","",N(M135)+N(N135))</f>
        <v/>
      </c>
      <c r="R135" s="23">
        <f>IF($C135="","",N(J135)+N(Q135))</f>
        <v/>
      </c>
      <c r="S135" s="25">
        <f>IF(OR($C135="",N($G135)=0),"",R135/$G135)</f>
        <v/>
      </c>
      <c r="T135" s="23">
        <f>IF($C135="","",N($G135)-N(R135))</f>
        <v/>
      </c>
      <c r="U135" s="24" t="n"/>
      <c r="V135" s="22" t="n"/>
    </row>
    <row r="136">
      <c r="B136" s="13">
        <f>IF($C136="","",COUNTA($C$9:$C136))</f>
        <v/>
      </c>
      <c r="C136" s="21" t="n"/>
      <c r="D136" s="14" t="n"/>
      <c r="E136" s="14" t="n"/>
      <c r="F136" s="14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3">
        <f>IF($C136="","",N(L136)-N(M136))</f>
        <v/>
      </c>
      <c r="P136" s="24" t="n"/>
      <c r="Q136" s="23">
        <f>IF($C136="","",N(M136)+N(N136))</f>
        <v/>
      </c>
      <c r="R136" s="23">
        <f>IF($C136="","",N(J136)+N(Q136))</f>
        <v/>
      </c>
      <c r="S136" s="25">
        <f>IF(OR($C136="",N($G136)=0),"",R136/$G136)</f>
        <v/>
      </c>
      <c r="T136" s="23">
        <f>IF($C136="","",N($G136)-N(R136))</f>
        <v/>
      </c>
      <c r="U136" s="24" t="n"/>
      <c r="V136" s="22" t="n"/>
    </row>
    <row r="137">
      <c r="B137" s="13">
        <f>IF($C137="","",COUNTA($C$9:$C137))</f>
        <v/>
      </c>
      <c r="C137" s="21" t="n"/>
      <c r="D137" s="14" t="n"/>
      <c r="E137" s="14" t="n"/>
      <c r="F137" s="14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3">
        <f>IF($C137="","",N(L137)-N(M137))</f>
        <v/>
      </c>
      <c r="P137" s="24" t="n"/>
      <c r="Q137" s="23">
        <f>IF($C137="","",N(M137)+N(N137))</f>
        <v/>
      </c>
      <c r="R137" s="23">
        <f>IF($C137="","",N(J137)+N(Q137))</f>
        <v/>
      </c>
      <c r="S137" s="25">
        <f>IF(OR($C137="",N($G137)=0),"",R137/$G137)</f>
        <v/>
      </c>
      <c r="T137" s="23">
        <f>IF($C137="","",N($G137)-N(R137))</f>
        <v/>
      </c>
      <c r="U137" s="24" t="n"/>
      <c r="V137" s="22" t="n"/>
    </row>
    <row r="138">
      <c r="B138" s="13">
        <f>IF($C138="","",COUNTA($C$9:$C138))</f>
        <v/>
      </c>
      <c r="C138" s="21" t="n"/>
      <c r="D138" s="14" t="n"/>
      <c r="E138" s="14" t="n"/>
      <c r="F138" s="14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3">
        <f>IF($C138="","",N(L138)-N(M138))</f>
        <v/>
      </c>
      <c r="P138" s="24" t="n"/>
      <c r="Q138" s="23">
        <f>IF($C138="","",N(M138)+N(N138))</f>
        <v/>
      </c>
      <c r="R138" s="23">
        <f>IF($C138="","",N(J138)+N(Q138))</f>
        <v/>
      </c>
      <c r="S138" s="25">
        <f>IF(OR($C138="",N($G138)=0),"",R138/$G138)</f>
        <v/>
      </c>
      <c r="T138" s="23">
        <f>IF($C138="","",N($G138)-N(R138))</f>
        <v/>
      </c>
      <c r="U138" s="24" t="n"/>
      <c r="V138" s="22" t="n"/>
    </row>
    <row r="139">
      <c r="B139" s="13">
        <f>IF($C139="","",COUNTA($C$9:$C139))</f>
        <v/>
      </c>
      <c r="C139" s="21" t="n"/>
      <c r="D139" s="14" t="n"/>
      <c r="E139" s="14" t="n"/>
      <c r="F139" s="14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3">
        <f>IF($C139="","",N(L139)-N(M139))</f>
        <v/>
      </c>
      <c r="P139" s="24" t="n"/>
      <c r="Q139" s="23">
        <f>IF($C139="","",N(M139)+N(N139))</f>
        <v/>
      </c>
      <c r="R139" s="23">
        <f>IF($C139="","",N(J139)+N(Q139))</f>
        <v/>
      </c>
      <c r="S139" s="25">
        <f>IF(OR($C139="",N($G139)=0),"",R139/$G139)</f>
        <v/>
      </c>
      <c r="T139" s="23">
        <f>IF($C139="","",N($G139)-N(R139))</f>
        <v/>
      </c>
      <c r="U139" s="24" t="n"/>
      <c r="V139" s="22" t="n"/>
    </row>
    <row r="140">
      <c r="B140" s="13">
        <f>IF($C140="","",COUNTA($C$9:$C140))</f>
        <v/>
      </c>
      <c r="C140" s="21" t="n"/>
      <c r="D140" s="14" t="n"/>
      <c r="E140" s="14" t="n"/>
      <c r="F140" s="14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3">
        <f>IF($C140="","",N(L140)-N(M140))</f>
        <v/>
      </c>
      <c r="P140" s="24" t="n"/>
      <c r="Q140" s="23">
        <f>IF($C140="","",N(M140)+N(N140))</f>
        <v/>
      </c>
      <c r="R140" s="23">
        <f>IF($C140="","",N(J140)+N(Q140))</f>
        <v/>
      </c>
      <c r="S140" s="25">
        <f>IF(OR($C140="",N($G140)=0),"",R140/$G140)</f>
        <v/>
      </c>
      <c r="T140" s="23">
        <f>IF($C140="","",N($G140)-N(R140))</f>
        <v/>
      </c>
      <c r="U140" s="24" t="n"/>
      <c r="V140" s="22" t="n"/>
    </row>
    <row r="141">
      <c r="B141" s="13">
        <f>IF($C141="","",COUNTA($C$9:$C141))</f>
        <v/>
      </c>
      <c r="C141" s="21" t="n"/>
      <c r="D141" s="14" t="n"/>
      <c r="E141" s="14" t="n"/>
      <c r="F141" s="14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3">
        <f>IF($C141="","",N(L141)-N(M141))</f>
        <v/>
      </c>
      <c r="P141" s="24" t="n"/>
      <c r="Q141" s="23">
        <f>IF($C141="","",N(M141)+N(N141))</f>
        <v/>
      </c>
      <c r="R141" s="23">
        <f>IF($C141="","",N(J141)+N(Q141))</f>
        <v/>
      </c>
      <c r="S141" s="25">
        <f>IF(OR($C141="",N($G141)=0),"",R141/$G141)</f>
        <v/>
      </c>
      <c r="T141" s="23">
        <f>IF($C141="","",N($G141)-N(R141))</f>
        <v/>
      </c>
      <c r="U141" s="24" t="n"/>
      <c r="V141" s="22" t="n"/>
    </row>
    <row r="142">
      <c r="B142" s="13">
        <f>IF($C142="","",COUNTA($C$9:$C142))</f>
        <v/>
      </c>
      <c r="C142" s="21" t="n"/>
      <c r="D142" s="14" t="n"/>
      <c r="E142" s="14" t="n"/>
      <c r="F142" s="14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3">
        <f>IF($C142="","",N(L142)-N(M142))</f>
        <v/>
      </c>
      <c r="P142" s="24" t="n"/>
      <c r="Q142" s="23">
        <f>IF($C142="","",N(M142)+N(N142))</f>
        <v/>
      </c>
      <c r="R142" s="23">
        <f>IF($C142="","",N(J142)+N(Q142))</f>
        <v/>
      </c>
      <c r="S142" s="25">
        <f>IF(OR($C142="",N($G142)=0),"",R142/$G142)</f>
        <v/>
      </c>
      <c r="T142" s="23">
        <f>IF($C142="","",N($G142)-N(R142))</f>
        <v/>
      </c>
      <c r="U142" s="24" t="n"/>
      <c r="V142" s="22" t="n"/>
    </row>
    <row r="143">
      <c r="B143" s="13">
        <f>IF($C143="","",COUNTA($C$9:$C143))</f>
        <v/>
      </c>
      <c r="C143" s="21" t="n"/>
      <c r="D143" s="14" t="n"/>
      <c r="E143" s="14" t="n"/>
      <c r="F143" s="14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3">
        <f>IF($C143="","",N(L143)-N(M143))</f>
        <v/>
      </c>
      <c r="P143" s="24" t="n"/>
      <c r="Q143" s="23">
        <f>IF($C143="","",N(M143)+N(N143))</f>
        <v/>
      </c>
      <c r="R143" s="23">
        <f>IF($C143="","",N(J143)+N(Q143))</f>
        <v/>
      </c>
      <c r="S143" s="25">
        <f>IF(OR($C143="",N($G143)=0),"",R143/$G143)</f>
        <v/>
      </c>
      <c r="T143" s="23">
        <f>IF($C143="","",N($G143)-N(R143))</f>
        <v/>
      </c>
      <c r="U143" s="24" t="n"/>
      <c r="V143" s="22" t="n"/>
    </row>
    <row r="144">
      <c r="B144" s="13">
        <f>IF($C144="","",COUNTA($C$9:$C144))</f>
        <v/>
      </c>
      <c r="C144" s="21" t="n"/>
      <c r="D144" s="14" t="n"/>
      <c r="E144" s="14" t="n"/>
      <c r="F144" s="14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3">
        <f>IF($C144="","",N(L144)-N(M144))</f>
        <v/>
      </c>
      <c r="P144" s="24" t="n"/>
      <c r="Q144" s="23">
        <f>IF($C144="","",N(M144)+N(N144))</f>
        <v/>
      </c>
      <c r="R144" s="23">
        <f>IF($C144="","",N(J144)+N(Q144))</f>
        <v/>
      </c>
      <c r="S144" s="25">
        <f>IF(OR($C144="",N($G144)=0),"",R144/$G144)</f>
        <v/>
      </c>
      <c r="T144" s="23">
        <f>IF($C144="","",N($G144)-N(R144))</f>
        <v/>
      </c>
      <c r="U144" s="24" t="n"/>
      <c r="V144" s="22" t="n"/>
    </row>
    <row r="145">
      <c r="B145" s="13">
        <f>IF($C145="","",COUNTA($C$9:$C145))</f>
        <v/>
      </c>
      <c r="C145" s="21" t="n"/>
      <c r="D145" s="14" t="n"/>
      <c r="E145" s="14" t="n"/>
      <c r="F145" s="14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3">
        <f>IF($C145="","",N(L145)-N(M145))</f>
        <v/>
      </c>
      <c r="P145" s="24" t="n"/>
      <c r="Q145" s="23">
        <f>IF($C145="","",N(M145)+N(N145))</f>
        <v/>
      </c>
      <c r="R145" s="23">
        <f>IF($C145="","",N(J145)+N(Q145))</f>
        <v/>
      </c>
      <c r="S145" s="25">
        <f>IF(OR($C145="",N($G145)=0),"",R145/$G145)</f>
        <v/>
      </c>
      <c r="T145" s="23">
        <f>IF($C145="","",N($G145)-N(R145))</f>
        <v/>
      </c>
      <c r="U145" s="24" t="n"/>
      <c r="V145" s="22" t="n"/>
    </row>
    <row r="146">
      <c r="B146" s="13">
        <f>IF($C146="","",COUNTA($C$9:$C146))</f>
        <v/>
      </c>
      <c r="C146" s="21" t="n"/>
      <c r="D146" s="14" t="n"/>
      <c r="E146" s="14" t="n"/>
      <c r="F146" s="14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3">
        <f>IF($C146="","",N(L146)-N(M146))</f>
        <v/>
      </c>
      <c r="P146" s="24" t="n"/>
      <c r="Q146" s="23">
        <f>IF($C146="","",N(M146)+N(N146))</f>
        <v/>
      </c>
      <c r="R146" s="23">
        <f>IF($C146="","",N(J146)+N(Q146))</f>
        <v/>
      </c>
      <c r="S146" s="25">
        <f>IF(OR($C146="",N($G146)=0),"",R146/$G146)</f>
        <v/>
      </c>
      <c r="T146" s="23">
        <f>IF($C146="","",N($G146)-N(R146))</f>
        <v/>
      </c>
      <c r="U146" s="24" t="n"/>
      <c r="V146" s="22" t="n"/>
    </row>
    <row r="147">
      <c r="B147" s="13">
        <f>IF($C147="","",COUNTA($C$9:$C147))</f>
        <v/>
      </c>
      <c r="C147" s="21" t="n"/>
      <c r="D147" s="14" t="n"/>
      <c r="E147" s="14" t="n"/>
      <c r="F147" s="14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3">
        <f>IF($C147="","",N(L147)-N(M147))</f>
        <v/>
      </c>
      <c r="P147" s="24" t="n"/>
      <c r="Q147" s="23">
        <f>IF($C147="","",N(M147)+N(N147))</f>
        <v/>
      </c>
      <c r="R147" s="23">
        <f>IF($C147="","",N(J147)+N(Q147))</f>
        <v/>
      </c>
      <c r="S147" s="25">
        <f>IF(OR($C147="",N($G147)=0),"",R147/$G147)</f>
        <v/>
      </c>
      <c r="T147" s="23">
        <f>IF($C147="","",N($G147)-N(R147))</f>
        <v/>
      </c>
      <c r="U147" s="24" t="n"/>
      <c r="V147" s="22" t="n"/>
    </row>
    <row r="148">
      <c r="B148" s="13">
        <f>IF($C148="","",COUNTA($C$9:$C148))</f>
        <v/>
      </c>
      <c r="C148" s="21" t="n"/>
      <c r="D148" s="14" t="n"/>
      <c r="E148" s="14" t="n"/>
      <c r="F148" s="14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3">
        <f>IF($C148="","",N(L148)-N(M148))</f>
        <v/>
      </c>
      <c r="P148" s="24" t="n"/>
      <c r="Q148" s="23">
        <f>IF($C148="","",N(M148)+N(N148))</f>
        <v/>
      </c>
      <c r="R148" s="23">
        <f>IF($C148="","",N(J148)+N(Q148))</f>
        <v/>
      </c>
      <c r="S148" s="25">
        <f>IF(OR($C148="",N($G148)=0),"",R148/$G148)</f>
        <v/>
      </c>
      <c r="T148" s="23">
        <f>IF($C148="","",N($G148)-N(R148))</f>
        <v/>
      </c>
      <c r="U148" s="24" t="n"/>
      <c r="V148" s="22" t="n"/>
    </row>
    <row r="149">
      <c r="B149" s="13">
        <f>IF($C149="","",COUNTA($C$9:$C149))</f>
        <v/>
      </c>
      <c r="C149" s="21" t="n"/>
      <c r="D149" s="14" t="n"/>
      <c r="E149" s="14" t="n"/>
      <c r="F149" s="14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3">
        <f>IF($C149="","",N(L149)-N(M149))</f>
        <v/>
      </c>
      <c r="P149" s="24" t="n"/>
      <c r="Q149" s="23">
        <f>IF($C149="","",N(M149)+N(N149))</f>
        <v/>
      </c>
      <c r="R149" s="23">
        <f>IF($C149="","",N(J149)+N(Q149))</f>
        <v/>
      </c>
      <c r="S149" s="25">
        <f>IF(OR($C149="",N($G149)=0),"",R149/$G149)</f>
        <v/>
      </c>
      <c r="T149" s="23">
        <f>IF($C149="","",N($G149)-N(R149))</f>
        <v/>
      </c>
      <c r="U149" s="24" t="n"/>
      <c r="V149" s="22" t="n"/>
    </row>
    <row r="150">
      <c r="B150" s="13">
        <f>IF($C150="","",COUNTA($C$9:$C150))</f>
        <v/>
      </c>
      <c r="C150" s="21" t="n"/>
      <c r="D150" s="14" t="n"/>
      <c r="E150" s="14" t="n"/>
      <c r="F150" s="14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3">
        <f>IF($C150="","",N(L150)-N(M150))</f>
        <v/>
      </c>
      <c r="P150" s="24" t="n"/>
      <c r="Q150" s="23">
        <f>IF($C150="","",N(M150)+N(N150))</f>
        <v/>
      </c>
      <c r="R150" s="23">
        <f>IF($C150="","",N(J150)+N(Q150))</f>
        <v/>
      </c>
      <c r="S150" s="25">
        <f>IF(OR($C150="",N($G150)=0),"",R150/$G150)</f>
        <v/>
      </c>
      <c r="T150" s="23">
        <f>IF($C150="","",N($G150)-N(R150))</f>
        <v/>
      </c>
      <c r="U150" s="24" t="n"/>
      <c r="V150" s="22" t="n"/>
    </row>
    <row r="151">
      <c r="B151" s="13">
        <f>IF($C151="","",COUNTA($C$9:$C151))</f>
        <v/>
      </c>
      <c r="C151" s="21" t="n"/>
      <c r="D151" s="14" t="n"/>
      <c r="E151" s="14" t="n"/>
      <c r="F151" s="14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3">
        <f>IF($C151="","",N(L151)-N(M151))</f>
        <v/>
      </c>
      <c r="P151" s="24" t="n"/>
      <c r="Q151" s="23">
        <f>IF($C151="","",N(M151)+N(N151))</f>
        <v/>
      </c>
      <c r="R151" s="23">
        <f>IF($C151="","",N(J151)+N(Q151))</f>
        <v/>
      </c>
      <c r="S151" s="25">
        <f>IF(OR($C151="",N($G151)=0),"",R151/$G151)</f>
        <v/>
      </c>
      <c r="T151" s="23">
        <f>IF($C151="","",N($G151)-N(R151))</f>
        <v/>
      </c>
      <c r="U151" s="24" t="n"/>
      <c r="V151" s="22" t="n"/>
    </row>
    <row r="152">
      <c r="B152" s="13">
        <f>IF($C152="","",COUNTA($C$9:$C152))</f>
        <v/>
      </c>
      <c r="C152" s="21" t="n"/>
      <c r="D152" s="14" t="n"/>
      <c r="E152" s="14" t="n"/>
      <c r="F152" s="14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3">
        <f>IF($C152="","",N(L152)-N(M152))</f>
        <v/>
      </c>
      <c r="P152" s="24" t="n"/>
      <c r="Q152" s="23">
        <f>IF($C152="","",N(M152)+N(N152))</f>
        <v/>
      </c>
      <c r="R152" s="23">
        <f>IF($C152="","",N(J152)+N(Q152))</f>
        <v/>
      </c>
      <c r="S152" s="25">
        <f>IF(OR($C152="",N($G152)=0),"",R152/$G152)</f>
        <v/>
      </c>
      <c r="T152" s="23">
        <f>IF($C152="","",N($G152)-N(R152))</f>
        <v/>
      </c>
      <c r="U152" s="24" t="n"/>
      <c r="V152" s="22" t="n"/>
    </row>
    <row r="153">
      <c r="B153" s="13">
        <f>IF($C153="","",COUNTA($C$9:$C153))</f>
        <v/>
      </c>
      <c r="C153" s="21" t="n"/>
      <c r="D153" s="14" t="n"/>
      <c r="E153" s="14" t="n"/>
      <c r="F153" s="14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3">
        <f>IF($C153="","",N(L153)-N(M153))</f>
        <v/>
      </c>
      <c r="P153" s="24" t="n"/>
      <c r="Q153" s="23">
        <f>IF($C153="","",N(M153)+N(N153))</f>
        <v/>
      </c>
      <c r="R153" s="23">
        <f>IF($C153="","",N(J153)+N(Q153))</f>
        <v/>
      </c>
      <c r="S153" s="25">
        <f>IF(OR($C153="",N($G153)=0),"",R153/$G153)</f>
        <v/>
      </c>
      <c r="T153" s="23">
        <f>IF($C153="","",N($G153)-N(R153))</f>
        <v/>
      </c>
      <c r="U153" s="24" t="n"/>
      <c r="V153" s="22" t="n"/>
    </row>
    <row r="154">
      <c r="B154" s="13">
        <f>IF($C154="","",COUNTA($C$9:$C154))</f>
        <v/>
      </c>
      <c r="C154" s="21" t="n"/>
      <c r="D154" s="14" t="n"/>
      <c r="E154" s="14" t="n"/>
      <c r="F154" s="14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3">
        <f>IF($C154="","",N(L154)-N(M154))</f>
        <v/>
      </c>
      <c r="P154" s="24" t="n"/>
      <c r="Q154" s="23">
        <f>IF($C154="","",N(M154)+N(N154))</f>
        <v/>
      </c>
      <c r="R154" s="23">
        <f>IF($C154="","",N(J154)+N(Q154))</f>
        <v/>
      </c>
      <c r="S154" s="25">
        <f>IF(OR($C154="",N($G154)=0),"",R154/$G154)</f>
        <v/>
      </c>
      <c r="T154" s="23">
        <f>IF($C154="","",N($G154)-N(R154))</f>
        <v/>
      </c>
      <c r="U154" s="24" t="n"/>
      <c r="V154" s="22" t="n"/>
    </row>
    <row r="155">
      <c r="B155" s="13">
        <f>IF($C155="","",COUNTA($C$9:$C155))</f>
        <v/>
      </c>
      <c r="C155" s="21" t="n"/>
      <c r="D155" s="14" t="n"/>
      <c r="E155" s="14" t="n"/>
      <c r="F155" s="14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3">
        <f>IF($C155="","",N(L155)-N(M155))</f>
        <v/>
      </c>
      <c r="P155" s="24" t="n"/>
      <c r="Q155" s="23">
        <f>IF($C155="","",N(M155)+N(N155))</f>
        <v/>
      </c>
      <c r="R155" s="23">
        <f>IF($C155="","",N(J155)+N(Q155))</f>
        <v/>
      </c>
      <c r="S155" s="25">
        <f>IF(OR($C155="",N($G155)=0),"",R155/$G155)</f>
        <v/>
      </c>
      <c r="T155" s="23">
        <f>IF($C155="","",N($G155)-N(R155))</f>
        <v/>
      </c>
      <c r="U155" s="24" t="n"/>
      <c r="V155" s="22" t="n"/>
    </row>
    <row r="156">
      <c r="B156" s="13">
        <f>IF($C156="","",COUNTA($C$9:$C156))</f>
        <v/>
      </c>
      <c r="C156" s="21" t="n"/>
      <c r="D156" s="14" t="n"/>
      <c r="E156" s="14" t="n"/>
      <c r="F156" s="14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3">
        <f>IF($C156="","",N(L156)-N(M156))</f>
        <v/>
      </c>
      <c r="P156" s="24" t="n"/>
      <c r="Q156" s="23">
        <f>IF($C156="","",N(M156)+N(N156))</f>
        <v/>
      </c>
      <c r="R156" s="23">
        <f>IF($C156="","",N(J156)+N(Q156))</f>
        <v/>
      </c>
      <c r="S156" s="25">
        <f>IF(OR($C156="",N($G156)=0),"",R156/$G156)</f>
        <v/>
      </c>
      <c r="T156" s="23">
        <f>IF($C156="","",N($G156)-N(R156))</f>
        <v/>
      </c>
      <c r="U156" s="24" t="n"/>
      <c r="V156" s="22" t="n"/>
    </row>
    <row r="157">
      <c r="B157" s="13">
        <f>IF($C157="","",COUNTA($C$9:$C157))</f>
        <v/>
      </c>
      <c r="C157" s="21" t="n"/>
      <c r="D157" s="14" t="n"/>
      <c r="E157" s="14" t="n"/>
      <c r="F157" s="14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3">
        <f>IF($C157="","",N(L157)-N(M157))</f>
        <v/>
      </c>
      <c r="P157" s="24" t="n"/>
      <c r="Q157" s="23">
        <f>IF($C157="","",N(M157)+N(N157))</f>
        <v/>
      </c>
      <c r="R157" s="23">
        <f>IF($C157="","",N(J157)+N(Q157))</f>
        <v/>
      </c>
      <c r="S157" s="25">
        <f>IF(OR($C157="",N($G157)=0),"",R157/$G157)</f>
        <v/>
      </c>
      <c r="T157" s="23">
        <f>IF($C157="","",N($G157)-N(R157))</f>
        <v/>
      </c>
      <c r="U157" s="24" t="n"/>
      <c r="V157" s="22" t="n"/>
    </row>
    <row r="158">
      <c r="B158" s="13">
        <f>IF($C158="","",COUNTA($C$9:$C158))</f>
        <v/>
      </c>
      <c r="C158" s="21" t="n"/>
      <c r="D158" s="14" t="n"/>
      <c r="E158" s="14" t="n"/>
      <c r="F158" s="14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3">
        <f>IF($C158="","",N(L158)-N(M158))</f>
        <v/>
      </c>
      <c r="P158" s="24" t="n"/>
      <c r="Q158" s="23">
        <f>IF($C158="","",N(M158)+N(N158))</f>
        <v/>
      </c>
      <c r="R158" s="23">
        <f>IF($C158="","",N(J158)+N(Q158))</f>
        <v/>
      </c>
      <c r="S158" s="25">
        <f>IF(OR($C158="",N($G158)=0),"",R158/$G158)</f>
        <v/>
      </c>
      <c r="T158" s="23">
        <f>IF($C158="","",N($G158)-N(R158))</f>
        <v/>
      </c>
      <c r="U158" s="24" t="n"/>
      <c r="V158" s="22" t="n"/>
    </row>
    <row r="159">
      <c r="B159" s="13">
        <f>IF($C159="","",COUNTA($C$9:$C159))</f>
        <v/>
      </c>
      <c r="C159" s="21" t="n"/>
      <c r="D159" s="14" t="n"/>
      <c r="E159" s="14" t="n"/>
      <c r="F159" s="14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3">
        <f>IF($C159="","",N(L159)-N(M159))</f>
        <v/>
      </c>
      <c r="P159" s="24" t="n"/>
      <c r="Q159" s="23">
        <f>IF($C159="","",N(M159)+N(N159))</f>
        <v/>
      </c>
      <c r="R159" s="23">
        <f>IF($C159="","",N(J159)+N(Q159))</f>
        <v/>
      </c>
      <c r="S159" s="25">
        <f>IF(OR($C159="",N($G159)=0),"",R159/$G159)</f>
        <v/>
      </c>
      <c r="T159" s="23">
        <f>IF($C159="","",N($G159)-N(R159))</f>
        <v/>
      </c>
      <c r="U159" s="24" t="n"/>
      <c r="V159" s="22" t="n"/>
    </row>
    <row r="160">
      <c r="B160" s="13">
        <f>IF($C160="","",COUNTA($C$9:$C160))</f>
        <v/>
      </c>
      <c r="C160" s="21" t="n"/>
      <c r="D160" s="14" t="n"/>
      <c r="E160" s="14" t="n"/>
      <c r="F160" s="14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3">
        <f>IF($C160="","",N(L160)-N(M160))</f>
        <v/>
      </c>
      <c r="P160" s="24" t="n"/>
      <c r="Q160" s="23">
        <f>IF($C160="","",N(M160)+N(N160))</f>
        <v/>
      </c>
      <c r="R160" s="23">
        <f>IF($C160="","",N(J160)+N(Q160))</f>
        <v/>
      </c>
      <c r="S160" s="25">
        <f>IF(OR($C160="",N($G160)=0),"",R160/$G160)</f>
        <v/>
      </c>
      <c r="T160" s="23">
        <f>IF($C160="","",N($G160)-N(R160))</f>
        <v/>
      </c>
      <c r="U160" s="24" t="n"/>
      <c r="V160" s="22" t="n"/>
    </row>
    <row r="161">
      <c r="B161" s="13">
        <f>IF($C161="","",COUNTA($C$9:$C161))</f>
        <v/>
      </c>
      <c r="C161" s="21" t="n"/>
      <c r="D161" s="14" t="n"/>
      <c r="E161" s="14" t="n"/>
      <c r="F161" s="14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3">
        <f>IF($C161="","",N(L161)-N(M161))</f>
        <v/>
      </c>
      <c r="P161" s="24" t="n"/>
      <c r="Q161" s="23">
        <f>IF($C161="","",N(M161)+N(N161))</f>
        <v/>
      </c>
      <c r="R161" s="23">
        <f>IF($C161="","",N(J161)+N(Q161))</f>
        <v/>
      </c>
      <c r="S161" s="25">
        <f>IF(OR($C161="",N($G161)=0),"",R161/$G161)</f>
        <v/>
      </c>
      <c r="T161" s="23">
        <f>IF($C161="","",N($G161)-N(R161))</f>
        <v/>
      </c>
      <c r="U161" s="24" t="n"/>
      <c r="V161" s="22" t="n"/>
    </row>
    <row r="162">
      <c r="B162" s="13">
        <f>IF($C162="","",COUNTA($C$9:$C162))</f>
        <v/>
      </c>
      <c r="C162" s="21" t="n"/>
      <c r="D162" s="14" t="n"/>
      <c r="E162" s="14" t="n"/>
      <c r="F162" s="14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3">
        <f>IF($C162="","",N(L162)-N(M162))</f>
        <v/>
      </c>
      <c r="P162" s="24" t="n"/>
      <c r="Q162" s="23">
        <f>IF($C162="","",N(M162)+N(N162))</f>
        <v/>
      </c>
      <c r="R162" s="23">
        <f>IF($C162="","",N(J162)+N(Q162))</f>
        <v/>
      </c>
      <c r="S162" s="25">
        <f>IF(OR($C162="",N($G162)=0),"",R162/$G162)</f>
        <v/>
      </c>
      <c r="T162" s="23">
        <f>IF($C162="","",N($G162)-N(R162))</f>
        <v/>
      </c>
      <c r="U162" s="24" t="n"/>
      <c r="V162" s="22" t="n"/>
    </row>
    <row r="163">
      <c r="B163" s="13">
        <f>IF($C163="","",COUNTA($C$9:$C163))</f>
        <v/>
      </c>
      <c r="C163" s="21" t="n"/>
      <c r="D163" s="14" t="n"/>
      <c r="E163" s="14" t="n"/>
      <c r="F163" s="14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3">
        <f>IF($C163="","",N(L163)-N(M163))</f>
        <v/>
      </c>
      <c r="P163" s="24" t="n"/>
      <c r="Q163" s="23">
        <f>IF($C163="","",N(M163)+N(N163))</f>
        <v/>
      </c>
      <c r="R163" s="23">
        <f>IF($C163="","",N(J163)+N(Q163))</f>
        <v/>
      </c>
      <c r="S163" s="25">
        <f>IF(OR($C163="",N($G163)=0),"",R163/$G163)</f>
        <v/>
      </c>
      <c r="T163" s="23">
        <f>IF($C163="","",N($G163)-N(R163))</f>
        <v/>
      </c>
      <c r="U163" s="24" t="n"/>
      <c r="V163" s="22" t="n"/>
    </row>
    <row r="164">
      <c r="B164" s="13">
        <f>IF($C164="","",COUNTA($C$9:$C164))</f>
        <v/>
      </c>
      <c r="C164" s="21" t="n"/>
      <c r="D164" s="14" t="n"/>
      <c r="E164" s="14" t="n"/>
      <c r="F164" s="14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3">
        <f>IF($C164="","",N(L164)-N(M164))</f>
        <v/>
      </c>
      <c r="P164" s="24" t="n"/>
      <c r="Q164" s="23">
        <f>IF($C164="","",N(M164)+N(N164))</f>
        <v/>
      </c>
      <c r="R164" s="23">
        <f>IF($C164="","",N(J164)+N(Q164))</f>
        <v/>
      </c>
      <c r="S164" s="25">
        <f>IF(OR($C164="",N($G164)=0),"",R164/$G164)</f>
        <v/>
      </c>
      <c r="T164" s="23">
        <f>IF($C164="","",N($G164)-N(R164))</f>
        <v/>
      </c>
      <c r="U164" s="24" t="n"/>
      <c r="V164" s="22" t="n"/>
    </row>
    <row r="165">
      <c r="B165" s="13">
        <f>IF($C165="","",COUNTA($C$9:$C165))</f>
        <v/>
      </c>
      <c r="C165" s="21" t="n"/>
      <c r="D165" s="14" t="n"/>
      <c r="E165" s="14" t="n"/>
      <c r="F165" s="14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3">
        <f>IF($C165="","",N(L165)-N(M165))</f>
        <v/>
      </c>
      <c r="P165" s="24" t="n"/>
      <c r="Q165" s="23">
        <f>IF($C165="","",N(M165)+N(N165))</f>
        <v/>
      </c>
      <c r="R165" s="23">
        <f>IF($C165="","",N(J165)+N(Q165))</f>
        <v/>
      </c>
      <c r="S165" s="25">
        <f>IF(OR($C165="",N($G165)=0),"",R165/$G165)</f>
        <v/>
      </c>
      <c r="T165" s="23">
        <f>IF($C165="","",N($G165)-N(R165))</f>
        <v/>
      </c>
      <c r="U165" s="24" t="n"/>
      <c r="V165" s="22" t="n"/>
    </row>
    <row r="166">
      <c r="B166" s="13">
        <f>IF($C166="","",COUNTA($C$9:$C166))</f>
        <v/>
      </c>
      <c r="C166" s="21" t="n"/>
      <c r="D166" s="14" t="n"/>
      <c r="E166" s="14" t="n"/>
      <c r="F166" s="14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3">
        <f>IF($C166="","",N(L166)-N(M166))</f>
        <v/>
      </c>
      <c r="P166" s="24" t="n"/>
      <c r="Q166" s="23">
        <f>IF($C166="","",N(M166)+N(N166))</f>
        <v/>
      </c>
      <c r="R166" s="23">
        <f>IF($C166="","",N(J166)+N(Q166))</f>
        <v/>
      </c>
      <c r="S166" s="25">
        <f>IF(OR($C166="",N($G166)=0),"",R166/$G166)</f>
        <v/>
      </c>
      <c r="T166" s="23">
        <f>IF($C166="","",N($G166)-N(R166))</f>
        <v/>
      </c>
      <c r="U166" s="24" t="n"/>
      <c r="V166" s="22" t="n"/>
    </row>
    <row r="167">
      <c r="B167" s="13">
        <f>IF($C167="","",COUNTA($C$9:$C167))</f>
        <v/>
      </c>
      <c r="C167" s="21" t="n"/>
      <c r="D167" s="14" t="n"/>
      <c r="E167" s="14" t="n"/>
      <c r="F167" s="14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3">
        <f>IF($C167="","",N(L167)-N(M167))</f>
        <v/>
      </c>
      <c r="P167" s="24" t="n"/>
      <c r="Q167" s="23">
        <f>IF($C167="","",N(M167)+N(N167))</f>
        <v/>
      </c>
      <c r="R167" s="23">
        <f>IF($C167="","",N(J167)+N(Q167))</f>
        <v/>
      </c>
      <c r="S167" s="25">
        <f>IF(OR($C167="",N($G167)=0),"",R167/$G167)</f>
        <v/>
      </c>
      <c r="T167" s="23">
        <f>IF($C167="","",N($G167)-N(R167))</f>
        <v/>
      </c>
      <c r="U167" s="24" t="n"/>
      <c r="V167" s="22" t="n"/>
    </row>
    <row r="168">
      <c r="B168" s="13">
        <f>IF($C168="","",COUNTA($C$9:$C168))</f>
        <v/>
      </c>
      <c r="C168" s="21" t="n"/>
      <c r="D168" s="14" t="n"/>
      <c r="E168" s="14" t="n"/>
      <c r="F168" s="14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3">
        <f>IF($C168="","",N(L168)-N(M168))</f>
        <v/>
      </c>
      <c r="P168" s="24" t="n"/>
      <c r="Q168" s="23">
        <f>IF($C168="","",N(M168)+N(N168))</f>
        <v/>
      </c>
      <c r="R168" s="23">
        <f>IF($C168="","",N(J168)+N(Q168))</f>
        <v/>
      </c>
      <c r="S168" s="25">
        <f>IF(OR($C168="",N($G168)=0),"",R168/$G168)</f>
        <v/>
      </c>
      <c r="T168" s="23">
        <f>IF($C168="","",N($G168)-N(R168))</f>
        <v/>
      </c>
      <c r="U168" s="24" t="n"/>
      <c r="V168" s="22" t="n"/>
    </row>
    <row r="169">
      <c r="B169" s="13">
        <f>IF($C169="","",COUNTA($C$9:$C169))</f>
        <v/>
      </c>
      <c r="C169" s="21" t="n"/>
      <c r="D169" s="14" t="n"/>
      <c r="E169" s="14" t="n"/>
      <c r="F169" s="14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3">
        <f>IF($C169="","",N(L169)-N(M169))</f>
        <v/>
      </c>
      <c r="P169" s="24" t="n"/>
      <c r="Q169" s="23">
        <f>IF($C169="","",N(M169)+N(N169))</f>
        <v/>
      </c>
      <c r="R169" s="23">
        <f>IF($C169="","",N(J169)+N(Q169))</f>
        <v/>
      </c>
      <c r="S169" s="25">
        <f>IF(OR($C169="",N($G169)=0),"",R169/$G169)</f>
        <v/>
      </c>
      <c r="T169" s="23">
        <f>IF($C169="","",N($G169)-N(R169))</f>
        <v/>
      </c>
      <c r="U169" s="24" t="n"/>
      <c r="V169" s="22" t="n"/>
    </row>
    <row r="170">
      <c r="B170" s="13">
        <f>IF($C170="","",COUNTA($C$9:$C170))</f>
        <v/>
      </c>
      <c r="C170" s="21" t="n"/>
      <c r="D170" s="14" t="n"/>
      <c r="E170" s="14" t="n"/>
      <c r="F170" s="14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3">
        <f>IF($C170="","",N(L170)-N(M170))</f>
        <v/>
      </c>
      <c r="P170" s="24" t="n"/>
      <c r="Q170" s="23">
        <f>IF($C170="","",N(M170)+N(N170))</f>
        <v/>
      </c>
      <c r="R170" s="23">
        <f>IF($C170="","",N(J170)+N(Q170))</f>
        <v/>
      </c>
      <c r="S170" s="25">
        <f>IF(OR($C170="",N($G170)=0),"",R170/$G170)</f>
        <v/>
      </c>
      <c r="T170" s="23">
        <f>IF($C170="","",N($G170)-N(R170))</f>
        <v/>
      </c>
      <c r="U170" s="24" t="n"/>
      <c r="V170" s="22" t="n"/>
    </row>
    <row r="171">
      <c r="B171" s="13">
        <f>IF($C171="","",COUNTA($C$9:$C171))</f>
        <v/>
      </c>
      <c r="C171" s="21" t="n"/>
      <c r="D171" s="14" t="n"/>
      <c r="E171" s="14" t="n"/>
      <c r="F171" s="14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3">
        <f>IF($C171="","",N(L171)-N(M171))</f>
        <v/>
      </c>
      <c r="P171" s="24" t="n"/>
      <c r="Q171" s="23">
        <f>IF($C171="","",N(M171)+N(N171))</f>
        <v/>
      </c>
      <c r="R171" s="23">
        <f>IF($C171="","",N(J171)+N(Q171))</f>
        <v/>
      </c>
      <c r="S171" s="25">
        <f>IF(OR($C171="",N($G171)=0),"",R171/$G171)</f>
        <v/>
      </c>
      <c r="T171" s="23">
        <f>IF($C171="","",N($G171)-N(R171))</f>
        <v/>
      </c>
      <c r="U171" s="24" t="n"/>
      <c r="V171" s="22" t="n"/>
    </row>
    <row r="172">
      <c r="B172" s="13">
        <f>IF($C172="","",COUNTA($C$9:$C172))</f>
        <v/>
      </c>
      <c r="C172" s="21" t="n"/>
      <c r="D172" s="14" t="n"/>
      <c r="E172" s="14" t="n"/>
      <c r="F172" s="14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3">
        <f>IF($C172="","",N(L172)-N(M172))</f>
        <v/>
      </c>
      <c r="P172" s="24" t="n"/>
      <c r="Q172" s="23">
        <f>IF($C172="","",N(M172)+N(N172))</f>
        <v/>
      </c>
      <c r="R172" s="23">
        <f>IF($C172="","",N(J172)+N(Q172))</f>
        <v/>
      </c>
      <c r="S172" s="25">
        <f>IF(OR($C172="",N($G172)=0),"",R172/$G172)</f>
        <v/>
      </c>
      <c r="T172" s="23">
        <f>IF($C172="","",N($G172)-N(R172))</f>
        <v/>
      </c>
      <c r="U172" s="24" t="n"/>
      <c r="V172" s="22" t="n"/>
    </row>
    <row r="173">
      <c r="B173" s="13">
        <f>IF($C173="","",COUNTA($C$9:$C173))</f>
        <v/>
      </c>
      <c r="C173" s="21" t="n"/>
      <c r="D173" s="14" t="n"/>
      <c r="E173" s="14" t="n"/>
      <c r="F173" s="14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3">
        <f>IF($C173="","",N(L173)-N(M173))</f>
        <v/>
      </c>
      <c r="P173" s="24" t="n"/>
      <c r="Q173" s="23">
        <f>IF($C173="","",N(M173)+N(N173))</f>
        <v/>
      </c>
      <c r="R173" s="23">
        <f>IF($C173="","",N(J173)+N(Q173))</f>
        <v/>
      </c>
      <c r="S173" s="25">
        <f>IF(OR($C173="",N($G173)=0),"",R173/$G173)</f>
        <v/>
      </c>
      <c r="T173" s="23">
        <f>IF($C173="","",N($G173)-N(R173))</f>
        <v/>
      </c>
      <c r="U173" s="24" t="n"/>
      <c r="V173" s="22" t="n"/>
    </row>
    <row r="174">
      <c r="B174" s="13">
        <f>IF($C174="","",COUNTA($C$9:$C174))</f>
        <v/>
      </c>
      <c r="C174" s="21" t="n"/>
      <c r="D174" s="14" t="n"/>
      <c r="E174" s="14" t="n"/>
      <c r="F174" s="14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3">
        <f>IF($C174="","",N(L174)-N(M174))</f>
        <v/>
      </c>
      <c r="P174" s="24" t="n"/>
      <c r="Q174" s="23">
        <f>IF($C174="","",N(M174)+N(N174))</f>
        <v/>
      </c>
      <c r="R174" s="23">
        <f>IF($C174="","",N(J174)+N(Q174))</f>
        <v/>
      </c>
      <c r="S174" s="25">
        <f>IF(OR($C174="",N($G174)=0),"",R174/$G174)</f>
        <v/>
      </c>
      <c r="T174" s="23">
        <f>IF($C174="","",N($G174)-N(R174))</f>
        <v/>
      </c>
      <c r="U174" s="24" t="n"/>
      <c r="V174" s="22" t="n"/>
    </row>
    <row r="175">
      <c r="B175" s="13">
        <f>IF($C175="","",COUNTA($C$9:$C175))</f>
        <v/>
      </c>
      <c r="C175" s="21" t="n"/>
      <c r="D175" s="14" t="n"/>
      <c r="E175" s="14" t="n"/>
      <c r="F175" s="14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3">
        <f>IF($C175="","",N(L175)-N(M175))</f>
        <v/>
      </c>
      <c r="P175" s="24" t="n"/>
      <c r="Q175" s="23">
        <f>IF($C175="","",N(M175)+N(N175))</f>
        <v/>
      </c>
      <c r="R175" s="23">
        <f>IF($C175="","",N(J175)+N(Q175))</f>
        <v/>
      </c>
      <c r="S175" s="25">
        <f>IF(OR($C175="",N($G175)=0),"",R175/$G175)</f>
        <v/>
      </c>
      <c r="T175" s="23">
        <f>IF($C175="","",N($G175)-N(R175))</f>
        <v/>
      </c>
      <c r="U175" s="24" t="n"/>
      <c r="V175" s="22" t="n"/>
    </row>
    <row r="176">
      <c r="B176" s="13">
        <f>IF($C176="","",COUNTA($C$9:$C176))</f>
        <v/>
      </c>
      <c r="C176" s="21" t="n"/>
      <c r="D176" s="14" t="n"/>
      <c r="E176" s="14" t="n"/>
      <c r="F176" s="14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3">
        <f>IF($C176="","",N(L176)-N(M176))</f>
        <v/>
      </c>
      <c r="P176" s="24" t="n"/>
      <c r="Q176" s="23">
        <f>IF($C176="","",N(M176)+N(N176))</f>
        <v/>
      </c>
      <c r="R176" s="23">
        <f>IF($C176="","",N(J176)+N(Q176))</f>
        <v/>
      </c>
      <c r="S176" s="25">
        <f>IF(OR($C176="",N($G176)=0),"",R176/$G176)</f>
        <v/>
      </c>
      <c r="T176" s="23">
        <f>IF($C176="","",N($G176)-N(R176))</f>
        <v/>
      </c>
      <c r="U176" s="24" t="n"/>
      <c r="V176" s="22" t="n"/>
    </row>
    <row r="177">
      <c r="B177" s="13">
        <f>IF($C177="","",COUNTA($C$9:$C177))</f>
        <v/>
      </c>
      <c r="C177" s="21" t="n"/>
      <c r="D177" s="14" t="n"/>
      <c r="E177" s="14" t="n"/>
      <c r="F177" s="14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3">
        <f>IF($C177="","",N(L177)-N(M177))</f>
        <v/>
      </c>
      <c r="P177" s="24" t="n"/>
      <c r="Q177" s="23">
        <f>IF($C177="","",N(M177)+N(N177))</f>
        <v/>
      </c>
      <c r="R177" s="23">
        <f>IF($C177="","",N(J177)+N(Q177))</f>
        <v/>
      </c>
      <c r="S177" s="25">
        <f>IF(OR($C177="",N($G177)=0),"",R177/$G177)</f>
        <v/>
      </c>
      <c r="T177" s="23">
        <f>IF($C177="","",N($G177)-N(R177))</f>
        <v/>
      </c>
      <c r="U177" s="24" t="n"/>
      <c r="V177" s="22" t="n"/>
    </row>
    <row r="178">
      <c r="B178" s="13">
        <f>IF($C178="","",COUNTA($C$9:$C178))</f>
        <v/>
      </c>
      <c r="C178" s="21" t="n"/>
      <c r="D178" s="14" t="n"/>
      <c r="E178" s="14" t="n"/>
      <c r="F178" s="14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3">
        <f>IF($C178="","",N(L178)-N(M178))</f>
        <v/>
      </c>
      <c r="P178" s="24" t="n"/>
      <c r="Q178" s="23">
        <f>IF($C178="","",N(M178)+N(N178))</f>
        <v/>
      </c>
      <c r="R178" s="23">
        <f>IF($C178="","",N(J178)+N(Q178))</f>
        <v/>
      </c>
      <c r="S178" s="25">
        <f>IF(OR($C178="",N($G178)=0),"",R178/$G178)</f>
        <v/>
      </c>
      <c r="T178" s="23">
        <f>IF($C178="","",N($G178)-N(R178))</f>
        <v/>
      </c>
      <c r="U178" s="24" t="n"/>
      <c r="V178" s="22" t="n"/>
    </row>
    <row r="179">
      <c r="B179" s="13">
        <f>IF($C179="","",COUNTA($C$9:$C179))</f>
        <v/>
      </c>
      <c r="C179" s="21" t="n"/>
      <c r="D179" s="14" t="n"/>
      <c r="E179" s="14" t="n"/>
      <c r="F179" s="14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3">
        <f>IF($C179="","",N(L179)-N(M179))</f>
        <v/>
      </c>
      <c r="P179" s="24" t="n"/>
      <c r="Q179" s="23">
        <f>IF($C179="","",N(M179)+N(N179))</f>
        <v/>
      </c>
      <c r="R179" s="23">
        <f>IF($C179="","",N(J179)+N(Q179))</f>
        <v/>
      </c>
      <c r="S179" s="25">
        <f>IF(OR($C179="",N($G179)=0),"",R179/$G179)</f>
        <v/>
      </c>
      <c r="T179" s="23">
        <f>IF($C179="","",N($G179)-N(R179))</f>
        <v/>
      </c>
      <c r="U179" s="24" t="n"/>
      <c r="V179" s="22" t="n"/>
    </row>
    <row r="180">
      <c r="B180" s="13">
        <f>IF($C180="","",COUNTA($C$9:$C180))</f>
        <v/>
      </c>
      <c r="C180" s="21" t="n"/>
      <c r="D180" s="14" t="n"/>
      <c r="E180" s="14" t="n"/>
      <c r="F180" s="14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3">
        <f>IF($C180="","",N(L180)-N(M180))</f>
        <v/>
      </c>
      <c r="P180" s="24" t="n"/>
      <c r="Q180" s="23">
        <f>IF($C180="","",N(M180)+N(N180))</f>
        <v/>
      </c>
      <c r="R180" s="23">
        <f>IF($C180="","",N(J180)+N(Q180))</f>
        <v/>
      </c>
      <c r="S180" s="25">
        <f>IF(OR($C180="",N($G180)=0),"",R180/$G180)</f>
        <v/>
      </c>
      <c r="T180" s="23">
        <f>IF($C180="","",N($G180)-N(R180))</f>
        <v/>
      </c>
      <c r="U180" s="24" t="n"/>
      <c r="V180" s="22" t="n"/>
    </row>
    <row r="181">
      <c r="B181" s="13">
        <f>IF($C181="","",COUNTA($C$9:$C181))</f>
        <v/>
      </c>
      <c r="C181" s="21" t="n"/>
      <c r="D181" s="14" t="n"/>
      <c r="E181" s="14" t="n"/>
      <c r="F181" s="14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3">
        <f>IF($C181="","",N(L181)-N(M181))</f>
        <v/>
      </c>
      <c r="P181" s="24" t="n"/>
      <c r="Q181" s="23">
        <f>IF($C181="","",N(M181)+N(N181))</f>
        <v/>
      </c>
      <c r="R181" s="23">
        <f>IF($C181="","",N(J181)+N(Q181))</f>
        <v/>
      </c>
      <c r="S181" s="25">
        <f>IF(OR($C181="",N($G181)=0),"",R181/$G181)</f>
        <v/>
      </c>
      <c r="T181" s="23">
        <f>IF($C181="","",N($G181)-N(R181))</f>
        <v/>
      </c>
      <c r="U181" s="24" t="n"/>
      <c r="V181" s="22" t="n"/>
    </row>
    <row r="182">
      <c r="B182" s="13">
        <f>IF($C182="","",COUNTA($C$9:$C182))</f>
        <v/>
      </c>
      <c r="C182" s="21" t="n"/>
      <c r="D182" s="14" t="n"/>
      <c r="E182" s="14" t="n"/>
      <c r="F182" s="14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3">
        <f>IF($C182="","",N(L182)-N(M182))</f>
        <v/>
      </c>
      <c r="P182" s="24" t="n"/>
      <c r="Q182" s="23">
        <f>IF($C182="","",N(M182)+N(N182))</f>
        <v/>
      </c>
      <c r="R182" s="23">
        <f>IF($C182="","",N(J182)+N(Q182))</f>
        <v/>
      </c>
      <c r="S182" s="25">
        <f>IF(OR($C182="",N($G182)=0),"",R182/$G182)</f>
        <v/>
      </c>
      <c r="T182" s="23">
        <f>IF($C182="","",N($G182)-N(R182))</f>
        <v/>
      </c>
      <c r="U182" s="24" t="n"/>
      <c r="V182" s="22" t="n"/>
    </row>
    <row r="183">
      <c r="B183" s="13">
        <f>IF($C183="","",COUNTA($C$9:$C183))</f>
        <v/>
      </c>
      <c r="C183" s="21" t="n"/>
      <c r="D183" s="14" t="n"/>
      <c r="E183" s="14" t="n"/>
      <c r="F183" s="14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3">
        <f>IF($C183="","",N(L183)-N(M183))</f>
        <v/>
      </c>
      <c r="P183" s="24" t="n"/>
      <c r="Q183" s="23">
        <f>IF($C183="","",N(M183)+N(N183))</f>
        <v/>
      </c>
      <c r="R183" s="23">
        <f>IF($C183="","",N(J183)+N(Q183))</f>
        <v/>
      </c>
      <c r="S183" s="25">
        <f>IF(OR($C183="",N($G183)=0),"",R183/$G183)</f>
        <v/>
      </c>
      <c r="T183" s="23">
        <f>IF($C183="","",N($G183)-N(R183))</f>
        <v/>
      </c>
      <c r="U183" s="24" t="n"/>
      <c r="V183" s="22" t="n"/>
    </row>
    <row r="184">
      <c r="B184" s="13">
        <f>IF($C184="","",COUNTA($C$9:$C184))</f>
        <v/>
      </c>
      <c r="C184" s="21" t="n"/>
      <c r="D184" s="14" t="n"/>
      <c r="E184" s="14" t="n"/>
      <c r="F184" s="14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3">
        <f>IF($C184="","",N(L184)-N(M184))</f>
        <v/>
      </c>
      <c r="P184" s="24" t="n"/>
      <c r="Q184" s="23">
        <f>IF($C184="","",N(M184)+N(N184))</f>
        <v/>
      </c>
      <c r="R184" s="23">
        <f>IF($C184="","",N(J184)+N(Q184))</f>
        <v/>
      </c>
      <c r="S184" s="25">
        <f>IF(OR($C184="",N($G184)=0),"",R184/$G184)</f>
        <v/>
      </c>
      <c r="T184" s="23">
        <f>IF($C184="","",N($G184)-N(R184))</f>
        <v/>
      </c>
      <c r="U184" s="24" t="n"/>
      <c r="V184" s="22" t="n"/>
    </row>
    <row r="185">
      <c r="B185" s="13">
        <f>IF($C185="","",COUNTA($C$9:$C185))</f>
        <v/>
      </c>
      <c r="C185" s="21" t="n"/>
      <c r="D185" s="14" t="n"/>
      <c r="E185" s="14" t="n"/>
      <c r="F185" s="14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3">
        <f>IF($C185="","",N(L185)-N(M185))</f>
        <v/>
      </c>
      <c r="P185" s="24" t="n"/>
      <c r="Q185" s="23">
        <f>IF($C185="","",N(M185)+N(N185))</f>
        <v/>
      </c>
      <c r="R185" s="23">
        <f>IF($C185="","",N(J185)+N(Q185))</f>
        <v/>
      </c>
      <c r="S185" s="25">
        <f>IF(OR($C185="",N($G185)=0),"",R185/$G185)</f>
        <v/>
      </c>
      <c r="T185" s="23">
        <f>IF($C185="","",N($G185)-N(R185))</f>
        <v/>
      </c>
      <c r="U185" s="24" t="n"/>
      <c r="V185" s="22" t="n"/>
    </row>
    <row r="186">
      <c r="B186" s="13">
        <f>IF($C186="","",COUNTA($C$9:$C186))</f>
        <v/>
      </c>
      <c r="C186" s="21" t="n"/>
      <c r="D186" s="14" t="n"/>
      <c r="E186" s="14" t="n"/>
      <c r="F186" s="14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3">
        <f>IF($C186="","",N(L186)-N(M186))</f>
        <v/>
      </c>
      <c r="P186" s="24" t="n"/>
      <c r="Q186" s="23">
        <f>IF($C186="","",N(M186)+N(N186))</f>
        <v/>
      </c>
      <c r="R186" s="23">
        <f>IF($C186="","",N(J186)+N(Q186))</f>
        <v/>
      </c>
      <c r="S186" s="25">
        <f>IF(OR($C186="",N($G186)=0),"",R186/$G186)</f>
        <v/>
      </c>
      <c r="T186" s="23">
        <f>IF($C186="","",N($G186)-N(R186))</f>
        <v/>
      </c>
      <c r="U186" s="24" t="n"/>
      <c r="V186" s="22" t="n"/>
    </row>
    <row r="187">
      <c r="B187" s="13">
        <f>IF($C187="","",COUNTA($C$9:$C187))</f>
        <v/>
      </c>
      <c r="C187" s="21" t="n"/>
      <c r="D187" s="14" t="n"/>
      <c r="E187" s="14" t="n"/>
      <c r="F187" s="14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3">
        <f>IF($C187="","",N(L187)-N(M187))</f>
        <v/>
      </c>
      <c r="P187" s="24" t="n"/>
      <c r="Q187" s="23">
        <f>IF($C187="","",N(M187)+N(N187))</f>
        <v/>
      </c>
      <c r="R187" s="23">
        <f>IF($C187="","",N(J187)+N(Q187))</f>
        <v/>
      </c>
      <c r="S187" s="25">
        <f>IF(OR($C187="",N($G187)=0),"",R187/$G187)</f>
        <v/>
      </c>
      <c r="T187" s="23">
        <f>IF($C187="","",N($G187)-N(R187))</f>
        <v/>
      </c>
      <c r="U187" s="24" t="n"/>
      <c r="V187" s="22" t="n"/>
    </row>
    <row r="188">
      <c r="B188" s="13">
        <f>IF($C188="","",COUNTA($C$9:$C188))</f>
        <v/>
      </c>
      <c r="C188" s="21" t="n"/>
      <c r="D188" s="14" t="n"/>
      <c r="E188" s="14" t="n"/>
      <c r="F188" s="14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3">
        <f>IF($C188="","",N(L188)-N(M188))</f>
        <v/>
      </c>
      <c r="P188" s="24" t="n"/>
      <c r="Q188" s="23">
        <f>IF($C188="","",N(M188)+N(N188))</f>
        <v/>
      </c>
      <c r="R188" s="23">
        <f>IF($C188="","",N(J188)+N(Q188))</f>
        <v/>
      </c>
      <c r="S188" s="25">
        <f>IF(OR($C188="",N($G188)=0),"",R188/$G188)</f>
        <v/>
      </c>
      <c r="T188" s="23">
        <f>IF($C188="","",N($G188)-N(R188))</f>
        <v/>
      </c>
      <c r="U188" s="24" t="n"/>
      <c r="V188" s="22" t="n"/>
    </row>
    <row r="189">
      <c r="B189" s="13">
        <f>IF($C189="","",COUNTA($C$9:$C189))</f>
        <v/>
      </c>
      <c r="C189" s="21" t="n"/>
      <c r="D189" s="14" t="n"/>
      <c r="E189" s="14" t="n"/>
      <c r="F189" s="14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3">
        <f>IF($C189="","",N(L189)-N(M189))</f>
        <v/>
      </c>
      <c r="P189" s="24" t="n"/>
      <c r="Q189" s="23">
        <f>IF($C189="","",N(M189)+N(N189))</f>
        <v/>
      </c>
      <c r="R189" s="23">
        <f>IF($C189="","",N(J189)+N(Q189))</f>
        <v/>
      </c>
      <c r="S189" s="25">
        <f>IF(OR($C189="",N($G189)=0),"",R189/$G189)</f>
        <v/>
      </c>
      <c r="T189" s="23">
        <f>IF($C189="","",N($G189)-N(R189))</f>
        <v/>
      </c>
      <c r="U189" s="24" t="n"/>
      <c r="V189" s="22" t="n"/>
    </row>
    <row r="190">
      <c r="B190" s="13">
        <f>IF($C190="","",COUNTA($C$9:$C190))</f>
        <v/>
      </c>
      <c r="C190" s="21" t="n"/>
      <c r="D190" s="14" t="n"/>
      <c r="E190" s="14" t="n"/>
      <c r="F190" s="14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3">
        <f>IF($C190="","",N(L190)-N(M190))</f>
        <v/>
      </c>
      <c r="P190" s="24" t="n"/>
      <c r="Q190" s="23">
        <f>IF($C190="","",N(M190)+N(N190))</f>
        <v/>
      </c>
      <c r="R190" s="23">
        <f>IF($C190="","",N(J190)+N(Q190))</f>
        <v/>
      </c>
      <c r="S190" s="25">
        <f>IF(OR($C190="",N($G190)=0),"",R190/$G190)</f>
        <v/>
      </c>
      <c r="T190" s="23">
        <f>IF($C190="","",N($G190)-N(R190))</f>
        <v/>
      </c>
      <c r="U190" s="24" t="n"/>
      <c r="V190" s="22" t="n"/>
    </row>
    <row r="191">
      <c r="B191" s="13">
        <f>IF($C191="","",COUNTA($C$9:$C191))</f>
        <v/>
      </c>
      <c r="C191" s="21" t="n"/>
      <c r="D191" s="14" t="n"/>
      <c r="E191" s="14" t="n"/>
      <c r="F191" s="14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3">
        <f>IF($C191="","",N(L191)-N(M191))</f>
        <v/>
      </c>
      <c r="P191" s="24" t="n"/>
      <c r="Q191" s="23">
        <f>IF($C191="","",N(M191)+N(N191))</f>
        <v/>
      </c>
      <c r="R191" s="23">
        <f>IF($C191="","",N(J191)+N(Q191))</f>
        <v/>
      </c>
      <c r="S191" s="25">
        <f>IF(OR($C191="",N($G191)=0),"",R191/$G191)</f>
        <v/>
      </c>
      <c r="T191" s="23">
        <f>IF($C191="","",N($G191)-N(R191))</f>
        <v/>
      </c>
      <c r="U191" s="24" t="n"/>
      <c r="V191" s="22" t="n"/>
    </row>
    <row r="192">
      <c r="B192" s="13">
        <f>IF($C192="","",COUNTA($C$9:$C192))</f>
        <v/>
      </c>
      <c r="C192" s="21" t="n"/>
      <c r="D192" s="14" t="n"/>
      <c r="E192" s="14" t="n"/>
      <c r="F192" s="14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3">
        <f>IF($C192="","",N(L192)-N(M192))</f>
        <v/>
      </c>
      <c r="P192" s="24" t="n"/>
      <c r="Q192" s="23">
        <f>IF($C192="","",N(M192)+N(N192))</f>
        <v/>
      </c>
      <c r="R192" s="23">
        <f>IF($C192="","",N(J192)+N(Q192))</f>
        <v/>
      </c>
      <c r="S192" s="25">
        <f>IF(OR($C192="",N($G192)=0),"",R192/$G192)</f>
        <v/>
      </c>
      <c r="T192" s="23">
        <f>IF($C192="","",N($G192)-N(R192))</f>
        <v/>
      </c>
      <c r="U192" s="24" t="n"/>
      <c r="V192" s="22" t="n"/>
    </row>
    <row r="193">
      <c r="B193" s="13">
        <f>IF($C193="","",COUNTA($C$9:$C193))</f>
        <v/>
      </c>
      <c r="C193" s="21" t="n"/>
      <c r="D193" s="14" t="n"/>
      <c r="E193" s="14" t="n"/>
      <c r="F193" s="14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3">
        <f>IF($C193="","",N(L193)-N(M193))</f>
        <v/>
      </c>
      <c r="P193" s="24" t="n"/>
      <c r="Q193" s="23">
        <f>IF($C193="","",N(M193)+N(N193))</f>
        <v/>
      </c>
      <c r="R193" s="23">
        <f>IF($C193="","",N(J193)+N(Q193))</f>
        <v/>
      </c>
      <c r="S193" s="25">
        <f>IF(OR($C193="",N($G193)=0),"",R193/$G193)</f>
        <v/>
      </c>
      <c r="T193" s="23">
        <f>IF($C193="","",N($G193)-N(R193))</f>
        <v/>
      </c>
      <c r="U193" s="24" t="n"/>
      <c r="V193" s="22" t="n"/>
    </row>
    <row r="194">
      <c r="B194" s="13">
        <f>IF($C194="","",COUNTA($C$9:$C194))</f>
        <v/>
      </c>
      <c r="C194" s="21" t="n"/>
      <c r="D194" s="14" t="n"/>
      <c r="E194" s="14" t="n"/>
      <c r="F194" s="14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3">
        <f>IF($C194="","",N(L194)-N(M194))</f>
        <v/>
      </c>
      <c r="P194" s="24" t="n"/>
      <c r="Q194" s="23">
        <f>IF($C194="","",N(M194)+N(N194))</f>
        <v/>
      </c>
      <c r="R194" s="23">
        <f>IF($C194="","",N(J194)+N(Q194))</f>
        <v/>
      </c>
      <c r="S194" s="25">
        <f>IF(OR($C194="",N($G194)=0),"",R194/$G194)</f>
        <v/>
      </c>
      <c r="T194" s="23">
        <f>IF($C194="","",N($G194)-N(R194))</f>
        <v/>
      </c>
      <c r="U194" s="24" t="n"/>
      <c r="V194" s="22" t="n"/>
    </row>
    <row r="195">
      <c r="B195" s="13">
        <f>IF($C195="","",COUNTA($C$9:$C195))</f>
        <v/>
      </c>
      <c r="C195" s="21" t="n"/>
      <c r="D195" s="14" t="n"/>
      <c r="E195" s="14" t="n"/>
      <c r="F195" s="14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3">
        <f>IF($C195="","",N(L195)-N(M195))</f>
        <v/>
      </c>
      <c r="P195" s="24" t="n"/>
      <c r="Q195" s="23">
        <f>IF($C195="","",N(M195)+N(N195))</f>
        <v/>
      </c>
      <c r="R195" s="23">
        <f>IF($C195="","",N(J195)+N(Q195))</f>
        <v/>
      </c>
      <c r="S195" s="25">
        <f>IF(OR($C195="",N($G195)=0),"",R195/$G195)</f>
        <v/>
      </c>
      <c r="T195" s="23">
        <f>IF($C195="","",N($G195)-N(R195))</f>
        <v/>
      </c>
      <c r="U195" s="24" t="n"/>
      <c r="V195" s="22" t="n"/>
    </row>
    <row r="196">
      <c r="B196" s="13">
        <f>IF($C196="","",COUNTA($C$9:$C196))</f>
        <v/>
      </c>
      <c r="C196" s="21" t="n"/>
      <c r="D196" s="14" t="n"/>
      <c r="E196" s="14" t="n"/>
      <c r="F196" s="14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3">
        <f>IF($C196="","",N(L196)-N(M196))</f>
        <v/>
      </c>
      <c r="P196" s="24" t="n"/>
      <c r="Q196" s="23">
        <f>IF($C196="","",N(M196)+N(N196))</f>
        <v/>
      </c>
      <c r="R196" s="23">
        <f>IF($C196="","",N(J196)+N(Q196))</f>
        <v/>
      </c>
      <c r="S196" s="25">
        <f>IF(OR($C196="",N($G196)=0),"",R196/$G196)</f>
        <v/>
      </c>
      <c r="T196" s="23">
        <f>IF($C196="","",N($G196)-N(R196))</f>
        <v/>
      </c>
      <c r="U196" s="24" t="n"/>
      <c r="V196" s="22" t="n"/>
    </row>
    <row r="197">
      <c r="B197" s="13">
        <f>IF($C197="","",COUNTA($C$9:$C197))</f>
        <v/>
      </c>
      <c r="C197" s="21" t="n"/>
      <c r="D197" s="14" t="n"/>
      <c r="E197" s="14" t="n"/>
      <c r="F197" s="14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3">
        <f>IF($C197="","",N(L197)-N(M197))</f>
        <v/>
      </c>
      <c r="P197" s="24" t="n"/>
      <c r="Q197" s="23">
        <f>IF($C197="","",N(M197)+N(N197))</f>
        <v/>
      </c>
      <c r="R197" s="23">
        <f>IF($C197="","",N(J197)+N(Q197))</f>
        <v/>
      </c>
      <c r="S197" s="25">
        <f>IF(OR($C197="",N($G197)=0),"",R197/$G197)</f>
        <v/>
      </c>
      <c r="T197" s="23">
        <f>IF($C197="","",N($G197)-N(R197))</f>
        <v/>
      </c>
      <c r="U197" s="24" t="n"/>
      <c r="V197" s="22" t="n"/>
    </row>
    <row r="198">
      <c r="B198" s="13">
        <f>IF($C198="","",COUNTA($C$9:$C198))</f>
        <v/>
      </c>
      <c r="C198" s="21" t="n"/>
      <c r="D198" s="14" t="n"/>
      <c r="E198" s="14" t="n"/>
      <c r="F198" s="14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3">
        <f>IF($C198="","",N(L198)-N(M198))</f>
        <v/>
      </c>
      <c r="P198" s="24" t="n"/>
      <c r="Q198" s="23">
        <f>IF($C198="","",N(M198)+N(N198))</f>
        <v/>
      </c>
      <c r="R198" s="23">
        <f>IF($C198="","",N(J198)+N(Q198))</f>
        <v/>
      </c>
      <c r="S198" s="25">
        <f>IF(OR($C198="",N($G198)=0),"",R198/$G198)</f>
        <v/>
      </c>
      <c r="T198" s="23">
        <f>IF($C198="","",N($G198)-N(R198))</f>
        <v/>
      </c>
      <c r="U198" s="24" t="n"/>
      <c r="V198" s="22" t="n"/>
    </row>
    <row r="199">
      <c r="B199" s="13">
        <f>IF($C199="","",COUNTA($C$9:$C199))</f>
        <v/>
      </c>
      <c r="C199" s="21" t="n"/>
      <c r="D199" s="14" t="n"/>
      <c r="E199" s="14" t="n"/>
      <c r="F199" s="14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3">
        <f>IF($C199="","",N(L199)-N(M199))</f>
        <v/>
      </c>
      <c r="P199" s="24" t="n"/>
      <c r="Q199" s="23">
        <f>IF($C199="","",N(M199)+N(N199))</f>
        <v/>
      </c>
      <c r="R199" s="23">
        <f>IF($C199="","",N(J199)+N(Q199))</f>
        <v/>
      </c>
      <c r="S199" s="25">
        <f>IF(OR($C199="",N($G199)=0),"",R199/$G199)</f>
        <v/>
      </c>
      <c r="T199" s="23">
        <f>IF($C199="","",N($G199)-N(R199))</f>
        <v/>
      </c>
      <c r="U199" s="24" t="n"/>
      <c r="V199" s="22" t="n"/>
    </row>
    <row r="200">
      <c r="B200" s="13">
        <f>IF($C200="","",COUNTA($C$9:$C200))</f>
        <v/>
      </c>
      <c r="C200" s="21" t="n"/>
      <c r="D200" s="14" t="n"/>
      <c r="E200" s="14" t="n"/>
      <c r="F200" s="14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3">
        <f>IF($C200="","",N(L200)-N(M200))</f>
        <v/>
      </c>
      <c r="P200" s="24" t="n"/>
      <c r="Q200" s="23">
        <f>IF($C200="","",N(M200)+N(N200))</f>
        <v/>
      </c>
      <c r="R200" s="23">
        <f>IF($C200="","",N(J200)+N(Q200))</f>
        <v/>
      </c>
      <c r="S200" s="25">
        <f>IF(OR($C200="",N($G200)=0),"",R200/$G200)</f>
        <v/>
      </c>
      <c r="T200" s="23">
        <f>IF($C200="","",N($G200)-N(R200))</f>
        <v/>
      </c>
      <c r="U200" s="24" t="n"/>
      <c r="V200" s="22" t="n"/>
    </row>
    <row r="201">
      <c r="B201" s="13">
        <f>IF($C201="","",COUNTA($C$9:$C201))</f>
        <v/>
      </c>
      <c r="C201" s="21" t="n"/>
      <c r="D201" s="14" t="n"/>
      <c r="E201" s="14" t="n"/>
      <c r="F201" s="14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3">
        <f>IF($C201="","",N(L201)-N(M201))</f>
        <v/>
      </c>
      <c r="P201" s="24" t="n"/>
      <c r="Q201" s="23">
        <f>IF($C201="","",N(M201)+N(N201))</f>
        <v/>
      </c>
      <c r="R201" s="23">
        <f>IF($C201="","",N(J201)+N(Q201))</f>
        <v/>
      </c>
      <c r="S201" s="25">
        <f>IF(OR($C201="",N($G201)=0),"",R201/$G201)</f>
        <v/>
      </c>
      <c r="T201" s="23">
        <f>IF($C201="","",N($G201)-N(R201))</f>
        <v/>
      </c>
      <c r="U201" s="24" t="n"/>
      <c r="V201" s="22" t="n"/>
    </row>
    <row r="202">
      <c r="B202" s="13">
        <f>IF($C202="","",COUNTA($C$9:$C202))</f>
        <v/>
      </c>
      <c r="C202" s="21" t="n"/>
      <c r="D202" s="14" t="n"/>
      <c r="E202" s="14" t="n"/>
      <c r="F202" s="14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3">
        <f>IF($C202="","",N(L202)-N(M202))</f>
        <v/>
      </c>
      <c r="P202" s="24" t="n"/>
      <c r="Q202" s="23">
        <f>IF($C202="","",N(M202)+N(N202))</f>
        <v/>
      </c>
      <c r="R202" s="23">
        <f>IF($C202="","",N(J202)+N(Q202))</f>
        <v/>
      </c>
      <c r="S202" s="25">
        <f>IF(OR($C202="",N($G202)=0),"",R202/$G202)</f>
        <v/>
      </c>
      <c r="T202" s="23">
        <f>IF($C202="","",N($G202)-N(R202))</f>
        <v/>
      </c>
      <c r="U202" s="24" t="n"/>
      <c r="V202" s="22" t="n"/>
    </row>
    <row r="203">
      <c r="B203" s="13">
        <f>IF($C203="","",COUNTA($C$9:$C203))</f>
        <v/>
      </c>
      <c r="C203" s="21" t="n"/>
      <c r="D203" s="14" t="n"/>
      <c r="E203" s="14" t="n"/>
      <c r="F203" s="14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3">
        <f>IF($C203="","",N(L203)-N(M203))</f>
        <v/>
      </c>
      <c r="P203" s="24" t="n"/>
      <c r="Q203" s="23">
        <f>IF($C203="","",N(M203)+N(N203))</f>
        <v/>
      </c>
      <c r="R203" s="23">
        <f>IF($C203="","",N(J203)+N(Q203))</f>
        <v/>
      </c>
      <c r="S203" s="25">
        <f>IF(OR($C203="",N($G203)=0),"",R203/$G203)</f>
        <v/>
      </c>
      <c r="T203" s="23">
        <f>IF($C203="","",N($G203)-N(R203))</f>
        <v/>
      </c>
      <c r="U203" s="24" t="n"/>
      <c r="V203" s="22" t="n"/>
    </row>
    <row r="204">
      <c r="B204" s="13">
        <f>IF($C204="","",COUNTA($C$9:$C204))</f>
        <v/>
      </c>
      <c r="C204" s="21" t="n"/>
      <c r="D204" s="14" t="n"/>
      <c r="E204" s="14" t="n"/>
      <c r="F204" s="14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3">
        <f>IF($C204="","",N(L204)-N(M204))</f>
        <v/>
      </c>
      <c r="P204" s="24" t="n"/>
      <c r="Q204" s="23">
        <f>IF($C204="","",N(M204)+N(N204))</f>
        <v/>
      </c>
      <c r="R204" s="23">
        <f>IF($C204="","",N(J204)+N(Q204))</f>
        <v/>
      </c>
      <c r="S204" s="25">
        <f>IF(OR($C204="",N($G204)=0),"",R204/$G204)</f>
        <v/>
      </c>
      <c r="T204" s="23">
        <f>IF($C204="","",N($G204)-N(R204))</f>
        <v/>
      </c>
      <c r="U204" s="24" t="n"/>
      <c r="V204" s="22" t="n"/>
    </row>
    <row r="205">
      <c r="B205" s="13">
        <f>IF($C205="","",COUNTA($C$9:$C205))</f>
        <v/>
      </c>
      <c r="C205" s="21" t="n"/>
      <c r="D205" s="14" t="n"/>
      <c r="E205" s="14" t="n"/>
      <c r="F205" s="14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3">
        <f>IF($C205="","",N(L205)-N(M205))</f>
        <v/>
      </c>
      <c r="P205" s="24" t="n"/>
      <c r="Q205" s="23">
        <f>IF($C205="","",N(M205)+N(N205))</f>
        <v/>
      </c>
      <c r="R205" s="23">
        <f>IF($C205="","",N(J205)+N(Q205))</f>
        <v/>
      </c>
      <c r="S205" s="25">
        <f>IF(OR($C205="",N($G205)=0),"",R205/$G205)</f>
        <v/>
      </c>
      <c r="T205" s="23">
        <f>IF($C205="","",N($G205)-N(R205))</f>
        <v/>
      </c>
      <c r="U205" s="24" t="n"/>
      <c r="V205" s="22" t="n"/>
    </row>
    <row r="206">
      <c r="B206" s="13">
        <f>IF($C206="","",COUNTA($C$9:$C206))</f>
        <v/>
      </c>
      <c r="C206" s="21" t="n"/>
      <c r="D206" s="14" t="n"/>
      <c r="E206" s="14" t="n"/>
      <c r="F206" s="14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3">
        <f>IF($C206="","",N(L206)-N(M206))</f>
        <v/>
      </c>
      <c r="P206" s="24" t="n"/>
      <c r="Q206" s="23">
        <f>IF($C206="","",N(M206)+N(N206))</f>
        <v/>
      </c>
      <c r="R206" s="23">
        <f>IF($C206="","",N(J206)+N(Q206))</f>
        <v/>
      </c>
      <c r="S206" s="25">
        <f>IF(OR($C206="",N($G206)=0),"",R206/$G206)</f>
        <v/>
      </c>
      <c r="T206" s="23">
        <f>IF($C206="","",N($G206)-N(R206))</f>
        <v/>
      </c>
      <c r="U206" s="24" t="n"/>
      <c r="V206" s="22" t="n"/>
    </row>
    <row r="207">
      <c r="B207" s="13">
        <f>IF($C207="","",COUNTA($C$9:$C207))</f>
        <v/>
      </c>
      <c r="C207" s="21" t="n"/>
      <c r="D207" s="14" t="n"/>
      <c r="E207" s="14" t="n"/>
      <c r="F207" s="14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3">
        <f>IF($C207="","",N(L207)-N(M207))</f>
        <v/>
      </c>
      <c r="P207" s="24" t="n"/>
      <c r="Q207" s="23">
        <f>IF($C207="","",N(M207)+N(N207))</f>
        <v/>
      </c>
      <c r="R207" s="23">
        <f>IF($C207="","",N(J207)+N(Q207))</f>
        <v/>
      </c>
      <c r="S207" s="25">
        <f>IF(OR($C207="",N($G207)=0),"",R207/$G207)</f>
        <v/>
      </c>
      <c r="T207" s="23">
        <f>IF($C207="","",N($G207)-N(R207))</f>
        <v/>
      </c>
      <c r="U207" s="24" t="n"/>
      <c r="V207" s="22" t="n"/>
    </row>
    <row r="208">
      <c r="B208" s="13">
        <f>IF($C208="","",COUNTA($C$9:$C208))</f>
        <v/>
      </c>
      <c r="C208" s="21" t="n"/>
      <c r="D208" s="14" t="n"/>
      <c r="E208" s="14" t="n"/>
      <c r="F208" s="14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3">
        <f>IF($C208="","",N(L208)-N(M208))</f>
        <v/>
      </c>
      <c r="P208" s="24" t="n"/>
      <c r="Q208" s="23">
        <f>IF($C208="","",N(M208)+N(N208))</f>
        <v/>
      </c>
      <c r="R208" s="23">
        <f>IF($C208="","",N(J208)+N(Q208))</f>
        <v/>
      </c>
      <c r="S208" s="25">
        <f>IF(OR($C208="",N($G208)=0),"",R208/$G208)</f>
        <v/>
      </c>
      <c r="T208" s="23">
        <f>IF($C208="","",N($G208)-N(R208))</f>
        <v/>
      </c>
      <c r="U208" s="24" t="n"/>
      <c r="V208" s="22" t="n"/>
    </row>
    <row r="209">
      <c r="B209" s="13">
        <f>IF($C209="","",COUNTA($C$9:$C209))</f>
        <v/>
      </c>
      <c r="C209" s="21" t="n"/>
      <c r="D209" s="14" t="n"/>
      <c r="E209" s="14" t="n"/>
      <c r="F209" s="14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3">
        <f>IF($C209="","",N(L209)-N(M209))</f>
        <v/>
      </c>
      <c r="P209" s="24" t="n"/>
      <c r="Q209" s="23">
        <f>IF($C209="","",N(M209)+N(N209))</f>
        <v/>
      </c>
      <c r="R209" s="23">
        <f>IF($C209="","",N(J209)+N(Q209))</f>
        <v/>
      </c>
      <c r="S209" s="25">
        <f>IF(OR($C209="",N($G209)=0),"",R209/$G209)</f>
        <v/>
      </c>
      <c r="T209" s="23">
        <f>IF($C209="","",N($G209)-N(R209))</f>
        <v/>
      </c>
      <c r="U209" s="24" t="n"/>
      <c r="V209" s="22" t="n"/>
    </row>
    <row r="210">
      <c r="B210" s="13">
        <f>IF($C210="","",COUNTA($C$9:$C210))</f>
        <v/>
      </c>
      <c r="C210" s="21" t="n"/>
      <c r="D210" s="14" t="n"/>
      <c r="E210" s="14" t="n"/>
      <c r="F210" s="14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3">
        <f>IF($C210="","",N(L210)-N(M210))</f>
        <v/>
      </c>
      <c r="P210" s="24" t="n"/>
      <c r="Q210" s="23">
        <f>IF($C210="","",N(M210)+N(N210))</f>
        <v/>
      </c>
      <c r="R210" s="23">
        <f>IF($C210="","",N(J210)+N(Q210))</f>
        <v/>
      </c>
      <c r="S210" s="25">
        <f>IF(OR($C210="",N($G210)=0),"",R210/$G210)</f>
        <v/>
      </c>
      <c r="T210" s="23">
        <f>IF($C210="","",N($G210)-N(R210))</f>
        <v/>
      </c>
      <c r="U210" s="24" t="n"/>
      <c r="V210" s="22" t="n"/>
    </row>
    <row r="211">
      <c r="B211" s="13">
        <f>IF($C211="","",COUNTA($C$9:$C211))</f>
        <v/>
      </c>
      <c r="C211" s="21" t="n"/>
      <c r="D211" s="14" t="n"/>
      <c r="E211" s="14" t="n"/>
      <c r="F211" s="14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3">
        <f>IF($C211="","",N(L211)-N(M211))</f>
        <v/>
      </c>
      <c r="P211" s="24" t="n"/>
      <c r="Q211" s="23">
        <f>IF($C211="","",N(M211)+N(N211))</f>
        <v/>
      </c>
      <c r="R211" s="23">
        <f>IF($C211="","",N(J211)+N(Q211))</f>
        <v/>
      </c>
      <c r="S211" s="25">
        <f>IF(OR($C211="",N($G211)=0),"",R211/$G211)</f>
        <v/>
      </c>
      <c r="T211" s="23">
        <f>IF($C211="","",N($G211)-N(R211))</f>
        <v/>
      </c>
      <c r="U211" s="24" t="n"/>
      <c r="V211" s="22" t="n"/>
    </row>
    <row r="212">
      <c r="B212" s="13">
        <f>IF($C212="","",COUNTA($C$9:$C212))</f>
        <v/>
      </c>
      <c r="C212" s="21" t="n"/>
      <c r="D212" s="14" t="n"/>
      <c r="E212" s="14" t="n"/>
      <c r="F212" s="14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3">
        <f>IF($C212="","",N(L212)-N(M212))</f>
        <v/>
      </c>
      <c r="P212" s="24" t="n"/>
      <c r="Q212" s="23">
        <f>IF($C212="","",N(M212)+N(N212))</f>
        <v/>
      </c>
      <c r="R212" s="23">
        <f>IF($C212="","",N(J212)+N(Q212))</f>
        <v/>
      </c>
      <c r="S212" s="25">
        <f>IF(OR($C212="",N($G212)=0),"",R212/$G212)</f>
        <v/>
      </c>
      <c r="T212" s="23">
        <f>IF($C212="","",N($G212)-N(R212))</f>
        <v/>
      </c>
      <c r="U212" s="24" t="n"/>
      <c r="V212" s="22" t="n"/>
    </row>
    <row r="213">
      <c r="B213" s="13">
        <f>IF($C213="","",COUNTA($C$9:$C213))</f>
        <v/>
      </c>
      <c r="C213" s="21" t="n"/>
      <c r="D213" s="14" t="n"/>
      <c r="E213" s="14" t="n"/>
      <c r="F213" s="14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3">
        <f>IF($C213="","",N(L213)-N(M213))</f>
        <v/>
      </c>
      <c r="P213" s="24" t="n"/>
      <c r="Q213" s="23">
        <f>IF($C213="","",N(M213)+N(N213))</f>
        <v/>
      </c>
      <c r="R213" s="23">
        <f>IF($C213="","",N(J213)+N(Q213))</f>
        <v/>
      </c>
      <c r="S213" s="25">
        <f>IF(OR($C213="",N($G213)=0),"",R213/$G213)</f>
        <v/>
      </c>
      <c r="T213" s="23">
        <f>IF($C213="","",N($G213)-N(R213))</f>
        <v/>
      </c>
      <c r="U213" s="24" t="n"/>
      <c r="V213" s="22" t="n"/>
    </row>
    <row r="214">
      <c r="B214" s="13">
        <f>IF($C214="","",COUNTA($C$9:$C214))</f>
        <v/>
      </c>
      <c r="C214" s="21" t="n"/>
      <c r="D214" s="14" t="n"/>
      <c r="E214" s="14" t="n"/>
      <c r="F214" s="14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3">
        <f>IF($C214="","",N(L214)-N(M214))</f>
        <v/>
      </c>
      <c r="P214" s="24" t="n"/>
      <c r="Q214" s="23">
        <f>IF($C214="","",N(M214)+N(N214))</f>
        <v/>
      </c>
      <c r="R214" s="23">
        <f>IF($C214="","",N(J214)+N(Q214))</f>
        <v/>
      </c>
      <c r="S214" s="25">
        <f>IF(OR($C214="",N($G214)=0),"",R214/$G214)</f>
        <v/>
      </c>
      <c r="T214" s="23">
        <f>IF($C214="","",N($G214)-N(R214))</f>
        <v/>
      </c>
      <c r="U214" s="24" t="n"/>
      <c r="V214" s="22" t="n"/>
    </row>
    <row r="215">
      <c r="B215" s="13">
        <f>IF($C215="","",COUNTA($C$9:$C215))</f>
        <v/>
      </c>
      <c r="C215" s="21" t="n"/>
      <c r="D215" s="14" t="n"/>
      <c r="E215" s="14" t="n"/>
      <c r="F215" s="14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3">
        <f>IF($C215="","",N(L215)-N(M215))</f>
        <v/>
      </c>
      <c r="P215" s="24" t="n"/>
      <c r="Q215" s="23">
        <f>IF($C215="","",N(M215)+N(N215))</f>
        <v/>
      </c>
      <c r="R215" s="23">
        <f>IF($C215="","",N(J215)+N(Q215))</f>
        <v/>
      </c>
      <c r="S215" s="25">
        <f>IF(OR($C215="",N($G215)=0),"",R215/$G215)</f>
        <v/>
      </c>
      <c r="T215" s="23">
        <f>IF($C215="","",N($G215)-N(R215))</f>
        <v/>
      </c>
      <c r="U215" s="24" t="n"/>
      <c r="V215" s="22" t="n"/>
    </row>
    <row r="216">
      <c r="B216" s="13">
        <f>IF($C216="","",COUNTA($C$9:$C216))</f>
        <v/>
      </c>
      <c r="C216" s="21" t="n"/>
      <c r="D216" s="14" t="n"/>
      <c r="E216" s="14" t="n"/>
      <c r="F216" s="14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3">
        <f>IF($C216="","",N(L216)-N(M216))</f>
        <v/>
      </c>
      <c r="P216" s="24" t="n"/>
      <c r="Q216" s="23">
        <f>IF($C216="","",N(M216)+N(N216))</f>
        <v/>
      </c>
      <c r="R216" s="23">
        <f>IF($C216="","",N(J216)+N(Q216))</f>
        <v/>
      </c>
      <c r="S216" s="25">
        <f>IF(OR($C216="",N($G216)=0),"",R216/$G216)</f>
        <v/>
      </c>
      <c r="T216" s="23">
        <f>IF($C216="","",N($G216)-N(R216))</f>
        <v/>
      </c>
      <c r="U216" s="24" t="n"/>
      <c r="V216" s="22" t="n"/>
    </row>
    <row r="217">
      <c r="B217" s="13">
        <f>IF($C217="","",COUNTA($C$9:$C217))</f>
        <v/>
      </c>
      <c r="C217" s="21" t="n"/>
      <c r="D217" s="14" t="n"/>
      <c r="E217" s="14" t="n"/>
      <c r="F217" s="14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3">
        <f>IF($C217="","",N(L217)-N(M217))</f>
        <v/>
      </c>
      <c r="P217" s="24" t="n"/>
      <c r="Q217" s="23">
        <f>IF($C217="","",N(M217)+N(N217))</f>
        <v/>
      </c>
      <c r="R217" s="23">
        <f>IF($C217="","",N(J217)+N(Q217))</f>
        <v/>
      </c>
      <c r="S217" s="25">
        <f>IF(OR($C217="",N($G217)=0),"",R217/$G217)</f>
        <v/>
      </c>
      <c r="T217" s="23">
        <f>IF($C217="","",N($G217)-N(R217))</f>
        <v/>
      </c>
      <c r="U217" s="24" t="n"/>
      <c r="V217" s="22" t="n"/>
    </row>
    <row r="218">
      <c r="B218" s="13">
        <f>IF($C218="","",COUNTA($C$9:$C218))</f>
        <v/>
      </c>
      <c r="C218" s="21" t="n"/>
      <c r="D218" s="14" t="n"/>
      <c r="E218" s="14" t="n"/>
      <c r="F218" s="14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3">
        <f>IF($C218="","",N(L218)-N(M218))</f>
        <v/>
      </c>
      <c r="P218" s="24" t="n"/>
      <c r="Q218" s="23">
        <f>IF($C218="","",N(M218)+N(N218))</f>
        <v/>
      </c>
      <c r="R218" s="23">
        <f>IF($C218="","",N(J218)+N(Q218))</f>
        <v/>
      </c>
      <c r="S218" s="25">
        <f>IF(OR($C218="",N($G218)=0),"",R218/$G218)</f>
        <v/>
      </c>
      <c r="T218" s="23">
        <f>IF($C218="","",N($G218)-N(R218))</f>
        <v/>
      </c>
      <c r="U218" s="24" t="n"/>
      <c r="V218" s="22" t="n"/>
    </row>
    <row r="219">
      <c r="B219" s="13">
        <f>IF($C219="","",COUNTA($C$9:$C219))</f>
        <v/>
      </c>
      <c r="C219" s="21" t="n"/>
      <c r="D219" s="14" t="n"/>
      <c r="E219" s="14" t="n"/>
      <c r="F219" s="14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3">
        <f>IF($C219="","",N(L219)-N(M219))</f>
        <v/>
      </c>
      <c r="P219" s="24" t="n"/>
      <c r="Q219" s="23">
        <f>IF($C219="","",N(M219)+N(N219))</f>
        <v/>
      </c>
      <c r="R219" s="23">
        <f>IF($C219="","",N(J219)+N(Q219))</f>
        <v/>
      </c>
      <c r="S219" s="25">
        <f>IF(OR($C219="",N($G219)=0),"",R219/$G219)</f>
        <v/>
      </c>
      <c r="T219" s="23">
        <f>IF($C219="","",N($G219)-N(R219))</f>
        <v/>
      </c>
      <c r="U219" s="24" t="n"/>
      <c r="V219" s="22" t="n"/>
    </row>
    <row r="220">
      <c r="B220" s="13">
        <f>IF($C220="","",COUNTA($C$9:$C220))</f>
        <v/>
      </c>
      <c r="C220" s="21" t="n"/>
      <c r="D220" s="14" t="n"/>
      <c r="E220" s="14" t="n"/>
      <c r="F220" s="14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3">
        <f>IF($C220="","",N(L220)-N(M220))</f>
        <v/>
      </c>
      <c r="P220" s="24" t="n"/>
      <c r="Q220" s="23">
        <f>IF($C220="","",N(M220)+N(N220))</f>
        <v/>
      </c>
      <c r="R220" s="23">
        <f>IF($C220="","",N(J220)+N(Q220))</f>
        <v/>
      </c>
      <c r="S220" s="25">
        <f>IF(OR($C220="",N($G220)=0),"",R220/$G220)</f>
        <v/>
      </c>
      <c r="T220" s="23">
        <f>IF($C220="","",N($G220)-N(R220))</f>
        <v/>
      </c>
      <c r="U220" s="24" t="n"/>
      <c r="V220" s="22" t="n"/>
    </row>
    <row r="221">
      <c r="B221" s="13">
        <f>IF($C221="","",COUNTA($C$9:$C221))</f>
        <v/>
      </c>
      <c r="C221" s="21" t="n"/>
      <c r="D221" s="14" t="n"/>
      <c r="E221" s="14" t="n"/>
      <c r="F221" s="14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3">
        <f>IF($C221="","",N(L221)-N(M221))</f>
        <v/>
      </c>
      <c r="P221" s="24" t="n"/>
      <c r="Q221" s="23">
        <f>IF($C221="","",N(M221)+N(N221))</f>
        <v/>
      </c>
      <c r="R221" s="23">
        <f>IF($C221="","",N(J221)+N(Q221))</f>
        <v/>
      </c>
      <c r="S221" s="25">
        <f>IF(OR($C221="",N($G221)=0),"",R221/$G221)</f>
        <v/>
      </c>
      <c r="T221" s="23">
        <f>IF($C221="","",N($G221)-N(R221))</f>
        <v/>
      </c>
      <c r="U221" s="24" t="n"/>
      <c r="V221" s="22" t="n"/>
    </row>
    <row r="222">
      <c r="B222" s="13">
        <f>IF($C222="","",COUNTA($C$9:$C222))</f>
        <v/>
      </c>
      <c r="C222" s="21" t="n"/>
      <c r="D222" s="14" t="n"/>
      <c r="E222" s="14" t="n"/>
      <c r="F222" s="14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3">
        <f>IF($C222="","",N(L222)-N(M222))</f>
        <v/>
      </c>
      <c r="P222" s="24" t="n"/>
      <c r="Q222" s="23">
        <f>IF($C222="","",N(M222)+N(N222))</f>
        <v/>
      </c>
      <c r="R222" s="23">
        <f>IF($C222="","",N(J222)+N(Q222))</f>
        <v/>
      </c>
      <c r="S222" s="25">
        <f>IF(OR($C222="",N($G222)=0),"",R222/$G222)</f>
        <v/>
      </c>
      <c r="T222" s="23">
        <f>IF($C222="","",N($G222)-N(R222))</f>
        <v/>
      </c>
      <c r="U222" s="24" t="n"/>
      <c r="V222" s="22" t="n"/>
    </row>
    <row r="223">
      <c r="B223" s="13">
        <f>IF($C223="","",COUNTA($C$9:$C223))</f>
        <v/>
      </c>
      <c r="C223" s="21" t="n"/>
      <c r="D223" s="14" t="n"/>
      <c r="E223" s="14" t="n"/>
      <c r="F223" s="14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3">
        <f>IF($C223="","",N(L223)-N(M223))</f>
        <v/>
      </c>
      <c r="P223" s="24" t="n"/>
      <c r="Q223" s="23">
        <f>IF($C223="","",N(M223)+N(N223))</f>
        <v/>
      </c>
      <c r="R223" s="23">
        <f>IF($C223="","",N(J223)+N(Q223))</f>
        <v/>
      </c>
      <c r="S223" s="25">
        <f>IF(OR($C223="",N($G223)=0),"",R223/$G223)</f>
        <v/>
      </c>
      <c r="T223" s="23">
        <f>IF($C223="","",N($G223)-N(R223))</f>
        <v/>
      </c>
      <c r="U223" s="24" t="n"/>
      <c r="V223" s="22" t="n"/>
    </row>
    <row r="224">
      <c r="B224" s="13">
        <f>IF($C224="","",COUNTA($C$9:$C224))</f>
        <v/>
      </c>
      <c r="C224" s="21" t="n"/>
      <c r="D224" s="14" t="n"/>
      <c r="E224" s="14" t="n"/>
      <c r="F224" s="14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3">
        <f>IF($C224="","",N(L224)-N(M224))</f>
        <v/>
      </c>
      <c r="P224" s="24" t="n"/>
      <c r="Q224" s="23">
        <f>IF($C224="","",N(M224)+N(N224))</f>
        <v/>
      </c>
      <c r="R224" s="23">
        <f>IF($C224="","",N(J224)+N(Q224))</f>
        <v/>
      </c>
      <c r="S224" s="25">
        <f>IF(OR($C224="",N($G224)=0),"",R224/$G224)</f>
        <v/>
      </c>
      <c r="T224" s="23">
        <f>IF($C224="","",N($G224)-N(R224))</f>
        <v/>
      </c>
      <c r="U224" s="24" t="n"/>
      <c r="V224" s="22" t="n"/>
    </row>
    <row r="225">
      <c r="B225" s="13">
        <f>IF($C225="","",COUNTA($C$9:$C225))</f>
        <v/>
      </c>
      <c r="C225" s="21" t="n"/>
      <c r="D225" s="14" t="n"/>
      <c r="E225" s="14" t="n"/>
      <c r="F225" s="14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3">
        <f>IF($C225="","",N(L225)-N(M225))</f>
        <v/>
      </c>
      <c r="P225" s="24" t="n"/>
      <c r="Q225" s="23">
        <f>IF($C225="","",N(M225)+N(N225))</f>
        <v/>
      </c>
      <c r="R225" s="23">
        <f>IF($C225="","",N(J225)+N(Q225))</f>
        <v/>
      </c>
      <c r="S225" s="25">
        <f>IF(OR($C225="",N($G225)=0),"",R225/$G225)</f>
        <v/>
      </c>
      <c r="T225" s="23">
        <f>IF($C225="","",N($G225)-N(R225))</f>
        <v/>
      </c>
      <c r="U225" s="24" t="n"/>
      <c r="V225" s="22" t="n"/>
    </row>
    <row r="226">
      <c r="B226" s="13">
        <f>IF($C226="","",COUNTA($C$9:$C226))</f>
        <v/>
      </c>
      <c r="C226" s="21" t="n"/>
      <c r="D226" s="14" t="n"/>
      <c r="E226" s="14" t="n"/>
      <c r="F226" s="14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3">
        <f>IF($C226="","",N(L226)-N(M226))</f>
        <v/>
      </c>
      <c r="P226" s="24" t="n"/>
      <c r="Q226" s="23">
        <f>IF($C226="","",N(M226)+N(N226))</f>
        <v/>
      </c>
      <c r="R226" s="23">
        <f>IF($C226="","",N(J226)+N(Q226))</f>
        <v/>
      </c>
      <c r="S226" s="25">
        <f>IF(OR($C226="",N($G226)=0),"",R226/$G226)</f>
        <v/>
      </c>
      <c r="T226" s="23">
        <f>IF($C226="","",N($G226)-N(R226))</f>
        <v/>
      </c>
      <c r="U226" s="24" t="n"/>
      <c r="V226" s="22" t="n"/>
    </row>
    <row r="227">
      <c r="B227" s="13">
        <f>IF($C227="","",COUNTA($C$9:$C227))</f>
        <v/>
      </c>
      <c r="C227" s="21" t="n"/>
      <c r="D227" s="14" t="n"/>
      <c r="E227" s="14" t="n"/>
      <c r="F227" s="14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3">
        <f>IF($C227="","",N(L227)-N(M227))</f>
        <v/>
      </c>
      <c r="P227" s="24" t="n"/>
      <c r="Q227" s="23">
        <f>IF($C227="","",N(M227)+N(N227))</f>
        <v/>
      </c>
      <c r="R227" s="23">
        <f>IF($C227="","",N(J227)+N(Q227))</f>
        <v/>
      </c>
      <c r="S227" s="25">
        <f>IF(OR($C227="",N($G227)=0),"",R227/$G227)</f>
        <v/>
      </c>
      <c r="T227" s="23">
        <f>IF($C227="","",N($G227)-N(R227))</f>
        <v/>
      </c>
      <c r="U227" s="24" t="n"/>
      <c r="V227" s="22" t="n"/>
    </row>
    <row r="228">
      <c r="B228" s="13">
        <f>IF($C228="","",COUNTA($C$9:$C228))</f>
        <v/>
      </c>
      <c r="C228" s="21" t="n"/>
      <c r="D228" s="14" t="n"/>
      <c r="E228" s="14" t="n"/>
      <c r="F228" s="14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3">
        <f>IF($C228="","",N(L228)-N(M228))</f>
        <v/>
      </c>
      <c r="P228" s="24" t="n"/>
      <c r="Q228" s="23">
        <f>IF($C228="","",N(M228)+N(N228))</f>
        <v/>
      </c>
      <c r="R228" s="23">
        <f>IF($C228="","",N(J228)+N(Q228))</f>
        <v/>
      </c>
      <c r="S228" s="25">
        <f>IF(OR($C228="",N($G228)=0),"",R228/$G228)</f>
        <v/>
      </c>
      <c r="T228" s="23">
        <f>IF($C228="","",N($G228)-N(R228))</f>
        <v/>
      </c>
      <c r="U228" s="24" t="n"/>
      <c r="V228" s="22" t="n"/>
    </row>
    <row r="229">
      <c r="B229" s="13">
        <f>IF($C229="","",COUNTA($C$9:$C229))</f>
        <v/>
      </c>
      <c r="C229" s="21" t="n"/>
      <c r="D229" s="14" t="n"/>
      <c r="E229" s="14" t="n"/>
      <c r="F229" s="14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3">
        <f>IF($C229="","",N(L229)-N(M229))</f>
        <v/>
      </c>
      <c r="P229" s="24" t="n"/>
      <c r="Q229" s="23">
        <f>IF($C229="","",N(M229)+N(N229))</f>
        <v/>
      </c>
      <c r="R229" s="23">
        <f>IF($C229="","",N(J229)+N(Q229))</f>
        <v/>
      </c>
      <c r="S229" s="25">
        <f>IF(OR($C229="",N($G229)=0),"",R229/$G229)</f>
        <v/>
      </c>
      <c r="T229" s="23">
        <f>IF($C229="","",N($G229)-N(R229))</f>
        <v/>
      </c>
      <c r="U229" s="24" t="n"/>
      <c r="V229" s="22" t="n"/>
    </row>
    <row r="230">
      <c r="B230" s="13">
        <f>IF($C230="","",COUNTA($C$9:$C230))</f>
        <v/>
      </c>
      <c r="C230" s="21" t="n"/>
      <c r="D230" s="14" t="n"/>
      <c r="E230" s="14" t="n"/>
      <c r="F230" s="14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3">
        <f>IF($C230="","",N(L230)-N(M230))</f>
        <v/>
      </c>
      <c r="P230" s="24" t="n"/>
      <c r="Q230" s="23">
        <f>IF($C230="","",N(M230)+N(N230))</f>
        <v/>
      </c>
      <c r="R230" s="23">
        <f>IF($C230="","",N(J230)+N(Q230))</f>
        <v/>
      </c>
      <c r="S230" s="25">
        <f>IF(OR($C230="",N($G230)=0),"",R230/$G230)</f>
        <v/>
      </c>
      <c r="T230" s="23">
        <f>IF($C230="","",N($G230)-N(R230))</f>
        <v/>
      </c>
      <c r="U230" s="24" t="n"/>
      <c r="V230" s="22" t="n"/>
    </row>
    <row r="231">
      <c r="B231" s="13">
        <f>IF($C231="","",COUNTA($C$9:$C231))</f>
        <v/>
      </c>
      <c r="C231" s="21" t="n"/>
      <c r="D231" s="14" t="n"/>
      <c r="E231" s="14" t="n"/>
      <c r="F231" s="14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3">
        <f>IF($C231="","",N(L231)-N(M231))</f>
        <v/>
      </c>
      <c r="P231" s="24" t="n"/>
      <c r="Q231" s="23">
        <f>IF($C231="","",N(M231)+N(N231))</f>
        <v/>
      </c>
      <c r="R231" s="23">
        <f>IF($C231="","",N(J231)+N(Q231))</f>
        <v/>
      </c>
      <c r="S231" s="25">
        <f>IF(OR($C231="",N($G231)=0),"",R231/$G231)</f>
        <v/>
      </c>
      <c r="T231" s="23">
        <f>IF($C231="","",N($G231)-N(R231))</f>
        <v/>
      </c>
      <c r="U231" s="24" t="n"/>
      <c r="V231" s="22" t="n"/>
    </row>
    <row r="232">
      <c r="B232" s="13">
        <f>IF($C232="","",COUNTA($C$9:$C232))</f>
        <v/>
      </c>
      <c r="C232" s="21" t="n"/>
      <c r="D232" s="14" t="n"/>
      <c r="E232" s="14" t="n"/>
      <c r="F232" s="14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3">
        <f>IF($C232="","",N(L232)-N(M232))</f>
        <v/>
      </c>
      <c r="P232" s="24" t="n"/>
      <c r="Q232" s="23">
        <f>IF($C232="","",N(M232)+N(N232))</f>
        <v/>
      </c>
      <c r="R232" s="23">
        <f>IF($C232="","",N(J232)+N(Q232))</f>
        <v/>
      </c>
      <c r="S232" s="25">
        <f>IF(OR($C232="",N($G232)=0),"",R232/$G232)</f>
        <v/>
      </c>
      <c r="T232" s="23">
        <f>IF($C232="","",N($G232)-N(R232))</f>
        <v/>
      </c>
      <c r="U232" s="24" t="n"/>
      <c r="V232" s="22" t="n"/>
    </row>
    <row r="233">
      <c r="B233" s="13">
        <f>IF($C233="","",COUNTA($C$9:$C233))</f>
        <v/>
      </c>
      <c r="C233" s="21" t="n"/>
      <c r="D233" s="14" t="n"/>
      <c r="E233" s="14" t="n"/>
      <c r="F233" s="14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3">
        <f>IF($C233="","",N(L233)-N(M233))</f>
        <v/>
      </c>
      <c r="P233" s="24" t="n"/>
      <c r="Q233" s="23">
        <f>IF($C233="","",N(M233)+N(N233))</f>
        <v/>
      </c>
      <c r="R233" s="23">
        <f>IF($C233="","",N(J233)+N(Q233))</f>
        <v/>
      </c>
      <c r="S233" s="25">
        <f>IF(OR($C233="",N($G233)=0),"",R233/$G233)</f>
        <v/>
      </c>
      <c r="T233" s="23">
        <f>IF($C233="","",N($G233)-N(R233))</f>
        <v/>
      </c>
      <c r="U233" s="24" t="n"/>
      <c r="V233" s="22" t="n"/>
    </row>
    <row r="234">
      <c r="B234" s="13">
        <f>IF($C234="","",COUNTA($C$9:$C234))</f>
        <v/>
      </c>
      <c r="C234" s="21" t="n"/>
      <c r="D234" s="14" t="n"/>
      <c r="E234" s="14" t="n"/>
      <c r="F234" s="14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3">
        <f>IF($C234="","",N(L234)-N(M234))</f>
        <v/>
      </c>
      <c r="P234" s="24" t="n"/>
      <c r="Q234" s="23">
        <f>IF($C234="","",N(M234)+N(N234))</f>
        <v/>
      </c>
      <c r="R234" s="23">
        <f>IF($C234="","",N(J234)+N(Q234))</f>
        <v/>
      </c>
      <c r="S234" s="25">
        <f>IF(OR($C234="",N($G234)=0),"",R234/$G234)</f>
        <v/>
      </c>
      <c r="T234" s="23">
        <f>IF($C234="","",N($G234)-N(R234))</f>
        <v/>
      </c>
      <c r="U234" s="24" t="n"/>
      <c r="V234" s="22" t="n"/>
    </row>
    <row r="235">
      <c r="B235" s="13">
        <f>IF($C235="","",COUNTA($C$9:$C235))</f>
        <v/>
      </c>
      <c r="C235" s="21" t="n"/>
      <c r="D235" s="14" t="n"/>
      <c r="E235" s="14" t="n"/>
      <c r="F235" s="14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3">
        <f>IF($C235="","",N(L235)-N(M235))</f>
        <v/>
      </c>
      <c r="P235" s="24" t="n"/>
      <c r="Q235" s="23">
        <f>IF($C235="","",N(M235)+N(N235))</f>
        <v/>
      </c>
      <c r="R235" s="23">
        <f>IF($C235="","",N(J235)+N(Q235))</f>
        <v/>
      </c>
      <c r="S235" s="25">
        <f>IF(OR($C235="",N($G235)=0),"",R235/$G235)</f>
        <v/>
      </c>
      <c r="T235" s="23">
        <f>IF($C235="","",N($G235)-N(R235))</f>
        <v/>
      </c>
      <c r="U235" s="24" t="n"/>
      <c r="V235" s="22" t="n"/>
    </row>
    <row r="236">
      <c r="B236" s="13">
        <f>IF($C236="","",COUNTA($C$9:$C236))</f>
        <v/>
      </c>
      <c r="C236" s="21" t="n"/>
      <c r="D236" s="14" t="n"/>
      <c r="E236" s="14" t="n"/>
      <c r="F236" s="14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3">
        <f>IF($C236="","",N(L236)-N(M236))</f>
        <v/>
      </c>
      <c r="P236" s="24" t="n"/>
      <c r="Q236" s="23">
        <f>IF($C236="","",N(M236)+N(N236))</f>
        <v/>
      </c>
      <c r="R236" s="23">
        <f>IF($C236="","",N(J236)+N(Q236))</f>
        <v/>
      </c>
      <c r="S236" s="25">
        <f>IF(OR($C236="",N($G236)=0),"",R236/$G236)</f>
        <v/>
      </c>
      <c r="T236" s="23">
        <f>IF($C236="","",N($G236)-N(R236))</f>
        <v/>
      </c>
      <c r="U236" s="24" t="n"/>
      <c r="V236" s="22" t="n"/>
    </row>
    <row r="237">
      <c r="B237" s="13">
        <f>IF($C237="","",COUNTA($C$9:$C237))</f>
        <v/>
      </c>
      <c r="C237" s="21" t="n"/>
      <c r="D237" s="14" t="n"/>
      <c r="E237" s="14" t="n"/>
      <c r="F237" s="14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3">
        <f>IF($C237="","",N(L237)-N(M237))</f>
        <v/>
      </c>
      <c r="P237" s="24" t="n"/>
      <c r="Q237" s="23">
        <f>IF($C237="","",N(M237)+N(N237))</f>
        <v/>
      </c>
      <c r="R237" s="23">
        <f>IF($C237="","",N(J237)+N(Q237))</f>
        <v/>
      </c>
      <c r="S237" s="25">
        <f>IF(OR($C237="",N($G237)=0),"",R237/$G237)</f>
        <v/>
      </c>
      <c r="T237" s="23">
        <f>IF($C237="","",N($G237)-N(R237))</f>
        <v/>
      </c>
      <c r="U237" s="24" t="n"/>
      <c r="V237" s="22" t="n"/>
    </row>
    <row r="238">
      <c r="B238" s="13">
        <f>IF($C238="","",COUNTA($C$9:$C238))</f>
        <v/>
      </c>
      <c r="C238" s="21" t="n"/>
      <c r="D238" s="14" t="n"/>
      <c r="E238" s="14" t="n"/>
      <c r="F238" s="14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3">
        <f>IF($C238="","",N(L238)-N(M238))</f>
        <v/>
      </c>
      <c r="P238" s="24" t="n"/>
      <c r="Q238" s="23">
        <f>IF($C238="","",N(M238)+N(N238))</f>
        <v/>
      </c>
      <c r="R238" s="23">
        <f>IF($C238="","",N(J238)+N(Q238))</f>
        <v/>
      </c>
      <c r="S238" s="25">
        <f>IF(OR($C238="",N($G238)=0),"",R238/$G238)</f>
        <v/>
      </c>
      <c r="T238" s="23">
        <f>IF($C238="","",N($G238)-N(R238))</f>
        <v/>
      </c>
      <c r="U238" s="24" t="n"/>
      <c r="V238" s="22" t="n"/>
    </row>
    <row r="239">
      <c r="B239" s="13">
        <f>IF($C239="","",COUNTA($C$9:$C239))</f>
        <v/>
      </c>
      <c r="C239" s="21" t="n"/>
      <c r="D239" s="14" t="n"/>
      <c r="E239" s="14" t="n"/>
      <c r="F239" s="14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3">
        <f>IF($C239="","",N(L239)-N(M239))</f>
        <v/>
      </c>
      <c r="P239" s="24" t="n"/>
      <c r="Q239" s="23">
        <f>IF($C239="","",N(M239)+N(N239))</f>
        <v/>
      </c>
      <c r="R239" s="23">
        <f>IF($C239="","",N(J239)+N(Q239))</f>
        <v/>
      </c>
      <c r="S239" s="25">
        <f>IF(OR($C239="",N($G239)=0),"",R239/$G239)</f>
        <v/>
      </c>
      <c r="T239" s="23">
        <f>IF($C239="","",N($G239)-N(R239))</f>
        <v/>
      </c>
      <c r="U239" s="24" t="n"/>
      <c r="V239" s="22" t="n"/>
    </row>
    <row r="240">
      <c r="B240" s="13">
        <f>IF($C240="","",COUNTA($C$9:$C240))</f>
        <v/>
      </c>
      <c r="C240" s="21" t="n"/>
      <c r="D240" s="14" t="n"/>
      <c r="E240" s="14" t="n"/>
      <c r="F240" s="14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3">
        <f>IF($C240="","",N(L240)-N(M240))</f>
        <v/>
      </c>
      <c r="P240" s="24" t="n"/>
      <c r="Q240" s="23">
        <f>IF($C240="","",N(M240)+N(N240))</f>
        <v/>
      </c>
      <c r="R240" s="23">
        <f>IF($C240="","",N(J240)+N(Q240))</f>
        <v/>
      </c>
      <c r="S240" s="25">
        <f>IF(OR($C240="",N($G240)=0),"",R240/$G240)</f>
        <v/>
      </c>
      <c r="T240" s="23">
        <f>IF($C240="","",N($G240)-N(R240))</f>
        <v/>
      </c>
      <c r="U240" s="24" t="n"/>
      <c r="V240" s="22" t="n"/>
    </row>
    <row r="241">
      <c r="B241" s="13">
        <f>IF($C241="","",COUNTA($C$9:$C241))</f>
        <v/>
      </c>
      <c r="C241" s="21" t="n"/>
      <c r="D241" s="14" t="n"/>
      <c r="E241" s="14" t="n"/>
      <c r="F241" s="14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3">
        <f>IF($C241="","",N(L241)-N(M241))</f>
        <v/>
      </c>
      <c r="P241" s="24" t="n"/>
      <c r="Q241" s="23">
        <f>IF($C241="","",N(M241)+N(N241))</f>
        <v/>
      </c>
      <c r="R241" s="23">
        <f>IF($C241="","",N(J241)+N(Q241))</f>
        <v/>
      </c>
      <c r="S241" s="25">
        <f>IF(OR($C241="",N($G241)=0),"",R241/$G241)</f>
        <v/>
      </c>
      <c r="T241" s="23">
        <f>IF($C241="","",N($G241)-N(R241))</f>
        <v/>
      </c>
      <c r="U241" s="24" t="n"/>
      <c r="V241" s="22" t="n"/>
    </row>
    <row r="242">
      <c r="B242" s="13">
        <f>IF($C242="","",COUNTA($C$9:$C242))</f>
        <v/>
      </c>
      <c r="C242" s="21" t="n"/>
      <c r="D242" s="14" t="n"/>
      <c r="E242" s="14" t="n"/>
      <c r="F242" s="14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3">
        <f>IF($C242="","",N(L242)-N(M242))</f>
        <v/>
      </c>
      <c r="P242" s="24" t="n"/>
      <c r="Q242" s="23">
        <f>IF($C242="","",N(M242)+N(N242))</f>
        <v/>
      </c>
      <c r="R242" s="23">
        <f>IF($C242="","",N(J242)+N(Q242))</f>
        <v/>
      </c>
      <c r="S242" s="25">
        <f>IF(OR($C242="",N($G242)=0),"",R242/$G242)</f>
        <v/>
      </c>
      <c r="T242" s="23">
        <f>IF($C242="","",N($G242)-N(R242))</f>
        <v/>
      </c>
      <c r="U242" s="24" t="n"/>
      <c r="V242" s="22" t="n"/>
    </row>
    <row r="243">
      <c r="B243" s="13">
        <f>IF($C243="","",COUNTA($C$9:$C243))</f>
        <v/>
      </c>
      <c r="C243" s="21" t="n"/>
      <c r="D243" s="14" t="n"/>
      <c r="E243" s="14" t="n"/>
      <c r="F243" s="14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3">
        <f>IF($C243="","",N(L243)-N(M243))</f>
        <v/>
      </c>
      <c r="P243" s="24" t="n"/>
      <c r="Q243" s="23">
        <f>IF($C243="","",N(M243)+N(N243))</f>
        <v/>
      </c>
      <c r="R243" s="23">
        <f>IF($C243="","",N(J243)+N(Q243))</f>
        <v/>
      </c>
      <c r="S243" s="25">
        <f>IF(OR($C243="",N($G243)=0),"",R243/$G243)</f>
        <v/>
      </c>
      <c r="T243" s="23">
        <f>IF($C243="","",N($G243)-N(R243))</f>
        <v/>
      </c>
      <c r="U243" s="24" t="n"/>
      <c r="V243" s="22" t="n"/>
    </row>
    <row r="244">
      <c r="B244" s="13">
        <f>IF($C244="","",COUNTA($C$9:$C244))</f>
        <v/>
      </c>
      <c r="C244" s="21" t="n"/>
      <c r="D244" s="14" t="n"/>
      <c r="E244" s="14" t="n"/>
      <c r="F244" s="14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3">
        <f>IF($C244="","",N(L244)-N(M244))</f>
        <v/>
      </c>
      <c r="P244" s="24" t="n"/>
      <c r="Q244" s="23">
        <f>IF($C244="","",N(M244)+N(N244))</f>
        <v/>
      </c>
      <c r="R244" s="23">
        <f>IF($C244="","",N(J244)+N(Q244))</f>
        <v/>
      </c>
      <c r="S244" s="25">
        <f>IF(OR($C244="",N($G244)=0),"",R244/$G244)</f>
        <v/>
      </c>
      <c r="T244" s="23">
        <f>IF($C244="","",N($G244)-N(R244))</f>
        <v/>
      </c>
      <c r="U244" s="24" t="n"/>
      <c r="V244" s="22" t="n"/>
    </row>
    <row r="245">
      <c r="B245" s="13">
        <f>IF($C245="","",COUNTA($C$9:$C245))</f>
        <v/>
      </c>
      <c r="C245" s="21" t="n"/>
      <c r="D245" s="14" t="n"/>
      <c r="E245" s="14" t="n"/>
      <c r="F245" s="14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3">
        <f>IF($C245="","",N(L245)-N(M245))</f>
        <v/>
      </c>
      <c r="P245" s="24" t="n"/>
      <c r="Q245" s="23">
        <f>IF($C245="","",N(M245)+N(N245))</f>
        <v/>
      </c>
      <c r="R245" s="23">
        <f>IF($C245="","",N(J245)+N(Q245))</f>
        <v/>
      </c>
      <c r="S245" s="25">
        <f>IF(OR($C245="",N($G245)=0),"",R245/$G245)</f>
        <v/>
      </c>
      <c r="T245" s="23">
        <f>IF($C245="","",N($G245)-N(R245))</f>
        <v/>
      </c>
      <c r="U245" s="24" t="n"/>
      <c r="V245" s="22" t="n"/>
    </row>
    <row r="246">
      <c r="B246" s="13">
        <f>IF($C246="","",COUNTA($C$9:$C246))</f>
        <v/>
      </c>
      <c r="C246" s="21" t="n"/>
      <c r="D246" s="14" t="n"/>
      <c r="E246" s="14" t="n"/>
      <c r="F246" s="14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3">
        <f>IF($C246="","",N(L246)-N(M246))</f>
        <v/>
      </c>
      <c r="P246" s="24" t="n"/>
      <c r="Q246" s="23">
        <f>IF($C246="","",N(M246)+N(N246))</f>
        <v/>
      </c>
      <c r="R246" s="23">
        <f>IF($C246="","",N(J246)+N(Q246))</f>
        <v/>
      </c>
      <c r="S246" s="25">
        <f>IF(OR($C246="",N($G246)=0),"",R246/$G246)</f>
        <v/>
      </c>
      <c r="T246" s="23">
        <f>IF($C246="","",N($G246)-N(R246))</f>
        <v/>
      </c>
      <c r="U246" s="24" t="n"/>
      <c r="V246" s="22" t="n"/>
    </row>
    <row r="247">
      <c r="B247" s="13">
        <f>IF($C247="","",COUNTA($C$9:$C247))</f>
        <v/>
      </c>
      <c r="C247" s="21" t="n"/>
      <c r="D247" s="14" t="n"/>
      <c r="E247" s="14" t="n"/>
      <c r="F247" s="14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3">
        <f>IF($C247="","",N(L247)-N(M247))</f>
        <v/>
      </c>
      <c r="P247" s="24" t="n"/>
      <c r="Q247" s="23">
        <f>IF($C247="","",N(M247)+N(N247))</f>
        <v/>
      </c>
      <c r="R247" s="23">
        <f>IF($C247="","",N(J247)+N(Q247))</f>
        <v/>
      </c>
      <c r="S247" s="25">
        <f>IF(OR($C247="",N($G247)=0),"",R247/$G247)</f>
        <v/>
      </c>
      <c r="T247" s="23">
        <f>IF($C247="","",N($G247)-N(R247))</f>
        <v/>
      </c>
      <c r="U247" s="24" t="n"/>
      <c r="V247" s="22" t="n"/>
    </row>
    <row r="248">
      <c r="B248" s="13">
        <f>IF($C248="","",COUNTA($C$9:$C248))</f>
        <v/>
      </c>
      <c r="C248" s="21" t="n"/>
      <c r="D248" s="14" t="n"/>
      <c r="E248" s="14" t="n"/>
      <c r="F248" s="14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3">
        <f>IF($C248="","",N(L248)-N(M248))</f>
        <v/>
      </c>
      <c r="P248" s="24" t="n"/>
      <c r="Q248" s="23">
        <f>IF($C248="","",N(M248)+N(N248))</f>
        <v/>
      </c>
      <c r="R248" s="23">
        <f>IF($C248="","",N(J248)+N(Q248))</f>
        <v/>
      </c>
      <c r="S248" s="25">
        <f>IF(OR($C248="",N($G248)=0),"",R248/$G248)</f>
        <v/>
      </c>
      <c r="T248" s="23">
        <f>IF($C248="","",N($G248)-N(R248))</f>
        <v/>
      </c>
      <c r="U248" s="24" t="n"/>
      <c r="V248" s="22" t="n"/>
    </row>
    <row r="249">
      <c r="B249" s="13">
        <f>IF($C249="","",COUNTA($C$9:$C249))</f>
        <v/>
      </c>
      <c r="C249" s="21" t="n"/>
      <c r="D249" s="14" t="n"/>
      <c r="E249" s="14" t="n"/>
      <c r="F249" s="14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3">
        <f>IF($C249="","",N(L249)-N(M249))</f>
        <v/>
      </c>
      <c r="P249" s="24" t="n"/>
      <c r="Q249" s="23">
        <f>IF($C249="","",N(M249)+N(N249))</f>
        <v/>
      </c>
      <c r="R249" s="23">
        <f>IF($C249="","",N(J249)+N(Q249))</f>
        <v/>
      </c>
      <c r="S249" s="25">
        <f>IF(OR($C249="",N($G249)=0),"",R249/$G249)</f>
        <v/>
      </c>
      <c r="T249" s="23">
        <f>IF($C249="","",N($G249)-N(R249))</f>
        <v/>
      </c>
      <c r="U249" s="24" t="n"/>
      <c r="V249" s="22" t="n"/>
    </row>
    <row r="250">
      <c r="B250" s="13">
        <f>IF($C250="","",COUNTA($C$9:$C250))</f>
        <v/>
      </c>
      <c r="C250" s="21" t="n"/>
      <c r="D250" s="14" t="n"/>
      <c r="E250" s="14" t="n"/>
      <c r="F250" s="14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3">
        <f>IF($C250="","",N(L250)-N(M250))</f>
        <v/>
      </c>
      <c r="P250" s="24" t="n"/>
      <c r="Q250" s="23">
        <f>IF($C250="","",N(M250)+N(N250))</f>
        <v/>
      </c>
      <c r="R250" s="23">
        <f>IF($C250="","",N(J250)+N(Q250))</f>
        <v/>
      </c>
      <c r="S250" s="25">
        <f>IF(OR($C250="",N($G250)=0),"",R250/$G250)</f>
        <v/>
      </c>
      <c r="T250" s="23">
        <f>IF($C250="","",N($G250)-N(R250))</f>
        <v/>
      </c>
      <c r="U250" s="24" t="n"/>
      <c r="V250" s="22" t="n"/>
    </row>
    <row r="251">
      <c r="B251" s="13">
        <f>IF($C251="","",COUNTA($C$9:$C251))</f>
        <v/>
      </c>
      <c r="C251" s="21" t="n"/>
      <c r="D251" s="14" t="n"/>
      <c r="E251" s="14" t="n"/>
      <c r="F251" s="14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3">
        <f>IF($C251="","",N(L251)-N(M251))</f>
        <v/>
      </c>
      <c r="P251" s="24" t="n"/>
      <c r="Q251" s="23">
        <f>IF($C251="","",N(M251)+N(N251))</f>
        <v/>
      </c>
      <c r="R251" s="23">
        <f>IF($C251="","",N(J251)+N(Q251))</f>
        <v/>
      </c>
      <c r="S251" s="25">
        <f>IF(OR($C251="",N($G251)=0),"",R251/$G251)</f>
        <v/>
      </c>
      <c r="T251" s="23">
        <f>IF($C251="","",N($G251)-N(R251))</f>
        <v/>
      </c>
      <c r="U251" s="24" t="n"/>
      <c r="V251" s="22" t="n"/>
    </row>
    <row r="252">
      <c r="B252" s="13">
        <f>IF($C252="","",COUNTA($C$9:$C252))</f>
        <v/>
      </c>
      <c r="C252" s="21" t="n"/>
      <c r="D252" s="14" t="n"/>
      <c r="E252" s="14" t="n"/>
      <c r="F252" s="14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3">
        <f>IF($C252="","",N(L252)-N(M252))</f>
        <v/>
      </c>
      <c r="P252" s="24" t="n"/>
      <c r="Q252" s="23">
        <f>IF($C252="","",N(M252)+N(N252))</f>
        <v/>
      </c>
      <c r="R252" s="23">
        <f>IF($C252="","",N(J252)+N(Q252))</f>
        <v/>
      </c>
      <c r="S252" s="25">
        <f>IF(OR($C252="",N($G252)=0),"",R252/$G252)</f>
        <v/>
      </c>
      <c r="T252" s="23">
        <f>IF($C252="","",N($G252)-N(R252))</f>
        <v/>
      </c>
      <c r="U252" s="24" t="n"/>
      <c r="V252" s="22" t="n"/>
    </row>
    <row r="253">
      <c r="B253" s="13">
        <f>IF($C253="","",COUNTA($C$9:$C253))</f>
        <v/>
      </c>
      <c r="C253" s="21" t="n"/>
      <c r="D253" s="14" t="n"/>
      <c r="E253" s="14" t="n"/>
      <c r="F253" s="14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3">
        <f>IF($C253="","",N(L253)-N(M253))</f>
        <v/>
      </c>
      <c r="P253" s="24" t="n"/>
      <c r="Q253" s="23">
        <f>IF($C253="","",N(M253)+N(N253))</f>
        <v/>
      </c>
      <c r="R253" s="23">
        <f>IF($C253="","",N(J253)+N(Q253))</f>
        <v/>
      </c>
      <c r="S253" s="25">
        <f>IF(OR($C253="",N($G253)=0),"",R253/$G253)</f>
        <v/>
      </c>
      <c r="T253" s="23">
        <f>IF($C253="","",N($G253)-N(R253))</f>
        <v/>
      </c>
      <c r="U253" s="24" t="n"/>
      <c r="V253" s="22" t="n"/>
    </row>
    <row r="254">
      <c r="B254" s="13">
        <f>IF($C254="","",COUNTA($C$9:$C254))</f>
        <v/>
      </c>
      <c r="C254" s="21" t="n"/>
      <c r="D254" s="14" t="n"/>
      <c r="E254" s="14" t="n"/>
      <c r="F254" s="14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3">
        <f>IF($C254="","",N(L254)-N(M254))</f>
        <v/>
      </c>
      <c r="P254" s="24" t="n"/>
      <c r="Q254" s="23">
        <f>IF($C254="","",N(M254)+N(N254))</f>
        <v/>
      </c>
      <c r="R254" s="23">
        <f>IF($C254="","",N(J254)+N(Q254))</f>
        <v/>
      </c>
      <c r="S254" s="25">
        <f>IF(OR($C254="",N($G254)=0),"",R254/$G254)</f>
        <v/>
      </c>
      <c r="T254" s="23">
        <f>IF($C254="","",N($G254)-N(R254))</f>
        <v/>
      </c>
      <c r="U254" s="24" t="n"/>
      <c r="V254" s="22" t="n"/>
    </row>
    <row r="255">
      <c r="B255" s="13">
        <f>IF($C255="","",COUNTA($C$9:$C255))</f>
        <v/>
      </c>
      <c r="C255" s="21" t="n"/>
      <c r="D255" s="14" t="n"/>
      <c r="E255" s="14" t="n"/>
      <c r="F255" s="14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3">
        <f>IF($C255="","",N(L255)-N(M255))</f>
        <v/>
      </c>
      <c r="P255" s="24" t="n"/>
      <c r="Q255" s="23">
        <f>IF($C255="","",N(M255)+N(N255))</f>
        <v/>
      </c>
      <c r="R255" s="23">
        <f>IF($C255="","",N(J255)+N(Q255))</f>
        <v/>
      </c>
      <c r="S255" s="25">
        <f>IF(OR($C255="",N($G255)=0),"",R255/$G255)</f>
        <v/>
      </c>
      <c r="T255" s="23">
        <f>IF($C255="","",N($G255)-N(R255))</f>
        <v/>
      </c>
      <c r="U255" s="24" t="n"/>
      <c r="V255" s="22" t="n"/>
    </row>
    <row r="256">
      <c r="B256" s="13">
        <f>IF($C256="","",COUNTA($C$9:$C256))</f>
        <v/>
      </c>
      <c r="C256" s="21" t="n"/>
      <c r="D256" s="14" t="n"/>
      <c r="E256" s="14" t="n"/>
      <c r="F256" s="14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3">
        <f>IF($C256="","",N(L256)-N(M256))</f>
        <v/>
      </c>
      <c r="P256" s="24" t="n"/>
      <c r="Q256" s="23">
        <f>IF($C256="","",N(M256)+N(N256))</f>
        <v/>
      </c>
      <c r="R256" s="23">
        <f>IF($C256="","",N(J256)+N(Q256))</f>
        <v/>
      </c>
      <c r="S256" s="25">
        <f>IF(OR($C256="",N($G256)=0),"",R256/$G256)</f>
        <v/>
      </c>
      <c r="T256" s="23">
        <f>IF($C256="","",N($G256)-N(R256))</f>
        <v/>
      </c>
      <c r="U256" s="24" t="n"/>
      <c r="V256" s="22" t="n"/>
    </row>
    <row r="257">
      <c r="B257" s="13">
        <f>IF($C257="","",COUNTA($C$9:$C257))</f>
        <v/>
      </c>
      <c r="C257" s="21" t="n"/>
      <c r="D257" s="14" t="n"/>
      <c r="E257" s="14" t="n"/>
      <c r="F257" s="14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3">
        <f>IF($C257="","",N(L257)-N(M257))</f>
        <v/>
      </c>
      <c r="P257" s="24" t="n"/>
      <c r="Q257" s="23">
        <f>IF($C257="","",N(M257)+N(N257))</f>
        <v/>
      </c>
      <c r="R257" s="23">
        <f>IF($C257="","",N(J257)+N(Q257))</f>
        <v/>
      </c>
      <c r="S257" s="25">
        <f>IF(OR($C257="",N($G257)=0),"",R257/$G257)</f>
        <v/>
      </c>
      <c r="T257" s="23">
        <f>IF($C257="","",N($G257)-N(R257))</f>
        <v/>
      </c>
      <c r="U257" s="24" t="n"/>
      <c r="V257" s="22" t="n"/>
    </row>
    <row r="258">
      <c r="B258" s="13">
        <f>IF($C258="","",COUNTA($C$9:$C258))</f>
        <v/>
      </c>
      <c r="C258" s="21" t="n"/>
      <c r="D258" s="14" t="n"/>
      <c r="E258" s="14" t="n"/>
      <c r="F258" s="14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3">
        <f>IF($C258="","",N(L258)-N(M258))</f>
        <v/>
      </c>
      <c r="P258" s="24" t="n"/>
      <c r="Q258" s="23">
        <f>IF($C258="","",N(M258)+N(N258))</f>
        <v/>
      </c>
      <c r="R258" s="23">
        <f>IF($C258="","",N(J258)+N(Q258))</f>
        <v/>
      </c>
      <c r="S258" s="25">
        <f>IF(OR($C258="",N($G258)=0),"",R258/$G258)</f>
        <v/>
      </c>
      <c r="T258" s="23">
        <f>IF($C258="","",N($G258)-N(R258))</f>
        <v/>
      </c>
      <c r="U258" s="24" t="n"/>
      <c r="V258" s="22" t="n"/>
    </row>
    <row r="259">
      <c r="B259" s="13">
        <f>IF($C259="","",COUNTA($C$9:$C259))</f>
        <v/>
      </c>
      <c r="C259" s="21" t="n"/>
      <c r="D259" s="14" t="n"/>
      <c r="E259" s="14" t="n"/>
      <c r="F259" s="14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3">
        <f>IF($C259="","",N(L259)-N(M259))</f>
        <v/>
      </c>
      <c r="P259" s="24" t="n"/>
      <c r="Q259" s="23">
        <f>IF($C259="","",N(M259)+N(N259))</f>
        <v/>
      </c>
      <c r="R259" s="23">
        <f>IF($C259="","",N(J259)+N(Q259))</f>
        <v/>
      </c>
      <c r="S259" s="25">
        <f>IF(OR($C259="",N($G259)=0),"",R259/$G259)</f>
        <v/>
      </c>
      <c r="T259" s="23">
        <f>IF($C259="","",N($G259)-N(R259))</f>
        <v/>
      </c>
      <c r="U259" s="24" t="n"/>
      <c r="V259" s="22" t="n"/>
    </row>
    <row r="260">
      <c r="B260" s="13">
        <f>IF($C260="","",COUNTA($C$9:$C260))</f>
        <v/>
      </c>
      <c r="C260" s="21" t="n"/>
      <c r="D260" s="14" t="n"/>
      <c r="E260" s="14" t="n"/>
      <c r="F260" s="14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3">
        <f>IF($C260="","",N(L260)-N(M260))</f>
        <v/>
      </c>
      <c r="P260" s="24" t="n"/>
      <c r="Q260" s="23">
        <f>IF($C260="","",N(M260)+N(N260))</f>
        <v/>
      </c>
      <c r="R260" s="23">
        <f>IF($C260="","",N(J260)+N(Q260))</f>
        <v/>
      </c>
      <c r="S260" s="25">
        <f>IF(OR($C260="",N($G260)=0),"",R260/$G260)</f>
        <v/>
      </c>
      <c r="T260" s="23">
        <f>IF($C260="","",N($G260)-N(R260))</f>
        <v/>
      </c>
      <c r="U260" s="24" t="n"/>
      <c r="V260" s="22" t="n"/>
    </row>
    <row r="261">
      <c r="B261" s="13">
        <f>IF($C261="","",COUNTA($C$9:$C261))</f>
        <v/>
      </c>
      <c r="C261" s="21" t="n"/>
      <c r="D261" s="14" t="n"/>
      <c r="E261" s="14" t="n"/>
      <c r="F261" s="14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3">
        <f>IF($C261="","",N(L261)-N(M261))</f>
        <v/>
      </c>
      <c r="P261" s="24" t="n"/>
      <c r="Q261" s="23">
        <f>IF($C261="","",N(M261)+N(N261))</f>
        <v/>
      </c>
      <c r="R261" s="23">
        <f>IF($C261="","",N(J261)+N(Q261))</f>
        <v/>
      </c>
      <c r="S261" s="25">
        <f>IF(OR($C261="",N($G261)=0),"",R261/$G261)</f>
        <v/>
      </c>
      <c r="T261" s="23">
        <f>IF($C261="","",N($G261)-N(R261))</f>
        <v/>
      </c>
      <c r="U261" s="24" t="n"/>
      <c r="V261" s="22" t="n"/>
    </row>
    <row r="262">
      <c r="B262" s="13">
        <f>IF($C262="","",COUNTA($C$9:$C262))</f>
        <v/>
      </c>
      <c r="C262" s="21" t="n"/>
      <c r="D262" s="14" t="n"/>
      <c r="E262" s="14" t="n"/>
      <c r="F262" s="14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3">
        <f>IF($C262="","",N(L262)-N(M262))</f>
        <v/>
      </c>
      <c r="P262" s="24" t="n"/>
      <c r="Q262" s="23">
        <f>IF($C262="","",N(M262)+N(N262))</f>
        <v/>
      </c>
      <c r="R262" s="23">
        <f>IF($C262="","",N(J262)+N(Q262))</f>
        <v/>
      </c>
      <c r="S262" s="25">
        <f>IF(OR($C262="",N($G262)=0),"",R262/$G262)</f>
        <v/>
      </c>
      <c r="T262" s="23">
        <f>IF($C262="","",N($G262)-N(R262))</f>
        <v/>
      </c>
      <c r="U262" s="24" t="n"/>
      <c r="V262" s="22" t="n"/>
    </row>
    <row r="263">
      <c r="B263" s="13">
        <f>IF($C263="","",COUNTA($C$9:$C263))</f>
        <v/>
      </c>
      <c r="C263" s="21" t="n"/>
      <c r="D263" s="14" t="n"/>
      <c r="E263" s="14" t="n"/>
      <c r="F263" s="14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3">
        <f>IF($C263="","",N(L263)-N(M263))</f>
        <v/>
      </c>
      <c r="P263" s="24" t="n"/>
      <c r="Q263" s="23">
        <f>IF($C263="","",N(M263)+N(N263))</f>
        <v/>
      </c>
      <c r="R263" s="23">
        <f>IF($C263="","",N(J263)+N(Q263))</f>
        <v/>
      </c>
      <c r="S263" s="25">
        <f>IF(OR($C263="",N($G263)=0),"",R263/$G263)</f>
        <v/>
      </c>
      <c r="T263" s="23">
        <f>IF($C263="","",N($G263)-N(R263))</f>
        <v/>
      </c>
      <c r="U263" s="24" t="n"/>
      <c r="V263" s="22" t="n"/>
    </row>
    <row r="264">
      <c r="B264" s="13">
        <f>IF($C264="","",COUNTA($C$9:$C264))</f>
        <v/>
      </c>
      <c r="C264" s="21" t="n"/>
      <c r="D264" s="14" t="n"/>
      <c r="E264" s="14" t="n"/>
      <c r="F264" s="14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3">
        <f>IF($C264="","",N(L264)-N(M264))</f>
        <v/>
      </c>
      <c r="P264" s="24" t="n"/>
      <c r="Q264" s="23">
        <f>IF($C264="","",N(M264)+N(N264))</f>
        <v/>
      </c>
      <c r="R264" s="23">
        <f>IF($C264="","",N(J264)+N(Q264))</f>
        <v/>
      </c>
      <c r="S264" s="25">
        <f>IF(OR($C264="",N($G264)=0),"",R264/$G264)</f>
        <v/>
      </c>
      <c r="T264" s="23">
        <f>IF($C264="","",N($G264)-N(R264))</f>
        <v/>
      </c>
      <c r="U264" s="24" t="n"/>
      <c r="V264" s="22" t="n"/>
    </row>
    <row r="265">
      <c r="B265" s="13">
        <f>IF($C265="","",COUNTA($C$9:$C265))</f>
        <v/>
      </c>
      <c r="C265" s="21" t="n"/>
      <c r="D265" s="14" t="n"/>
      <c r="E265" s="14" t="n"/>
      <c r="F265" s="14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3">
        <f>IF($C265="","",N(L265)-N(M265))</f>
        <v/>
      </c>
      <c r="P265" s="24" t="n"/>
      <c r="Q265" s="23">
        <f>IF($C265="","",N(M265)+N(N265))</f>
        <v/>
      </c>
      <c r="R265" s="23">
        <f>IF($C265="","",N(J265)+N(Q265))</f>
        <v/>
      </c>
      <c r="S265" s="25">
        <f>IF(OR($C265="",N($G265)=0),"",R265/$G265)</f>
        <v/>
      </c>
      <c r="T265" s="23">
        <f>IF($C265="","",N($G265)-N(R265))</f>
        <v/>
      </c>
      <c r="U265" s="24" t="n"/>
      <c r="V265" s="22" t="n"/>
    </row>
    <row r="266">
      <c r="B266" s="13">
        <f>IF($C266="","",COUNTA($C$9:$C266))</f>
        <v/>
      </c>
      <c r="C266" s="21" t="n"/>
      <c r="D266" s="14" t="n"/>
      <c r="E266" s="14" t="n"/>
      <c r="F266" s="14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3">
        <f>IF($C266="","",N(L266)-N(M266))</f>
        <v/>
      </c>
      <c r="P266" s="24" t="n"/>
      <c r="Q266" s="23">
        <f>IF($C266="","",N(M266)+N(N266))</f>
        <v/>
      </c>
      <c r="R266" s="23">
        <f>IF($C266="","",N(J266)+N(Q266))</f>
        <v/>
      </c>
      <c r="S266" s="25">
        <f>IF(OR($C266="",N($G266)=0),"",R266/$G266)</f>
        <v/>
      </c>
      <c r="T266" s="23">
        <f>IF($C266="","",N($G266)-N(R266))</f>
        <v/>
      </c>
      <c r="U266" s="24" t="n"/>
      <c r="V266" s="22" t="n"/>
    </row>
    <row r="267">
      <c r="B267" s="13">
        <f>IF($C267="","",COUNTA($C$9:$C267))</f>
        <v/>
      </c>
      <c r="C267" s="21" t="n"/>
      <c r="D267" s="14" t="n"/>
      <c r="E267" s="14" t="n"/>
      <c r="F267" s="14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3">
        <f>IF($C267="","",N(L267)-N(M267))</f>
        <v/>
      </c>
      <c r="P267" s="24" t="n"/>
      <c r="Q267" s="23">
        <f>IF($C267="","",N(M267)+N(N267))</f>
        <v/>
      </c>
      <c r="R267" s="23">
        <f>IF($C267="","",N(J267)+N(Q267))</f>
        <v/>
      </c>
      <c r="S267" s="25">
        <f>IF(OR($C267="",N($G267)=0),"",R267/$G267)</f>
        <v/>
      </c>
      <c r="T267" s="23">
        <f>IF($C267="","",N($G267)-N(R267))</f>
        <v/>
      </c>
      <c r="U267" s="24" t="n"/>
      <c r="V267" s="22" t="n"/>
    </row>
    <row r="268">
      <c r="B268" s="13">
        <f>IF($C268="","",COUNTA($C$9:$C268))</f>
        <v/>
      </c>
      <c r="C268" s="21" t="n"/>
      <c r="D268" s="14" t="n"/>
      <c r="E268" s="14" t="n"/>
      <c r="F268" s="14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3">
        <f>IF($C268="","",N(L268)-N(M268))</f>
        <v/>
      </c>
      <c r="P268" s="24" t="n"/>
      <c r="Q268" s="23">
        <f>IF($C268="","",N(M268)+N(N268))</f>
        <v/>
      </c>
      <c r="R268" s="23">
        <f>IF($C268="","",N(J268)+N(Q268))</f>
        <v/>
      </c>
      <c r="S268" s="25">
        <f>IF(OR($C268="",N($G268)=0),"",R268/$G268)</f>
        <v/>
      </c>
      <c r="T268" s="23">
        <f>IF($C268="","",N($G268)-N(R268))</f>
        <v/>
      </c>
      <c r="U268" s="24" t="n"/>
      <c r="V268" s="22" t="n"/>
    </row>
    <row r="269">
      <c r="B269" s="13">
        <f>IF($C269="","",COUNTA($C$9:$C269))</f>
        <v/>
      </c>
      <c r="C269" s="21" t="n"/>
      <c r="D269" s="14" t="n"/>
      <c r="E269" s="14" t="n"/>
      <c r="F269" s="14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3">
        <f>IF($C269="","",N(L269)-N(M269))</f>
        <v/>
      </c>
      <c r="P269" s="24" t="n"/>
      <c r="Q269" s="23">
        <f>IF($C269="","",N(M269)+N(N269))</f>
        <v/>
      </c>
      <c r="R269" s="23">
        <f>IF($C269="","",N(J269)+N(Q269))</f>
        <v/>
      </c>
      <c r="S269" s="25">
        <f>IF(OR($C269="",N($G269)=0),"",R269/$G269)</f>
        <v/>
      </c>
      <c r="T269" s="23">
        <f>IF($C269="","",N($G269)-N(R269))</f>
        <v/>
      </c>
      <c r="U269" s="24" t="n"/>
      <c r="V269" s="22" t="n"/>
    </row>
    <row r="270">
      <c r="B270" s="13">
        <f>IF($C270="","",COUNTA($C$9:$C270))</f>
        <v/>
      </c>
      <c r="C270" s="21" t="n"/>
      <c r="D270" s="14" t="n"/>
      <c r="E270" s="14" t="n"/>
      <c r="F270" s="14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3">
        <f>IF($C270="","",N(L270)-N(M270))</f>
        <v/>
      </c>
      <c r="P270" s="24" t="n"/>
      <c r="Q270" s="23">
        <f>IF($C270="","",N(M270)+N(N270))</f>
        <v/>
      </c>
      <c r="R270" s="23">
        <f>IF($C270="","",N(J270)+N(Q270))</f>
        <v/>
      </c>
      <c r="S270" s="25">
        <f>IF(OR($C270="",N($G270)=0),"",R270/$G270)</f>
        <v/>
      </c>
      <c r="T270" s="23">
        <f>IF($C270="","",N($G270)-N(R270))</f>
        <v/>
      </c>
      <c r="U270" s="24" t="n"/>
      <c r="V270" s="22" t="n"/>
    </row>
    <row r="271">
      <c r="B271" s="13">
        <f>IF($C271="","",COUNTA($C$9:$C271))</f>
        <v/>
      </c>
      <c r="C271" s="21" t="n"/>
      <c r="D271" s="14" t="n"/>
      <c r="E271" s="14" t="n"/>
      <c r="F271" s="14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3">
        <f>IF($C271="","",N(L271)-N(M271))</f>
        <v/>
      </c>
      <c r="P271" s="24" t="n"/>
      <c r="Q271" s="23">
        <f>IF($C271="","",N(M271)+N(N271))</f>
        <v/>
      </c>
      <c r="R271" s="23">
        <f>IF($C271="","",N(J271)+N(Q271))</f>
        <v/>
      </c>
      <c r="S271" s="25">
        <f>IF(OR($C271="",N($G271)=0),"",R271/$G271)</f>
        <v/>
      </c>
      <c r="T271" s="23">
        <f>IF($C271="","",N($G271)-N(R271))</f>
        <v/>
      </c>
      <c r="U271" s="24" t="n"/>
      <c r="V271" s="22" t="n"/>
    </row>
    <row r="272">
      <c r="B272" s="13">
        <f>IF($C272="","",COUNTA($C$9:$C272))</f>
        <v/>
      </c>
      <c r="C272" s="21" t="n"/>
      <c r="D272" s="14" t="n"/>
      <c r="E272" s="14" t="n"/>
      <c r="F272" s="14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3">
        <f>IF($C272="","",N(L272)-N(M272))</f>
        <v/>
      </c>
      <c r="P272" s="24" t="n"/>
      <c r="Q272" s="23">
        <f>IF($C272="","",N(M272)+N(N272))</f>
        <v/>
      </c>
      <c r="R272" s="23">
        <f>IF($C272="","",N(J272)+N(Q272))</f>
        <v/>
      </c>
      <c r="S272" s="25">
        <f>IF(OR($C272="",N($G272)=0),"",R272/$G272)</f>
        <v/>
      </c>
      <c r="T272" s="23">
        <f>IF($C272="","",N($G272)-N(R272))</f>
        <v/>
      </c>
      <c r="U272" s="24" t="n"/>
      <c r="V272" s="22" t="n"/>
    </row>
    <row r="273">
      <c r="B273" s="13">
        <f>IF($C273="","",COUNTA($C$9:$C273))</f>
        <v/>
      </c>
      <c r="C273" s="21" t="n"/>
      <c r="D273" s="14" t="n"/>
      <c r="E273" s="14" t="n"/>
      <c r="F273" s="14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3">
        <f>IF($C273="","",N(L273)-N(M273))</f>
        <v/>
      </c>
      <c r="P273" s="24" t="n"/>
      <c r="Q273" s="23">
        <f>IF($C273="","",N(M273)+N(N273))</f>
        <v/>
      </c>
      <c r="R273" s="23">
        <f>IF($C273="","",N(J273)+N(Q273))</f>
        <v/>
      </c>
      <c r="S273" s="25">
        <f>IF(OR($C273="",N($G273)=0),"",R273/$G273)</f>
        <v/>
      </c>
      <c r="T273" s="23">
        <f>IF($C273="","",N($G273)-N(R273))</f>
        <v/>
      </c>
      <c r="U273" s="24" t="n"/>
      <c r="V273" s="22" t="n"/>
    </row>
    <row r="274">
      <c r="B274" s="13">
        <f>IF($C274="","",COUNTA($C$9:$C274))</f>
        <v/>
      </c>
      <c r="C274" s="21" t="n"/>
      <c r="D274" s="14" t="n"/>
      <c r="E274" s="14" t="n"/>
      <c r="F274" s="14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3">
        <f>IF($C274="","",N(L274)-N(M274))</f>
        <v/>
      </c>
      <c r="P274" s="24" t="n"/>
      <c r="Q274" s="23">
        <f>IF($C274="","",N(M274)+N(N274))</f>
        <v/>
      </c>
      <c r="R274" s="23">
        <f>IF($C274="","",N(J274)+N(Q274))</f>
        <v/>
      </c>
      <c r="S274" s="25">
        <f>IF(OR($C274="",N($G274)=0),"",R274/$G274)</f>
        <v/>
      </c>
      <c r="T274" s="23">
        <f>IF($C274="","",N($G274)-N(R274))</f>
        <v/>
      </c>
      <c r="U274" s="24" t="n"/>
      <c r="V274" s="22" t="n"/>
    </row>
    <row r="275">
      <c r="B275" s="13">
        <f>IF($C275="","",COUNTA($C$9:$C275))</f>
        <v/>
      </c>
      <c r="C275" s="21" t="n"/>
      <c r="D275" s="14" t="n"/>
      <c r="E275" s="14" t="n"/>
      <c r="F275" s="14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3">
        <f>IF($C275="","",N(L275)-N(M275))</f>
        <v/>
      </c>
      <c r="P275" s="24" t="n"/>
      <c r="Q275" s="23">
        <f>IF($C275="","",N(M275)+N(N275))</f>
        <v/>
      </c>
      <c r="R275" s="23">
        <f>IF($C275="","",N(J275)+N(Q275))</f>
        <v/>
      </c>
      <c r="S275" s="25">
        <f>IF(OR($C275="",N($G275)=0),"",R275/$G275)</f>
        <v/>
      </c>
      <c r="T275" s="23">
        <f>IF($C275="","",N($G275)-N(R275))</f>
        <v/>
      </c>
      <c r="U275" s="24" t="n"/>
      <c r="V275" s="22" t="n"/>
    </row>
    <row r="276">
      <c r="B276" s="13">
        <f>IF($C276="","",COUNTA($C$9:$C276))</f>
        <v/>
      </c>
      <c r="C276" s="21" t="n"/>
      <c r="D276" s="14" t="n"/>
      <c r="E276" s="14" t="n"/>
      <c r="F276" s="14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3">
        <f>IF($C276="","",N(L276)-N(M276))</f>
        <v/>
      </c>
      <c r="P276" s="24" t="n"/>
      <c r="Q276" s="23">
        <f>IF($C276="","",N(M276)+N(N276))</f>
        <v/>
      </c>
      <c r="R276" s="23">
        <f>IF($C276="","",N(J276)+N(Q276))</f>
        <v/>
      </c>
      <c r="S276" s="25">
        <f>IF(OR($C276="",N($G276)=0),"",R276/$G276)</f>
        <v/>
      </c>
      <c r="T276" s="23">
        <f>IF($C276="","",N($G276)-N(R276))</f>
        <v/>
      </c>
      <c r="U276" s="24" t="n"/>
      <c r="V276" s="22" t="n"/>
    </row>
    <row r="277">
      <c r="B277" s="13">
        <f>IF($C277="","",COUNTA($C$9:$C277))</f>
        <v/>
      </c>
      <c r="C277" s="21" t="n"/>
      <c r="D277" s="14" t="n"/>
      <c r="E277" s="14" t="n"/>
      <c r="F277" s="14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3">
        <f>IF($C277="","",N(L277)-N(M277))</f>
        <v/>
      </c>
      <c r="P277" s="24" t="n"/>
      <c r="Q277" s="23">
        <f>IF($C277="","",N(M277)+N(N277))</f>
        <v/>
      </c>
      <c r="R277" s="23">
        <f>IF($C277="","",N(J277)+N(Q277))</f>
        <v/>
      </c>
      <c r="S277" s="25">
        <f>IF(OR($C277="",N($G277)=0),"",R277/$G277)</f>
        <v/>
      </c>
      <c r="T277" s="23">
        <f>IF($C277="","",N($G277)-N(R277))</f>
        <v/>
      </c>
      <c r="U277" s="24" t="n"/>
      <c r="V277" s="22" t="n"/>
    </row>
    <row r="278">
      <c r="B278" s="13">
        <f>IF($C278="","",COUNTA($C$9:$C278))</f>
        <v/>
      </c>
      <c r="C278" s="21" t="n"/>
      <c r="D278" s="14" t="n"/>
      <c r="E278" s="14" t="n"/>
      <c r="F278" s="14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3">
        <f>IF($C278="","",N(L278)-N(M278))</f>
        <v/>
      </c>
      <c r="P278" s="24" t="n"/>
      <c r="Q278" s="23">
        <f>IF($C278="","",N(M278)+N(N278))</f>
        <v/>
      </c>
      <c r="R278" s="23">
        <f>IF($C278="","",N(J278)+N(Q278))</f>
        <v/>
      </c>
      <c r="S278" s="25">
        <f>IF(OR($C278="",N($G278)=0),"",R278/$G278)</f>
        <v/>
      </c>
      <c r="T278" s="23">
        <f>IF($C278="","",N($G278)-N(R278))</f>
        <v/>
      </c>
      <c r="U278" s="24" t="n"/>
      <c r="V278" s="22" t="n"/>
    </row>
    <row r="279">
      <c r="B279" s="13">
        <f>IF($C279="","",COUNTA($C$9:$C279))</f>
        <v/>
      </c>
      <c r="C279" s="21" t="n"/>
      <c r="D279" s="14" t="n"/>
      <c r="E279" s="14" t="n"/>
      <c r="F279" s="14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3">
        <f>IF($C279="","",N(L279)-N(M279))</f>
        <v/>
      </c>
      <c r="P279" s="24" t="n"/>
      <c r="Q279" s="23">
        <f>IF($C279="","",N(M279)+N(N279))</f>
        <v/>
      </c>
      <c r="R279" s="23">
        <f>IF($C279="","",N(J279)+N(Q279))</f>
        <v/>
      </c>
      <c r="S279" s="25">
        <f>IF(OR($C279="",N($G279)=0),"",R279/$G279)</f>
        <v/>
      </c>
      <c r="T279" s="23">
        <f>IF($C279="","",N($G279)-N(R279))</f>
        <v/>
      </c>
      <c r="U279" s="24" t="n"/>
      <c r="V279" s="22" t="n"/>
    </row>
    <row r="280">
      <c r="B280" s="13">
        <f>IF($C280="","",COUNTA($C$9:$C280))</f>
        <v/>
      </c>
      <c r="C280" s="21" t="n"/>
      <c r="D280" s="14" t="n"/>
      <c r="E280" s="14" t="n"/>
      <c r="F280" s="14" t="n"/>
      <c r="G280" s="22" t="n"/>
      <c r="H280" s="22" t="n"/>
      <c r="I280" s="22" t="n"/>
      <c r="J280" s="22" t="n"/>
      <c r="K280" s="22" t="n"/>
      <c r="L280" s="22" t="n"/>
      <c r="M280" s="22" t="n"/>
      <c r="N280" s="22" t="n"/>
      <c r="O280" s="23">
        <f>IF($C280="","",N(L280)-N(M280))</f>
        <v/>
      </c>
      <c r="P280" s="24" t="n"/>
      <c r="Q280" s="23">
        <f>IF($C280="","",N(M280)+N(N280))</f>
        <v/>
      </c>
      <c r="R280" s="23">
        <f>IF($C280="","",N(J280)+N(Q280))</f>
        <v/>
      </c>
      <c r="S280" s="25">
        <f>IF(OR($C280="",N($G280)=0),"",R280/$G280)</f>
        <v/>
      </c>
      <c r="T280" s="23">
        <f>IF($C280="","",N($G280)-N(R280))</f>
        <v/>
      </c>
      <c r="U280" s="24" t="n"/>
      <c r="V280" s="22" t="n"/>
    </row>
    <row r="281">
      <c r="B281" s="13">
        <f>IF($C281="","",COUNTA($C$9:$C281))</f>
        <v/>
      </c>
      <c r="C281" s="21" t="n"/>
      <c r="D281" s="14" t="n"/>
      <c r="E281" s="14" t="n"/>
      <c r="F281" s="14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3">
        <f>IF($C281="","",N(L281)-N(M281))</f>
        <v/>
      </c>
      <c r="P281" s="24" t="n"/>
      <c r="Q281" s="23">
        <f>IF($C281="","",N(M281)+N(N281))</f>
        <v/>
      </c>
      <c r="R281" s="23">
        <f>IF($C281="","",N(J281)+N(Q281))</f>
        <v/>
      </c>
      <c r="S281" s="25">
        <f>IF(OR($C281="",N($G281)=0),"",R281/$G281)</f>
        <v/>
      </c>
      <c r="T281" s="23">
        <f>IF($C281="","",N($G281)-N(R281))</f>
        <v/>
      </c>
      <c r="U281" s="24" t="n"/>
      <c r="V281" s="22" t="n"/>
    </row>
    <row r="282">
      <c r="B282" s="13">
        <f>IF($C282="","",COUNTA($C$9:$C282))</f>
        <v/>
      </c>
      <c r="C282" s="21" t="n"/>
      <c r="D282" s="14" t="n"/>
      <c r="E282" s="14" t="n"/>
      <c r="F282" s="14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3">
        <f>IF($C282="","",N(L282)-N(M282))</f>
        <v/>
      </c>
      <c r="P282" s="24" t="n"/>
      <c r="Q282" s="23">
        <f>IF($C282="","",N(M282)+N(N282))</f>
        <v/>
      </c>
      <c r="R282" s="23">
        <f>IF($C282="","",N(J282)+N(Q282))</f>
        <v/>
      </c>
      <c r="S282" s="25">
        <f>IF(OR($C282="",N($G282)=0),"",R282/$G282)</f>
        <v/>
      </c>
      <c r="T282" s="23">
        <f>IF($C282="","",N($G282)-N(R282))</f>
        <v/>
      </c>
      <c r="U282" s="24" t="n"/>
      <c r="V282" s="22" t="n"/>
    </row>
    <row r="283">
      <c r="B283" s="13">
        <f>IF($C283="","",COUNTA($C$9:$C283))</f>
        <v/>
      </c>
      <c r="C283" s="21" t="n"/>
      <c r="D283" s="14" t="n"/>
      <c r="E283" s="14" t="n"/>
      <c r="F283" s="14" t="n"/>
      <c r="G283" s="22" t="n"/>
      <c r="H283" s="22" t="n"/>
      <c r="I283" s="22" t="n"/>
      <c r="J283" s="22" t="n"/>
      <c r="K283" s="22" t="n"/>
      <c r="L283" s="22" t="n"/>
      <c r="M283" s="22" t="n"/>
      <c r="N283" s="22" t="n"/>
      <c r="O283" s="23">
        <f>IF($C283="","",N(L283)-N(M283))</f>
        <v/>
      </c>
      <c r="P283" s="24" t="n"/>
      <c r="Q283" s="23">
        <f>IF($C283="","",N(M283)+N(N283))</f>
        <v/>
      </c>
      <c r="R283" s="23">
        <f>IF($C283="","",N(J283)+N(Q283))</f>
        <v/>
      </c>
      <c r="S283" s="25">
        <f>IF(OR($C283="",N($G283)=0),"",R283/$G283)</f>
        <v/>
      </c>
      <c r="T283" s="23">
        <f>IF($C283="","",N($G283)-N(R283))</f>
        <v/>
      </c>
      <c r="U283" s="24" t="n"/>
      <c r="V283" s="22" t="n"/>
    </row>
    <row r="284">
      <c r="B284" s="13">
        <f>IF($C284="","",COUNTA($C$9:$C284))</f>
        <v/>
      </c>
      <c r="C284" s="21" t="n"/>
      <c r="D284" s="14" t="n"/>
      <c r="E284" s="14" t="n"/>
      <c r="F284" s="14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3">
        <f>IF($C284="","",N(L284)-N(M284))</f>
        <v/>
      </c>
      <c r="P284" s="24" t="n"/>
      <c r="Q284" s="23">
        <f>IF($C284="","",N(M284)+N(N284))</f>
        <v/>
      </c>
      <c r="R284" s="23">
        <f>IF($C284="","",N(J284)+N(Q284))</f>
        <v/>
      </c>
      <c r="S284" s="25">
        <f>IF(OR($C284="",N($G284)=0),"",R284/$G284)</f>
        <v/>
      </c>
      <c r="T284" s="23">
        <f>IF($C284="","",N($G284)-N(R284))</f>
        <v/>
      </c>
      <c r="U284" s="24" t="n"/>
      <c r="V284" s="22" t="n"/>
    </row>
    <row r="285">
      <c r="B285" s="13">
        <f>IF($C285="","",COUNTA($C$9:$C285))</f>
        <v/>
      </c>
      <c r="C285" s="21" t="n"/>
      <c r="D285" s="14" t="n"/>
      <c r="E285" s="14" t="n"/>
      <c r="F285" s="14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3">
        <f>IF($C285="","",N(L285)-N(M285))</f>
        <v/>
      </c>
      <c r="P285" s="24" t="n"/>
      <c r="Q285" s="23">
        <f>IF($C285="","",N(M285)+N(N285))</f>
        <v/>
      </c>
      <c r="R285" s="23">
        <f>IF($C285="","",N(J285)+N(Q285))</f>
        <v/>
      </c>
      <c r="S285" s="25">
        <f>IF(OR($C285="",N($G285)=0),"",R285/$G285)</f>
        <v/>
      </c>
      <c r="T285" s="23">
        <f>IF($C285="","",N($G285)-N(R285))</f>
        <v/>
      </c>
      <c r="U285" s="24" t="n"/>
      <c r="V285" s="22" t="n"/>
    </row>
    <row r="286">
      <c r="B286" s="13">
        <f>IF($C286="","",COUNTA($C$9:$C286))</f>
        <v/>
      </c>
      <c r="C286" s="21" t="n"/>
      <c r="D286" s="14" t="n"/>
      <c r="E286" s="14" t="n"/>
      <c r="F286" s="14" t="n"/>
      <c r="G286" s="22" t="n"/>
      <c r="H286" s="22" t="n"/>
      <c r="I286" s="22" t="n"/>
      <c r="J286" s="22" t="n"/>
      <c r="K286" s="22" t="n"/>
      <c r="L286" s="22" t="n"/>
      <c r="M286" s="22" t="n"/>
      <c r="N286" s="22" t="n"/>
      <c r="O286" s="23">
        <f>IF($C286="","",N(L286)-N(M286))</f>
        <v/>
      </c>
      <c r="P286" s="24" t="n"/>
      <c r="Q286" s="23">
        <f>IF($C286="","",N(M286)+N(N286))</f>
        <v/>
      </c>
      <c r="R286" s="23">
        <f>IF($C286="","",N(J286)+N(Q286))</f>
        <v/>
      </c>
      <c r="S286" s="25">
        <f>IF(OR($C286="",N($G286)=0),"",R286/$G286)</f>
        <v/>
      </c>
      <c r="T286" s="23">
        <f>IF($C286="","",N($G286)-N(R286))</f>
        <v/>
      </c>
      <c r="U286" s="24" t="n"/>
      <c r="V286" s="22" t="n"/>
    </row>
    <row r="287">
      <c r="B287" s="13">
        <f>IF($C287="","",COUNTA($C$9:$C287))</f>
        <v/>
      </c>
      <c r="C287" s="21" t="n"/>
      <c r="D287" s="14" t="n"/>
      <c r="E287" s="14" t="n"/>
      <c r="F287" s="14" t="n"/>
      <c r="G287" s="22" t="n"/>
      <c r="H287" s="22" t="n"/>
      <c r="I287" s="22" t="n"/>
      <c r="J287" s="22" t="n"/>
      <c r="K287" s="22" t="n"/>
      <c r="L287" s="22" t="n"/>
      <c r="M287" s="22" t="n"/>
      <c r="N287" s="22" t="n"/>
      <c r="O287" s="23">
        <f>IF($C287="","",N(L287)-N(M287))</f>
        <v/>
      </c>
      <c r="P287" s="24" t="n"/>
      <c r="Q287" s="23">
        <f>IF($C287="","",N(M287)+N(N287))</f>
        <v/>
      </c>
      <c r="R287" s="23">
        <f>IF($C287="","",N(J287)+N(Q287))</f>
        <v/>
      </c>
      <c r="S287" s="25">
        <f>IF(OR($C287="",N($G287)=0),"",R287/$G287)</f>
        <v/>
      </c>
      <c r="T287" s="23">
        <f>IF($C287="","",N($G287)-N(R287))</f>
        <v/>
      </c>
      <c r="U287" s="24" t="n"/>
      <c r="V287" s="22" t="n"/>
    </row>
    <row r="288">
      <c r="B288" s="13">
        <f>IF($C288="","",COUNTA($C$9:$C288))</f>
        <v/>
      </c>
      <c r="C288" s="21" t="n"/>
      <c r="D288" s="14" t="n"/>
      <c r="E288" s="14" t="n"/>
      <c r="F288" s="14" t="n"/>
      <c r="G288" s="22" t="n"/>
      <c r="H288" s="22" t="n"/>
      <c r="I288" s="22" t="n"/>
      <c r="J288" s="22" t="n"/>
      <c r="K288" s="22" t="n"/>
      <c r="L288" s="22" t="n"/>
      <c r="M288" s="22" t="n"/>
      <c r="N288" s="22" t="n"/>
      <c r="O288" s="23">
        <f>IF($C288="","",N(L288)-N(M288))</f>
        <v/>
      </c>
      <c r="P288" s="24" t="n"/>
      <c r="Q288" s="23">
        <f>IF($C288="","",N(M288)+N(N288))</f>
        <v/>
      </c>
      <c r="R288" s="23">
        <f>IF($C288="","",N(J288)+N(Q288))</f>
        <v/>
      </c>
      <c r="S288" s="25">
        <f>IF(OR($C288="",N($G288)=0),"",R288/$G288)</f>
        <v/>
      </c>
      <c r="T288" s="23">
        <f>IF($C288="","",N($G288)-N(R288))</f>
        <v/>
      </c>
      <c r="U288" s="24" t="n"/>
      <c r="V288" s="22" t="n"/>
    </row>
    <row r="289">
      <c r="B289" s="13">
        <f>IF($C289="","",COUNTA($C$9:$C289))</f>
        <v/>
      </c>
      <c r="C289" s="21" t="n"/>
      <c r="D289" s="14" t="n"/>
      <c r="E289" s="14" t="n"/>
      <c r="F289" s="14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3">
        <f>IF($C289="","",N(L289)-N(M289))</f>
        <v/>
      </c>
      <c r="P289" s="24" t="n"/>
      <c r="Q289" s="23">
        <f>IF($C289="","",N(M289)+N(N289))</f>
        <v/>
      </c>
      <c r="R289" s="23">
        <f>IF($C289="","",N(J289)+N(Q289))</f>
        <v/>
      </c>
      <c r="S289" s="25">
        <f>IF(OR($C289="",N($G289)=0),"",R289/$G289)</f>
        <v/>
      </c>
      <c r="T289" s="23">
        <f>IF($C289="","",N($G289)-N(R289))</f>
        <v/>
      </c>
      <c r="U289" s="24" t="n"/>
      <c r="V289" s="22" t="n"/>
    </row>
    <row r="290">
      <c r="B290" s="13">
        <f>IF($C290="","",COUNTA($C$9:$C290))</f>
        <v/>
      </c>
      <c r="C290" s="21" t="n"/>
      <c r="D290" s="14" t="n"/>
      <c r="E290" s="14" t="n"/>
      <c r="F290" s="14" t="n"/>
      <c r="G290" s="22" t="n"/>
      <c r="H290" s="22" t="n"/>
      <c r="I290" s="22" t="n"/>
      <c r="J290" s="22" t="n"/>
      <c r="K290" s="22" t="n"/>
      <c r="L290" s="22" t="n"/>
      <c r="M290" s="22" t="n"/>
      <c r="N290" s="22" t="n"/>
      <c r="O290" s="23">
        <f>IF($C290="","",N(L290)-N(M290))</f>
        <v/>
      </c>
      <c r="P290" s="24" t="n"/>
      <c r="Q290" s="23">
        <f>IF($C290="","",N(M290)+N(N290))</f>
        <v/>
      </c>
      <c r="R290" s="23">
        <f>IF($C290="","",N(J290)+N(Q290))</f>
        <v/>
      </c>
      <c r="S290" s="25">
        <f>IF(OR($C290="",N($G290)=0),"",R290/$G290)</f>
        <v/>
      </c>
      <c r="T290" s="23">
        <f>IF($C290="","",N($G290)-N(R290))</f>
        <v/>
      </c>
      <c r="U290" s="24" t="n"/>
      <c r="V290" s="22" t="n"/>
    </row>
    <row r="291">
      <c r="B291" s="13">
        <f>IF($C291="","",COUNTA($C$9:$C291))</f>
        <v/>
      </c>
      <c r="C291" s="21" t="n"/>
      <c r="D291" s="14" t="n"/>
      <c r="E291" s="14" t="n"/>
      <c r="F291" s="14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3">
        <f>IF($C291="","",N(L291)-N(M291))</f>
        <v/>
      </c>
      <c r="P291" s="24" t="n"/>
      <c r="Q291" s="23">
        <f>IF($C291="","",N(M291)+N(N291))</f>
        <v/>
      </c>
      <c r="R291" s="23">
        <f>IF($C291="","",N(J291)+N(Q291))</f>
        <v/>
      </c>
      <c r="S291" s="25">
        <f>IF(OR($C291="",N($G291)=0),"",R291/$G291)</f>
        <v/>
      </c>
      <c r="T291" s="23">
        <f>IF($C291="","",N($G291)-N(R291))</f>
        <v/>
      </c>
      <c r="U291" s="24" t="n"/>
      <c r="V291" s="22" t="n"/>
    </row>
    <row r="292">
      <c r="B292" s="13">
        <f>IF($C292="","",COUNTA($C$9:$C292))</f>
        <v/>
      </c>
      <c r="C292" s="21" t="n"/>
      <c r="D292" s="14" t="n"/>
      <c r="E292" s="14" t="n"/>
      <c r="F292" s="14" t="n"/>
      <c r="G292" s="22" t="n"/>
      <c r="H292" s="22" t="n"/>
      <c r="I292" s="22" t="n"/>
      <c r="J292" s="22" t="n"/>
      <c r="K292" s="22" t="n"/>
      <c r="L292" s="22" t="n"/>
      <c r="M292" s="22" t="n"/>
      <c r="N292" s="22" t="n"/>
      <c r="O292" s="23">
        <f>IF($C292="","",N(L292)-N(M292))</f>
        <v/>
      </c>
      <c r="P292" s="24" t="n"/>
      <c r="Q292" s="23">
        <f>IF($C292="","",N(M292)+N(N292))</f>
        <v/>
      </c>
      <c r="R292" s="23">
        <f>IF($C292="","",N(J292)+N(Q292))</f>
        <v/>
      </c>
      <c r="S292" s="25">
        <f>IF(OR($C292="",N($G292)=0),"",R292/$G292)</f>
        <v/>
      </c>
      <c r="T292" s="23">
        <f>IF($C292="","",N($G292)-N(R292))</f>
        <v/>
      </c>
      <c r="U292" s="24" t="n"/>
      <c r="V292" s="22" t="n"/>
    </row>
    <row r="293">
      <c r="B293" s="13">
        <f>IF($C293="","",COUNTA($C$9:$C293))</f>
        <v/>
      </c>
      <c r="C293" s="21" t="n"/>
      <c r="D293" s="14" t="n"/>
      <c r="E293" s="14" t="n"/>
      <c r="F293" s="14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3">
        <f>IF($C293="","",N(L293)-N(M293))</f>
        <v/>
      </c>
      <c r="P293" s="24" t="n"/>
      <c r="Q293" s="23">
        <f>IF($C293="","",N(M293)+N(N293))</f>
        <v/>
      </c>
      <c r="R293" s="23">
        <f>IF($C293="","",N(J293)+N(Q293))</f>
        <v/>
      </c>
      <c r="S293" s="25">
        <f>IF(OR($C293="",N($G293)=0),"",R293/$G293)</f>
        <v/>
      </c>
      <c r="T293" s="23">
        <f>IF($C293="","",N($G293)-N(R293))</f>
        <v/>
      </c>
      <c r="U293" s="24" t="n"/>
      <c r="V293" s="22" t="n"/>
    </row>
    <row r="294">
      <c r="B294" s="13">
        <f>IF($C294="","",COUNTA($C$9:$C294))</f>
        <v/>
      </c>
      <c r="C294" s="21" t="n"/>
      <c r="D294" s="14" t="n"/>
      <c r="E294" s="14" t="n"/>
      <c r="F294" s="14" t="n"/>
      <c r="G294" s="22" t="n"/>
      <c r="H294" s="22" t="n"/>
      <c r="I294" s="22" t="n"/>
      <c r="J294" s="22" t="n"/>
      <c r="K294" s="22" t="n"/>
      <c r="L294" s="22" t="n"/>
      <c r="M294" s="22" t="n"/>
      <c r="N294" s="22" t="n"/>
      <c r="O294" s="23">
        <f>IF($C294="","",N(L294)-N(M294))</f>
        <v/>
      </c>
      <c r="P294" s="24" t="n"/>
      <c r="Q294" s="23">
        <f>IF($C294="","",N(M294)+N(N294))</f>
        <v/>
      </c>
      <c r="R294" s="23">
        <f>IF($C294="","",N(J294)+N(Q294))</f>
        <v/>
      </c>
      <c r="S294" s="25">
        <f>IF(OR($C294="",N($G294)=0),"",R294/$G294)</f>
        <v/>
      </c>
      <c r="T294" s="23">
        <f>IF($C294="","",N($G294)-N(R294))</f>
        <v/>
      </c>
      <c r="U294" s="24" t="n"/>
      <c r="V294" s="22" t="n"/>
    </row>
    <row r="295">
      <c r="B295" s="13">
        <f>IF($C295="","",COUNTA($C$9:$C295))</f>
        <v/>
      </c>
      <c r="C295" s="21" t="n"/>
      <c r="D295" s="14" t="n"/>
      <c r="E295" s="14" t="n"/>
      <c r="F295" s="14" t="n"/>
      <c r="G295" s="22" t="n"/>
      <c r="H295" s="22" t="n"/>
      <c r="I295" s="22" t="n"/>
      <c r="J295" s="22" t="n"/>
      <c r="K295" s="22" t="n"/>
      <c r="L295" s="22" t="n"/>
      <c r="M295" s="22" t="n"/>
      <c r="N295" s="22" t="n"/>
      <c r="O295" s="23">
        <f>IF($C295="","",N(L295)-N(M295))</f>
        <v/>
      </c>
      <c r="P295" s="24" t="n"/>
      <c r="Q295" s="23">
        <f>IF($C295="","",N(M295)+N(N295))</f>
        <v/>
      </c>
      <c r="R295" s="23">
        <f>IF($C295="","",N(J295)+N(Q295))</f>
        <v/>
      </c>
      <c r="S295" s="25">
        <f>IF(OR($C295="",N($G295)=0),"",R295/$G295)</f>
        <v/>
      </c>
      <c r="T295" s="23">
        <f>IF($C295="","",N($G295)-N(R295))</f>
        <v/>
      </c>
      <c r="U295" s="24" t="n"/>
      <c r="V295" s="22" t="n"/>
    </row>
    <row r="296">
      <c r="B296" s="13">
        <f>IF($C296="","",COUNTA($C$9:$C296))</f>
        <v/>
      </c>
      <c r="C296" s="21" t="n"/>
      <c r="D296" s="14" t="n"/>
      <c r="E296" s="14" t="n"/>
      <c r="F296" s="14" t="n"/>
      <c r="G296" s="22" t="n"/>
      <c r="H296" s="22" t="n"/>
      <c r="I296" s="22" t="n"/>
      <c r="J296" s="22" t="n"/>
      <c r="K296" s="22" t="n"/>
      <c r="L296" s="22" t="n"/>
      <c r="M296" s="22" t="n"/>
      <c r="N296" s="22" t="n"/>
      <c r="O296" s="23">
        <f>IF($C296="","",N(L296)-N(M296))</f>
        <v/>
      </c>
      <c r="P296" s="24" t="n"/>
      <c r="Q296" s="23">
        <f>IF($C296="","",N(M296)+N(N296))</f>
        <v/>
      </c>
      <c r="R296" s="23">
        <f>IF($C296="","",N(J296)+N(Q296))</f>
        <v/>
      </c>
      <c r="S296" s="25">
        <f>IF(OR($C296="",N($G296)=0),"",R296/$G296)</f>
        <v/>
      </c>
      <c r="T296" s="23">
        <f>IF($C296="","",N($G296)-N(R296))</f>
        <v/>
      </c>
      <c r="U296" s="24" t="n"/>
      <c r="V296" s="22" t="n"/>
    </row>
    <row r="297">
      <c r="B297" s="13">
        <f>IF($C297="","",COUNTA($C$9:$C297))</f>
        <v/>
      </c>
      <c r="C297" s="21" t="n"/>
      <c r="D297" s="14" t="n"/>
      <c r="E297" s="14" t="n"/>
      <c r="F297" s="14" t="n"/>
      <c r="G297" s="22" t="n"/>
      <c r="H297" s="22" t="n"/>
      <c r="I297" s="22" t="n"/>
      <c r="J297" s="22" t="n"/>
      <c r="K297" s="22" t="n"/>
      <c r="L297" s="22" t="n"/>
      <c r="M297" s="22" t="n"/>
      <c r="N297" s="22" t="n"/>
      <c r="O297" s="23">
        <f>IF($C297="","",N(L297)-N(M297))</f>
        <v/>
      </c>
      <c r="P297" s="24" t="n"/>
      <c r="Q297" s="23">
        <f>IF($C297="","",N(M297)+N(N297))</f>
        <v/>
      </c>
      <c r="R297" s="23">
        <f>IF($C297="","",N(J297)+N(Q297))</f>
        <v/>
      </c>
      <c r="S297" s="25">
        <f>IF(OR($C297="",N($G297)=0),"",R297/$G297)</f>
        <v/>
      </c>
      <c r="T297" s="23">
        <f>IF($C297="","",N($G297)-N(R297))</f>
        <v/>
      </c>
      <c r="U297" s="24" t="n"/>
      <c r="V297" s="22" t="n"/>
    </row>
    <row r="298">
      <c r="B298" s="13">
        <f>IF($C298="","",COUNTA($C$9:$C298))</f>
        <v/>
      </c>
      <c r="C298" s="21" t="n"/>
      <c r="D298" s="14" t="n"/>
      <c r="E298" s="14" t="n"/>
      <c r="F298" s="14" t="n"/>
      <c r="G298" s="22" t="n"/>
      <c r="H298" s="22" t="n"/>
      <c r="I298" s="22" t="n"/>
      <c r="J298" s="22" t="n"/>
      <c r="K298" s="22" t="n"/>
      <c r="L298" s="22" t="n"/>
      <c r="M298" s="22" t="n"/>
      <c r="N298" s="22" t="n"/>
      <c r="O298" s="23">
        <f>IF($C298="","",N(L298)-N(M298))</f>
        <v/>
      </c>
      <c r="P298" s="24" t="n"/>
      <c r="Q298" s="23">
        <f>IF($C298="","",N(M298)+N(N298))</f>
        <v/>
      </c>
      <c r="R298" s="23">
        <f>IF($C298="","",N(J298)+N(Q298))</f>
        <v/>
      </c>
      <c r="S298" s="25">
        <f>IF(OR($C298="",N($G298)=0),"",R298/$G298)</f>
        <v/>
      </c>
      <c r="T298" s="23">
        <f>IF($C298="","",N($G298)-N(R298))</f>
        <v/>
      </c>
      <c r="U298" s="24" t="n"/>
      <c r="V298" s="22" t="n"/>
    </row>
    <row r="299">
      <c r="B299" s="13">
        <f>IF($C299="","",COUNTA($C$9:$C299))</f>
        <v/>
      </c>
      <c r="C299" s="21" t="n"/>
      <c r="D299" s="14" t="n"/>
      <c r="E299" s="14" t="n"/>
      <c r="F299" s="14" t="n"/>
      <c r="G299" s="22" t="n"/>
      <c r="H299" s="22" t="n"/>
      <c r="I299" s="22" t="n"/>
      <c r="J299" s="22" t="n"/>
      <c r="K299" s="22" t="n"/>
      <c r="L299" s="22" t="n"/>
      <c r="M299" s="22" t="n"/>
      <c r="N299" s="22" t="n"/>
      <c r="O299" s="23">
        <f>IF($C299="","",N(L299)-N(M299))</f>
        <v/>
      </c>
      <c r="P299" s="24" t="n"/>
      <c r="Q299" s="23">
        <f>IF($C299="","",N(M299)+N(N299))</f>
        <v/>
      </c>
      <c r="R299" s="23">
        <f>IF($C299="","",N(J299)+N(Q299))</f>
        <v/>
      </c>
      <c r="S299" s="25">
        <f>IF(OR($C299="",N($G299)=0),"",R299/$G299)</f>
        <v/>
      </c>
      <c r="T299" s="23">
        <f>IF($C299="","",N($G299)-N(R299))</f>
        <v/>
      </c>
      <c r="U299" s="24" t="n"/>
      <c r="V299" s="22" t="n"/>
    </row>
    <row r="300">
      <c r="B300" s="13">
        <f>IF($C300="","",COUNTA($C$9:$C300))</f>
        <v/>
      </c>
      <c r="C300" s="21" t="n"/>
      <c r="D300" s="14" t="n"/>
      <c r="E300" s="14" t="n"/>
      <c r="F300" s="14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3">
        <f>IF($C300="","",N(L300)-N(M300))</f>
        <v/>
      </c>
      <c r="P300" s="24" t="n"/>
      <c r="Q300" s="23">
        <f>IF($C300="","",N(M300)+N(N300))</f>
        <v/>
      </c>
      <c r="R300" s="23">
        <f>IF($C300="","",N(J300)+N(Q300))</f>
        <v/>
      </c>
      <c r="S300" s="25">
        <f>IF(OR($C300="",N($G300)=0),"",R300/$G300)</f>
        <v/>
      </c>
      <c r="T300" s="23">
        <f>IF($C300="","",N($G300)-N(R300))</f>
        <v/>
      </c>
      <c r="U300" s="24" t="n"/>
      <c r="V300" s="22" t="n"/>
    </row>
    <row r="301">
      <c r="B301" s="13">
        <f>IF($C301="","",COUNTA($C$9:$C301))</f>
        <v/>
      </c>
      <c r="C301" s="21" t="n"/>
      <c r="D301" s="14" t="n"/>
      <c r="E301" s="14" t="n"/>
      <c r="F301" s="14" t="n"/>
      <c r="G301" s="22" t="n"/>
      <c r="H301" s="22" t="n"/>
      <c r="I301" s="22" t="n"/>
      <c r="J301" s="22" t="n"/>
      <c r="K301" s="22" t="n"/>
      <c r="L301" s="22" t="n"/>
      <c r="M301" s="22" t="n"/>
      <c r="N301" s="22" t="n"/>
      <c r="O301" s="23">
        <f>IF($C301="","",N(L301)-N(M301))</f>
        <v/>
      </c>
      <c r="P301" s="24" t="n"/>
      <c r="Q301" s="23">
        <f>IF($C301="","",N(M301)+N(N301))</f>
        <v/>
      </c>
      <c r="R301" s="23">
        <f>IF($C301="","",N(J301)+N(Q301))</f>
        <v/>
      </c>
      <c r="S301" s="25">
        <f>IF(OR($C301="",N($G301)=0),"",R301/$G301)</f>
        <v/>
      </c>
      <c r="T301" s="23">
        <f>IF($C301="","",N($G301)-N(R301))</f>
        <v/>
      </c>
      <c r="U301" s="24" t="n"/>
      <c r="V301" s="22" t="n"/>
    </row>
    <row r="302">
      <c r="B302" s="13">
        <f>IF($C302="","",COUNTA($C$9:$C302))</f>
        <v/>
      </c>
      <c r="C302" s="21" t="n"/>
      <c r="D302" s="14" t="n"/>
      <c r="E302" s="14" t="n"/>
      <c r="F302" s="14" t="n"/>
      <c r="G302" s="22" t="n"/>
      <c r="H302" s="22" t="n"/>
      <c r="I302" s="22" t="n"/>
      <c r="J302" s="22" t="n"/>
      <c r="K302" s="22" t="n"/>
      <c r="L302" s="22" t="n"/>
      <c r="M302" s="22" t="n"/>
      <c r="N302" s="22" t="n"/>
      <c r="O302" s="23">
        <f>IF($C302="","",N(L302)-N(M302))</f>
        <v/>
      </c>
      <c r="P302" s="24" t="n"/>
      <c r="Q302" s="23">
        <f>IF($C302="","",N(M302)+N(N302))</f>
        <v/>
      </c>
      <c r="R302" s="23">
        <f>IF($C302="","",N(J302)+N(Q302))</f>
        <v/>
      </c>
      <c r="S302" s="25">
        <f>IF(OR($C302="",N($G302)=0),"",R302/$G302)</f>
        <v/>
      </c>
      <c r="T302" s="23">
        <f>IF($C302="","",N($G302)-N(R302))</f>
        <v/>
      </c>
      <c r="U302" s="24" t="n"/>
      <c r="V302" s="22" t="n"/>
    </row>
    <row r="303">
      <c r="B303" s="13">
        <f>IF($C303="","",COUNTA($C$9:$C303))</f>
        <v/>
      </c>
      <c r="C303" s="21" t="n"/>
      <c r="D303" s="14" t="n"/>
      <c r="E303" s="14" t="n"/>
      <c r="F303" s="14" t="n"/>
      <c r="G303" s="22" t="n"/>
      <c r="H303" s="22" t="n"/>
      <c r="I303" s="22" t="n"/>
      <c r="J303" s="22" t="n"/>
      <c r="K303" s="22" t="n"/>
      <c r="L303" s="22" t="n"/>
      <c r="M303" s="22" t="n"/>
      <c r="N303" s="22" t="n"/>
      <c r="O303" s="23">
        <f>IF($C303="","",N(L303)-N(M303))</f>
        <v/>
      </c>
      <c r="P303" s="24" t="n"/>
      <c r="Q303" s="23">
        <f>IF($C303="","",N(M303)+N(N303))</f>
        <v/>
      </c>
      <c r="R303" s="23">
        <f>IF($C303="","",N(J303)+N(Q303))</f>
        <v/>
      </c>
      <c r="S303" s="25">
        <f>IF(OR($C303="",N($G303)=0),"",R303/$G303)</f>
        <v/>
      </c>
      <c r="T303" s="23">
        <f>IF($C303="","",N($G303)-N(R303))</f>
        <v/>
      </c>
      <c r="U303" s="24" t="n"/>
      <c r="V303" s="22" t="n"/>
    </row>
    <row r="304">
      <c r="B304" s="13">
        <f>IF($C304="","",COUNTA($C$9:$C304))</f>
        <v/>
      </c>
      <c r="C304" s="21" t="n"/>
      <c r="D304" s="14" t="n"/>
      <c r="E304" s="14" t="n"/>
      <c r="F304" s="14" t="n"/>
      <c r="G304" s="22" t="n"/>
      <c r="H304" s="22" t="n"/>
      <c r="I304" s="22" t="n"/>
      <c r="J304" s="22" t="n"/>
      <c r="K304" s="22" t="n"/>
      <c r="L304" s="22" t="n"/>
      <c r="M304" s="22" t="n"/>
      <c r="N304" s="22" t="n"/>
      <c r="O304" s="23">
        <f>IF($C304="","",N(L304)-N(M304))</f>
        <v/>
      </c>
      <c r="P304" s="24" t="n"/>
      <c r="Q304" s="23">
        <f>IF($C304="","",N(M304)+N(N304))</f>
        <v/>
      </c>
      <c r="R304" s="23">
        <f>IF($C304="","",N(J304)+N(Q304))</f>
        <v/>
      </c>
      <c r="S304" s="25">
        <f>IF(OR($C304="",N($G304)=0),"",R304/$G304)</f>
        <v/>
      </c>
      <c r="T304" s="23">
        <f>IF($C304="","",N($G304)-N(R304))</f>
        <v/>
      </c>
      <c r="U304" s="24" t="n"/>
      <c r="V304" s="22" t="n"/>
    </row>
    <row r="305">
      <c r="B305" s="13">
        <f>IF($C305="","",COUNTA($C$9:$C305))</f>
        <v/>
      </c>
      <c r="C305" s="21" t="n"/>
      <c r="D305" s="14" t="n"/>
      <c r="E305" s="14" t="n"/>
      <c r="F305" s="14" t="n"/>
      <c r="G305" s="22" t="n"/>
      <c r="H305" s="22" t="n"/>
      <c r="I305" s="22" t="n"/>
      <c r="J305" s="22" t="n"/>
      <c r="K305" s="22" t="n"/>
      <c r="L305" s="22" t="n"/>
      <c r="M305" s="22" t="n"/>
      <c r="N305" s="22" t="n"/>
      <c r="O305" s="23">
        <f>IF($C305="","",N(L305)-N(M305))</f>
        <v/>
      </c>
      <c r="P305" s="24" t="n"/>
      <c r="Q305" s="23">
        <f>IF($C305="","",N(M305)+N(N305))</f>
        <v/>
      </c>
      <c r="R305" s="23">
        <f>IF($C305="","",N(J305)+N(Q305))</f>
        <v/>
      </c>
      <c r="S305" s="25">
        <f>IF(OR($C305="",N($G305)=0),"",R305/$G305)</f>
        <v/>
      </c>
      <c r="T305" s="23">
        <f>IF($C305="","",N($G305)-N(R305))</f>
        <v/>
      </c>
      <c r="U305" s="24" t="n"/>
      <c r="V305" s="22" t="n"/>
    </row>
    <row r="306">
      <c r="B306" s="13">
        <f>IF($C306="","",COUNTA($C$9:$C306))</f>
        <v/>
      </c>
      <c r="C306" s="21" t="n"/>
      <c r="D306" s="14" t="n"/>
      <c r="E306" s="14" t="n"/>
      <c r="F306" s="14" t="n"/>
      <c r="G306" s="22" t="n"/>
      <c r="H306" s="22" t="n"/>
      <c r="I306" s="22" t="n"/>
      <c r="J306" s="22" t="n"/>
      <c r="K306" s="22" t="n"/>
      <c r="L306" s="22" t="n"/>
      <c r="M306" s="22" t="n"/>
      <c r="N306" s="22" t="n"/>
      <c r="O306" s="23">
        <f>IF($C306="","",N(L306)-N(M306))</f>
        <v/>
      </c>
      <c r="P306" s="24" t="n"/>
      <c r="Q306" s="23">
        <f>IF($C306="","",N(M306)+N(N306))</f>
        <v/>
      </c>
      <c r="R306" s="23">
        <f>IF($C306="","",N(J306)+N(Q306))</f>
        <v/>
      </c>
      <c r="S306" s="25">
        <f>IF(OR($C306="",N($G306)=0),"",R306/$G306)</f>
        <v/>
      </c>
      <c r="T306" s="23">
        <f>IF($C306="","",N($G306)-N(R306))</f>
        <v/>
      </c>
      <c r="U306" s="24" t="n"/>
      <c r="V306" s="22" t="n"/>
    </row>
    <row r="307">
      <c r="B307" s="13">
        <f>IF($C307="","",COUNTA($C$9:$C307))</f>
        <v/>
      </c>
      <c r="C307" s="21" t="n"/>
      <c r="D307" s="14" t="n"/>
      <c r="E307" s="14" t="n"/>
      <c r="F307" s="14" t="n"/>
      <c r="G307" s="22" t="n"/>
      <c r="H307" s="22" t="n"/>
      <c r="I307" s="22" t="n"/>
      <c r="J307" s="22" t="n"/>
      <c r="K307" s="22" t="n"/>
      <c r="L307" s="22" t="n"/>
      <c r="M307" s="22" t="n"/>
      <c r="N307" s="22" t="n"/>
      <c r="O307" s="23">
        <f>IF($C307="","",N(L307)-N(M307))</f>
        <v/>
      </c>
      <c r="P307" s="24" t="n"/>
      <c r="Q307" s="23">
        <f>IF($C307="","",N(M307)+N(N307))</f>
        <v/>
      </c>
      <c r="R307" s="23">
        <f>IF($C307="","",N(J307)+N(Q307))</f>
        <v/>
      </c>
      <c r="S307" s="25">
        <f>IF(OR($C307="",N($G307)=0),"",R307/$G307)</f>
        <v/>
      </c>
      <c r="T307" s="23">
        <f>IF($C307="","",N($G307)-N(R307))</f>
        <v/>
      </c>
      <c r="U307" s="24" t="n"/>
      <c r="V307" s="22" t="n"/>
    </row>
    <row r="308">
      <c r="B308" s="13">
        <f>IF($C308="","",COUNTA($C$9:$C308))</f>
        <v/>
      </c>
      <c r="C308" s="21" t="n"/>
      <c r="D308" s="14" t="n"/>
      <c r="E308" s="14" t="n"/>
      <c r="F308" s="14" t="n"/>
      <c r="G308" s="22" t="n"/>
      <c r="H308" s="22" t="n"/>
      <c r="I308" s="22" t="n"/>
      <c r="J308" s="22" t="n"/>
      <c r="K308" s="22" t="n"/>
      <c r="L308" s="22" t="n"/>
      <c r="M308" s="22" t="n"/>
      <c r="N308" s="22" t="n"/>
      <c r="O308" s="23">
        <f>IF($C308="","",N(L308)-N(M308))</f>
        <v/>
      </c>
      <c r="P308" s="24" t="n"/>
      <c r="Q308" s="23">
        <f>IF($C308="","",N(M308)+N(N308))</f>
        <v/>
      </c>
      <c r="R308" s="23">
        <f>IF($C308="","",N(J308)+N(Q308))</f>
        <v/>
      </c>
      <c r="S308" s="25">
        <f>IF(OR($C308="",N($G308)=0),"",R308/$G308)</f>
        <v/>
      </c>
      <c r="T308" s="23">
        <f>IF($C308="","",N($G308)-N(R308))</f>
        <v/>
      </c>
      <c r="U308" s="24" t="n"/>
      <c r="V308" s="22" t="n"/>
    </row>
    <row r="309">
      <c r="B309" s="13">
        <f>IF($C309="","",COUNTA($C$9:$C309))</f>
        <v/>
      </c>
      <c r="C309" s="21" t="n"/>
      <c r="D309" s="14" t="n"/>
      <c r="E309" s="14" t="n"/>
      <c r="F309" s="14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3">
        <f>IF($C309="","",N(L309)-N(M309))</f>
        <v/>
      </c>
      <c r="P309" s="24" t="n"/>
      <c r="Q309" s="23">
        <f>IF($C309="","",N(M309)+N(N309))</f>
        <v/>
      </c>
      <c r="R309" s="23">
        <f>IF($C309="","",N(J309)+N(Q309))</f>
        <v/>
      </c>
      <c r="S309" s="25">
        <f>IF(OR($C309="",N($G309)=0),"",R309/$G309)</f>
        <v/>
      </c>
      <c r="T309" s="23">
        <f>IF($C309="","",N($G309)-N(R309))</f>
        <v/>
      </c>
      <c r="U309" s="24" t="n"/>
      <c r="V309" s="22" t="n"/>
    </row>
    <row r="310">
      <c r="B310" s="13">
        <f>IF($C310="","",COUNTA($C$9:$C310))</f>
        <v/>
      </c>
      <c r="C310" s="21" t="n"/>
      <c r="D310" s="14" t="n"/>
      <c r="E310" s="14" t="n"/>
      <c r="F310" s="14" t="n"/>
      <c r="G310" s="22" t="n"/>
      <c r="H310" s="22" t="n"/>
      <c r="I310" s="22" t="n"/>
      <c r="J310" s="22" t="n"/>
      <c r="K310" s="22" t="n"/>
      <c r="L310" s="22" t="n"/>
      <c r="M310" s="22" t="n"/>
      <c r="N310" s="22" t="n"/>
      <c r="O310" s="23">
        <f>IF($C310="","",N(L310)-N(M310))</f>
        <v/>
      </c>
      <c r="P310" s="24" t="n"/>
      <c r="Q310" s="23">
        <f>IF($C310="","",N(M310)+N(N310))</f>
        <v/>
      </c>
      <c r="R310" s="23">
        <f>IF($C310="","",N(J310)+N(Q310))</f>
        <v/>
      </c>
      <c r="S310" s="25">
        <f>IF(OR($C310="",N($G310)=0),"",R310/$G310)</f>
        <v/>
      </c>
      <c r="T310" s="23">
        <f>IF($C310="","",N($G310)-N(R310))</f>
        <v/>
      </c>
      <c r="U310" s="24" t="n"/>
      <c r="V310" s="22" t="n"/>
    </row>
    <row r="311">
      <c r="B311" s="13">
        <f>IF($C311="","",COUNTA($C$9:$C311))</f>
        <v/>
      </c>
      <c r="C311" s="21" t="n"/>
      <c r="D311" s="14" t="n"/>
      <c r="E311" s="14" t="n"/>
      <c r="F311" s="14" t="n"/>
      <c r="G311" s="22" t="n"/>
      <c r="H311" s="22" t="n"/>
      <c r="I311" s="22" t="n"/>
      <c r="J311" s="22" t="n"/>
      <c r="K311" s="22" t="n"/>
      <c r="L311" s="22" t="n"/>
      <c r="M311" s="22" t="n"/>
      <c r="N311" s="22" t="n"/>
      <c r="O311" s="23">
        <f>IF($C311="","",N(L311)-N(M311))</f>
        <v/>
      </c>
      <c r="P311" s="24" t="n"/>
      <c r="Q311" s="23">
        <f>IF($C311="","",N(M311)+N(N311))</f>
        <v/>
      </c>
      <c r="R311" s="23">
        <f>IF($C311="","",N(J311)+N(Q311))</f>
        <v/>
      </c>
      <c r="S311" s="25">
        <f>IF(OR($C311="",N($G311)=0),"",R311/$G311)</f>
        <v/>
      </c>
      <c r="T311" s="23">
        <f>IF($C311="","",N($G311)-N(R311))</f>
        <v/>
      </c>
      <c r="U311" s="24" t="n"/>
      <c r="V311" s="22" t="n"/>
    </row>
    <row r="312">
      <c r="B312" s="13">
        <f>IF($C312="","",COUNTA($C$9:$C312))</f>
        <v/>
      </c>
      <c r="C312" s="21" t="n"/>
      <c r="D312" s="14" t="n"/>
      <c r="E312" s="14" t="n"/>
      <c r="F312" s="14" t="n"/>
      <c r="G312" s="22" t="n"/>
      <c r="H312" s="22" t="n"/>
      <c r="I312" s="22" t="n"/>
      <c r="J312" s="22" t="n"/>
      <c r="K312" s="22" t="n"/>
      <c r="L312" s="22" t="n"/>
      <c r="M312" s="22" t="n"/>
      <c r="N312" s="22" t="n"/>
      <c r="O312" s="23">
        <f>IF($C312="","",N(L312)-N(M312))</f>
        <v/>
      </c>
      <c r="P312" s="24" t="n"/>
      <c r="Q312" s="23">
        <f>IF($C312="","",N(M312)+N(N312))</f>
        <v/>
      </c>
      <c r="R312" s="23">
        <f>IF($C312="","",N(J312)+N(Q312))</f>
        <v/>
      </c>
      <c r="S312" s="25">
        <f>IF(OR($C312="",N($G312)=0),"",R312/$G312)</f>
        <v/>
      </c>
      <c r="T312" s="23">
        <f>IF($C312="","",N($G312)-N(R312))</f>
        <v/>
      </c>
      <c r="U312" s="24" t="n"/>
      <c r="V312" s="22" t="n"/>
    </row>
    <row r="313">
      <c r="B313" s="13">
        <f>IF($C313="","",COUNTA($C$9:$C313))</f>
        <v/>
      </c>
      <c r="C313" s="21" t="n"/>
      <c r="D313" s="14" t="n"/>
      <c r="E313" s="14" t="n"/>
      <c r="F313" s="14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3">
        <f>IF($C313="","",N(L313)-N(M313))</f>
        <v/>
      </c>
      <c r="P313" s="24" t="n"/>
      <c r="Q313" s="23">
        <f>IF($C313="","",N(M313)+N(N313))</f>
        <v/>
      </c>
      <c r="R313" s="23">
        <f>IF($C313="","",N(J313)+N(Q313))</f>
        <v/>
      </c>
      <c r="S313" s="25">
        <f>IF(OR($C313="",N($G313)=0),"",R313/$G313)</f>
        <v/>
      </c>
      <c r="T313" s="23">
        <f>IF($C313="","",N($G313)-N(R313))</f>
        <v/>
      </c>
      <c r="U313" s="24" t="n"/>
      <c r="V313" s="22" t="n"/>
    </row>
    <row r="314">
      <c r="B314" s="13">
        <f>IF($C314="","",COUNTA($C$9:$C314))</f>
        <v/>
      </c>
      <c r="C314" s="21" t="n"/>
      <c r="D314" s="14" t="n"/>
      <c r="E314" s="14" t="n"/>
      <c r="F314" s="14" t="n"/>
      <c r="G314" s="22" t="n"/>
      <c r="H314" s="22" t="n"/>
      <c r="I314" s="22" t="n"/>
      <c r="J314" s="22" t="n"/>
      <c r="K314" s="22" t="n"/>
      <c r="L314" s="22" t="n"/>
      <c r="M314" s="22" t="n"/>
      <c r="N314" s="22" t="n"/>
      <c r="O314" s="23">
        <f>IF($C314="","",N(L314)-N(M314))</f>
        <v/>
      </c>
      <c r="P314" s="24" t="n"/>
      <c r="Q314" s="23">
        <f>IF($C314="","",N(M314)+N(N314))</f>
        <v/>
      </c>
      <c r="R314" s="23">
        <f>IF($C314="","",N(J314)+N(Q314))</f>
        <v/>
      </c>
      <c r="S314" s="25">
        <f>IF(OR($C314="",N($G314)=0),"",R314/$G314)</f>
        <v/>
      </c>
      <c r="T314" s="23">
        <f>IF($C314="","",N($G314)-N(R314))</f>
        <v/>
      </c>
      <c r="U314" s="24" t="n"/>
      <c r="V314" s="22" t="n"/>
    </row>
    <row r="315">
      <c r="B315" s="13">
        <f>IF($C315="","",COUNTA($C$9:$C315))</f>
        <v/>
      </c>
      <c r="C315" s="21" t="n"/>
      <c r="D315" s="14" t="n"/>
      <c r="E315" s="14" t="n"/>
      <c r="F315" s="14" t="n"/>
      <c r="G315" s="22" t="n"/>
      <c r="H315" s="22" t="n"/>
      <c r="I315" s="22" t="n"/>
      <c r="J315" s="22" t="n"/>
      <c r="K315" s="22" t="n"/>
      <c r="L315" s="22" t="n"/>
      <c r="M315" s="22" t="n"/>
      <c r="N315" s="22" t="n"/>
      <c r="O315" s="23">
        <f>IF($C315="","",N(L315)-N(M315))</f>
        <v/>
      </c>
      <c r="P315" s="24" t="n"/>
      <c r="Q315" s="23">
        <f>IF($C315="","",N(M315)+N(N315))</f>
        <v/>
      </c>
      <c r="R315" s="23">
        <f>IF($C315="","",N(J315)+N(Q315))</f>
        <v/>
      </c>
      <c r="S315" s="25">
        <f>IF(OR($C315="",N($G315)=0),"",R315/$G315)</f>
        <v/>
      </c>
      <c r="T315" s="23">
        <f>IF($C315="","",N($G315)-N(R315))</f>
        <v/>
      </c>
      <c r="U315" s="24" t="n"/>
      <c r="V315" s="22" t="n"/>
    </row>
    <row r="316">
      <c r="B316" s="13">
        <f>IF($C316="","",COUNTA($C$9:$C316))</f>
        <v/>
      </c>
      <c r="C316" s="21" t="n"/>
      <c r="D316" s="14" t="n"/>
      <c r="E316" s="14" t="n"/>
      <c r="F316" s="14" t="n"/>
      <c r="G316" s="22" t="n"/>
      <c r="H316" s="22" t="n"/>
      <c r="I316" s="22" t="n"/>
      <c r="J316" s="22" t="n"/>
      <c r="K316" s="22" t="n"/>
      <c r="L316" s="22" t="n"/>
      <c r="M316" s="22" t="n"/>
      <c r="N316" s="22" t="n"/>
      <c r="O316" s="23">
        <f>IF($C316="","",N(L316)-N(M316))</f>
        <v/>
      </c>
      <c r="P316" s="24" t="n"/>
      <c r="Q316" s="23">
        <f>IF($C316="","",N(M316)+N(N316))</f>
        <v/>
      </c>
      <c r="R316" s="23">
        <f>IF($C316="","",N(J316)+N(Q316))</f>
        <v/>
      </c>
      <c r="S316" s="25">
        <f>IF(OR($C316="",N($G316)=0),"",R316/$G316)</f>
        <v/>
      </c>
      <c r="T316" s="23">
        <f>IF($C316="","",N($G316)-N(R316))</f>
        <v/>
      </c>
      <c r="U316" s="24" t="n"/>
      <c r="V316" s="22" t="n"/>
    </row>
    <row r="317">
      <c r="B317" s="13">
        <f>IF($C317="","",COUNTA($C$9:$C317))</f>
        <v/>
      </c>
      <c r="C317" s="21" t="n"/>
      <c r="D317" s="14" t="n"/>
      <c r="E317" s="14" t="n"/>
      <c r="F317" s="14" t="n"/>
      <c r="G317" s="22" t="n"/>
      <c r="H317" s="22" t="n"/>
      <c r="I317" s="22" t="n"/>
      <c r="J317" s="22" t="n"/>
      <c r="K317" s="22" t="n"/>
      <c r="L317" s="22" t="n"/>
      <c r="M317" s="22" t="n"/>
      <c r="N317" s="22" t="n"/>
      <c r="O317" s="23">
        <f>IF($C317="","",N(L317)-N(M317))</f>
        <v/>
      </c>
      <c r="P317" s="24" t="n"/>
      <c r="Q317" s="23">
        <f>IF($C317="","",N(M317)+N(N317))</f>
        <v/>
      </c>
      <c r="R317" s="23">
        <f>IF($C317="","",N(J317)+N(Q317))</f>
        <v/>
      </c>
      <c r="S317" s="25">
        <f>IF(OR($C317="",N($G317)=0),"",R317/$G317)</f>
        <v/>
      </c>
      <c r="T317" s="23">
        <f>IF($C317="","",N($G317)-N(R317))</f>
        <v/>
      </c>
      <c r="U317" s="24" t="n"/>
      <c r="V317" s="22" t="n"/>
    </row>
    <row r="318">
      <c r="B318" s="13">
        <f>IF($C318="","",COUNTA($C$9:$C318))</f>
        <v/>
      </c>
      <c r="C318" s="21" t="n"/>
      <c r="D318" s="14" t="n"/>
      <c r="E318" s="14" t="n"/>
      <c r="F318" s="14" t="n"/>
      <c r="G318" s="22" t="n"/>
      <c r="H318" s="22" t="n"/>
      <c r="I318" s="22" t="n"/>
      <c r="J318" s="22" t="n"/>
      <c r="K318" s="22" t="n"/>
      <c r="L318" s="22" t="n"/>
      <c r="M318" s="22" t="n"/>
      <c r="N318" s="22" t="n"/>
      <c r="O318" s="23">
        <f>IF($C318="","",N(L318)-N(M318))</f>
        <v/>
      </c>
      <c r="P318" s="24" t="n"/>
      <c r="Q318" s="23">
        <f>IF($C318="","",N(M318)+N(N318))</f>
        <v/>
      </c>
      <c r="R318" s="23">
        <f>IF($C318="","",N(J318)+N(Q318))</f>
        <v/>
      </c>
      <c r="S318" s="25">
        <f>IF(OR($C318="",N($G318)=0),"",R318/$G318)</f>
        <v/>
      </c>
      <c r="T318" s="23">
        <f>IF($C318="","",N($G318)-N(R318))</f>
        <v/>
      </c>
      <c r="U318" s="24" t="n"/>
      <c r="V318" s="22" t="n"/>
    </row>
    <row r="319">
      <c r="B319" s="13">
        <f>IF($C319="","",COUNTA($C$9:$C319))</f>
        <v/>
      </c>
      <c r="C319" s="21" t="n"/>
      <c r="D319" s="14" t="n"/>
      <c r="E319" s="14" t="n"/>
      <c r="F319" s="14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3">
        <f>IF($C319="","",N(L319)-N(M319))</f>
        <v/>
      </c>
      <c r="P319" s="24" t="n"/>
      <c r="Q319" s="23">
        <f>IF($C319="","",N(M319)+N(N319))</f>
        <v/>
      </c>
      <c r="R319" s="23">
        <f>IF($C319="","",N(J319)+N(Q319))</f>
        <v/>
      </c>
      <c r="S319" s="25">
        <f>IF(OR($C319="",N($G319)=0),"",R319/$G319)</f>
        <v/>
      </c>
      <c r="T319" s="23">
        <f>IF($C319="","",N($G319)-N(R319))</f>
        <v/>
      </c>
      <c r="U319" s="24" t="n"/>
      <c r="V319" s="22" t="n"/>
    </row>
    <row r="320">
      <c r="B320" s="13">
        <f>IF($C320="","",COUNTA($C$9:$C320))</f>
        <v/>
      </c>
      <c r="C320" s="21" t="n"/>
      <c r="D320" s="14" t="n"/>
      <c r="E320" s="14" t="n"/>
      <c r="F320" s="14" t="n"/>
      <c r="G320" s="22" t="n"/>
      <c r="H320" s="22" t="n"/>
      <c r="I320" s="22" t="n"/>
      <c r="J320" s="22" t="n"/>
      <c r="K320" s="22" t="n"/>
      <c r="L320" s="22" t="n"/>
      <c r="M320" s="22" t="n"/>
      <c r="N320" s="22" t="n"/>
      <c r="O320" s="23">
        <f>IF($C320="","",N(L320)-N(M320))</f>
        <v/>
      </c>
      <c r="P320" s="24" t="n"/>
      <c r="Q320" s="23">
        <f>IF($C320="","",N(M320)+N(N320))</f>
        <v/>
      </c>
      <c r="R320" s="23">
        <f>IF($C320="","",N(J320)+N(Q320))</f>
        <v/>
      </c>
      <c r="S320" s="25">
        <f>IF(OR($C320="",N($G320)=0),"",R320/$G320)</f>
        <v/>
      </c>
      <c r="T320" s="23">
        <f>IF($C320="","",N($G320)-N(R320))</f>
        <v/>
      </c>
      <c r="U320" s="24" t="n"/>
      <c r="V320" s="22" t="n"/>
    </row>
    <row r="321">
      <c r="B321" s="13">
        <f>IF($C321="","",COUNTA($C$9:$C321))</f>
        <v/>
      </c>
      <c r="C321" s="21" t="n"/>
      <c r="D321" s="14" t="n"/>
      <c r="E321" s="14" t="n"/>
      <c r="F321" s="14" t="n"/>
      <c r="G321" s="22" t="n"/>
      <c r="H321" s="22" t="n"/>
      <c r="I321" s="22" t="n"/>
      <c r="J321" s="22" t="n"/>
      <c r="K321" s="22" t="n"/>
      <c r="L321" s="22" t="n"/>
      <c r="M321" s="22" t="n"/>
      <c r="N321" s="22" t="n"/>
      <c r="O321" s="23">
        <f>IF($C321="","",N(L321)-N(M321))</f>
        <v/>
      </c>
      <c r="P321" s="24" t="n"/>
      <c r="Q321" s="23">
        <f>IF($C321="","",N(M321)+N(N321))</f>
        <v/>
      </c>
      <c r="R321" s="23">
        <f>IF($C321="","",N(J321)+N(Q321))</f>
        <v/>
      </c>
      <c r="S321" s="25">
        <f>IF(OR($C321="",N($G321)=0),"",R321/$G321)</f>
        <v/>
      </c>
      <c r="T321" s="23">
        <f>IF($C321="","",N($G321)-N(R321))</f>
        <v/>
      </c>
      <c r="U321" s="24" t="n"/>
      <c r="V321" s="22" t="n"/>
    </row>
    <row r="322">
      <c r="B322" s="13">
        <f>IF($C322="","",COUNTA($C$9:$C322))</f>
        <v/>
      </c>
      <c r="C322" s="21" t="n"/>
      <c r="D322" s="14" t="n"/>
      <c r="E322" s="14" t="n"/>
      <c r="F322" s="14" t="n"/>
      <c r="G322" s="22" t="n"/>
      <c r="H322" s="22" t="n"/>
      <c r="I322" s="22" t="n"/>
      <c r="J322" s="22" t="n"/>
      <c r="K322" s="22" t="n"/>
      <c r="L322" s="22" t="n"/>
      <c r="M322" s="22" t="n"/>
      <c r="N322" s="22" t="n"/>
      <c r="O322" s="23">
        <f>IF($C322="","",N(L322)-N(M322))</f>
        <v/>
      </c>
      <c r="P322" s="24" t="n"/>
      <c r="Q322" s="23">
        <f>IF($C322="","",N(M322)+N(N322))</f>
        <v/>
      </c>
      <c r="R322" s="23">
        <f>IF($C322="","",N(J322)+N(Q322))</f>
        <v/>
      </c>
      <c r="S322" s="25">
        <f>IF(OR($C322="",N($G322)=0),"",R322/$G322)</f>
        <v/>
      </c>
      <c r="T322" s="23">
        <f>IF($C322="","",N($G322)-N(R322))</f>
        <v/>
      </c>
      <c r="U322" s="24" t="n"/>
      <c r="V322" s="22" t="n"/>
    </row>
    <row r="323">
      <c r="B323" s="13">
        <f>IF($C323="","",COUNTA($C$9:$C323))</f>
        <v/>
      </c>
      <c r="C323" s="21" t="n"/>
      <c r="D323" s="14" t="n"/>
      <c r="E323" s="14" t="n"/>
      <c r="F323" s="14" t="n"/>
      <c r="G323" s="22" t="n"/>
      <c r="H323" s="22" t="n"/>
      <c r="I323" s="22" t="n"/>
      <c r="J323" s="22" t="n"/>
      <c r="K323" s="22" t="n"/>
      <c r="L323" s="22" t="n"/>
      <c r="M323" s="22" t="n"/>
      <c r="N323" s="22" t="n"/>
      <c r="O323" s="23">
        <f>IF($C323="","",N(L323)-N(M323))</f>
        <v/>
      </c>
      <c r="P323" s="24" t="n"/>
      <c r="Q323" s="23">
        <f>IF($C323="","",N(M323)+N(N323))</f>
        <v/>
      </c>
      <c r="R323" s="23">
        <f>IF($C323="","",N(J323)+N(Q323))</f>
        <v/>
      </c>
      <c r="S323" s="25">
        <f>IF(OR($C323="",N($G323)=0),"",R323/$G323)</f>
        <v/>
      </c>
      <c r="T323" s="23">
        <f>IF($C323="","",N($G323)-N(R323))</f>
        <v/>
      </c>
      <c r="U323" s="24" t="n"/>
      <c r="V323" s="22" t="n"/>
    </row>
    <row r="324">
      <c r="B324" s="13">
        <f>IF($C324="","",COUNTA($C$9:$C324))</f>
        <v/>
      </c>
      <c r="C324" s="21" t="n"/>
      <c r="D324" s="14" t="n"/>
      <c r="E324" s="14" t="n"/>
      <c r="F324" s="14" t="n"/>
      <c r="G324" s="22" t="n"/>
      <c r="H324" s="22" t="n"/>
      <c r="I324" s="22" t="n"/>
      <c r="J324" s="22" t="n"/>
      <c r="K324" s="22" t="n"/>
      <c r="L324" s="22" t="n"/>
      <c r="M324" s="22" t="n"/>
      <c r="N324" s="22" t="n"/>
      <c r="O324" s="23">
        <f>IF($C324="","",N(L324)-N(M324))</f>
        <v/>
      </c>
      <c r="P324" s="24" t="n"/>
      <c r="Q324" s="23">
        <f>IF($C324="","",N(M324)+N(N324))</f>
        <v/>
      </c>
      <c r="R324" s="23">
        <f>IF($C324="","",N(J324)+N(Q324))</f>
        <v/>
      </c>
      <c r="S324" s="25">
        <f>IF(OR($C324="",N($G324)=0),"",R324/$G324)</f>
        <v/>
      </c>
      <c r="T324" s="23">
        <f>IF($C324="","",N($G324)-N(R324))</f>
        <v/>
      </c>
      <c r="U324" s="24" t="n"/>
      <c r="V324" s="22" t="n"/>
    </row>
    <row r="325">
      <c r="B325" s="13">
        <f>IF($C325="","",COUNTA($C$9:$C325))</f>
        <v/>
      </c>
      <c r="C325" s="21" t="n"/>
      <c r="D325" s="14" t="n"/>
      <c r="E325" s="14" t="n"/>
      <c r="F325" s="14" t="n"/>
      <c r="G325" s="22" t="n"/>
      <c r="H325" s="22" t="n"/>
      <c r="I325" s="22" t="n"/>
      <c r="J325" s="22" t="n"/>
      <c r="K325" s="22" t="n"/>
      <c r="L325" s="22" t="n"/>
      <c r="M325" s="22" t="n"/>
      <c r="N325" s="22" t="n"/>
      <c r="O325" s="23">
        <f>IF($C325="","",N(L325)-N(M325))</f>
        <v/>
      </c>
      <c r="P325" s="24" t="n"/>
      <c r="Q325" s="23">
        <f>IF($C325="","",N(M325)+N(N325))</f>
        <v/>
      </c>
      <c r="R325" s="23">
        <f>IF($C325="","",N(J325)+N(Q325))</f>
        <v/>
      </c>
      <c r="S325" s="25">
        <f>IF(OR($C325="",N($G325)=0),"",R325/$G325)</f>
        <v/>
      </c>
      <c r="T325" s="23">
        <f>IF($C325="","",N($G325)-N(R325))</f>
        <v/>
      </c>
      <c r="U325" s="24" t="n"/>
      <c r="V325" s="22" t="n"/>
    </row>
    <row r="326">
      <c r="B326" s="13">
        <f>IF($C326="","",COUNTA($C$9:$C326))</f>
        <v/>
      </c>
      <c r="C326" s="21" t="n"/>
      <c r="D326" s="14" t="n"/>
      <c r="E326" s="14" t="n"/>
      <c r="F326" s="14" t="n"/>
      <c r="G326" s="22" t="n"/>
      <c r="H326" s="22" t="n"/>
      <c r="I326" s="22" t="n"/>
      <c r="J326" s="22" t="n"/>
      <c r="K326" s="22" t="n"/>
      <c r="L326" s="22" t="n"/>
      <c r="M326" s="22" t="n"/>
      <c r="N326" s="22" t="n"/>
      <c r="O326" s="23">
        <f>IF($C326="","",N(L326)-N(M326))</f>
        <v/>
      </c>
      <c r="P326" s="24" t="n"/>
      <c r="Q326" s="23">
        <f>IF($C326="","",N(M326)+N(N326))</f>
        <v/>
      </c>
      <c r="R326" s="23">
        <f>IF($C326="","",N(J326)+N(Q326))</f>
        <v/>
      </c>
      <c r="S326" s="25">
        <f>IF(OR($C326="",N($G326)=0),"",R326/$G326)</f>
        <v/>
      </c>
      <c r="T326" s="23">
        <f>IF($C326="","",N($G326)-N(R326))</f>
        <v/>
      </c>
      <c r="U326" s="24" t="n"/>
      <c r="V326" s="22" t="n"/>
    </row>
    <row r="327">
      <c r="B327" s="13">
        <f>IF($C327="","",COUNTA($C$9:$C327))</f>
        <v/>
      </c>
      <c r="C327" s="21" t="n"/>
      <c r="D327" s="14" t="n"/>
      <c r="E327" s="14" t="n"/>
      <c r="F327" s="14" t="n"/>
      <c r="G327" s="22" t="n"/>
      <c r="H327" s="22" t="n"/>
      <c r="I327" s="22" t="n"/>
      <c r="J327" s="22" t="n"/>
      <c r="K327" s="22" t="n"/>
      <c r="L327" s="22" t="n"/>
      <c r="M327" s="22" t="n"/>
      <c r="N327" s="22" t="n"/>
      <c r="O327" s="23">
        <f>IF($C327="","",N(L327)-N(M327))</f>
        <v/>
      </c>
      <c r="P327" s="24" t="n"/>
      <c r="Q327" s="23">
        <f>IF($C327="","",N(M327)+N(N327))</f>
        <v/>
      </c>
      <c r="R327" s="23">
        <f>IF($C327="","",N(J327)+N(Q327))</f>
        <v/>
      </c>
      <c r="S327" s="25">
        <f>IF(OR($C327="",N($G327)=0),"",R327/$G327)</f>
        <v/>
      </c>
      <c r="T327" s="23">
        <f>IF($C327="","",N($G327)-N(R327))</f>
        <v/>
      </c>
      <c r="U327" s="24" t="n"/>
      <c r="V327" s="22" t="n"/>
    </row>
    <row r="328">
      <c r="B328" s="13">
        <f>IF($C328="","",COUNTA($C$9:$C328))</f>
        <v/>
      </c>
      <c r="C328" s="21" t="n"/>
      <c r="D328" s="14" t="n"/>
      <c r="E328" s="14" t="n"/>
      <c r="F328" s="14" t="n"/>
      <c r="G328" s="22" t="n"/>
      <c r="H328" s="22" t="n"/>
      <c r="I328" s="22" t="n"/>
      <c r="J328" s="22" t="n"/>
      <c r="K328" s="22" t="n"/>
      <c r="L328" s="22" t="n"/>
      <c r="M328" s="22" t="n"/>
      <c r="N328" s="22" t="n"/>
      <c r="O328" s="23">
        <f>IF($C328="","",N(L328)-N(M328))</f>
        <v/>
      </c>
      <c r="P328" s="24" t="n"/>
      <c r="Q328" s="23">
        <f>IF($C328="","",N(M328)+N(N328))</f>
        <v/>
      </c>
      <c r="R328" s="23">
        <f>IF($C328="","",N(J328)+N(Q328))</f>
        <v/>
      </c>
      <c r="S328" s="25">
        <f>IF(OR($C328="",N($G328)=0),"",R328/$G328)</f>
        <v/>
      </c>
      <c r="T328" s="23">
        <f>IF($C328="","",N($G328)-N(R328))</f>
        <v/>
      </c>
      <c r="U328" s="24" t="n"/>
      <c r="V328" s="22" t="n"/>
    </row>
    <row r="329">
      <c r="B329" s="13">
        <f>IF($C329="","",COUNTA($C$9:$C329))</f>
        <v/>
      </c>
      <c r="C329" s="21" t="n"/>
      <c r="D329" s="14" t="n"/>
      <c r="E329" s="14" t="n"/>
      <c r="F329" s="14" t="n"/>
      <c r="G329" s="22" t="n"/>
      <c r="H329" s="22" t="n"/>
      <c r="I329" s="22" t="n"/>
      <c r="J329" s="22" t="n"/>
      <c r="K329" s="22" t="n"/>
      <c r="L329" s="22" t="n"/>
      <c r="M329" s="22" t="n"/>
      <c r="N329" s="22" t="n"/>
      <c r="O329" s="23">
        <f>IF($C329="","",N(L329)-N(M329))</f>
        <v/>
      </c>
      <c r="P329" s="24" t="n"/>
      <c r="Q329" s="23">
        <f>IF($C329="","",N(M329)+N(N329))</f>
        <v/>
      </c>
      <c r="R329" s="23">
        <f>IF($C329="","",N(J329)+N(Q329))</f>
        <v/>
      </c>
      <c r="S329" s="25">
        <f>IF(OR($C329="",N($G329)=0),"",R329/$G329)</f>
        <v/>
      </c>
      <c r="T329" s="23">
        <f>IF($C329="","",N($G329)-N(R329))</f>
        <v/>
      </c>
      <c r="U329" s="24" t="n"/>
      <c r="V329" s="22" t="n"/>
    </row>
    <row r="330">
      <c r="B330" s="13">
        <f>IF($C330="","",COUNTA($C$9:$C330))</f>
        <v/>
      </c>
      <c r="C330" s="21" t="n"/>
      <c r="D330" s="14" t="n"/>
      <c r="E330" s="14" t="n"/>
      <c r="F330" s="14" t="n"/>
      <c r="G330" s="22" t="n"/>
      <c r="H330" s="22" t="n"/>
      <c r="I330" s="22" t="n"/>
      <c r="J330" s="22" t="n"/>
      <c r="K330" s="22" t="n"/>
      <c r="L330" s="22" t="n"/>
      <c r="M330" s="22" t="n"/>
      <c r="N330" s="22" t="n"/>
      <c r="O330" s="23">
        <f>IF($C330="","",N(L330)-N(M330))</f>
        <v/>
      </c>
      <c r="P330" s="24" t="n"/>
      <c r="Q330" s="23">
        <f>IF($C330="","",N(M330)+N(N330))</f>
        <v/>
      </c>
      <c r="R330" s="23">
        <f>IF($C330="","",N(J330)+N(Q330))</f>
        <v/>
      </c>
      <c r="S330" s="25">
        <f>IF(OR($C330="",N($G330)=0),"",R330/$G330)</f>
        <v/>
      </c>
      <c r="T330" s="23">
        <f>IF($C330="","",N($G330)-N(R330))</f>
        <v/>
      </c>
      <c r="U330" s="24" t="n"/>
      <c r="V330" s="22" t="n"/>
    </row>
    <row r="331">
      <c r="B331" s="13">
        <f>IF($C331="","",COUNTA($C$9:$C331))</f>
        <v/>
      </c>
      <c r="C331" s="21" t="n"/>
      <c r="D331" s="14" t="n"/>
      <c r="E331" s="14" t="n"/>
      <c r="F331" s="14" t="n"/>
      <c r="G331" s="22" t="n"/>
      <c r="H331" s="22" t="n"/>
      <c r="I331" s="22" t="n"/>
      <c r="J331" s="22" t="n"/>
      <c r="K331" s="22" t="n"/>
      <c r="L331" s="22" t="n"/>
      <c r="M331" s="22" t="n"/>
      <c r="N331" s="22" t="n"/>
      <c r="O331" s="23">
        <f>IF($C331="","",N(L331)-N(M331))</f>
        <v/>
      </c>
      <c r="P331" s="24" t="n"/>
      <c r="Q331" s="23">
        <f>IF($C331="","",N(M331)+N(N331))</f>
        <v/>
      </c>
      <c r="R331" s="23">
        <f>IF($C331="","",N(J331)+N(Q331))</f>
        <v/>
      </c>
      <c r="S331" s="25">
        <f>IF(OR($C331="",N($G331)=0),"",R331/$G331)</f>
        <v/>
      </c>
      <c r="T331" s="23">
        <f>IF($C331="","",N($G331)-N(R331))</f>
        <v/>
      </c>
      <c r="U331" s="24" t="n"/>
      <c r="V331" s="22" t="n"/>
    </row>
    <row r="332">
      <c r="B332" s="13">
        <f>IF($C332="","",COUNTA($C$9:$C332))</f>
        <v/>
      </c>
      <c r="C332" s="21" t="n"/>
      <c r="D332" s="14" t="n"/>
      <c r="E332" s="14" t="n"/>
      <c r="F332" s="14" t="n"/>
      <c r="G332" s="22" t="n"/>
      <c r="H332" s="22" t="n"/>
      <c r="I332" s="22" t="n"/>
      <c r="J332" s="22" t="n"/>
      <c r="K332" s="22" t="n"/>
      <c r="L332" s="22" t="n"/>
      <c r="M332" s="22" t="n"/>
      <c r="N332" s="22" t="n"/>
      <c r="O332" s="23">
        <f>IF($C332="","",N(L332)-N(M332))</f>
        <v/>
      </c>
      <c r="P332" s="24" t="n"/>
      <c r="Q332" s="23">
        <f>IF($C332="","",N(M332)+N(N332))</f>
        <v/>
      </c>
      <c r="R332" s="23">
        <f>IF($C332="","",N(J332)+N(Q332))</f>
        <v/>
      </c>
      <c r="S332" s="25">
        <f>IF(OR($C332="",N($G332)=0),"",R332/$G332)</f>
        <v/>
      </c>
      <c r="T332" s="23">
        <f>IF($C332="","",N($G332)-N(R332))</f>
        <v/>
      </c>
      <c r="U332" s="24" t="n"/>
      <c r="V332" s="22" t="n"/>
    </row>
    <row r="333">
      <c r="B333" s="13">
        <f>IF($C333="","",COUNTA($C$9:$C333))</f>
        <v/>
      </c>
      <c r="C333" s="21" t="n"/>
      <c r="D333" s="14" t="n"/>
      <c r="E333" s="14" t="n"/>
      <c r="F333" s="14" t="n"/>
      <c r="G333" s="22" t="n"/>
      <c r="H333" s="22" t="n"/>
      <c r="I333" s="22" t="n"/>
      <c r="J333" s="22" t="n"/>
      <c r="K333" s="22" t="n"/>
      <c r="L333" s="22" t="n"/>
      <c r="M333" s="22" t="n"/>
      <c r="N333" s="22" t="n"/>
      <c r="O333" s="23">
        <f>IF($C333="","",N(L333)-N(M333))</f>
        <v/>
      </c>
      <c r="P333" s="24" t="n"/>
      <c r="Q333" s="23">
        <f>IF($C333="","",N(M333)+N(N333))</f>
        <v/>
      </c>
      <c r="R333" s="23">
        <f>IF($C333="","",N(J333)+N(Q333))</f>
        <v/>
      </c>
      <c r="S333" s="25">
        <f>IF(OR($C333="",N($G333)=0),"",R333/$G333)</f>
        <v/>
      </c>
      <c r="T333" s="23">
        <f>IF($C333="","",N($G333)-N(R333))</f>
        <v/>
      </c>
      <c r="U333" s="24" t="n"/>
      <c r="V333" s="22" t="n"/>
    </row>
    <row r="334">
      <c r="B334" s="13">
        <f>IF($C334="","",COUNTA($C$9:$C334))</f>
        <v/>
      </c>
      <c r="C334" s="21" t="n"/>
      <c r="D334" s="14" t="n"/>
      <c r="E334" s="14" t="n"/>
      <c r="F334" s="14" t="n"/>
      <c r="G334" s="22" t="n"/>
      <c r="H334" s="22" t="n"/>
      <c r="I334" s="22" t="n"/>
      <c r="J334" s="22" t="n"/>
      <c r="K334" s="22" t="n"/>
      <c r="L334" s="22" t="n"/>
      <c r="M334" s="22" t="n"/>
      <c r="N334" s="22" t="n"/>
      <c r="O334" s="23">
        <f>IF($C334="","",N(L334)-N(M334))</f>
        <v/>
      </c>
      <c r="P334" s="24" t="n"/>
      <c r="Q334" s="23">
        <f>IF($C334="","",N(M334)+N(N334))</f>
        <v/>
      </c>
      <c r="R334" s="23">
        <f>IF($C334="","",N(J334)+N(Q334))</f>
        <v/>
      </c>
      <c r="S334" s="25">
        <f>IF(OR($C334="",N($G334)=0),"",R334/$G334)</f>
        <v/>
      </c>
      <c r="T334" s="23">
        <f>IF($C334="","",N($G334)-N(R334))</f>
        <v/>
      </c>
      <c r="U334" s="24" t="n"/>
      <c r="V334" s="22" t="n"/>
    </row>
    <row r="335">
      <c r="B335" s="13">
        <f>IF($C335="","",COUNTA($C$9:$C335))</f>
        <v/>
      </c>
      <c r="C335" s="21" t="n"/>
      <c r="D335" s="14" t="n"/>
      <c r="E335" s="14" t="n"/>
      <c r="F335" s="14" t="n"/>
      <c r="G335" s="22" t="n"/>
      <c r="H335" s="22" t="n"/>
      <c r="I335" s="22" t="n"/>
      <c r="J335" s="22" t="n"/>
      <c r="K335" s="22" t="n"/>
      <c r="L335" s="22" t="n"/>
      <c r="M335" s="22" t="n"/>
      <c r="N335" s="22" t="n"/>
      <c r="O335" s="23">
        <f>IF($C335="","",N(L335)-N(M335))</f>
        <v/>
      </c>
      <c r="P335" s="24" t="n"/>
      <c r="Q335" s="23">
        <f>IF($C335="","",N(M335)+N(N335))</f>
        <v/>
      </c>
      <c r="R335" s="23">
        <f>IF($C335="","",N(J335)+N(Q335))</f>
        <v/>
      </c>
      <c r="S335" s="25">
        <f>IF(OR($C335="",N($G335)=0),"",R335/$G335)</f>
        <v/>
      </c>
      <c r="T335" s="23">
        <f>IF($C335="","",N($G335)-N(R335))</f>
        <v/>
      </c>
      <c r="U335" s="24" t="n"/>
      <c r="V335" s="22" t="n"/>
    </row>
    <row r="336">
      <c r="B336" s="13">
        <f>IF($C336="","",COUNTA($C$9:$C336))</f>
        <v/>
      </c>
      <c r="C336" s="21" t="n"/>
      <c r="D336" s="14" t="n"/>
      <c r="E336" s="14" t="n"/>
      <c r="F336" s="14" t="n"/>
      <c r="G336" s="22" t="n"/>
      <c r="H336" s="22" t="n"/>
      <c r="I336" s="22" t="n"/>
      <c r="J336" s="22" t="n"/>
      <c r="K336" s="22" t="n"/>
      <c r="L336" s="22" t="n"/>
      <c r="M336" s="22" t="n"/>
      <c r="N336" s="22" t="n"/>
      <c r="O336" s="23">
        <f>IF($C336="","",N(L336)-N(M336))</f>
        <v/>
      </c>
      <c r="P336" s="24" t="n"/>
      <c r="Q336" s="23">
        <f>IF($C336="","",N(M336)+N(N336))</f>
        <v/>
      </c>
      <c r="R336" s="23">
        <f>IF($C336="","",N(J336)+N(Q336))</f>
        <v/>
      </c>
      <c r="S336" s="25">
        <f>IF(OR($C336="",N($G336)=0),"",R336/$G336)</f>
        <v/>
      </c>
      <c r="T336" s="23">
        <f>IF($C336="","",N($G336)-N(R336))</f>
        <v/>
      </c>
      <c r="U336" s="24" t="n"/>
      <c r="V336" s="22" t="n"/>
    </row>
    <row r="337">
      <c r="B337" s="13">
        <f>IF($C337="","",COUNTA($C$9:$C337))</f>
        <v/>
      </c>
      <c r="C337" s="21" t="n"/>
      <c r="D337" s="14" t="n"/>
      <c r="E337" s="14" t="n"/>
      <c r="F337" s="14" t="n"/>
      <c r="G337" s="22" t="n"/>
      <c r="H337" s="22" t="n"/>
      <c r="I337" s="22" t="n"/>
      <c r="J337" s="22" t="n"/>
      <c r="K337" s="22" t="n"/>
      <c r="L337" s="22" t="n"/>
      <c r="M337" s="22" t="n"/>
      <c r="N337" s="22" t="n"/>
      <c r="O337" s="23">
        <f>IF($C337="","",N(L337)-N(M337))</f>
        <v/>
      </c>
      <c r="P337" s="24" t="n"/>
      <c r="Q337" s="23">
        <f>IF($C337="","",N(M337)+N(N337))</f>
        <v/>
      </c>
      <c r="R337" s="23">
        <f>IF($C337="","",N(J337)+N(Q337))</f>
        <v/>
      </c>
      <c r="S337" s="25">
        <f>IF(OR($C337="",N($G337)=0),"",R337/$G337)</f>
        <v/>
      </c>
      <c r="T337" s="23">
        <f>IF($C337="","",N($G337)-N(R337))</f>
        <v/>
      </c>
      <c r="U337" s="24" t="n"/>
      <c r="V337" s="22" t="n"/>
    </row>
    <row r="338">
      <c r="B338" s="13">
        <f>IF($C338="","",COUNTA($C$9:$C338))</f>
        <v/>
      </c>
      <c r="C338" s="21" t="n"/>
      <c r="D338" s="14" t="n"/>
      <c r="E338" s="14" t="n"/>
      <c r="F338" s="14" t="n"/>
      <c r="G338" s="22" t="n"/>
      <c r="H338" s="22" t="n"/>
      <c r="I338" s="22" t="n"/>
      <c r="J338" s="22" t="n"/>
      <c r="K338" s="22" t="n"/>
      <c r="L338" s="22" t="n"/>
      <c r="M338" s="22" t="n"/>
      <c r="N338" s="22" t="n"/>
      <c r="O338" s="23">
        <f>IF($C338="","",N(L338)-N(M338))</f>
        <v/>
      </c>
      <c r="P338" s="24" t="n"/>
      <c r="Q338" s="23">
        <f>IF($C338="","",N(M338)+N(N338))</f>
        <v/>
      </c>
      <c r="R338" s="23">
        <f>IF($C338="","",N(J338)+N(Q338))</f>
        <v/>
      </c>
      <c r="S338" s="25">
        <f>IF(OR($C338="",N($G338)=0),"",R338/$G338)</f>
        <v/>
      </c>
      <c r="T338" s="23">
        <f>IF($C338="","",N($G338)-N(R338))</f>
        <v/>
      </c>
      <c r="U338" s="24" t="n"/>
      <c r="V338" s="22" t="n"/>
    </row>
    <row r="339">
      <c r="B339" s="13">
        <f>IF($C339="","",COUNTA($C$9:$C339))</f>
        <v/>
      </c>
      <c r="C339" s="21" t="n"/>
      <c r="D339" s="14" t="n"/>
      <c r="E339" s="14" t="n"/>
      <c r="F339" s="14" t="n"/>
      <c r="G339" s="22" t="n"/>
      <c r="H339" s="22" t="n"/>
      <c r="I339" s="22" t="n"/>
      <c r="J339" s="22" t="n"/>
      <c r="K339" s="22" t="n"/>
      <c r="L339" s="22" t="n"/>
      <c r="M339" s="22" t="n"/>
      <c r="N339" s="22" t="n"/>
      <c r="O339" s="23">
        <f>IF($C339="","",N(L339)-N(M339))</f>
        <v/>
      </c>
      <c r="P339" s="24" t="n"/>
      <c r="Q339" s="23">
        <f>IF($C339="","",N(M339)+N(N339))</f>
        <v/>
      </c>
      <c r="R339" s="23">
        <f>IF($C339="","",N(J339)+N(Q339))</f>
        <v/>
      </c>
      <c r="S339" s="25">
        <f>IF(OR($C339="",N($G339)=0),"",R339/$G339)</f>
        <v/>
      </c>
      <c r="T339" s="23">
        <f>IF($C339="","",N($G339)-N(R339))</f>
        <v/>
      </c>
      <c r="U339" s="24" t="n"/>
      <c r="V339" s="22" t="n"/>
    </row>
    <row r="340">
      <c r="B340" s="13">
        <f>IF($C340="","",COUNTA($C$9:$C340))</f>
        <v/>
      </c>
      <c r="C340" s="21" t="n"/>
      <c r="D340" s="14" t="n"/>
      <c r="E340" s="14" t="n"/>
      <c r="F340" s="14" t="n"/>
      <c r="G340" s="22" t="n"/>
      <c r="H340" s="22" t="n"/>
      <c r="I340" s="22" t="n"/>
      <c r="J340" s="22" t="n"/>
      <c r="K340" s="22" t="n"/>
      <c r="L340" s="22" t="n"/>
      <c r="M340" s="22" t="n"/>
      <c r="N340" s="22" t="n"/>
      <c r="O340" s="23">
        <f>IF($C340="","",N(L340)-N(M340))</f>
        <v/>
      </c>
      <c r="P340" s="24" t="n"/>
      <c r="Q340" s="23">
        <f>IF($C340="","",N(M340)+N(N340))</f>
        <v/>
      </c>
      <c r="R340" s="23">
        <f>IF($C340="","",N(J340)+N(Q340))</f>
        <v/>
      </c>
      <c r="S340" s="25">
        <f>IF(OR($C340="",N($G340)=0),"",R340/$G340)</f>
        <v/>
      </c>
      <c r="T340" s="23">
        <f>IF($C340="","",N($G340)-N(R340))</f>
        <v/>
      </c>
      <c r="U340" s="24" t="n"/>
      <c r="V340" s="22" t="n"/>
    </row>
    <row r="341">
      <c r="B341" s="13">
        <f>IF($C341="","",COUNTA($C$9:$C341))</f>
        <v/>
      </c>
      <c r="C341" s="21" t="n"/>
      <c r="D341" s="14" t="n"/>
      <c r="E341" s="14" t="n"/>
      <c r="F341" s="14" t="n"/>
      <c r="G341" s="22" t="n"/>
      <c r="H341" s="22" t="n"/>
      <c r="I341" s="22" t="n"/>
      <c r="J341" s="22" t="n"/>
      <c r="K341" s="22" t="n"/>
      <c r="L341" s="22" t="n"/>
      <c r="M341" s="22" t="n"/>
      <c r="N341" s="22" t="n"/>
      <c r="O341" s="23">
        <f>IF($C341="","",N(L341)-N(M341))</f>
        <v/>
      </c>
      <c r="P341" s="24" t="n"/>
      <c r="Q341" s="23">
        <f>IF($C341="","",N(M341)+N(N341))</f>
        <v/>
      </c>
      <c r="R341" s="23">
        <f>IF($C341="","",N(J341)+N(Q341))</f>
        <v/>
      </c>
      <c r="S341" s="25">
        <f>IF(OR($C341="",N($G341)=0),"",R341/$G341)</f>
        <v/>
      </c>
      <c r="T341" s="23">
        <f>IF($C341="","",N($G341)-N(R341))</f>
        <v/>
      </c>
      <c r="U341" s="24" t="n"/>
      <c r="V341" s="22" t="n"/>
    </row>
    <row r="342">
      <c r="B342" s="13">
        <f>IF($C342="","",COUNTA($C$9:$C342))</f>
        <v/>
      </c>
      <c r="C342" s="21" t="n"/>
      <c r="D342" s="14" t="n"/>
      <c r="E342" s="14" t="n"/>
      <c r="F342" s="14" t="n"/>
      <c r="G342" s="22" t="n"/>
      <c r="H342" s="22" t="n"/>
      <c r="I342" s="22" t="n"/>
      <c r="J342" s="22" t="n"/>
      <c r="K342" s="22" t="n"/>
      <c r="L342" s="22" t="n"/>
      <c r="M342" s="22" t="n"/>
      <c r="N342" s="22" t="n"/>
      <c r="O342" s="23">
        <f>IF($C342="","",N(L342)-N(M342))</f>
        <v/>
      </c>
      <c r="P342" s="24" t="n"/>
      <c r="Q342" s="23">
        <f>IF($C342="","",N(M342)+N(N342))</f>
        <v/>
      </c>
      <c r="R342" s="23">
        <f>IF($C342="","",N(J342)+N(Q342))</f>
        <v/>
      </c>
      <c r="S342" s="25">
        <f>IF(OR($C342="",N($G342)=0),"",R342/$G342)</f>
        <v/>
      </c>
      <c r="T342" s="23">
        <f>IF($C342="","",N($G342)-N(R342))</f>
        <v/>
      </c>
      <c r="U342" s="24" t="n"/>
      <c r="V342" s="22" t="n"/>
    </row>
    <row r="343">
      <c r="B343" s="13">
        <f>IF($C343="","",COUNTA($C$9:$C343))</f>
        <v/>
      </c>
      <c r="C343" s="21" t="n"/>
      <c r="D343" s="14" t="n"/>
      <c r="E343" s="14" t="n"/>
      <c r="F343" s="14" t="n"/>
      <c r="G343" s="22" t="n"/>
      <c r="H343" s="22" t="n"/>
      <c r="I343" s="22" t="n"/>
      <c r="J343" s="22" t="n"/>
      <c r="K343" s="22" t="n"/>
      <c r="L343" s="22" t="n"/>
      <c r="M343" s="22" t="n"/>
      <c r="N343" s="22" t="n"/>
      <c r="O343" s="23">
        <f>IF($C343="","",N(L343)-N(M343))</f>
        <v/>
      </c>
      <c r="P343" s="24" t="n"/>
      <c r="Q343" s="23">
        <f>IF($C343="","",N(M343)+N(N343))</f>
        <v/>
      </c>
      <c r="R343" s="23">
        <f>IF($C343="","",N(J343)+N(Q343))</f>
        <v/>
      </c>
      <c r="S343" s="25">
        <f>IF(OR($C343="",N($G343)=0),"",R343/$G343)</f>
        <v/>
      </c>
      <c r="T343" s="23">
        <f>IF($C343="","",N($G343)-N(R343))</f>
        <v/>
      </c>
      <c r="U343" s="24" t="n"/>
      <c r="V343" s="22" t="n"/>
    </row>
    <row r="344">
      <c r="B344" s="13">
        <f>IF($C344="","",COUNTA($C$9:$C344))</f>
        <v/>
      </c>
      <c r="C344" s="21" t="n"/>
      <c r="D344" s="14" t="n"/>
      <c r="E344" s="14" t="n"/>
      <c r="F344" s="14" t="n"/>
      <c r="G344" s="22" t="n"/>
      <c r="H344" s="22" t="n"/>
      <c r="I344" s="22" t="n"/>
      <c r="J344" s="22" t="n"/>
      <c r="K344" s="22" t="n"/>
      <c r="L344" s="22" t="n"/>
      <c r="M344" s="22" t="n"/>
      <c r="N344" s="22" t="n"/>
      <c r="O344" s="23">
        <f>IF($C344="","",N(L344)-N(M344))</f>
        <v/>
      </c>
      <c r="P344" s="24" t="n"/>
      <c r="Q344" s="23">
        <f>IF($C344="","",N(M344)+N(N344))</f>
        <v/>
      </c>
      <c r="R344" s="23">
        <f>IF($C344="","",N(J344)+N(Q344))</f>
        <v/>
      </c>
      <c r="S344" s="25">
        <f>IF(OR($C344="",N($G344)=0),"",R344/$G344)</f>
        <v/>
      </c>
      <c r="T344" s="23">
        <f>IF($C344="","",N($G344)-N(R344))</f>
        <v/>
      </c>
      <c r="U344" s="24" t="n"/>
      <c r="V344" s="22" t="n"/>
    </row>
    <row r="345">
      <c r="B345" s="13">
        <f>IF($C345="","",COUNTA($C$9:$C345))</f>
        <v/>
      </c>
      <c r="C345" s="21" t="n"/>
      <c r="D345" s="14" t="n"/>
      <c r="E345" s="14" t="n"/>
      <c r="F345" s="14" t="n"/>
      <c r="G345" s="22" t="n"/>
      <c r="H345" s="22" t="n"/>
      <c r="I345" s="22" t="n"/>
      <c r="J345" s="22" t="n"/>
      <c r="K345" s="22" t="n"/>
      <c r="L345" s="22" t="n"/>
      <c r="M345" s="22" t="n"/>
      <c r="N345" s="22" t="n"/>
      <c r="O345" s="23">
        <f>IF($C345="","",N(L345)-N(M345))</f>
        <v/>
      </c>
      <c r="P345" s="24" t="n"/>
      <c r="Q345" s="23">
        <f>IF($C345="","",N(M345)+N(N345))</f>
        <v/>
      </c>
      <c r="R345" s="23">
        <f>IF($C345="","",N(J345)+N(Q345))</f>
        <v/>
      </c>
      <c r="S345" s="25">
        <f>IF(OR($C345="",N($G345)=0),"",R345/$G345)</f>
        <v/>
      </c>
      <c r="T345" s="23">
        <f>IF($C345="","",N($G345)-N(R345))</f>
        <v/>
      </c>
      <c r="U345" s="24" t="n"/>
      <c r="V345" s="22" t="n"/>
    </row>
    <row r="346">
      <c r="B346" s="13">
        <f>IF($C346="","",COUNTA($C$9:$C346))</f>
        <v/>
      </c>
      <c r="C346" s="21" t="n"/>
      <c r="D346" s="14" t="n"/>
      <c r="E346" s="14" t="n"/>
      <c r="F346" s="14" t="n"/>
      <c r="G346" s="22" t="n"/>
      <c r="H346" s="22" t="n"/>
      <c r="I346" s="22" t="n"/>
      <c r="J346" s="22" t="n"/>
      <c r="K346" s="22" t="n"/>
      <c r="L346" s="22" t="n"/>
      <c r="M346" s="22" t="n"/>
      <c r="N346" s="22" t="n"/>
      <c r="O346" s="23">
        <f>IF($C346="","",N(L346)-N(M346))</f>
        <v/>
      </c>
      <c r="P346" s="24" t="n"/>
      <c r="Q346" s="23">
        <f>IF($C346="","",N(M346)+N(N346))</f>
        <v/>
      </c>
      <c r="R346" s="23">
        <f>IF($C346="","",N(J346)+N(Q346))</f>
        <v/>
      </c>
      <c r="S346" s="25">
        <f>IF(OR($C346="",N($G346)=0),"",R346/$G346)</f>
        <v/>
      </c>
      <c r="T346" s="23">
        <f>IF($C346="","",N($G346)-N(R346))</f>
        <v/>
      </c>
      <c r="U346" s="24" t="n"/>
      <c r="V346" s="22" t="n"/>
    </row>
    <row r="347">
      <c r="B347" s="13">
        <f>IF($C347="","",COUNTA($C$9:$C347))</f>
        <v/>
      </c>
      <c r="C347" s="21" t="n"/>
      <c r="D347" s="14" t="n"/>
      <c r="E347" s="14" t="n"/>
      <c r="F347" s="14" t="n"/>
      <c r="G347" s="22" t="n"/>
      <c r="H347" s="22" t="n"/>
      <c r="I347" s="22" t="n"/>
      <c r="J347" s="22" t="n"/>
      <c r="K347" s="22" t="n"/>
      <c r="L347" s="22" t="n"/>
      <c r="M347" s="22" t="n"/>
      <c r="N347" s="22" t="n"/>
      <c r="O347" s="23">
        <f>IF($C347="","",N(L347)-N(M347))</f>
        <v/>
      </c>
      <c r="P347" s="24" t="n"/>
      <c r="Q347" s="23">
        <f>IF($C347="","",N(M347)+N(N347))</f>
        <v/>
      </c>
      <c r="R347" s="23">
        <f>IF($C347="","",N(J347)+N(Q347))</f>
        <v/>
      </c>
      <c r="S347" s="25">
        <f>IF(OR($C347="",N($G347)=0),"",R347/$G347)</f>
        <v/>
      </c>
      <c r="T347" s="23">
        <f>IF($C347="","",N($G347)-N(R347))</f>
        <v/>
      </c>
      <c r="U347" s="24" t="n"/>
      <c r="V347" s="22" t="n"/>
    </row>
    <row r="348">
      <c r="B348" s="13">
        <f>IF($C348="","",COUNTA($C$9:$C348))</f>
        <v/>
      </c>
      <c r="C348" s="21" t="n"/>
      <c r="D348" s="14" t="n"/>
      <c r="E348" s="14" t="n"/>
      <c r="F348" s="14" t="n"/>
      <c r="G348" s="22" t="n"/>
      <c r="H348" s="22" t="n"/>
      <c r="I348" s="22" t="n"/>
      <c r="J348" s="22" t="n"/>
      <c r="K348" s="22" t="n"/>
      <c r="L348" s="22" t="n"/>
      <c r="M348" s="22" t="n"/>
      <c r="N348" s="22" t="n"/>
      <c r="O348" s="23">
        <f>IF($C348="","",N(L348)-N(M348))</f>
        <v/>
      </c>
      <c r="P348" s="24" t="n"/>
      <c r="Q348" s="23">
        <f>IF($C348="","",N(M348)+N(N348))</f>
        <v/>
      </c>
      <c r="R348" s="23">
        <f>IF($C348="","",N(J348)+N(Q348))</f>
        <v/>
      </c>
      <c r="S348" s="25">
        <f>IF(OR($C348="",N($G348)=0),"",R348/$G348)</f>
        <v/>
      </c>
      <c r="T348" s="23">
        <f>IF($C348="","",N($G348)-N(R348))</f>
        <v/>
      </c>
      <c r="U348" s="24" t="n"/>
      <c r="V348" s="22" t="n"/>
    </row>
    <row r="349">
      <c r="B349" s="13">
        <f>IF($C349="","",COUNTA($C$9:$C349))</f>
        <v/>
      </c>
      <c r="C349" s="21" t="n"/>
      <c r="D349" s="14" t="n"/>
      <c r="E349" s="14" t="n"/>
      <c r="F349" s="14" t="n"/>
      <c r="G349" s="22" t="n"/>
      <c r="H349" s="22" t="n"/>
      <c r="I349" s="22" t="n"/>
      <c r="J349" s="22" t="n"/>
      <c r="K349" s="22" t="n"/>
      <c r="L349" s="22" t="n"/>
      <c r="M349" s="22" t="n"/>
      <c r="N349" s="22" t="n"/>
      <c r="O349" s="23">
        <f>IF($C349="","",N(L349)-N(M349))</f>
        <v/>
      </c>
      <c r="P349" s="24" t="n"/>
      <c r="Q349" s="23">
        <f>IF($C349="","",N(M349)+N(N349))</f>
        <v/>
      </c>
      <c r="R349" s="23">
        <f>IF($C349="","",N(J349)+N(Q349))</f>
        <v/>
      </c>
      <c r="S349" s="25">
        <f>IF(OR($C349="",N($G349)=0),"",R349/$G349)</f>
        <v/>
      </c>
      <c r="T349" s="23">
        <f>IF($C349="","",N($G349)-N(R349))</f>
        <v/>
      </c>
      <c r="U349" s="24" t="n"/>
      <c r="V349" s="22" t="n"/>
    </row>
    <row r="350">
      <c r="B350" s="13">
        <f>IF($C350="","",COUNTA($C$9:$C350))</f>
        <v/>
      </c>
      <c r="C350" s="21" t="n"/>
      <c r="D350" s="14" t="n"/>
      <c r="E350" s="14" t="n"/>
      <c r="F350" s="14" t="n"/>
      <c r="G350" s="22" t="n"/>
      <c r="H350" s="22" t="n"/>
      <c r="I350" s="22" t="n"/>
      <c r="J350" s="22" t="n"/>
      <c r="K350" s="22" t="n"/>
      <c r="L350" s="22" t="n"/>
      <c r="M350" s="22" t="n"/>
      <c r="N350" s="22" t="n"/>
      <c r="O350" s="23">
        <f>IF($C350="","",N(L350)-N(M350))</f>
        <v/>
      </c>
      <c r="P350" s="24" t="n"/>
      <c r="Q350" s="23">
        <f>IF($C350="","",N(M350)+N(N350))</f>
        <v/>
      </c>
      <c r="R350" s="23">
        <f>IF($C350="","",N(J350)+N(Q350))</f>
        <v/>
      </c>
      <c r="S350" s="25">
        <f>IF(OR($C350="",N($G350)=0),"",R350/$G350)</f>
        <v/>
      </c>
      <c r="T350" s="23">
        <f>IF($C350="","",N($G350)-N(R350))</f>
        <v/>
      </c>
      <c r="U350" s="24" t="n"/>
      <c r="V350" s="22" t="n"/>
    </row>
    <row r="351">
      <c r="B351" s="13">
        <f>IF($C351="","",COUNTA($C$9:$C351))</f>
        <v/>
      </c>
      <c r="C351" s="21" t="n"/>
      <c r="D351" s="14" t="n"/>
      <c r="E351" s="14" t="n"/>
      <c r="F351" s="14" t="n"/>
      <c r="G351" s="22" t="n"/>
      <c r="H351" s="22" t="n"/>
      <c r="I351" s="22" t="n"/>
      <c r="J351" s="22" t="n"/>
      <c r="K351" s="22" t="n"/>
      <c r="L351" s="22" t="n"/>
      <c r="M351" s="22" t="n"/>
      <c r="N351" s="22" t="n"/>
      <c r="O351" s="23">
        <f>IF($C351="","",N(L351)-N(M351))</f>
        <v/>
      </c>
      <c r="P351" s="24" t="n"/>
      <c r="Q351" s="23">
        <f>IF($C351="","",N(M351)+N(N351))</f>
        <v/>
      </c>
      <c r="R351" s="23">
        <f>IF($C351="","",N(J351)+N(Q351))</f>
        <v/>
      </c>
      <c r="S351" s="25">
        <f>IF(OR($C351="",N($G351)=0),"",R351/$G351)</f>
        <v/>
      </c>
      <c r="T351" s="23">
        <f>IF($C351="","",N($G351)-N(R351))</f>
        <v/>
      </c>
      <c r="U351" s="24" t="n"/>
      <c r="V351" s="22" t="n"/>
    </row>
    <row r="352">
      <c r="B352" s="13">
        <f>IF($C352="","",COUNTA($C$9:$C352))</f>
        <v/>
      </c>
      <c r="C352" s="21" t="n"/>
      <c r="D352" s="14" t="n"/>
      <c r="E352" s="14" t="n"/>
      <c r="F352" s="14" t="n"/>
      <c r="G352" s="22" t="n"/>
      <c r="H352" s="22" t="n"/>
      <c r="I352" s="22" t="n"/>
      <c r="J352" s="22" t="n"/>
      <c r="K352" s="22" t="n"/>
      <c r="L352" s="22" t="n"/>
      <c r="M352" s="22" t="n"/>
      <c r="N352" s="22" t="n"/>
      <c r="O352" s="23">
        <f>IF($C352="","",N(L352)-N(M352))</f>
        <v/>
      </c>
      <c r="P352" s="24" t="n"/>
      <c r="Q352" s="23">
        <f>IF($C352="","",N(M352)+N(N352))</f>
        <v/>
      </c>
      <c r="R352" s="23">
        <f>IF($C352="","",N(J352)+N(Q352))</f>
        <v/>
      </c>
      <c r="S352" s="25">
        <f>IF(OR($C352="",N($G352)=0),"",R352/$G352)</f>
        <v/>
      </c>
      <c r="T352" s="23">
        <f>IF($C352="","",N($G352)-N(R352))</f>
        <v/>
      </c>
      <c r="U352" s="24" t="n"/>
      <c r="V352" s="22" t="n"/>
    </row>
    <row r="353">
      <c r="B353" s="13">
        <f>IF($C353="","",COUNTA($C$9:$C353))</f>
        <v/>
      </c>
      <c r="C353" s="21" t="n"/>
      <c r="D353" s="14" t="n"/>
      <c r="E353" s="14" t="n"/>
      <c r="F353" s="14" t="n"/>
      <c r="G353" s="22" t="n"/>
      <c r="H353" s="22" t="n"/>
      <c r="I353" s="22" t="n"/>
      <c r="J353" s="22" t="n"/>
      <c r="K353" s="22" t="n"/>
      <c r="L353" s="22" t="n"/>
      <c r="M353" s="22" t="n"/>
      <c r="N353" s="22" t="n"/>
      <c r="O353" s="23">
        <f>IF($C353="","",N(L353)-N(M353))</f>
        <v/>
      </c>
      <c r="P353" s="24" t="n"/>
      <c r="Q353" s="23">
        <f>IF($C353="","",N(M353)+N(N353))</f>
        <v/>
      </c>
      <c r="R353" s="23">
        <f>IF($C353="","",N(J353)+N(Q353))</f>
        <v/>
      </c>
      <c r="S353" s="25">
        <f>IF(OR($C353="",N($G353)=0),"",R353/$G353)</f>
        <v/>
      </c>
      <c r="T353" s="23">
        <f>IF($C353="","",N($G353)-N(R353))</f>
        <v/>
      </c>
      <c r="U353" s="24" t="n"/>
      <c r="V353" s="22" t="n"/>
    </row>
    <row r="354">
      <c r="B354" s="13">
        <f>IF($C354="","",COUNTA($C$9:$C354))</f>
        <v/>
      </c>
      <c r="C354" s="21" t="n"/>
      <c r="D354" s="14" t="n"/>
      <c r="E354" s="14" t="n"/>
      <c r="F354" s="14" t="n"/>
      <c r="G354" s="22" t="n"/>
      <c r="H354" s="22" t="n"/>
      <c r="I354" s="22" t="n"/>
      <c r="J354" s="22" t="n"/>
      <c r="K354" s="22" t="n"/>
      <c r="L354" s="22" t="n"/>
      <c r="M354" s="22" t="n"/>
      <c r="N354" s="22" t="n"/>
      <c r="O354" s="23">
        <f>IF($C354="","",N(L354)-N(M354))</f>
        <v/>
      </c>
      <c r="P354" s="24" t="n"/>
      <c r="Q354" s="23">
        <f>IF($C354="","",N(M354)+N(N354))</f>
        <v/>
      </c>
      <c r="R354" s="23">
        <f>IF($C354="","",N(J354)+N(Q354))</f>
        <v/>
      </c>
      <c r="S354" s="25">
        <f>IF(OR($C354="",N($G354)=0),"",R354/$G354)</f>
        <v/>
      </c>
      <c r="T354" s="23">
        <f>IF($C354="","",N($G354)-N(R354))</f>
        <v/>
      </c>
      <c r="U354" s="24" t="n"/>
      <c r="V354" s="22" t="n"/>
    </row>
    <row r="355">
      <c r="B355" s="13">
        <f>IF($C355="","",COUNTA($C$9:$C355))</f>
        <v/>
      </c>
      <c r="C355" s="21" t="n"/>
      <c r="D355" s="14" t="n"/>
      <c r="E355" s="14" t="n"/>
      <c r="F355" s="14" t="n"/>
      <c r="G355" s="22" t="n"/>
      <c r="H355" s="22" t="n"/>
      <c r="I355" s="22" t="n"/>
      <c r="J355" s="22" t="n"/>
      <c r="K355" s="22" t="n"/>
      <c r="L355" s="22" t="n"/>
      <c r="M355" s="22" t="n"/>
      <c r="N355" s="22" t="n"/>
      <c r="O355" s="23">
        <f>IF($C355="","",N(L355)-N(M355))</f>
        <v/>
      </c>
      <c r="P355" s="24" t="n"/>
      <c r="Q355" s="23">
        <f>IF($C355="","",N(M355)+N(N355))</f>
        <v/>
      </c>
      <c r="R355" s="23">
        <f>IF($C355="","",N(J355)+N(Q355))</f>
        <v/>
      </c>
      <c r="S355" s="25">
        <f>IF(OR($C355="",N($G355)=0),"",R355/$G355)</f>
        <v/>
      </c>
      <c r="T355" s="23">
        <f>IF($C355="","",N($G355)-N(R355))</f>
        <v/>
      </c>
      <c r="U355" s="24" t="n"/>
      <c r="V355" s="22" t="n"/>
    </row>
    <row r="356">
      <c r="B356" s="13">
        <f>IF($C356="","",COUNTA($C$9:$C356))</f>
        <v/>
      </c>
      <c r="C356" s="21" t="n"/>
      <c r="D356" s="14" t="n"/>
      <c r="E356" s="14" t="n"/>
      <c r="F356" s="14" t="n"/>
      <c r="G356" s="22" t="n"/>
      <c r="H356" s="22" t="n"/>
      <c r="I356" s="22" t="n"/>
      <c r="J356" s="22" t="n"/>
      <c r="K356" s="22" t="n"/>
      <c r="L356" s="22" t="n"/>
      <c r="M356" s="22" t="n"/>
      <c r="N356" s="22" t="n"/>
      <c r="O356" s="23">
        <f>IF($C356="","",N(L356)-N(M356))</f>
        <v/>
      </c>
      <c r="P356" s="24" t="n"/>
      <c r="Q356" s="23">
        <f>IF($C356="","",N(M356)+N(N356))</f>
        <v/>
      </c>
      <c r="R356" s="23">
        <f>IF($C356="","",N(J356)+N(Q356))</f>
        <v/>
      </c>
      <c r="S356" s="25">
        <f>IF(OR($C356="",N($G356)=0),"",R356/$G356)</f>
        <v/>
      </c>
      <c r="T356" s="23">
        <f>IF($C356="","",N($G356)-N(R356))</f>
        <v/>
      </c>
      <c r="U356" s="24" t="n"/>
      <c r="V356" s="22" t="n"/>
    </row>
    <row r="357">
      <c r="B357" s="13">
        <f>IF($C357="","",COUNTA($C$9:$C357))</f>
        <v/>
      </c>
      <c r="C357" s="21" t="n"/>
      <c r="D357" s="14" t="n"/>
      <c r="E357" s="14" t="n"/>
      <c r="F357" s="14" t="n"/>
      <c r="G357" s="22" t="n"/>
      <c r="H357" s="22" t="n"/>
      <c r="I357" s="22" t="n"/>
      <c r="J357" s="22" t="n"/>
      <c r="K357" s="22" t="n"/>
      <c r="L357" s="22" t="n"/>
      <c r="M357" s="22" t="n"/>
      <c r="N357" s="22" t="n"/>
      <c r="O357" s="23">
        <f>IF($C357="","",N(L357)-N(M357))</f>
        <v/>
      </c>
      <c r="P357" s="24" t="n"/>
      <c r="Q357" s="23">
        <f>IF($C357="","",N(M357)+N(N357))</f>
        <v/>
      </c>
      <c r="R357" s="23">
        <f>IF($C357="","",N(J357)+N(Q357))</f>
        <v/>
      </c>
      <c r="S357" s="25">
        <f>IF(OR($C357="",N($G357)=0),"",R357/$G357)</f>
        <v/>
      </c>
      <c r="T357" s="23">
        <f>IF($C357="","",N($G357)-N(R357))</f>
        <v/>
      </c>
      <c r="U357" s="24" t="n"/>
      <c r="V357" s="22" t="n"/>
    </row>
    <row r="358">
      <c r="B358" s="13">
        <f>IF($C358="","",COUNTA($C$9:$C358))</f>
        <v/>
      </c>
      <c r="C358" s="21" t="n"/>
      <c r="D358" s="14" t="n"/>
      <c r="E358" s="14" t="n"/>
      <c r="F358" s="14" t="n"/>
      <c r="G358" s="22" t="n"/>
      <c r="H358" s="22" t="n"/>
      <c r="I358" s="22" t="n"/>
      <c r="J358" s="22" t="n"/>
      <c r="K358" s="22" t="n"/>
      <c r="L358" s="22" t="n"/>
      <c r="M358" s="22" t="n"/>
      <c r="N358" s="22" t="n"/>
      <c r="O358" s="23">
        <f>IF($C358="","",N(L358)-N(M358))</f>
        <v/>
      </c>
      <c r="P358" s="24" t="n"/>
      <c r="Q358" s="23">
        <f>IF($C358="","",N(M358)+N(N358))</f>
        <v/>
      </c>
      <c r="R358" s="23">
        <f>IF($C358="","",N(J358)+N(Q358))</f>
        <v/>
      </c>
      <c r="S358" s="25">
        <f>IF(OR($C358="",N($G358)=0),"",R358/$G358)</f>
        <v/>
      </c>
      <c r="T358" s="23">
        <f>IF($C358="","",N($G358)-N(R358))</f>
        <v/>
      </c>
      <c r="U358" s="24" t="n"/>
      <c r="V358" s="22" t="n"/>
    </row>
    <row r="359">
      <c r="B359" s="13">
        <f>IF($C359="","",COUNTA($C$9:$C359))</f>
        <v/>
      </c>
      <c r="C359" s="21" t="n"/>
      <c r="D359" s="14" t="n"/>
      <c r="E359" s="14" t="n"/>
      <c r="F359" s="14" t="n"/>
      <c r="G359" s="22" t="n"/>
      <c r="H359" s="22" t="n"/>
      <c r="I359" s="22" t="n"/>
      <c r="J359" s="22" t="n"/>
      <c r="K359" s="22" t="n"/>
      <c r="L359" s="22" t="n"/>
      <c r="M359" s="22" t="n"/>
      <c r="N359" s="22" t="n"/>
      <c r="O359" s="23">
        <f>IF($C359="","",N(L359)-N(M359))</f>
        <v/>
      </c>
      <c r="P359" s="24" t="n"/>
      <c r="Q359" s="23">
        <f>IF($C359="","",N(M359)+N(N359))</f>
        <v/>
      </c>
      <c r="R359" s="23">
        <f>IF($C359="","",N(J359)+N(Q359))</f>
        <v/>
      </c>
      <c r="S359" s="25">
        <f>IF(OR($C359="",N($G359)=0),"",R359/$G359)</f>
        <v/>
      </c>
      <c r="T359" s="23">
        <f>IF($C359="","",N($G359)-N(R359))</f>
        <v/>
      </c>
      <c r="U359" s="24" t="n"/>
      <c r="V359" s="22" t="n"/>
    </row>
    <row r="360">
      <c r="B360" s="13">
        <f>IF($C360="","",COUNTA($C$9:$C360))</f>
        <v/>
      </c>
      <c r="C360" s="21" t="n"/>
      <c r="D360" s="14" t="n"/>
      <c r="E360" s="14" t="n"/>
      <c r="F360" s="14" t="n"/>
      <c r="G360" s="22" t="n"/>
      <c r="H360" s="22" t="n"/>
      <c r="I360" s="22" t="n"/>
      <c r="J360" s="22" t="n"/>
      <c r="K360" s="22" t="n"/>
      <c r="L360" s="22" t="n"/>
      <c r="M360" s="22" t="n"/>
      <c r="N360" s="22" t="n"/>
      <c r="O360" s="23">
        <f>IF($C360="","",N(L360)-N(M360))</f>
        <v/>
      </c>
      <c r="P360" s="24" t="n"/>
      <c r="Q360" s="23">
        <f>IF($C360="","",N(M360)+N(N360))</f>
        <v/>
      </c>
      <c r="R360" s="23">
        <f>IF($C360="","",N(J360)+N(Q360))</f>
        <v/>
      </c>
      <c r="S360" s="25">
        <f>IF(OR($C360="",N($G360)=0),"",R360/$G360)</f>
        <v/>
      </c>
      <c r="T360" s="23">
        <f>IF($C360="","",N($G360)-N(R360))</f>
        <v/>
      </c>
      <c r="U360" s="24" t="n"/>
      <c r="V360" s="22" t="n"/>
    </row>
    <row r="361">
      <c r="B361" s="13">
        <f>IF($C361="","",COUNTA($C$9:$C361))</f>
        <v/>
      </c>
      <c r="C361" s="21" t="n"/>
      <c r="D361" s="14" t="n"/>
      <c r="E361" s="14" t="n"/>
      <c r="F361" s="14" t="n"/>
      <c r="G361" s="22" t="n"/>
      <c r="H361" s="22" t="n"/>
      <c r="I361" s="22" t="n"/>
      <c r="J361" s="22" t="n"/>
      <c r="K361" s="22" t="n"/>
      <c r="L361" s="22" t="n"/>
      <c r="M361" s="22" t="n"/>
      <c r="N361" s="22" t="n"/>
      <c r="O361" s="23">
        <f>IF($C361="","",N(L361)-N(M361))</f>
        <v/>
      </c>
      <c r="P361" s="24" t="n"/>
      <c r="Q361" s="23">
        <f>IF($C361="","",N(M361)+N(N361))</f>
        <v/>
      </c>
      <c r="R361" s="23">
        <f>IF($C361="","",N(J361)+N(Q361))</f>
        <v/>
      </c>
      <c r="S361" s="25">
        <f>IF(OR($C361="",N($G361)=0),"",R361/$G361)</f>
        <v/>
      </c>
      <c r="T361" s="23">
        <f>IF($C361="","",N($G361)-N(R361))</f>
        <v/>
      </c>
      <c r="U361" s="24" t="n"/>
      <c r="V361" s="22" t="n"/>
    </row>
    <row r="362">
      <c r="B362" s="13">
        <f>IF($C362="","",COUNTA($C$9:$C362))</f>
        <v/>
      </c>
      <c r="C362" s="21" t="n"/>
      <c r="D362" s="14" t="n"/>
      <c r="E362" s="14" t="n"/>
      <c r="F362" s="14" t="n"/>
      <c r="G362" s="22" t="n"/>
      <c r="H362" s="22" t="n"/>
      <c r="I362" s="22" t="n"/>
      <c r="J362" s="22" t="n"/>
      <c r="K362" s="22" t="n"/>
      <c r="L362" s="22" t="n"/>
      <c r="M362" s="22" t="n"/>
      <c r="N362" s="22" t="n"/>
      <c r="O362" s="23">
        <f>IF($C362="","",N(L362)-N(M362))</f>
        <v/>
      </c>
      <c r="P362" s="24" t="n"/>
      <c r="Q362" s="23">
        <f>IF($C362="","",N(M362)+N(N362))</f>
        <v/>
      </c>
      <c r="R362" s="23">
        <f>IF($C362="","",N(J362)+N(Q362))</f>
        <v/>
      </c>
      <c r="S362" s="25">
        <f>IF(OR($C362="",N($G362)=0),"",R362/$G362)</f>
        <v/>
      </c>
      <c r="T362" s="23">
        <f>IF($C362="","",N($G362)-N(R362))</f>
        <v/>
      </c>
      <c r="U362" s="24" t="n"/>
      <c r="V362" s="22" t="n"/>
    </row>
    <row r="363">
      <c r="B363" s="13">
        <f>IF($C363="","",COUNTA($C$9:$C363))</f>
        <v/>
      </c>
      <c r="C363" s="21" t="n"/>
      <c r="D363" s="14" t="n"/>
      <c r="E363" s="14" t="n"/>
      <c r="F363" s="14" t="n"/>
      <c r="G363" s="22" t="n"/>
      <c r="H363" s="22" t="n"/>
      <c r="I363" s="22" t="n"/>
      <c r="J363" s="22" t="n"/>
      <c r="K363" s="22" t="n"/>
      <c r="L363" s="22" t="n"/>
      <c r="M363" s="22" t="n"/>
      <c r="N363" s="22" t="n"/>
      <c r="O363" s="23">
        <f>IF($C363="","",N(L363)-N(M363))</f>
        <v/>
      </c>
      <c r="P363" s="24" t="n"/>
      <c r="Q363" s="23">
        <f>IF($C363="","",N(M363)+N(N363))</f>
        <v/>
      </c>
      <c r="R363" s="23">
        <f>IF($C363="","",N(J363)+N(Q363))</f>
        <v/>
      </c>
      <c r="S363" s="25">
        <f>IF(OR($C363="",N($G363)=0),"",R363/$G363)</f>
        <v/>
      </c>
      <c r="T363" s="23">
        <f>IF($C363="","",N($G363)-N(R363))</f>
        <v/>
      </c>
      <c r="U363" s="24" t="n"/>
      <c r="V363" s="22" t="n"/>
    </row>
    <row r="364">
      <c r="B364" s="13">
        <f>IF($C364="","",COUNTA($C$9:$C364))</f>
        <v/>
      </c>
      <c r="C364" s="21" t="n"/>
      <c r="D364" s="14" t="n"/>
      <c r="E364" s="14" t="n"/>
      <c r="F364" s="14" t="n"/>
      <c r="G364" s="22" t="n"/>
      <c r="H364" s="22" t="n"/>
      <c r="I364" s="22" t="n"/>
      <c r="J364" s="22" t="n"/>
      <c r="K364" s="22" t="n"/>
      <c r="L364" s="22" t="n"/>
      <c r="M364" s="22" t="n"/>
      <c r="N364" s="22" t="n"/>
      <c r="O364" s="23">
        <f>IF($C364="","",N(L364)-N(M364))</f>
        <v/>
      </c>
      <c r="P364" s="24" t="n"/>
      <c r="Q364" s="23">
        <f>IF($C364="","",N(M364)+N(N364))</f>
        <v/>
      </c>
      <c r="R364" s="23">
        <f>IF($C364="","",N(J364)+N(Q364))</f>
        <v/>
      </c>
      <c r="S364" s="25">
        <f>IF(OR($C364="",N($G364)=0),"",R364/$G364)</f>
        <v/>
      </c>
      <c r="T364" s="23">
        <f>IF($C364="","",N($G364)-N(R364))</f>
        <v/>
      </c>
      <c r="U364" s="24" t="n"/>
      <c r="V364" s="22" t="n"/>
    </row>
    <row r="365">
      <c r="B365" s="13">
        <f>IF($C365="","",COUNTA($C$9:$C365))</f>
        <v/>
      </c>
      <c r="C365" s="21" t="n"/>
      <c r="D365" s="14" t="n"/>
      <c r="E365" s="14" t="n"/>
      <c r="F365" s="14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3">
        <f>IF($C365="","",N(L365)-N(M365))</f>
        <v/>
      </c>
      <c r="P365" s="24" t="n"/>
      <c r="Q365" s="23">
        <f>IF($C365="","",N(M365)+N(N365))</f>
        <v/>
      </c>
      <c r="R365" s="23">
        <f>IF($C365="","",N(J365)+N(Q365))</f>
        <v/>
      </c>
      <c r="S365" s="25">
        <f>IF(OR($C365="",N($G365)=0),"",R365/$G365)</f>
        <v/>
      </c>
      <c r="T365" s="23">
        <f>IF($C365="","",N($G365)-N(R365))</f>
        <v/>
      </c>
      <c r="U365" s="24" t="n"/>
      <c r="V365" s="22" t="n"/>
    </row>
    <row r="366">
      <c r="B366" s="13">
        <f>IF($C366="","",COUNTA($C$9:$C366))</f>
        <v/>
      </c>
      <c r="C366" s="21" t="n"/>
      <c r="D366" s="14" t="n"/>
      <c r="E366" s="14" t="n"/>
      <c r="F366" s="14" t="n"/>
      <c r="G366" s="22" t="n"/>
      <c r="H366" s="22" t="n"/>
      <c r="I366" s="22" t="n"/>
      <c r="J366" s="22" t="n"/>
      <c r="K366" s="22" t="n"/>
      <c r="L366" s="22" t="n"/>
      <c r="M366" s="22" t="n"/>
      <c r="N366" s="22" t="n"/>
      <c r="O366" s="23">
        <f>IF($C366="","",N(L366)-N(M366))</f>
        <v/>
      </c>
      <c r="P366" s="24" t="n"/>
      <c r="Q366" s="23">
        <f>IF($C366="","",N(M366)+N(N366))</f>
        <v/>
      </c>
      <c r="R366" s="23">
        <f>IF($C366="","",N(J366)+N(Q366))</f>
        <v/>
      </c>
      <c r="S366" s="25">
        <f>IF(OR($C366="",N($G366)=0),"",R366/$G366)</f>
        <v/>
      </c>
      <c r="T366" s="23">
        <f>IF($C366="","",N($G366)-N(R366))</f>
        <v/>
      </c>
      <c r="U366" s="24" t="n"/>
      <c r="V366" s="22" t="n"/>
    </row>
    <row r="367">
      <c r="B367" s="13">
        <f>IF($C367="","",COUNTA($C$9:$C367))</f>
        <v/>
      </c>
      <c r="C367" s="21" t="n"/>
      <c r="D367" s="14" t="n"/>
      <c r="E367" s="14" t="n"/>
      <c r="F367" s="14" t="n"/>
      <c r="G367" s="22" t="n"/>
      <c r="H367" s="22" t="n"/>
      <c r="I367" s="22" t="n"/>
      <c r="J367" s="22" t="n"/>
      <c r="K367" s="22" t="n"/>
      <c r="L367" s="22" t="n"/>
      <c r="M367" s="22" t="n"/>
      <c r="N367" s="22" t="n"/>
      <c r="O367" s="23">
        <f>IF($C367="","",N(L367)-N(M367))</f>
        <v/>
      </c>
      <c r="P367" s="24" t="n"/>
      <c r="Q367" s="23">
        <f>IF($C367="","",N(M367)+N(N367))</f>
        <v/>
      </c>
      <c r="R367" s="23">
        <f>IF($C367="","",N(J367)+N(Q367))</f>
        <v/>
      </c>
      <c r="S367" s="25">
        <f>IF(OR($C367="",N($G367)=0),"",R367/$G367)</f>
        <v/>
      </c>
      <c r="T367" s="23">
        <f>IF($C367="","",N($G367)-N(R367))</f>
        <v/>
      </c>
      <c r="U367" s="24" t="n"/>
      <c r="V367" s="22" t="n"/>
    </row>
    <row r="368">
      <c r="B368" s="13">
        <f>IF($C368="","",COUNTA($C$9:$C368))</f>
        <v/>
      </c>
      <c r="C368" s="21" t="n"/>
      <c r="D368" s="14" t="n"/>
      <c r="E368" s="14" t="n"/>
      <c r="F368" s="14" t="n"/>
      <c r="G368" s="22" t="n"/>
      <c r="H368" s="22" t="n"/>
      <c r="I368" s="22" t="n"/>
      <c r="J368" s="22" t="n"/>
      <c r="K368" s="22" t="n"/>
      <c r="L368" s="22" t="n"/>
      <c r="M368" s="22" t="n"/>
      <c r="N368" s="22" t="n"/>
      <c r="O368" s="23">
        <f>IF($C368="","",N(L368)-N(M368))</f>
        <v/>
      </c>
      <c r="P368" s="24" t="n"/>
      <c r="Q368" s="23">
        <f>IF($C368="","",N(M368)+N(N368))</f>
        <v/>
      </c>
      <c r="R368" s="23">
        <f>IF($C368="","",N(J368)+N(Q368))</f>
        <v/>
      </c>
      <c r="S368" s="25">
        <f>IF(OR($C368="",N($G368)=0),"",R368/$G368)</f>
        <v/>
      </c>
      <c r="T368" s="23">
        <f>IF($C368="","",N($G368)-N(R368))</f>
        <v/>
      </c>
      <c r="U368" s="24" t="n"/>
      <c r="V368" s="22" t="n"/>
    </row>
    <row r="369">
      <c r="B369" s="13">
        <f>IF($C369="","",COUNTA($C$9:$C369))</f>
        <v/>
      </c>
      <c r="C369" s="21" t="n"/>
      <c r="D369" s="14" t="n"/>
      <c r="E369" s="14" t="n"/>
      <c r="F369" s="14" t="n"/>
      <c r="G369" s="22" t="n"/>
      <c r="H369" s="22" t="n"/>
      <c r="I369" s="22" t="n"/>
      <c r="J369" s="22" t="n"/>
      <c r="K369" s="22" t="n"/>
      <c r="L369" s="22" t="n"/>
      <c r="M369" s="22" t="n"/>
      <c r="N369" s="22" t="n"/>
      <c r="O369" s="23">
        <f>IF($C369="","",N(L369)-N(M369))</f>
        <v/>
      </c>
      <c r="P369" s="24" t="n"/>
      <c r="Q369" s="23">
        <f>IF($C369="","",N(M369)+N(N369))</f>
        <v/>
      </c>
      <c r="R369" s="23">
        <f>IF($C369="","",N(J369)+N(Q369))</f>
        <v/>
      </c>
      <c r="S369" s="25">
        <f>IF(OR($C369="",N($G369)=0),"",R369/$G369)</f>
        <v/>
      </c>
      <c r="T369" s="23">
        <f>IF($C369="","",N($G369)-N(R369))</f>
        <v/>
      </c>
      <c r="U369" s="24" t="n"/>
      <c r="V369" s="22" t="n"/>
    </row>
    <row r="370">
      <c r="B370" s="13">
        <f>IF($C370="","",COUNTA($C$9:$C370))</f>
        <v/>
      </c>
      <c r="C370" s="21" t="n"/>
      <c r="D370" s="14" t="n"/>
      <c r="E370" s="14" t="n"/>
      <c r="F370" s="14" t="n"/>
      <c r="G370" s="22" t="n"/>
      <c r="H370" s="22" t="n"/>
      <c r="I370" s="22" t="n"/>
      <c r="J370" s="22" t="n"/>
      <c r="K370" s="22" t="n"/>
      <c r="L370" s="22" t="n"/>
      <c r="M370" s="22" t="n"/>
      <c r="N370" s="22" t="n"/>
      <c r="O370" s="23">
        <f>IF($C370="","",N(L370)-N(M370))</f>
        <v/>
      </c>
      <c r="P370" s="24" t="n"/>
      <c r="Q370" s="23">
        <f>IF($C370="","",N(M370)+N(N370))</f>
        <v/>
      </c>
      <c r="R370" s="23">
        <f>IF($C370="","",N(J370)+N(Q370))</f>
        <v/>
      </c>
      <c r="S370" s="25">
        <f>IF(OR($C370="",N($G370)=0),"",R370/$G370)</f>
        <v/>
      </c>
      <c r="T370" s="23">
        <f>IF($C370="","",N($G370)-N(R370))</f>
        <v/>
      </c>
      <c r="U370" s="24" t="n"/>
      <c r="V370" s="22" t="n"/>
    </row>
    <row r="371">
      <c r="B371" s="13">
        <f>IF($C371="","",COUNTA($C$9:$C371))</f>
        <v/>
      </c>
      <c r="C371" s="21" t="n"/>
      <c r="D371" s="14" t="n"/>
      <c r="E371" s="14" t="n"/>
      <c r="F371" s="14" t="n"/>
      <c r="G371" s="22" t="n"/>
      <c r="H371" s="22" t="n"/>
      <c r="I371" s="22" t="n"/>
      <c r="J371" s="22" t="n"/>
      <c r="K371" s="22" t="n"/>
      <c r="L371" s="22" t="n"/>
      <c r="M371" s="22" t="n"/>
      <c r="N371" s="22" t="n"/>
      <c r="O371" s="23">
        <f>IF($C371="","",N(L371)-N(M371))</f>
        <v/>
      </c>
      <c r="P371" s="24" t="n"/>
      <c r="Q371" s="23">
        <f>IF($C371="","",N(M371)+N(N371))</f>
        <v/>
      </c>
      <c r="R371" s="23">
        <f>IF($C371="","",N(J371)+N(Q371))</f>
        <v/>
      </c>
      <c r="S371" s="25">
        <f>IF(OR($C371="",N($G371)=0),"",R371/$G371)</f>
        <v/>
      </c>
      <c r="T371" s="23">
        <f>IF($C371="","",N($G371)-N(R371))</f>
        <v/>
      </c>
      <c r="U371" s="24" t="n"/>
      <c r="V371" s="22" t="n"/>
    </row>
    <row r="372">
      <c r="B372" s="13">
        <f>IF($C372="","",COUNTA($C$9:$C372))</f>
        <v/>
      </c>
      <c r="C372" s="21" t="n"/>
      <c r="D372" s="14" t="n"/>
      <c r="E372" s="14" t="n"/>
      <c r="F372" s="14" t="n"/>
      <c r="G372" s="22" t="n"/>
      <c r="H372" s="22" t="n"/>
      <c r="I372" s="22" t="n"/>
      <c r="J372" s="22" t="n"/>
      <c r="K372" s="22" t="n"/>
      <c r="L372" s="22" t="n"/>
      <c r="M372" s="22" t="n"/>
      <c r="N372" s="22" t="n"/>
      <c r="O372" s="23">
        <f>IF($C372="","",N(L372)-N(M372))</f>
        <v/>
      </c>
      <c r="P372" s="24" t="n"/>
      <c r="Q372" s="23">
        <f>IF($C372="","",N(M372)+N(N372))</f>
        <v/>
      </c>
      <c r="R372" s="23">
        <f>IF($C372="","",N(J372)+N(Q372))</f>
        <v/>
      </c>
      <c r="S372" s="25">
        <f>IF(OR($C372="",N($G372)=0),"",R372/$G372)</f>
        <v/>
      </c>
      <c r="T372" s="23">
        <f>IF($C372="","",N($G372)-N(R372))</f>
        <v/>
      </c>
      <c r="U372" s="24" t="n"/>
      <c r="V372" s="22" t="n"/>
    </row>
    <row r="373">
      <c r="B373" s="13">
        <f>IF($C373="","",COUNTA($C$9:$C373))</f>
        <v/>
      </c>
      <c r="C373" s="21" t="n"/>
      <c r="D373" s="14" t="n"/>
      <c r="E373" s="14" t="n"/>
      <c r="F373" s="14" t="n"/>
      <c r="G373" s="22" t="n"/>
      <c r="H373" s="22" t="n"/>
      <c r="I373" s="22" t="n"/>
      <c r="J373" s="22" t="n"/>
      <c r="K373" s="22" t="n"/>
      <c r="L373" s="22" t="n"/>
      <c r="M373" s="22" t="n"/>
      <c r="N373" s="22" t="n"/>
      <c r="O373" s="23">
        <f>IF($C373="","",N(L373)-N(M373))</f>
        <v/>
      </c>
      <c r="P373" s="24" t="n"/>
      <c r="Q373" s="23">
        <f>IF($C373="","",N(M373)+N(N373))</f>
        <v/>
      </c>
      <c r="R373" s="23">
        <f>IF($C373="","",N(J373)+N(Q373))</f>
        <v/>
      </c>
      <c r="S373" s="25">
        <f>IF(OR($C373="",N($G373)=0),"",R373/$G373)</f>
        <v/>
      </c>
      <c r="T373" s="23">
        <f>IF($C373="","",N($G373)-N(R373))</f>
        <v/>
      </c>
      <c r="U373" s="24" t="n"/>
      <c r="V373" s="22" t="n"/>
    </row>
    <row r="374">
      <c r="B374" s="13">
        <f>IF($C374="","",COUNTA($C$9:$C374))</f>
        <v/>
      </c>
      <c r="C374" s="21" t="n"/>
      <c r="D374" s="14" t="n"/>
      <c r="E374" s="14" t="n"/>
      <c r="F374" s="14" t="n"/>
      <c r="G374" s="22" t="n"/>
      <c r="H374" s="22" t="n"/>
      <c r="I374" s="22" t="n"/>
      <c r="J374" s="22" t="n"/>
      <c r="K374" s="22" t="n"/>
      <c r="L374" s="22" t="n"/>
      <c r="M374" s="22" t="n"/>
      <c r="N374" s="22" t="n"/>
      <c r="O374" s="23">
        <f>IF($C374="","",N(L374)-N(M374))</f>
        <v/>
      </c>
      <c r="P374" s="24" t="n"/>
      <c r="Q374" s="23">
        <f>IF($C374="","",N(M374)+N(N374))</f>
        <v/>
      </c>
      <c r="R374" s="23">
        <f>IF($C374="","",N(J374)+N(Q374))</f>
        <v/>
      </c>
      <c r="S374" s="25">
        <f>IF(OR($C374="",N($G374)=0),"",R374/$G374)</f>
        <v/>
      </c>
      <c r="T374" s="23">
        <f>IF($C374="","",N($G374)-N(R374))</f>
        <v/>
      </c>
      <c r="U374" s="24" t="n"/>
      <c r="V374" s="22" t="n"/>
    </row>
    <row r="375">
      <c r="B375" s="13">
        <f>IF($C375="","",COUNTA($C$9:$C375))</f>
        <v/>
      </c>
      <c r="C375" s="21" t="n"/>
      <c r="D375" s="14" t="n"/>
      <c r="E375" s="14" t="n"/>
      <c r="F375" s="14" t="n"/>
      <c r="G375" s="22" t="n"/>
      <c r="H375" s="22" t="n"/>
      <c r="I375" s="22" t="n"/>
      <c r="J375" s="22" t="n"/>
      <c r="K375" s="22" t="n"/>
      <c r="L375" s="22" t="n"/>
      <c r="M375" s="22" t="n"/>
      <c r="N375" s="22" t="n"/>
      <c r="O375" s="23">
        <f>IF($C375="","",N(L375)-N(M375))</f>
        <v/>
      </c>
      <c r="P375" s="24" t="n"/>
      <c r="Q375" s="23">
        <f>IF($C375="","",N(M375)+N(N375))</f>
        <v/>
      </c>
      <c r="R375" s="23">
        <f>IF($C375="","",N(J375)+N(Q375))</f>
        <v/>
      </c>
      <c r="S375" s="25">
        <f>IF(OR($C375="",N($G375)=0),"",R375/$G375)</f>
        <v/>
      </c>
      <c r="T375" s="23">
        <f>IF($C375="","",N($G375)-N(R375))</f>
        <v/>
      </c>
      <c r="U375" s="24" t="n"/>
      <c r="V375" s="22" t="n"/>
    </row>
    <row r="376">
      <c r="B376" s="13">
        <f>IF($C376="","",COUNTA($C$9:$C376))</f>
        <v/>
      </c>
      <c r="C376" s="21" t="n"/>
      <c r="D376" s="14" t="n"/>
      <c r="E376" s="14" t="n"/>
      <c r="F376" s="14" t="n"/>
      <c r="G376" s="22" t="n"/>
      <c r="H376" s="22" t="n"/>
      <c r="I376" s="22" t="n"/>
      <c r="J376" s="22" t="n"/>
      <c r="K376" s="22" t="n"/>
      <c r="L376" s="22" t="n"/>
      <c r="M376" s="22" t="n"/>
      <c r="N376" s="22" t="n"/>
      <c r="O376" s="23">
        <f>IF($C376="","",N(L376)-N(M376))</f>
        <v/>
      </c>
      <c r="P376" s="24" t="n"/>
      <c r="Q376" s="23">
        <f>IF($C376="","",N(M376)+N(N376))</f>
        <v/>
      </c>
      <c r="R376" s="23">
        <f>IF($C376="","",N(J376)+N(Q376))</f>
        <v/>
      </c>
      <c r="S376" s="25">
        <f>IF(OR($C376="",N($G376)=0),"",R376/$G376)</f>
        <v/>
      </c>
      <c r="T376" s="23">
        <f>IF($C376="","",N($G376)-N(R376))</f>
        <v/>
      </c>
      <c r="U376" s="24" t="n"/>
      <c r="V376" s="22" t="n"/>
    </row>
    <row r="377">
      <c r="B377" s="13">
        <f>IF($C377="","",COUNTA($C$9:$C377))</f>
        <v/>
      </c>
      <c r="C377" s="21" t="n"/>
      <c r="D377" s="14" t="n"/>
      <c r="E377" s="14" t="n"/>
      <c r="F377" s="14" t="n"/>
      <c r="G377" s="22" t="n"/>
      <c r="H377" s="22" t="n"/>
      <c r="I377" s="22" t="n"/>
      <c r="J377" s="22" t="n"/>
      <c r="K377" s="22" t="n"/>
      <c r="L377" s="22" t="n"/>
      <c r="M377" s="22" t="n"/>
      <c r="N377" s="22" t="n"/>
      <c r="O377" s="23">
        <f>IF($C377="","",N(L377)-N(M377))</f>
        <v/>
      </c>
      <c r="P377" s="24" t="n"/>
      <c r="Q377" s="23">
        <f>IF($C377="","",N(M377)+N(N377))</f>
        <v/>
      </c>
      <c r="R377" s="23">
        <f>IF($C377="","",N(J377)+N(Q377))</f>
        <v/>
      </c>
      <c r="S377" s="25">
        <f>IF(OR($C377="",N($G377)=0),"",R377/$G377)</f>
        <v/>
      </c>
      <c r="T377" s="23">
        <f>IF($C377="","",N($G377)-N(R377))</f>
        <v/>
      </c>
      <c r="U377" s="24" t="n"/>
      <c r="V377" s="22" t="n"/>
    </row>
    <row r="378">
      <c r="B378" s="13">
        <f>IF($C378="","",COUNTA($C$9:$C378))</f>
        <v/>
      </c>
      <c r="C378" s="21" t="n"/>
      <c r="D378" s="14" t="n"/>
      <c r="E378" s="14" t="n"/>
      <c r="F378" s="14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3">
        <f>IF($C378="","",N(L378)-N(M378))</f>
        <v/>
      </c>
      <c r="P378" s="24" t="n"/>
      <c r="Q378" s="23">
        <f>IF($C378="","",N(M378)+N(N378))</f>
        <v/>
      </c>
      <c r="R378" s="23">
        <f>IF($C378="","",N(J378)+N(Q378))</f>
        <v/>
      </c>
      <c r="S378" s="25">
        <f>IF(OR($C378="",N($G378)=0),"",R378/$G378)</f>
        <v/>
      </c>
      <c r="T378" s="23">
        <f>IF($C378="","",N($G378)-N(R378))</f>
        <v/>
      </c>
      <c r="U378" s="24" t="n"/>
      <c r="V378" s="22" t="n"/>
    </row>
    <row r="379">
      <c r="B379" s="13">
        <f>IF($C379="","",COUNTA($C$9:$C379))</f>
        <v/>
      </c>
      <c r="C379" s="21" t="n"/>
      <c r="D379" s="14" t="n"/>
      <c r="E379" s="14" t="n"/>
      <c r="F379" s="14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3">
        <f>IF($C379="","",N(L379)-N(M379))</f>
        <v/>
      </c>
      <c r="P379" s="24" t="n"/>
      <c r="Q379" s="23">
        <f>IF($C379="","",N(M379)+N(N379))</f>
        <v/>
      </c>
      <c r="R379" s="23">
        <f>IF($C379="","",N(J379)+N(Q379))</f>
        <v/>
      </c>
      <c r="S379" s="25">
        <f>IF(OR($C379="",N($G379)=0),"",R379/$G379)</f>
        <v/>
      </c>
      <c r="T379" s="23">
        <f>IF($C379="","",N($G379)-N(R379))</f>
        <v/>
      </c>
      <c r="U379" s="24" t="n"/>
      <c r="V379" s="22" t="n"/>
    </row>
    <row r="380">
      <c r="B380" s="13">
        <f>IF($C380="","",COUNTA($C$9:$C380))</f>
        <v/>
      </c>
      <c r="C380" s="21" t="n"/>
      <c r="D380" s="14" t="n"/>
      <c r="E380" s="14" t="n"/>
      <c r="F380" s="14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3">
        <f>IF($C380="","",N(L380)-N(M380))</f>
        <v/>
      </c>
      <c r="P380" s="24" t="n"/>
      <c r="Q380" s="23">
        <f>IF($C380="","",N(M380)+N(N380))</f>
        <v/>
      </c>
      <c r="R380" s="23">
        <f>IF($C380="","",N(J380)+N(Q380))</f>
        <v/>
      </c>
      <c r="S380" s="25">
        <f>IF(OR($C380="",N($G380)=0),"",R380/$G380)</f>
        <v/>
      </c>
      <c r="T380" s="23">
        <f>IF($C380="","",N($G380)-N(R380))</f>
        <v/>
      </c>
      <c r="U380" s="24" t="n"/>
      <c r="V380" s="22" t="n"/>
    </row>
    <row r="381">
      <c r="B381" s="13">
        <f>IF($C381="","",COUNTA($C$9:$C381))</f>
        <v/>
      </c>
      <c r="C381" s="21" t="n"/>
      <c r="D381" s="14" t="n"/>
      <c r="E381" s="14" t="n"/>
      <c r="F381" s="14" t="n"/>
      <c r="G381" s="22" t="n"/>
      <c r="H381" s="22" t="n"/>
      <c r="I381" s="22" t="n"/>
      <c r="J381" s="22" t="n"/>
      <c r="K381" s="22" t="n"/>
      <c r="L381" s="22" t="n"/>
      <c r="M381" s="22" t="n"/>
      <c r="N381" s="22" t="n"/>
      <c r="O381" s="23">
        <f>IF($C381="","",N(L381)-N(M381))</f>
        <v/>
      </c>
      <c r="P381" s="24" t="n"/>
      <c r="Q381" s="23">
        <f>IF($C381="","",N(M381)+N(N381))</f>
        <v/>
      </c>
      <c r="R381" s="23">
        <f>IF($C381="","",N(J381)+N(Q381))</f>
        <v/>
      </c>
      <c r="S381" s="25">
        <f>IF(OR($C381="",N($G381)=0),"",R381/$G381)</f>
        <v/>
      </c>
      <c r="T381" s="23">
        <f>IF($C381="","",N($G381)-N(R381))</f>
        <v/>
      </c>
      <c r="U381" s="24" t="n"/>
      <c r="V381" s="22" t="n"/>
    </row>
    <row r="382">
      <c r="B382" s="13">
        <f>IF($C382="","",COUNTA($C$9:$C382))</f>
        <v/>
      </c>
      <c r="C382" s="21" t="n"/>
      <c r="D382" s="14" t="n"/>
      <c r="E382" s="14" t="n"/>
      <c r="F382" s="14" t="n"/>
      <c r="G382" s="22" t="n"/>
      <c r="H382" s="22" t="n"/>
      <c r="I382" s="22" t="n"/>
      <c r="J382" s="22" t="n"/>
      <c r="K382" s="22" t="n"/>
      <c r="L382" s="22" t="n"/>
      <c r="M382" s="22" t="n"/>
      <c r="N382" s="22" t="n"/>
      <c r="O382" s="23">
        <f>IF($C382="","",N(L382)-N(M382))</f>
        <v/>
      </c>
      <c r="P382" s="24" t="n"/>
      <c r="Q382" s="23">
        <f>IF($C382="","",N(M382)+N(N382))</f>
        <v/>
      </c>
      <c r="R382" s="23">
        <f>IF($C382="","",N(J382)+N(Q382))</f>
        <v/>
      </c>
      <c r="S382" s="25">
        <f>IF(OR($C382="",N($G382)=0),"",R382/$G382)</f>
        <v/>
      </c>
      <c r="T382" s="23">
        <f>IF($C382="","",N($G382)-N(R382))</f>
        <v/>
      </c>
      <c r="U382" s="24" t="n"/>
      <c r="V382" s="22" t="n"/>
    </row>
    <row r="383">
      <c r="B383" s="13">
        <f>IF($C383="","",COUNTA($C$9:$C383))</f>
        <v/>
      </c>
      <c r="C383" s="21" t="n"/>
      <c r="D383" s="14" t="n"/>
      <c r="E383" s="14" t="n"/>
      <c r="F383" s="14" t="n"/>
      <c r="G383" s="22" t="n"/>
      <c r="H383" s="22" t="n"/>
      <c r="I383" s="22" t="n"/>
      <c r="J383" s="22" t="n"/>
      <c r="K383" s="22" t="n"/>
      <c r="L383" s="22" t="n"/>
      <c r="M383" s="22" t="n"/>
      <c r="N383" s="22" t="n"/>
      <c r="O383" s="23">
        <f>IF($C383="","",N(L383)-N(M383))</f>
        <v/>
      </c>
      <c r="P383" s="24" t="n"/>
      <c r="Q383" s="23">
        <f>IF($C383="","",N(M383)+N(N383))</f>
        <v/>
      </c>
      <c r="R383" s="23">
        <f>IF($C383="","",N(J383)+N(Q383))</f>
        <v/>
      </c>
      <c r="S383" s="25">
        <f>IF(OR($C383="",N($G383)=0),"",R383/$G383)</f>
        <v/>
      </c>
      <c r="T383" s="23">
        <f>IF($C383="","",N($G383)-N(R383))</f>
        <v/>
      </c>
      <c r="U383" s="24" t="n"/>
      <c r="V383" s="22" t="n"/>
    </row>
    <row r="384">
      <c r="B384" s="13">
        <f>IF($C384="","",COUNTA($C$9:$C384))</f>
        <v/>
      </c>
      <c r="C384" s="21" t="n"/>
      <c r="D384" s="14" t="n"/>
      <c r="E384" s="14" t="n"/>
      <c r="F384" s="14" t="n"/>
      <c r="G384" s="22" t="n"/>
      <c r="H384" s="22" t="n"/>
      <c r="I384" s="22" t="n"/>
      <c r="J384" s="22" t="n"/>
      <c r="K384" s="22" t="n"/>
      <c r="L384" s="22" t="n"/>
      <c r="M384" s="22" t="n"/>
      <c r="N384" s="22" t="n"/>
      <c r="O384" s="23">
        <f>IF($C384="","",N(L384)-N(M384))</f>
        <v/>
      </c>
      <c r="P384" s="24" t="n"/>
      <c r="Q384" s="23">
        <f>IF($C384="","",N(M384)+N(N384))</f>
        <v/>
      </c>
      <c r="R384" s="23">
        <f>IF($C384="","",N(J384)+N(Q384))</f>
        <v/>
      </c>
      <c r="S384" s="25">
        <f>IF(OR($C384="",N($G384)=0),"",R384/$G384)</f>
        <v/>
      </c>
      <c r="T384" s="23">
        <f>IF($C384="","",N($G384)-N(R384))</f>
        <v/>
      </c>
      <c r="U384" s="24" t="n"/>
      <c r="V384" s="22" t="n"/>
    </row>
    <row r="385">
      <c r="B385" s="13">
        <f>IF($C385="","",COUNTA($C$9:$C385))</f>
        <v/>
      </c>
      <c r="C385" s="21" t="n"/>
      <c r="D385" s="14" t="n"/>
      <c r="E385" s="14" t="n"/>
      <c r="F385" s="14" t="n"/>
      <c r="G385" s="22" t="n"/>
      <c r="H385" s="22" t="n"/>
      <c r="I385" s="22" t="n"/>
      <c r="J385" s="22" t="n"/>
      <c r="K385" s="22" t="n"/>
      <c r="L385" s="22" t="n"/>
      <c r="M385" s="22" t="n"/>
      <c r="N385" s="22" t="n"/>
      <c r="O385" s="23">
        <f>IF($C385="","",N(L385)-N(M385))</f>
        <v/>
      </c>
      <c r="P385" s="24" t="n"/>
      <c r="Q385" s="23">
        <f>IF($C385="","",N(M385)+N(N385))</f>
        <v/>
      </c>
      <c r="R385" s="23">
        <f>IF($C385="","",N(J385)+N(Q385))</f>
        <v/>
      </c>
      <c r="S385" s="25">
        <f>IF(OR($C385="",N($G385)=0),"",R385/$G385)</f>
        <v/>
      </c>
      <c r="T385" s="23">
        <f>IF($C385="","",N($G385)-N(R385))</f>
        <v/>
      </c>
      <c r="U385" s="24" t="n"/>
      <c r="V385" s="22" t="n"/>
    </row>
    <row r="386">
      <c r="B386" s="13">
        <f>IF($C386="","",COUNTA($C$9:$C386))</f>
        <v/>
      </c>
      <c r="C386" s="21" t="n"/>
      <c r="D386" s="14" t="n"/>
      <c r="E386" s="14" t="n"/>
      <c r="F386" s="14" t="n"/>
      <c r="G386" s="22" t="n"/>
      <c r="H386" s="22" t="n"/>
      <c r="I386" s="22" t="n"/>
      <c r="J386" s="22" t="n"/>
      <c r="K386" s="22" t="n"/>
      <c r="L386" s="22" t="n"/>
      <c r="M386" s="22" t="n"/>
      <c r="N386" s="22" t="n"/>
      <c r="O386" s="23">
        <f>IF($C386="","",N(L386)-N(M386))</f>
        <v/>
      </c>
      <c r="P386" s="24" t="n"/>
      <c r="Q386" s="23">
        <f>IF($C386="","",N(M386)+N(N386))</f>
        <v/>
      </c>
      <c r="R386" s="23">
        <f>IF($C386="","",N(J386)+N(Q386))</f>
        <v/>
      </c>
      <c r="S386" s="25">
        <f>IF(OR($C386="",N($G386)=0),"",R386/$G386)</f>
        <v/>
      </c>
      <c r="T386" s="23">
        <f>IF($C386="","",N($G386)-N(R386))</f>
        <v/>
      </c>
      <c r="U386" s="24" t="n"/>
      <c r="V386" s="22" t="n"/>
    </row>
    <row r="387">
      <c r="B387" s="13">
        <f>IF($C387="","",COUNTA($C$9:$C387))</f>
        <v/>
      </c>
      <c r="C387" s="21" t="n"/>
      <c r="D387" s="14" t="n"/>
      <c r="E387" s="14" t="n"/>
      <c r="F387" s="14" t="n"/>
      <c r="G387" s="22" t="n"/>
      <c r="H387" s="22" t="n"/>
      <c r="I387" s="22" t="n"/>
      <c r="J387" s="22" t="n"/>
      <c r="K387" s="22" t="n"/>
      <c r="L387" s="22" t="n"/>
      <c r="M387" s="22" t="n"/>
      <c r="N387" s="22" t="n"/>
      <c r="O387" s="23">
        <f>IF($C387="","",N(L387)-N(M387))</f>
        <v/>
      </c>
      <c r="P387" s="24" t="n"/>
      <c r="Q387" s="23">
        <f>IF($C387="","",N(M387)+N(N387))</f>
        <v/>
      </c>
      <c r="R387" s="23">
        <f>IF($C387="","",N(J387)+N(Q387))</f>
        <v/>
      </c>
      <c r="S387" s="25">
        <f>IF(OR($C387="",N($G387)=0),"",R387/$G387)</f>
        <v/>
      </c>
      <c r="T387" s="23">
        <f>IF($C387="","",N($G387)-N(R387))</f>
        <v/>
      </c>
      <c r="U387" s="24" t="n"/>
      <c r="V387" s="22" t="n"/>
    </row>
    <row r="388">
      <c r="B388" s="13">
        <f>IF($C388="","",COUNTA($C$9:$C388))</f>
        <v/>
      </c>
      <c r="C388" s="21" t="n"/>
      <c r="D388" s="14" t="n"/>
      <c r="E388" s="14" t="n"/>
      <c r="F388" s="14" t="n"/>
      <c r="G388" s="22" t="n"/>
      <c r="H388" s="22" t="n"/>
      <c r="I388" s="22" t="n"/>
      <c r="J388" s="22" t="n"/>
      <c r="K388" s="22" t="n"/>
      <c r="L388" s="22" t="n"/>
      <c r="M388" s="22" t="n"/>
      <c r="N388" s="22" t="n"/>
      <c r="O388" s="23">
        <f>IF($C388="","",N(L388)-N(M388))</f>
        <v/>
      </c>
      <c r="P388" s="24" t="n"/>
      <c r="Q388" s="23">
        <f>IF($C388="","",N(M388)+N(N388))</f>
        <v/>
      </c>
      <c r="R388" s="23">
        <f>IF($C388="","",N(J388)+N(Q388))</f>
        <v/>
      </c>
      <c r="S388" s="25">
        <f>IF(OR($C388="",N($G388)=0),"",R388/$G388)</f>
        <v/>
      </c>
      <c r="T388" s="23">
        <f>IF($C388="","",N($G388)-N(R388))</f>
        <v/>
      </c>
      <c r="U388" s="24" t="n"/>
      <c r="V388" s="22" t="n"/>
    </row>
    <row r="389">
      <c r="B389" s="13">
        <f>IF($C389="","",COUNTA($C$9:$C389))</f>
        <v/>
      </c>
      <c r="C389" s="21" t="n"/>
      <c r="D389" s="14" t="n"/>
      <c r="E389" s="14" t="n"/>
      <c r="F389" s="14" t="n"/>
      <c r="G389" s="22" t="n"/>
      <c r="H389" s="22" t="n"/>
      <c r="I389" s="22" t="n"/>
      <c r="J389" s="22" t="n"/>
      <c r="K389" s="22" t="n"/>
      <c r="L389" s="22" t="n"/>
      <c r="M389" s="22" t="n"/>
      <c r="N389" s="22" t="n"/>
      <c r="O389" s="23">
        <f>IF($C389="","",N(L389)-N(M389))</f>
        <v/>
      </c>
      <c r="P389" s="24" t="n"/>
      <c r="Q389" s="23">
        <f>IF($C389="","",N(M389)+N(N389))</f>
        <v/>
      </c>
      <c r="R389" s="23">
        <f>IF($C389="","",N(J389)+N(Q389))</f>
        <v/>
      </c>
      <c r="S389" s="25">
        <f>IF(OR($C389="",N($G389)=0),"",R389/$G389)</f>
        <v/>
      </c>
      <c r="T389" s="23">
        <f>IF($C389="","",N($G389)-N(R389))</f>
        <v/>
      </c>
      <c r="U389" s="24" t="n"/>
      <c r="V389" s="22" t="n"/>
    </row>
    <row r="390">
      <c r="B390" s="13">
        <f>IF($C390="","",COUNTA($C$9:$C390))</f>
        <v/>
      </c>
      <c r="C390" s="21" t="n"/>
      <c r="D390" s="14" t="n"/>
      <c r="E390" s="14" t="n"/>
      <c r="F390" s="14" t="n"/>
      <c r="G390" s="22" t="n"/>
      <c r="H390" s="22" t="n"/>
      <c r="I390" s="22" t="n"/>
      <c r="J390" s="22" t="n"/>
      <c r="K390" s="22" t="n"/>
      <c r="L390" s="22" t="n"/>
      <c r="M390" s="22" t="n"/>
      <c r="N390" s="22" t="n"/>
      <c r="O390" s="23">
        <f>IF($C390="","",N(L390)-N(M390))</f>
        <v/>
      </c>
      <c r="P390" s="24" t="n"/>
      <c r="Q390" s="23">
        <f>IF($C390="","",N(M390)+N(N390))</f>
        <v/>
      </c>
      <c r="R390" s="23">
        <f>IF($C390="","",N(J390)+N(Q390))</f>
        <v/>
      </c>
      <c r="S390" s="25">
        <f>IF(OR($C390="",N($G390)=0),"",R390/$G390)</f>
        <v/>
      </c>
      <c r="T390" s="23">
        <f>IF($C390="","",N($G390)-N(R390))</f>
        <v/>
      </c>
      <c r="U390" s="24" t="n"/>
      <c r="V390" s="22" t="n"/>
    </row>
    <row r="391">
      <c r="B391" s="13">
        <f>IF($C391="","",COUNTA($C$9:$C391))</f>
        <v/>
      </c>
      <c r="C391" s="21" t="n"/>
      <c r="D391" s="14" t="n"/>
      <c r="E391" s="14" t="n"/>
      <c r="F391" s="14" t="n"/>
      <c r="G391" s="22" t="n"/>
      <c r="H391" s="22" t="n"/>
      <c r="I391" s="22" t="n"/>
      <c r="J391" s="22" t="n"/>
      <c r="K391" s="22" t="n"/>
      <c r="L391" s="22" t="n"/>
      <c r="M391" s="22" t="n"/>
      <c r="N391" s="22" t="n"/>
      <c r="O391" s="23">
        <f>IF($C391="","",N(L391)-N(M391))</f>
        <v/>
      </c>
      <c r="P391" s="24" t="n"/>
      <c r="Q391" s="23">
        <f>IF($C391="","",N(M391)+N(N391))</f>
        <v/>
      </c>
      <c r="R391" s="23">
        <f>IF($C391="","",N(J391)+N(Q391))</f>
        <v/>
      </c>
      <c r="S391" s="25">
        <f>IF(OR($C391="",N($G391)=0),"",R391/$G391)</f>
        <v/>
      </c>
      <c r="T391" s="23">
        <f>IF($C391="","",N($G391)-N(R391))</f>
        <v/>
      </c>
      <c r="U391" s="24" t="n"/>
      <c r="V391" s="22" t="n"/>
    </row>
    <row r="392">
      <c r="B392" s="13">
        <f>IF($C392="","",COUNTA($C$9:$C392))</f>
        <v/>
      </c>
      <c r="C392" s="21" t="n"/>
      <c r="D392" s="14" t="n"/>
      <c r="E392" s="14" t="n"/>
      <c r="F392" s="14" t="n"/>
      <c r="G392" s="22" t="n"/>
      <c r="H392" s="22" t="n"/>
      <c r="I392" s="22" t="n"/>
      <c r="J392" s="22" t="n"/>
      <c r="K392" s="22" t="n"/>
      <c r="L392" s="22" t="n"/>
      <c r="M392" s="22" t="n"/>
      <c r="N392" s="22" t="n"/>
      <c r="O392" s="23">
        <f>IF($C392="","",N(L392)-N(M392))</f>
        <v/>
      </c>
      <c r="P392" s="24" t="n"/>
      <c r="Q392" s="23">
        <f>IF($C392="","",N(M392)+N(N392))</f>
        <v/>
      </c>
      <c r="R392" s="23">
        <f>IF($C392="","",N(J392)+N(Q392))</f>
        <v/>
      </c>
      <c r="S392" s="25">
        <f>IF(OR($C392="",N($G392)=0),"",R392/$G392)</f>
        <v/>
      </c>
      <c r="T392" s="23">
        <f>IF($C392="","",N($G392)-N(R392))</f>
        <v/>
      </c>
      <c r="U392" s="24" t="n"/>
      <c r="V392" s="22" t="n"/>
    </row>
    <row r="393">
      <c r="B393" s="13">
        <f>IF($C393="","",COUNTA($C$9:$C393))</f>
        <v/>
      </c>
      <c r="C393" s="21" t="n"/>
      <c r="D393" s="14" t="n"/>
      <c r="E393" s="14" t="n"/>
      <c r="F393" s="14" t="n"/>
      <c r="G393" s="22" t="n"/>
      <c r="H393" s="22" t="n"/>
      <c r="I393" s="22" t="n"/>
      <c r="J393" s="22" t="n"/>
      <c r="K393" s="22" t="n"/>
      <c r="L393" s="22" t="n"/>
      <c r="M393" s="22" t="n"/>
      <c r="N393" s="22" t="n"/>
      <c r="O393" s="23">
        <f>IF($C393="","",N(L393)-N(M393))</f>
        <v/>
      </c>
      <c r="P393" s="24" t="n"/>
      <c r="Q393" s="23">
        <f>IF($C393="","",N(M393)+N(N393))</f>
        <v/>
      </c>
      <c r="R393" s="23">
        <f>IF($C393="","",N(J393)+N(Q393))</f>
        <v/>
      </c>
      <c r="S393" s="25">
        <f>IF(OR($C393="",N($G393)=0),"",R393/$G393)</f>
        <v/>
      </c>
      <c r="T393" s="23">
        <f>IF($C393="","",N($G393)-N(R393))</f>
        <v/>
      </c>
      <c r="U393" s="24" t="n"/>
      <c r="V393" s="22" t="n"/>
    </row>
    <row r="394">
      <c r="B394" s="13">
        <f>IF($C394="","",COUNTA($C$9:$C394))</f>
        <v/>
      </c>
      <c r="C394" s="21" t="n"/>
      <c r="D394" s="14" t="n"/>
      <c r="E394" s="14" t="n"/>
      <c r="F394" s="14" t="n"/>
      <c r="G394" s="22" t="n"/>
      <c r="H394" s="22" t="n"/>
      <c r="I394" s="22" t="n"/>
      <c r="J394" s="22" t="n"/>
      <c r="K394" s="22" t="n"/>
      <c r="L394" s="22" t="n"/>
      <c r="M394" s="22" t="n"/>
      <c r="N394" s="22" t="n"/>
      <c r="O394" s="23">
        <f>IF($C394="","",N(L394)-N(M394))</f>
        <v/>
      </c>
      <c r="P394" s="24" t="n"/>
      <c r="Q394" s="23">
        <f>IF($C394="","",N(M394)+N(N394))</f>
        <v/>
      </c>
      <c r="R394" s="23">
        <f>IF($C394="","",N(J394)+N(Q394))</f>
        <v/>
      </c>
      <c r="S394" s="25">
        <f>IF(OR($C394="",N($G394)=0),"",R394/$G394)</f>
        <v/>
      </c>
      <c r="T394" s="23">
        <f>IF($C394="","",N($G394)-N(R394))</f>
        <v/>
      </c>
      <c r="U394" s="24" t="n"/>
      <c r="V394" s="22" t="n"/>
    </row>
    <row r="395">
      <c r="B395" s="13">
        <f>IF($C395="","",COUNTA($C$9:$C395))</f>
        <v/>
      </c>
      <c r="C395" s="21" t="n"/>
      <c r="D395" s="14" t="n"/>
      <c r="E395" s="14" t="n"/>
      <c r="F395" s="14" t="n"/>
      <c r="G395" s="22" t="n"/>
      <c r="H395" s="22" t="n"/>
      <c r="I395" s="22" t="n"/>
      <c r="J395" s="22" t="n"/>
      <c r="K395" s="22" t="n"/>
      <c r="L395" s="22" t="n"/>
      <c r="M395" s="22" t="n"/>
      <c r="N395" s="22" t="n"/>
      <c r="O395" s="23">
        <f>IF($C395="","",N(L395)-N(M395))</f>
        <v/>
      </c>
      <c r="P395" s="24" t="n"/>
      <c r="Q395" s="23">
        <f>IF($C395="","",N(M395)+N(N395))</f>
        <v/>
      </c>
      <c r="R395" s="23">
        <f>IF($C395="","",N(J395)+N(Q395))</f>
        <v/>
      </c>
      <c r="S395" s="25">
        <f>IF(OR($C395="",N($G395)=0),"",R395/$G395)</f>
        <v/>
      </c>
      <c r="T395" s="23">
        <f>IF($C395="","",N($G395)-N(R395))</f>
        <v/>
      </c>
      <c r="U395" s="24" t="n"/>
      <c r="V395" s="22" t="n"/>
    </row>
    <row r="396">
      <c r="B396" s="13">
        <f>IF($C396="","",COUNTA($C$9:$C396))</f>
        <v/>
      </c>
      <c r="C396" s="21" t="n"/>
      <c r="D396" s="14" t="n"/>
      <c r="E396" s="14" t="n"/>
      <c r="F396" s="14" t="n"/>
      <c r="G396" s="22" t="n"/>
      <c r="H396" s="22" t="n"/>
      <c r="I396" s="22" t="n"/>
      <c r="J396" s="22" t="n"/>
      <c r="K396" s="22" t="n"/>
      <c r="L396" s="22" t="n"/>
      <c r="M396" s="22" t="n"/>
      <c r="N396" s="22" t="n"/>
      <c r="O396" s="23">
        <f>IF($C396="","",N(L396)-N(M396))</f>
        <v/>
      </c>
      <c r="P396" s="24" t="n"/>
      <c r="Q396" s="23">
        <f>IF($C396="","",N(M396)+N(N396))</f>
        <v/>
      </c>
      <c r="R396" s="23">
        <f>IF($C396="","",N(J396)+N(Q396))</f>
        <v/>
      </c>
      <c r="S396" s="25">
        <f>IF(OR($C396="",N($G396)=0),"",R396/$G396)</f>
        <v/>
      </c>
      <c r="T396" s="23">
        <f>IF($C396="","",N($G396)-N(R396))</f>
        <v/>
      </c>
      <c r="U396" s="24" t="n"/>
      <c r="V396" s="22" t="n"/>
    </row>
    <row r="397">
      <c r="B397" s="13">
        <f>IF($C397="","",COUNTA($C$9:$C397))</f>
        <v/>
      </c>
      <c r="C397" s="21" t="n"/>
      <c r="D397" s="14" t="n"/>
      <c r="E397" s="14" t="n"/>
      <c r="F397" s="14" t="n"/>
      <c r="G397" s="22" t="n"/>
      <c r="H397" s="22" t="n"/>
      <c r="I397" s="22" t="n"/>
      <c r="J397" s="22" t="n"/>
      <c r="K397" s="22" t="n"/>
      <c r="L397" s="22" t="n"/>
      <c r="M397" s="22" t="n"/>
      <c r="N397" s="22" t="n"/>
      <c r="O397" s="23">
        <f>IF($C397="","",N(L397)-N(M397))</f>
        <v/>
      </c>
      <c r="P397" s="24" t="n"/>
      <c r="Q397" s="23">
        <f>IF($C397="","",N(M397)+N(N397))</f>
        <v/>
      </c>
      <c r="R397" s="23">
        <f>IF($C397="","",N(J397)+N(Q397))</f>
        <v/>
      </c>
      <c r="S397" s="25">
        <f>IF(OR($C397="",N($G397)=0),"",R397/$G397)</f>
        <v/>
      </c>
      <c r="T397" s="23">
        <f>IF($C397="","",N($G397)-N(R397))</f>
        <v/>
      </c>
      <c r="U397" s="24" t="n"/>
      <c r="V397" s="22" t="n"/>
    </row>
    <row r="398">
      <c r="B398" s="13">
        <f>IF($C398="","",COUNTA($C$9:$C398))</f>
        <v/>
      </c>
      <c r="C398" s="21" t="n"/>
      <c r="D398" s="14" t="n"/>
      <c r="E398" s="14" t="n"/>
      <c r="F398" s="14" t="n"/>
      <c r="G398" s="22" t="n"/>
      <c r="H398" s="22" t="n"/>
      <c r="I398" s="22" t="n"/>
      <c r="J398" s="22" t="n"/>
      <c r="K398" s="22" t="n"/>
      <c r="L398" s="22" t="n"/>
      <c r="M398" s="22" t="n"/>
      <c r="N398" s="22" t="n"/>
      <c r="O398" s="23">
        <f>IF($C398="","",N(L398)-N(M398))</f>
        <v/>
      </c>
      <c r="P398" s="24" t="n"/>
      <c r="Q398" s="23">
        <f>IF($C398="","",N(M398)+N(N398))</f>
        <v/>
      </c>
      <c r="R398" s="23">
        <f>IF($C398="","",N(J398)+N(Q398))</f>
        <v/>
      </c>
      <c r="S398" s="25">
        <f>IF(OR($C398="",N($G398)=0),"",R398/$G398)</f>
        <v/>
      </c>
      <c r="T398" s="23">
        <f>IF($C398="","",N($G398)-N(R398))</f>
        <v/>
      </c>
      <c r="U398" s="24" t="n"/>
      <c r="V398" s="22" t="n"/>
    </row>
    <row r="399">
      <c r="B399" s="13">
        <f>IF($C399="","",COUNTA($C$9:$C399))</f>
        <v/>
      </c>
      <c r="C399" s="21" t="n"/>
      <c r="D399" s="14" t="n"/>
      <c r="E399" s="14" t="n"/>
      <c r="F399" s="14" t="n"/>
      <c r="G399" s="22" t="n"/>
      <c r="H399" s="22" t="n"/>
      <c r="I399" s="22" t="n"/>
      <c r="J399" s="22" t="n"/>
      <c r="K399" s="22" t="n"/>
      <c r="L399" s="22" t="n"/>
      <c r="M399" s="22" t="n"/>
      <c r="N399" s="22" t="n"/>
      <c r="O399" s="23">
        <f>IF($C399="","",N(L399)-N(M399))</f>
        <v/>
      </c>
      <c r="P399" s="24" t="n"/>
      <c r="Q399" s="23">
        <f>IF($C399="","",N(M399)+N(N399))</f>
        <v/>
      </c>
      <c r="R399" s="23">
        <f>IF($C399="","",N(J399)+N(Q399))</f>
        <v/>
      </c>
      <c r="S399" s="25">
        <f>IF(OR($C399="",N($G399)=0),"",R399/$G399)</f>
        <v/>
      </c>
      <c r="T399" s="23">
        <f>IF($C399="","",N($G399)-N(R399))</f>
        <v/>
      </c>
      <c r="U399" s="24" t="n"/>
      <c r="V399" s="22" t="n"/>
    </row>
    <row r="400">
      <c r="B400" s="13">
        <f>IF($C400="","",COUNTA($C$9:$C400))</f>
        <v/>
      </c>
      <c r="C400" s="21" t="n"/>
      <c r="D400" s="14" t="n"/>
      <c r="E400" s="14" t="n"/>
      <c r="F400" s="14" t="n"/>
      <c r="G400" s="22" t="n"/>
      <c r="H400" s="22" t="n"/>
      <c r="I400" s="22" t="n"/>
      <c r="J400" s="22" t="n"/>
      <c r="K400" s="22" t="n"/>
      <c r="L400" s="22" t="n"/>
      <c r="M400" s="22" t="n"/>
      <c r="N400" s="22" t="n"/>
      <c r="O400" s="23">
        <f>IF($C400="","",N(L400)-N(M400))</f>
        <v/>
      </c>
      <c r="P400" s="24" t="n"/>
      <c r="Q400" s="23">
        <f>IF($C400="","",N(M400)+N(N400))</f>
        <v/>
      </c>
      <c r="R400" s="23">
        <f>IF($C400="","",N(J400)+N(Q400))</f>
        <v/>
      </c>
      <c r="S400" s="25">
        <f>IF(OR($C400="",N($G400)=0),"",R400/$G400)</f>
        <v/>
      </c>
      <c r="T400" s="23">
        <f>IF($C400="","",N($G400)-N(R400))</f>
        <v/>
      </c>
      <c r="U400" s="24" t="n"/>
      <c r="V400" s="22" t="n"/>
    </row>
    <row r="401">
      <c r="B401" s="13">
        <f>IF($C401="","",COUNTA($C$9:$C401))</f>
        <v/>
      </c>
      <c r="C401" s="21" t="n"/>
      <c r="D401" s="14" t="n"/>
      <c r="E401" s="14" t="n"/>
      <c r="F401" s="14" t="n"/>
      <c r="G401" s="22" t="n"/>
      <c r="H401" s="22" t="n"/>
      <c r="I401" s="22" t="n"/>
      <c r="J401" s="22" t="n"/>
      <c r="K401" s="22" t="n"/>
      <c r="L401" s="22" t="n"/>
      <c r="M401" s="22" t="n"/>
      <c r="N401" s="22" t="n"/>
      <c r="O401" s="23">
        <f>IF($C401="","",N(L401)-N(M401))</f>
        <v/>
      </c>
      <c r="P401" s="24" t="n"/>
      <c r="Q401" s="23">
        <f>IF($C401="","",N(M401)+N(N401))</f>
        <v/>
      </c>
      <c r="R401" s="23">
        <f>IF($C401="","",N(J401)+N(Q401))</f>
        <v/>
      </c>
      <c r="S401" s="25">
        <f>IF(OR($C401="",N($G401)=0),"",R401/$G401)</f>
        <v/>
      </c>
      <c r="T401" s="23">
        <f>IF($C401="","",N($G401)-N(R401))</f>
        <v/>
      </c>
      <c r="U401" s="24" t="n"/>
      <c r="V401" s="22" t="n"/>
    </row>
    <row r="402">
      <c r="B402" s="13">
        <f>IF($C402="","",COUNTA($C$9:$C402))</f>
        <v/>
      </c>
      <c r="C402" s="21" t="n"/>
      <c r="D402" s="14" t="n"/>
      <c r="E402" s="14" t="n"/>
      <c r="F402" s="14" t="n"/>
      <c r="G402" s="22" t="n"/>
      <c r="H402" s="22" t="n"/>
      <c r="I402" s="22" t="n"/>
      <c r="J402" s="22" t="n"/>
      <c r="K402" s="22" t="n"/>
      <c r="L402" s="22" t="n"/>
      <c r="M402" s="22" t="n"/>
      <c r="N402" s="22" t="n"/>
      <c r="O402" s="23">
        <f>IF($C402="","",N(L402)-N(M402))</f>
        <v/>
      </c>
      <c r="P402" s="24" t="n"/>
      <c r="Q402" s="23">
        <f>IF($C402="","",N(M402)+N(N402))</f>
        <v/>
      </c>
      <c r="R402" s="23">
        <f>IF($C402="","",N(J402)+N(Q402))</f>
        <v/>
      </c>
      <c r="S402" s="25">
        <f>IF(OR($C402="",N($G402)=0),"",R402/$G402)</f>
        <v/>
      </c>
      <c r="T402" s="23">
        <f>IF($C402="","",N($G402)-N(R402))</f>
        <v/>
      </c>
      <c r="U402" s="24" t="n"/>
      <c r="V402" s="22" t="n"/>
    </row>
    <row r="403">
      <c r="B403" s="13">
        <f>IF($C403="","",COUNTA($C$9:$C403))</f>
        <v/>
      </c>
      <c r="C403" s="21" t="n"/>
      <c r="D403" s="14" t="n"/>
      <c r="E403" s="14" t="n"/>
      <c r="F403" s="14" t="n"/>
      <c r="G403" s="22" t="n"/>
      <c r="H403" s="22" t="n"/>
      <c r="I403" s="22" t="n"/>
      <c r="J403" s="22" t="n"/>
      <c r="K403" s="22" t="n"/>
      <c r="L403" s="22" t="n"/>
      <c r="M403" s="22" t="n"/>
      <c r="N403" s="22" t="n"/>
      <c r="O403" s="23">
        <f>IF($C403="","",N(L403)-N(M403))</f>
        <v/>
      </c>
      <c r="P403" s="24" t="n"/>
      <c r="Q403" s="23">
        <f>IF($C403="","",N(M403)+N(N403))</f>
        <v/>
      </c>
      <c r="R403" s="23">
        <f>IF($C403="","",N(J403)+N(Q403))</f>
        <v/>
      </c>
      <c r="S403" s="25">
        <f>IF(OR($C403="",N($G403)=0),"",R403/$G403)</f>
        <v/>
      </c>
      <c r="T403" s="23">
        <f>IF($C403="","",N($G403)-N(R403))</f>
        <v/>
      </c>
      <c r="U403" s="24" t="n"/>
      <c r="V403" s="22" t="n"/>
    </row>
    <row r="404">
      <c r="B404" s="13">
        <f>IF($C404="","",COUNTA($C$9:$C404))</f>
        <v/>
      </c>
      <c r="C404" s="21" t="n"/>
      <c r="D404" s="14" t="n"/>
      <c r="E404" s="14" t="n"/>
      <c r="F404" s="14" t="n"/>
      <c r="G404" s="22" t="n"/>
      <c r="H404" s="22" t="n"/>
      <c r="I404" s="22" t="n"/>
      <c r="J404" s="22" t="n"/>
      <c r="K404" s="22" t="n"/>
      <c r="L404" s="22" t="n"/>
      <c r="M404" s="22" t="n"/>
      <c r="N404" s="22" t="n"/>
      <c r="O404" s="23">
        <f>IF($C404="","",N(L404)-N(M404))</f>
        <v/>
      </c>
      <c r="P404" s="24" t="n"/>
      <c r="Q404" s="23">
        <f>IF($C404="","",N(M404)+N(N404))</f>
        <v/>
      </c>
      <c r="R404" s="23">
        <f>IF($C404="","",N(J404)+N(Q404))</f>
        <v/>
      </c>
      <c r="S404" s="25">
        <f>IF(OR($C404="",N($G404)=0),"",R404/$G404)</f>
        <v/>
      </c>
      <c r="T404" s="23">
        <f>IF($C404="","",N($G404)-N(R404))</f>
        <v/>
      </c>
      <c r="U404" s="24" t="n"/>
      <c r="V404" s="22" t="n"/>
    </row>
    <row r="405">
      <c r="B405" s="13">
        <f>IF($C405="","",COUNTA($C$9:$C405))</f>
        <v/>
      </c>
      <c r="C405" s="21" t="n"/>
      <c r="D405" s="14" t="n"/>
      <c r="E405" s="14" t="n"/>
      <c r="F405" s="14" t="n"/>
      <c r="G405" s="22" t="n"/>
      <c r="H405" s="22" t="n"/>
      <c r="I405" s="22" t="n"/>
      <c r="J405" s="22" t="n"/>
      <c r="K405" s="22" t="n"/>
      <c r="L405" s="22" t="n"/>
      <c r="M405" s="22" t="n"/>
      <c r="N405" s="22" t="n"/>
      <c r="O405" s="23">
        <f>IF($C405="","",N(L405)-N(M405))</f>
        <v/>
      </c>
      <c r="P405" s="24" t="n"/>
      <c r="Q405" s="23">
        <f>IF($C405="","",N(M405)+N(N405))</f>
        <v/>
      </c>
      <c r="R405" s="23">
        <f>IF($C405="","",N(J405)+N(Q405))</f>
        <v/>
      </c>
      <c r="S405" s="25">
        <f>IF(OR($C405="",N($G405)=0),"",R405/$G405)</f>
        <v/>
      </c>
      <c r="T405" s="23">
        <f>IF($C405="","",N($G405)-N(R405))</f>
        <v/>
      </c>
      <c r="U405" s="24" t="n"/>
      <c r="V405" s="22" t="n"/>
    </row>
    <row r="406">
      <c r="B406" s="13">
        <f>IF($C406="","",COUNTA($C$9:$C406))</f>
        <v/>
      </c>
      <c r="C406" s="21" t="n"/>
      <c r="D406" s="14" t="n"/>
      <c r="E406" s="14" t="n"/>
      <c r="F406" s="14" t="n"/>
      <c r="G406" s="22" t="n"/>
      <c r="H406" s="22" t="n"/>
      <c r="I406" s="22" t="n"/>
      <c r="J406" s="22" t="n"/>
      <c r="K406" s="22" t="n"/>
      <c r="L406" s="22" t="n"/>
      <c r="M406" s="22" t="n"/>
      <c r="N406" s="22" t="n"/>
      <c r="O406" s="23">
        <f>IF($C406="","",N(L406)-N(M406))</f>
        <v/>
      </c>
      <c r="P406" s="24" t="n"/>
      <c r="Q406" s="23">
        <f>IF($C406="","",N(M406)+N(N406))</f>
        <v/>
      </c>
      <c r="R406" s="23">
        <f>IF($C406="","",N(J406)+N(Q406))</f>
        <v/>
      </c>
      <c r="S406" s="25">
        <f>IF(OR($C406="",N($G406)=0),"",R406/$G406)</f>
        <v/>
      </c>
      <c r="T406" s="23">
        <f>IF($C406="","",N($G406)-N(R406))</f>
        <v/>
      </c>
      <c r="U406" s="24" t="n"/>
      <c r="V406" s="22" t="n"/>
    </row>
    <row r="407">
      <c r="B407" s="13">
        <f>IF($C407="","",COUNTA($C$9:$C407))</f>
        <v/>
      </c>
      <c r="C407" s="21" t="n"/>
      <c r="D407" s="14" t="n"/>
      <c r="E407" s="14" t="n"/>
      <c r="F407" s="14" t="n"/>
      <c r="G407" s="22" t="n"/>
      <c r="H407" s="22" t="n"/>
      <c r="I407" s="22" t="n"/>
      <c r="J407" s="22" t="n"/>
      <c r="K407" s="22" t="n"/>
      <c r="L407" s="22" t="n"/>
      <c r="M407" s="22" t="n"/>
      <c r="N407" s="22" t="n"/>
      <c r="O407" s="23">
        <f>IF($C407="","",N(L407)-N(M407))</f>
        <v/>
      </c>
      <c r="P407" s="24" t="n"/>
      <c r="Q407" s="23">
        <f>IF($C407="","",N(M407)+N(N407))</f>
        <v/>
      </c>
      <c r="R407" s="23">
        <f>IF($C407="","",N(J407)+N(Q407))</f>
        <v/>
      </c>
      <c r="S407" s="25">
        <f>IF(OR($C407="",N($G407)=0),"",R407/$G407)</f>
        <v/>
      </c>
      <c r="T407" s="23">
        <f>IF($C407="","",N($G407)-N(R407))</f>
        <v/>
      </c>
      <c r="U407" s="24" t="n"/>
      <c r="V407" s="22" t="n"/>
    </row>
    <row r="408">
      <c r="B408" s="13">
        <f>IF($C408="","",COUNTA($C$9:$C408))</f>
        <v/>
      </c>
      <c r="C408" s="21" t="n"/>
      <c r="D408" s="14" t="n"/>
      <c r="E408" s="14" t="n"/>
      <c r="F408" s="14" t="n"/>
      <c r="G408" s="22" t="n"/>
      <c r="H408" s="22" t="n"/>
      <c r="I408" s="22" t="n"/>
      <c r="J408" s="22" t="n"/>
      <c r="K408" s="22" t="n"/>
      <c r="L408" s="22" t="n"/>
      <c r="M408" s="22" t="n"/>
      <c r="N408" s="22" t="n"/>
      <c r="O408" s="23">
        <f>IF($C408="","",N(L408)-N(M408))</f>
        <v/>
      </c>
      <c r="P408" s="24" t="n"/>
      <c r="Q408" s="23">
        <f>IF($C408="","",N(M408)+N(N408))</f>
        <v/>
      </c>
      <c r="R408" s="23">
        <f>IF($C408="","",N(J408)+N(Q408))</f>
        <v/>
      </c>
      <c r="S408" s="25">
        <f>IF(OR($C408="",N($G408)=0),"",R408/$G408)</f>
        <v/>
      </c>
      <c r="T408" s="23">
        <f>IF($C408="","",N($G408)-N(R408))</f>
        <v/>
      </c>
      <c r="U408" s="24" t="n"/>
      <c r="V408" s="22" t="n"/>
    </row>
  </sheetData>
  <autoFilter ref="B7:V408"/>
  <mergeCells count="2">
    <mergeCell ref="C4:V4"/>
    <mergeCell ref="C3:V3"/>
  </mergeCells>
  <conditionalFormatting sqref="O9:O408">
    <cfRule type="cellIs" priority="1" operator="greaterThan" dxfId="0">
      <formula>0</formula>
    </cfRule>
  </conditionalFormatting>
  <conditionalFormatting sqref="S9:S408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dataValidations count="3">
    <dataValidation sqref="D9:D408" showDropDown="0" showInputMessage="0" showErrorMessage="0" allowBlank="1" type="list">
      <formula1>=Areas</formula1>
    </dataValidation>
    <dataValidation sqref="E9:E408" showDropDown="0" showInputMessage="0" showErrorMessage="0" allowBlank="1" type="list">
      <formula1>=Activities</formula1>
    </dataValidation>
    <dataValidation sqref="F9:F408" showDropDown="0" showInputMessage="0" showErrorMessage="0" allowBlank="1" type="list">
      <formula1>=Agencies</formula1>
    </dataValidation>
  </dataValidation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B1:V408"/>
  <sheetViews>
    <sheetView zoomScale="85" workbookViewId="0">
      <pane xSplit="6" ySplit="8" topLeftCell="G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6" customWidth="1" min="2" max="2"/>
    <col width="38" customWidth="1" min="3" max="3"/>
    <col width="22" customWidth="1" min="4" max="4"/>
    <col width="24" customWidth="1" min="5" max="5"/>
    <col width="22" customWidth="1" min="6" max="6"/>
    <col width="11" customWidth="1" min="7" max="7"/>
    <col width="12" customWidth="1" min="8" max="8"/>
    <col width="12" customWidth="1" min="9" max="9"/>
    <col width="13" customWidth="1" min="10" max="10"/>
    <col width="11" customWidth="1" min="11" max="11"/>
    <col width="11" customWidth="1" min="12" max="12"/>
    <col width="11" customWidth="1" min="13" max="13"/>
    <col width="13" customWidth="1" min="14" max="14"/>
    <col width="12" customWidth="1" min="15" max="15"/>
    <col width="26" customWidth="1" min="16" max="16"/>
    <col width="13" customWidth="1" min="17" max="17"/>
    <col width="13" customWidth="1" min="18" max="18"/>
    <col width="10" customWidth="1" min="19" max="19"/>
    <col width="11" customWidth="1" min="20" max="20"/>
    <col width="30" customWidth="1" min="21" max="21"/>
    <col width="11" customWidth="1" min="22" max="22"/>
  </cols>
  <sheetData>
    <row r="1" ht="15" customHeight="1"/>
    <row r="2" ht="15" customHeight="1">
      <c r="B2" s="5" t="inlineStr">
        <is>
          <t>JSW</t>
        </is>
      </c>
    </row>
    <row r="3" ht="15" customHeight="1">
      <c r="C3" s="18" t="inlineStr">
        <is>
          <t>Civil Works  —  Backup Sheet   (UOM: Cum)</t>
        </is>
      </c>
    </row>
    <row r="4" ht="15" customHeight="1">
      <c r="C4" s="19">
        <f>Config!$C$4</f>
        <v/>
      </c>
    </row>
    <row r="5" ht="15" customHeight="1">
      <c r="S5" s="8" t="inlineStr">
        <is>
          <t>Data date:</t>
        </is>
      </c>
      <c r="T5" s="9">
        <f>Config!$C$6</f>
        <v/>
      </c>
    </row>
    <row r="6" ht="15" customHeight="1">
      <c r="S6" s="8" t="inlineStr">
        <is>
          <t>Reporting date:</t>
        </is>
      </c>
      <c r="T6" s="9">
        <f>Config!$C$7</f>
        <v/>
      </c>
    </row>
    <row r="7" ht="34" customHeight="1">
      <c r="B7" s="20" t="inlineStr">
        <is>
          <t>SL.</t>
        </is>
      </c>
      <c r="C7" s="20" t="inlineStr">
        <is>
          <t>Name of the Structures</t>
        </is>
      </c>
      <c r="D7" s="20" t="inlineStr">
        <is>
          <t>Area</t>
        </is>
      </c>
      <c r="E7" s="20" t="inlineStr">
        <is>
          <t>Activity</t>
        </is>
      </c>
      <c r="F7" s="20" t="inlineStr">
        <is>
          <t>Agency / Contractor</t>
        </is>
      </c>
      <c r="G7" s="20" t="inlineStr">
        <is>
          <t>Scope</t>
        </is>
      </c>
      <c r="H7" s="20" t="inlineStr">
        <is>
          <t>Drawing Released</t>
        </is>
      </c>
      <c r="I7" s="20" t="inlineStr">
        <is>
          <t>Cum Front Available</t>
        </is>
      </c>
      <c r="J7" s="20" t="inlineStr">
        <is>
          <t>Achieved till last month</t>
        </is>
      </c>
      <c r="K7" s="20" t="inlineStr">
        <is>
          <t>Plan FTM</t>
        </is>
      </c>
      <c r="L7" s="20" t="inlineStr">
        <is>
          <t>Plan FTD</t>
        </is>
      </c>
      <c r="M7" s="20" t="inlineStr">
        <is>
          <t>Achieved FTD</t>
        </is>
      </c>
      <c r="N7" s="20" t="inlineStr">
        <is>
          <t>Achieved FTM till previous date</t>
        </is>
      </c>
      <c r="O7" s="20" t="inlineStr">
        <is>
          <t>Variance for the Day</t>
        </is>
      </c>
      <c r="P7" s="20" t="inlineStr">
        <is>
          <t>Reason(s) for Variance</t>
        </is>
      </c>
      <c r="Q7" s="20" t="inlineStr">
        <is>
          <t>Achieved FTM till date</t>
        </is>
      </c>
      <c r="R7" s="20" t="inlineStr">
        <is>
          <t>Workdone Till Date</t>
        </is>
      </c>
      <c r="S7" s="20" t="inlineStr">
        <is>
          <t>% Complete</t>
        </is>
      </c>
      <c r="T7" s="20" t="inlineStr">
        <is>
          <t>Balance</t>
        </is>
      </c>
      <c r="U7" s="20" t="inlineStr">
        <is>
          <t>Remarks</t>
        </is>
      </c>
      <c r="V7" s="20" t="inlineStr">
        <is>
          <t>Available Manpower</t>
        </is>
      </c>
    </row>
    <row r="8" ht="15" customHeight="1">
      <c r="B8" s="12" t="inlineStr">
        <is>
          <t>a</t>
        </is>
      </c>
      <c r="C8" s="12" t="inlineStr">
        <is>
          <t>b</t>
        </is>
      </c>
      <c r="D8" s="12" t="inlineStr">
        <is>
          <t>c</t>
        </is>
      </c>
      <c r="E8" s="12" t="inlineStr">
        <is>
          <t>d</t>
        </is>
      </c>
      <c r="F8" s="12" t="inlineStr">
        <is>
          <t>e</t>
        </is>
      </c>
      <c r="G8" s="12" t="inlineStr">
        <is>
          <t>f</t>
        </is>
      </c>
      <c r="H8" s="12" t="inlineStr">
        <is>
          <t>g</t>
        </is>
      </c>
      <c r="I8" s="12" t="inlineStr">
        <is>
          <t>h</t>
        </is>
      </c>
      <c r="J8" s="12" t="inlineStr">
        <is>
          <t>i</t>
        </is>
      </c>
      <c r="K8" s="12" t="inlineStr">
        <is>
          <t>j</t>
        </is>
      </c>
      <c r="L8" s="12" t="inlineStr">
        <is>
          <t>k</t>
        </is>
      </c>
      <c r="M8" s="12" t="inlineStr">
        <is>
          <t>l</t>
        </is>
      </c>
      <c r="N8" s="12" t="inlineStr">
        <is>
          <t>m</t>
        </is>
      </c>
      <c r="O8" s="12" t="inlineStr">
        <is>
          <t>n = k-l</t>
        </is>
      </c>
      <c r="P8" s="12" t="inlineStr">
        <is>
          <t>o</t>
        </is>
      </c>
      <c r="Q8" s="12" t="inlineStr">
        <is>
          <t>p = l+m</t>
        </is>
      </c>
      <c r="R8" s="12" t="inlineStr">
        <is>
          <t>q = i+p</t>
        </is>
      </c>
      <c r="S8" s="12" t="inlineStr">
        <is>
          <t>r = (q/f)x100</t>
        </is>
      </c>
      <c r="T8" s="12" t="inlineStr">
        <is>
          <t>s = f-q</t>
        </is>
      </c>
      <c r="U8" s="12" t="inlineStr">
        <is>
          <t>t</t>
        </is>
      </c>
      <c r="V8" s="12" t="inlineStr">
        <is>
          <t>u</t>
        </is>
      </c>
    </row>
    <row r="9">
      <c r="B9" s="13">
        <f>IF($C9="","",COUNTA($C$9:$C9))</f>
        <v/>
      </c>
      <c r="C9" s="21" t="n"/>
      <c r="D9" s="14" t="n"/>
      <c r="E9" s="14" t="n"/>
      <c r="F9" s="14" t="n"/>
      <c r="G9" s="22" t="n"/>
      <c r="H9" s="22" t="n"/>
      <c r="I9" s="22" t="n"/>
      <c r="J9" s="22" t="n"/>
      <c r="K9" s="22" t="n"/>
      <c r="L9" s="22" t="n"/>
      <c r="M9" s="22" t="n"/>
      <c r="N9" s="22" t="n"/>
      <c r="O9" s="23">
        <f>IF($C9="","",N(L9)-N(M9))</f>
        <v/>
      </c>
      <c r="P9" s="24" t="n"/>
      <c r="Q9" s="23">
        <f>IF($C9="","",N(M9)+N(N9))</f>
        <v/>
      </c>
      <c r="R9" s="23">
        <f>IF($C9="","",N(J9)+N(Q9))</f>
        <v/>
      </c>
      <c r="S9" s="25">
        <f>IF(OR($C9="",N($G9)=0),"",R9/$G9)</f>
        <v/>
      </c>
      <c r="T9" s="23">
        <f>IF($C9="","",N($G9)-N(R9))</f>
        <v/>
      </c>
      <c r="U9" s="24" t="n"/>
      <c r="V9" s="22" t="n"/>
    </row>
    <row r="10">
      <c r="B10" s="13">
        <f>IF($C10="","",COUNTA($C$9:$C10))</f>
        <v/>
      </c>
      <c r="C10" s="21" t="n"/>
      <c r="D10" s="14" t="n"/>
      <c r="E10" s="14" t="n"/>
      <c r="F10" s="14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3">
        <f>IF($C10="","",N(L10)-N(M10))</f>
        <v/>
      </c>
      <c r="P10" s="24" t="n"/>
      <c r="Q10" s="23">
        <f>IF($C10="","",N(M10)+N(N10))</f>
        <v/>
      </c>
      <c r="R10" s="23">
        <f>IF($C10="","",N(J10)+N(Q10))</f>
        <v/>
      </c>
      <c r="S10" s="25">
        <f>IF(OR($C10="",N($G10)=0),"",R10/$G10)</f>
        <v/>
      </c>
      <c r="T10" s="23">
        <f>IF($C10="","",N($G10)-N(R10))</f>
        <v/>
      </c>
      <c r="U10" s="24" t="n"/>
      <c r="V10" s="22" t="n"/>
    </row>
    <row r="11">
      <c r="B11" s="13">
        <f>IF($C11="","",COUNTA($C$9:$C11))</f>
        <v/>
      </c>
      <c r="C11" s="21" t="n"/>
      <c r="D11" s="14" t="n"/>
      <c r="E11" s="14" t="n"/>
      <c r="F11" s="14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3">
        <f>IF($C11="","",N(L11)-N(M11))</f>
        <v/>
      </c>
      <c r="P11" s="24" t="n"/>
      <c r="Q11" s="23">
        <f>IF($C11="","",N(M11)+N(N11))</f>
        <v/>
      </c>
      <c r="R11" s="23">
        <f>IF($C11="","",N(J11)+N(Q11))</f>
        <v/>
      </c>
      <c r="S11" s="25">
        <f>IF(OR($C11="",N($G11)=0),"",R11/$G11)</f>
        <v/>
      </c>
      <c r="T11" s="23">
        <f>IF($C11="","",N($G11)-N(R11))</f>
        <v/>
      </c>
      <c r="U11" s="24" t="n"/>
      <c r="V11" s="22" t="n"/>
    </row>
    <row r="12">
      <c r="B12" s="13">
        <f>IF($C12="","",COUNTA($C$9:$C12))</f>
        <v/>
      </c>
      <c r="C12" s="21" t="n"/>
      <c r="D12" s="14" t="n"/>
      <c r="E12" s="14" t="n"/>
      <c r="F12" s="14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3">
        <f>IF($C12="","",N(L12)-N(M12))</f>
        <v/>
      </c>
      <c r="P12" s="24" t="n"/>
      <c r="Q12" s="23">
        <f>IF($C12="","",N(M12)+N(N12))</f>
        <v/>
      </c>
      <c r="R12" s="23">
        <f>IF($C12="","",N(J12)+N(Q12))</f>
        <v/>
      </c>
      <c r="S12" s="25">
        <f>IF(OR($C12="",N($G12)=0),"",R12/$G12)</f>
        <v/>
      </c>
      <c r="T12" s="23">
        <f>IF($C12="","",N($G12)-N(R12))</f>
        <v/>
      </c>
      <c r="U12" s="24" t="n"/>
      <c r="V12" s="22" t="n"/>
    </row>
    <row r="13">
      <c r="B13" s="13">
        <f>IF($C13="","",COUNTA($C$9:$C13))</f>
        <v/>
      </c>
      <c r="C13" s="21" t="n"/>
      <c r="D13" s="14" t="n"/>
      <c r="E13" s="14" t="n"/>
      <c r="F13" s="14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3">
        <f>IF($C13="","",N(L13)-N(M13))</f>
        <v/>
      </c>
      <c r="P13" s="24" t="n"/>
      <c r="Q13" s="23">
        <f>IF($C13="","",N(M13)+N(N13))</f>
        <v/>
      </c>
      <c r="R13" s="23">
        <f>IF($C13="","",N(J13)+N(Q13))</f>
        <v/>
      </c>
      <c r="S13" s="25">
        <f>IF(OR($C13="",N($G13)=0),"",R13/$G13)</f>
        <v/>
      </c>
      <c r="T13" s="23">
        <f>IF($C13="","",N($G13)-N(R13))</f>
        <v/>
      </c>
      <c r="U13" s="24" t="n"/>
      <c r="V13" s="22" t="n"/>
    </row>
    <row r="14">
      <c r="B14" s="13">
        <f>IF($C14="","",COUNTA($C$9:$C14))</f>
        <v/>
      </c>
      <c r="C14" s="21" t="n"/>
      <c r="D14" s="14" t="n"/>
      <c r="E14" s="14" t="n"/>
      <c r="F14" s="14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3">
        <f>IF($C14="","",N(L14)-N(M14))</f>
        <v/>
      </c>
      <c r="P14" s="24" t="n"/>
      <c r="Q14" s="23">
        <f>IF($C14="","",N(M14)+N(N14))</f>
        <v/>
      </c>
      <c r="R14" s="23">
        <f>IF($C14="","",N(J14)+N(Q14))</f>
        <v/>
      </c>
      <c r="S14" s="25">
        <f>IF(OR($C14="",N($G14)=0),"",R14/$G14)</f>
        <v/>
      </c>
      <c r="T14" s="23">
        <f>IF($C14="","",N($G14)-N(R14))</f>
        <v/>
      </c>
      <c r="U14" s="24" t="n"/>
      <c r="V14" s="22" t="n"/>
    </row>
    <row r="15">
      <c r="B15" s="13">
        <f>IF($C15="","",COUNTA($C$9:$C15))</f>
        <v/>
      </c>
      <c r="C15" s="21" t="n"/>
      <c r="D15" s="14" t="n"/>
      <c r="E15" s="14" t="n"/>
      <c r="F15" s="14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3">
        <f>IF($C15="","",N(L15)-N(M15))</f>
        <v/>
      </c>
      <c r="P15" s="24" t="n"/>
      <c r="Q15" s="23">
        <f>IF($C15="","",N(M15)+N(N15))</f>
        <v/>
      </c>
      <c r="R15" s="23">
        <f>IF($C15="","",N(J15)+N(Q15))</f>
        <v/>
      </c>
      <c r="S15" s="25">
        <f>IF(OR($C15="",N($G15)=0),"",R15/$G15)</f>
        <v/>
      </c>
      <c r="T15" s="23">
        <f>IF($C15="","",N($G15)-N(R15))</f>
        <v/>
      </c>
      <c r="U15" s="24" t="n"/>
      <c r="V15" s="22" t="n"/>
    </row>
    <row r="16">
      <c r="B16" s="13">
        <f>IF($C16="","",COUNTA($C$9:$C16))</f>
        <v/>
      </c>
      <c r="C16" s="21" t="n"/>
      <c r="D16" s="14" t="n"/>
      <c r="E16" s="14" t="n"/>
      <c r="F16" s="14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3">
        <f>IF($C16="","",N(L16)-N(M16))</f>
        <v/>
      </c>
      <c r="P16" s="24" t="n"/>
      <c r="Q16" s="23">
        <f>IF($C16="","",N(M16)+N(N16))</f>
        <v/>
      </c>
      <c r="R16" s="23">
        <f>IF($C16="","",N(J16)+N(Q16))</f>
        <v/>
      </c>
      <c r="S16" s="25">
        <f>IF(OR($C16="",N($G16)=0),"",R16/$G16)</f>
        <v/>
      </c>
      <c r="T16" s="23">
        <f>IF($C16="","",N($G16)-N(R16))</f>
        <v/>
      </c>
      <c r="U16" s="24" t="n"/>
      <c r="V16" s="22" t="n"/>
    </row>
    <row r="17">
      <c r="B17" s="13">
        <f>IF($C17="","",COUNTA($C$9:$C17))</f>
        <v/>
      </c>
      <c r="C17" s="21" t="n"/>
      <c r="D17" s="14" t="n"/>
      <c r="E17" s="14" t="n"/>
      <c r="F17" s="14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3">
        <f>IF($C17="","",N(L17)-N(M17))</f>
        <v/>
      </c>
      <c r="P17" s="24" t="n"/>
      <c r="Q17" s="23">
        <f>IF($C17="","",N(M17)+N(N17))</f>
        <v/>
      </c>
      <c r="R17" s="23">
        <f>IF($C17="","",N(J17)+N(Q17))</f>
        <v/>
      </c>
      <c r="S17" s="25">
        <f>IF(OR($C17="",N($G17)=0),"",R17/$G17)</f>
        <v/>
      </c>
      <c r="T17" s="23">
        <f>IF($C17="","",N($G17)-N(R17))</f>
        <v/>
      </c>
      <c r="U17" s="24" t="n"/>
      <c r="V17" s="22" t="n"/>
    </row>
    <row r="18">
      <c r="B18" s="13">
        <f>IF($C18="","",COUNTA($C$9:$C18))</f>
        <v/>
      </c>
      <c r="C18" s="21" t="n"/>
      <c r="D18" s="14" t="n"/>
      <c r="E18" s="14" t="n"/>
      <c r="F18" s="14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3">
        <f>IF($C18="","",N(L18)-N(M18))</f>
        <v/>
      </c>
      <c r="P18" s="24" t="n"/>
      <c r="Q18" s="23">
        <f>IF($C18="","",N(M18)+N(N18))</f>
        <v/>
      </c>
      <c r="R18" s="23">
        <f>IF($C18="","",N(J18)+N(Q18))</f>
        <v/>
      </c>
      <c r="S18" s="25">
        <f>IF(OR($C18="",N($G18)=0),"",R18/$G18)</f>
        <v/>
      </c>
      <c r="T18" s="23">
        <f>IF($C18="","",N($G18)-N(R18))</f>
        <v/>
      </c>
      <c r="U18" s="24" t="n"/>
      <c r="V18" s="22" t="n"/>
    </row>
    <row r="19">
      <c r="B19" s="13">
        <f>IF($C19="","",COUNTA($C$9:$C19))</f>
        <v/>
      </c>
      <c r="C19" s="21" t="n"/>
      <c r="D19" s="14" t="n"/>
      <c r="E19" s="14" t="n"/>
      <c r="F19" s="14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3">
        <f>IF($C19="","",N(L19)-N(M19))</f>
        <v/>
      </c>
      <c r="P19" s="24" t="n"/>
      <c r="Q19" s="23">
        <f>IF($C19="","",N(M19)+N(N19))</f>
        <v/>
      </c>
      <c r="R19" s="23">
        <f>IF($C19="","",N(J19)+N(Q19))</f>
        <v/>
      </c>
      <c r="S19" s="25">
        <f>IF(OR($C19="",N($G19)=0),"",R19/$G19)</f>
        <v/>
      </c>
      <c r="T19" s="23">
        <f>IF($C19="","",N($G19)-N(R19))</f>
        <v/>
      </c>
      <c r="U19" s="24" t="n"/>
      <c r="V19" s="22" t="n"/>
    </row>
    <row r="20">
      <c r="B20" s="13">
        <f>IF($C20="","",COUNTA($C$9:$C20))</f>
        <v/>
      </c>
      <c r="C20" s="21" t="n"/>
      <c r="D20" s="14" t="n"/>
      <c r="E20" s="14" t="n"/>
      <c r="F20" s="14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3">
        <f>IF($C20="","",N(L20)-N(M20))</f>
        <v/>
      </c>
      <c r="P20" s="24" t="n"/>
      <c r="Q20" s="23">
        <f>IF($C20="","",N(M20)+N(N20))</f>
        <v/>
      </c>
      <c r="R20" s="23">
        <f>IF($C20="","",N(J20)+N(Q20))</f>
        <v/>
      </c>
      <c r="S20" s="25">
        <f>IF(OR($C20="",N($G20)=0),"",R20/$G20)</f>
        <v/>
      </c>
      <c r="T20" s="23">
        <f>IF($C20="","",N($G20)-N(R20))</f>
        <v/>
      </c>
      <c r="U20" s="24" t="n"/>
      <c r="V20" s="22" t="n"/>
    </row>
    <row r="21">
      <c r="B21" s="13">
        <f>IF($C21="","",COUNTA($C$9:$C21))</f>
        <v/>
      </c>
      <c r="C21" s="21" t="n"/>
      <c r="D21" s="14" t="n"/>
      <c r="E21" s="14" t="n"/>
      <c r="F21" s="14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3">
        <f>IF($C21="","",N(L21)-N(M21))</f>
        <v/>
      </c>
      <c r="P21" s="24" t="n"/>
      <c r="Q21" s="23">
        <f>IF($C21="","",N(M21)+N(N21))</f>
        <v/>
      </c>
      <c r="R21" s="23">
        <f>IF($C21="","",N(J21)+N(Q21))</f>
        <v/>
      </c>
      <c r="S21" s="25">
        <f>IF(OR($C21="",N($G21)=0),"",R21/$G21)</f>
        <v/>
      </c>
      <c r="T21" s="23">
        <f>IF($C21="","",N($G21)-N(R21))</f>
        <v/>
      </c>
      <c r="U21" s="24" t="n"/>
      <c r="V21" s="22" t="n"/>
    </row>
    <row r="22">
      <c r="B22" s="13">
        <f>IF($C22="","",COUNTA($C$9:$C22))</f>
        <v/>
      </c>
      <c r="C22" s="21" t="n"/>
      <c r="D22" s="14" t="n"/>
      <c r="E22" s="14" t="n"/>
      <c r="F22" s="14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3">
        <f>IF($C22="","",N(L22)-N(M22))</f>
        <v/>
      </c>
      <c r="P22" s="24" t="n"/>
      <c r="Q22" s="23">
        <f>IF($C22="","",N(M22)+N(N22))</f>
        <v/>
      </c>
      <c r="R22" s="23">
        <f>IF($C22="","",N(J22)+N(Q22))</f>
        <v/>
      </c>
      <c r="S22" s="25">
        <f>IF(OR($C22="",N($G22)=0),"",R22/$G22)</f>
        <v/>
      </c>
      <c r="T22" s="23">
        <f>IF($C22="","",N($G22)-N(R22))</f>
        <v/>
      </c>
      <c r="U22" s="24" t="n"/>
      <c r="V22" s="22" t="n"/>
    </row>
    <row r="23">
      <c r="B23" s="13">
        <f>IF($C23="","",COUNTA($C$9:$C23))</f>
        <v/>
      </c>
      <c r="C23" s="21" t="n"/>
      <c r="D23" s="14" t="n"/>
      <c r="E23" s="14" t="n"/>
      <c r="F23" s="14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3">
        <f>IF($C23="","",N(L23)-N(M23))</f>
        <v/>
      </c>
      <c r="P23" s="24" t="n"/>
      <c r="Q23" s="23">
        <f>IF($C23="","",N(M23)+N(N23))</f>
        <v/>
      </c>
      <c r="R23" s="23">
        <f>IF($C23="","",N(J23)+N(Q23))</f>
        <v/>
      </c>
      <c r="S23" s="25">
        <f>IF(OR($C23="",N($G23)=0),"",R23/$G23)</f>
        <v/>
      </c>
      <c r="T23" s="23">
        <f>IF($C23="","",N($G23)-N(R23))</f>
        <v/>
      </c>
      <c r="U23" s="24" t="n"/>
      <c r="V23" s="22" t="n"/>
    </row>
    <row r="24">
      <c r="B24" s="13">
        <f>IF($C24="","",COUNTA($C$9:$C24))</f>
        <v/>
      </c>
      <c r="C24" s="21" t="n"/>
      <c r="D24" s="14" t="n"/>
      <c r="E24" s="14" t="n"/>
      <c r="F24" s="14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3">
        <f>IF($C24="","",N(L24)-N(M24))</f>
        <v/>
      </c>
      <c r="P24" s="24" t="n"/>
      <c r="Q24" s="23">
        <f>IF($C24="","",N(M24)+N(N24))</f>
        <v/>
      </c>
      <c r="R24" s="23">
        <f>IF($C24="","",N(J24)+N(Q24))</f>
        <v/>
      </c>
      <c r="S24" s="25">
        <f>IF(OR($C24="",N($G24)=0),"",R24/$G24)</f>
        <v/>
      </c>
      <c r="T24" s="23">
        <f>IF($C24="","",N($G24)-N(R24))</f>
        <v/>
      </c>
      <c r="U24" s="24" t="n"/>
      <c r="V24" s="22" t="n"/>
    </row>
    <row r="25">
      <c r="B25" s="13">
        <f>IF($C25="","",COUNTA($C$9:$C25))</f>
        <v/>
      </c>
      <c r="C25" s="21" t="n"/>
      <c r="D25" s="14" t="n"/>
      <c r="E25" s="14" t="n"/>
      <c r="F25" s="14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3">
        <f>IF($C25="","",N(L25)-N(M25))</f>
        <v/>
      </c>
      <c r="P25" s="24" t="n"/>
      <c r="Q25" s="23">
        <f>IF($C25="","",N(M25)+N(N25))</f>
        <v/>
      </c>
      <c r="R25" s="23">
        <f>IF($C25="","",N(J25)+N(Q25))</f>
        <v/>
      </c>
      <c r="S25" s="25">
        <f>IF(OR($C25="",N($G25)=0),"",R25/$G25)</f>
        <v/>
      </c>
      <c r="T25" s="23">
        <f>IF($C25="","",N($G25)-N(R25))</f>
        <v/>
      </c>
      <c r="U25" s="24" t="n"/>
      <c r="V25" s="22" t="n"/>
    </row>
    <row r="26">
      <c r="B26" s="13">
        <f>IF($C26="","",COUNTA($C$9:$C26))</f>
        <v/>
      </c>
      <c r="C26" s="21" t="n"/>
      <c r="D26" s="14" t="n"/>
      <c r="E26" s="14" t="n"/>
      <c r="F26" s="14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3">
        <f>IF($C26="","",N(L26)-N(M26))</f>
        <v/>
      </c>
      <c r="P26" s="24" t="n"/>
      <c r="Q26" s="23">
        <f>IF($C26="","",N(M26)+N(N26))</f>
        <v/>
      </c>
      <c r="R26" s="23">
        <f>IF($C26="","",N(J26)+N(Q26))</f>
        <v/>
      </c>
      <c r="S26" s="25">
        <f>IF(OR($C26="",N($G26)=0),"",R26/$G26)</f>
        <v/>
      </c>
      <c r="T26" s="23">
        <f>IF($C26="","",N($G26)-N(R26))</f>
        <v/>
      </c>
      <c r="U26" s="24" t="n"/>
      <c r="V26" s="22" t="n"/>
    </row>
    <row r="27">
      <c r="B27" s="13">
        <f>IF($C27="","",COUNTA($C$9:$C27))</f>
        <v/>
      </c>
      <c r="C27" s="21" t="n"/>
      <c r="D27" s="14" t="n"/>
      <c r="E27" s="14" t="n"/>
      <c r="F27" s="14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3">
        <f>IF($C27="","",N(L27)-N(M27))</f>
        <v/>
      </c>
      <c r="P27" s="24" t="n"/>
      <c r="Q27" s="23">
        <f>IF($C27="","",N(M27)+N(N27))</f>
        <v/>
      </c>
      <c r="R27" s="23">
        <f>IF($C27="","",N(J27)+N(Q27))</f>
        <v/>
      </c>
      <c r="S27" s="25">
        <f>IF(OR($C27="",N($G27)=0),"",R27/$G27)</f>
        <v/>
      </c>
      <c r="T27" s="23">
        <f>IF($C27="","",N($G27)-N(R27))</f>
        <v/>
      </c>
      <c r="U27" s="24" t="n"/>
      <c r="V27" s="22" t="n"/>
    </row>
    <row r="28">
      <c r="B28" s="13">
        <f>IF($C28="","",COUNTA($C$9:$C28))</f>
        <v/>
      </c>
      <c r="C28" s="21" t="n"/>
      <c r="D28" s="14" t="n"/>
      <c r="E28" s="14" t="n"/>
      <c r="F28" s="14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3">
        <f>IF($C28="","",N(L28)-N(M28))</f>
        <v/>
      </c>
      <c r="P28" s="24" t="n"/>
      <c r="Q28" s="23">
        <f>IF($C28="","",N(M28)+N(N28))</f>
        <v/>
      </c>
      <c r="R28" s="23">
        <f>IF($C28="","",N(J28)+N(Q28))</f>
        <v/>
      </c>
      <c r="S28" s="25">
        <f>IF(OR($C28="",N($G28)=0),"",R28/$G28)</f>
        <v/>
      </c>
      <c r="T28" s="23">
        <f>IF($C28="","",N($G28)-N(R28))</f>
        <v/>
      </c>
      <c r="U28" s="24" t="n"/>
      <c r="V28" s="22" t="n"/>
    </row>
    <row r="29">
      <c r="B29" s="13">
        <f>IF($C29="","",COUNTA($C$9:$C29))</f>
        <v/>
      </c>
      <c r="C29" s="21" t="n"/>
      <c r="D29" s="14" t="n"/>
      <c r="E29" s="14" t="n"/>
      <c r="F29" s="14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3">
        <f>IF($C29="","",N(L29)-N(M29))</f>
        <v/>
      </c>
      <c r="P29" s="24" t="n"/>
      <c r="Q29" s="23">
        <f>IF($C29="","",N(M29)+N(N29))</f>
        <v/>
      </c>
      <c r="R29" s="23">
        <f>IF($C29="","",N(J29)+N(Q29))</f>
        <v/>
      </c>
      <c r="S29" s="25">
        <f>IF(OR($C29="",N($G29)=0),"",R29/$G29)</f>
        <v/>
      </c>
      <c r="T29" s="23">
        <f>IF($C29="","",N($G29)-N(R29))</f>
        <v/>
      </c>
      <c r="U29" s="24" t="n"/>
      <c r="V29" s="22" t="n"/>
    </row>
    <row r="30">
      <c r="B30" s="13">
        <f>IF($C30="","",COUNTA($C$9:$C30))</f>
        <v/>
      </c>
      <c r="C30" s="21" t="n"/>
      <c r="D30" s="14" t="n"/>
      <c r="E30" s="14" t="n"/>
      <c r="F30" s="14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3">
        <f>IF($C30="","",N(L30)-N(M30))</f>
        <v/>
      </c>
      <c r="P30" s="24" t="n"/>
      <c r="Q30" s="23">
        <f>IF($C30="","",N(M30)+N(N30))</f>
        <v/>
      </c>
      <c r="R30" s="23">
        <f>IF($C30="","",N(J30)+N(Q30))</f>
        <v/>
      </c>
      <c r="S30" s="25">
        <f>IF(OR($C30="",N($G30)=0),"",R30/$G30)</f>
        <v/>
      </c>
      <c r="T30" s="23">
        <f>IF($C30="","",N($G30)-N(R30))</f>
        <v/>
      </c>
      <c r="U30" s="24" t="n"/>
      <c r="V30" s="22" t="n"/>
    </row>
    <row r="31">
      <c r="B31" s="13">
        <f>IF($C31="","",COUNTA($C$9:$C31))</f>
        <v/>
      </c>
      <c r="C31" s="21" t="n"/>
      <c r="D31" s="14" t="n"/>
      <c r="E31" s="14" t="n"/>
      <c r="F31" s="14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3">
        <f>IF($C31="","",N(L31)-N(M31))</f>
        <v/>
      </c>
      <c r="P31" s="24" t="n"/>
      <c r="Q31" s="23">
        <f>IF($C31="","",N(M31)+N(N31))</f>
        <v/>
      </c>
      <c r="R31" s="23">
        <f>IF($C31="","",N(J31)+N(Q31))</f>
        <v/>
      </c>
      <c r="S31" s="25">
        <f>IF(OR($C31="",N($G31)=0),"",R31/$G31)</f>
        <v/>
      </c>
      <c r="T31" s="23">
        <f>IF($C31="","",N($G31)-N(R31))</f>
        <v/>
      </c>
      <c r="U31" s="24" t="n"/>
      <c r="V31" s="22" t="n"/>
    </row>
    <row r="32">
      <c r="B32" s="13">
        <f>IF($C32="","",COUNTA($C$9:$C32))</f>
        <v/>
      </c>
      <c r="C32" s="21" t="n"/>
      <c r="D32" s="14" t="n"/>
      <c r="E32" s="14" t="n"/>
      <c r="F32" s="14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3">
        <f>IF($C32="","",N(L32)-N(M32))</f>
        <v/>
      </c>
      <c r="P32" s="24" t="n"/>
      <c r="Q32" s="23">
        <f>IF($C32="","",N(M32)+N(N32))</f>
        <v/>
      </c>
      <c r="R32" s="23">
        <f>IF($C32="","",N(J32)+N(Q32))</f>
        <v/>
      </c>
      <c r="S32" s="25">
        <f>IF(OR($C32="",N($G32)=0),"",R32/$G32)</f>
        <v/>
      </c>
      <c r="T32" s="23">
        <f>IF($C32="","",N($G32)-N(R32))</f>
        <v/>
      </c>
      <c r="U32" s="24" t="n"/>
      <c r="V32" s="22" t="n"/>
    </row>
    <row r="33">
      <c r="B33" s="13">
        <f>IF($C33="","",COUNTA($C$9:$C33))</f>
        <v/>
      </c>
      <c r="C33" s="21" t="n"/>
      <c r="D33" s="14" t="n"/>
      <c r="E33" s="14" t="n"/>
      <c r="F33" s="14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3">
        <f>IF($C33="","",N(L33)-N(M33))</f>
        <v/>
      </c>
      <c r="P33" s="24" t="n"/>
      <c r="Q33" s="23">
        <f>IF($C33="","",N(M33)+N(N33))</f>
        <v/>
      </c>
      <c r="R33" s="23">
        <f>IF($C33="","",N(J33)+N(Q33))</f>
        <v/>
      </c>
      <c r="S33" s="25">
        <f>IF(OR($C33="",N($G33)=0),"",R33/$G33)</f>
        <v/>
      </c>
      <c r="T33" s="23">
        <f>IF($C33="","",N($G33)-N(R33))</f>
        <v/>
      </c>
      <c r="U33" s="24" t="n"/>
      <c r="V33" s="22" t="n"/>
    </row>
    <row r="34">
      <c r="B34" s="13">
        <f>IF($C34="","",COUNTA($C$9:$C34))</f>
        <v/>
      </c>
      <c r="C34" s="21" t="n"/>
      <c r="D34" s="14" t="n"/>
      <c r="E34" s="14" t="n"/>
      <c r="F34" s="14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3">
        <f>IF($C34="","",N(L34)-N(M34))</f>
        <v/>
      </c>
      <c r="P34" s="24" t="n"/>
      <c r="Q34" s="23">
        <f>IF($C34="","",N(M34)+N(N34))</f>
        <v/>
      </c>
      <c r="R34" s="23">
        <f>IF($C34="","",N(J34)+N(Q34))</f>
        <v/>
      </c>
      <c r="S34" s="25">
        <f>IF(OR($C34="",N($G34)=0),"",R34/$G34)</f>
        <v/>
      </c>
      <c r="T34" s="23">
        <f>IF($C34="","",N($G34)-N(R34))</f>
        <v/>
      </c>
      <c r="U34" s="24" t="n"/>
      <c r="V34" s="22" t="n"/>
    </row>
    <row r="35">
      <c r="B35" s="13">
        <f>IF($C35="","",COUNTA($C$9:$C35))</f>
        <v/>
      </c>
      <c r="C35" s="21" t="n"/>
      <c r="D35" s="14" t="n"/>
      <c r="E35" s="14" t="n"/>
      <c r="F35" s="14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3">
        <f>IF($C35="","",N(L35)-N(M35))</f>
        <v/>
      </c>
      <c r="P35" s="24" t="n"/>
      <c r="Q35" s="23">
        <f>IF($C35="","",N(M35)+N(N35))</f>
        <v/>
      </c>
      <c r="R35" s="23">
        <f>IF($C35="","",N(J35)+N(Q35))</f>
        <v/>
      </c>
      <c r="S35" s="25">
        <f>IF(OR($C35="",N($G35)=0),"",R35/$G35)</f>
        <v/>
      </c>
      <c r="T35" s="23">
        <f>IF($C35="","",N($G35)-N(R35))</f>
        <v/>
      </c>
      <c r="U35" s="24" t="n"/>
      <c r="V35" s="22" t="n"/>
    </row>
    <row r="36">
      <c r="B36" s="13">
        <f>IF($C36="","",COUNTA($C$9:$C36))</f>
        <v/>
      </c>
      <c r="C36" s="21" t="n"/>
      <c r="D36" s="14" t="n"/>
      <c r="E36" s="14" t="n"/>
      <c r="F36" s="14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3">
        <f>IF($C36="","",N(L36)-N(M36))</f>
        <v/>
      </c>
      <c r="P36" s="24" t="n"/>
      <c r="Q36" s="23">
        <f>IF($C36="","",N(M36)+N(N36))</f>
        <v/>
      </c>
      <c r="R36" s="23">
        <f>IF($C36="","",N(J36)+N(Q36))</f>
        <v/>
      </c>
      <c r="S36" s="25">
        <f>IF(OR($C36="",N($G36)=0),"",R36/$G36)</f>
        <v/>
      </c>
      <c r="T36" s="23">
        <f>IF($C36="","",N($G36)-N(R36))</f>
        <v/>
      </c>
      <c r="U36" s="24" t="n"/>
      <c r="V36" s="22" t="n"/>
    </row>
    <row r="37">
      <c r="B37" s="13">
        <f>IF($C37="","",COUNTA($C$9:$C37))</f>
        <v/>
      </c>
      <c r="C37" s="21" t="n"/>
      <c r="D37" s="14" t="n"/>
      <c r="E37" s="14" t="n"/>
      <c r="F37" s="14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3">
        <f>IF($C37="","",N(L37)-N(M37))</f>
        <v/>
      </c>
      <c r="P37" s="24" t="n"/>
      <c r="Q37" s="23">
        <f>IF($C37="","",N(M37)+N(N37))</f>
        <v/>
      </c>
      <c r="R37" s="23">
        <f>IF($C37="","",N(J37)+N(Q37))</f>
        <v/>
      </c>
      <c r="S37" s="25">
        <f>IF(OR($C37="",N($G37)=0),"",R37/$G37)</f>
        <v/>
      </c>
      <c r="T37" s="23">
        <f>IF($C37="","",N($G37)-N(R37))</f>
        <v/>
      </c>
      <c r="U37" s="24" t="n"/>
      <c r="V37" s="22" t="n"/>
    </row>
    <row r="38">
      <c r="B38" s="13">
        <f>IF($C38="","",COUNTA($C$9:$C38))</f>
        <v/>
      </c>
      <c r="C38" s="21" t="n"/>
      <c r="D38" s="14" t="n"/>
      <c r="E38" s="14" t="n"/>
      <c r="F38" s="14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3">
        <f>IF($C38="","",N(L38)-N(M38))</f>
        <v/>
      </c>
      <c r="P38" s="24" t="n"/>
      <c r="Q38" s="23">
        <f>IF($C38="","",N(M38)+N(N38))</f>
        <v/>
      </c>
      <c r="R38" s="23">
        <f>IF($C38="","",N(J38)+N(Q38))</f>
        <v/>
      </c>
      <c r="S38" s="25">
        <f>IF(OR($C38="",N($G38)=0),"",R38/$G38)</f>
        <v/>
      </c>
      <c r="T38" s="23">
        <f>IF($C38="","",N($G38)-N(R38))</f>
        <v/>
      </c>
      <c r="U38" s="24" t="n"/>
      <c r="V38" s="22" t="n"/>
    </row>
    <row r="39">
      <c r="B39" s="13">
        <f>IF($C39="","",COUNTA($C$9:$C39))</f>
        <v/>
      </c>
      <c r="C39" s="21" t="n"/>
      <c r="D39" s="14" t="n"/>
      <c r="E39" s="14" t="n"/>
      <c r="F39" s="14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3">
        <f>IF($C39="","",N(L39)-N(M39))</f>
        <v/>
      </c>
      <c r="P39" s="24" t="n"/>
      <c r="Q39" s="23">
        <f>IF($C39="","",N(M39)+N(N39))</f>
        <v/>
      </c>
      <c r="R39" s="23">
        <f>IF($C39="","",N(J39)+N(Q39))</f>
        <v/>
      </c>
      <c r="S39" s="25">
        <f>IF(OR($C39="",N($G39)=0),"",R39/$G39)</f>
        <v/>
      </c>
      <c r="T39" s="23">
        <f>IF($C39="","",N($G39)-N(R39))</f>
        <v/>
      </c>
      <c r="U39" s="24" t="n"/>
      <c r="V39" s="22" t="n"/>
    </row>
    <row r="40">
      <c r="B40" s="13">
        <f>IF($C40="","",COUNTA($C$9:$C40))</f>
        <v/>
      </c>
      <c r="C40" s="21" t="n"/>
      <c r="D40" s="14" t="n"/>
      <c r="E40" s="14" t="n"/>
      <c r="F40" s="14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3">
        <f>IF($C40="","",N(L40)-N(M40))</f>
        <v/>
      </c>
      <c r="P40" s="24" t="n"/>
      <c r="Q40" s="23">
        <f>IF($C40="","",N(M40)+N(N40))</f>
        <v/>
      </c>
      <c r="R40" s="23">
        <f>IF($C40="","",N(J40)+N(Q40))</f>
        <v/>
      </c>
      <c r="S40" s="25">
        <f>IF(OR($C40="",N($G40)=0),"",R40/$G40)</f>
        <v/>
      </c>
      <c r="T40" s="23">
        <f>IF($C40="","",N($G40)-N(R40))</f>
        <v/>
      </c>
      <c r="U40" s="24" t="n"/>
      <c r="V40" s="22" t="n"/>
    </row>
    <row r="41">
      <c r="B41" s="13">
        <f>IF($C41="","",COUNTA($C$9:$C41))</f>
        <v/>
      </c>
      <c r="C41" s="21" t="n"/>
      <c r="D41" s="14" t="n"/>
      <c r="E41" s="14" t="n"/>
      <c r="F41" s="14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3">
        <f>IF($C41="","",N(L41)-N(M41))</f>
        <v/>
      </c>
      <c r="P41" s="24" t="n"/>
      <c r="Q41" s="23">
        <f>IF($C41="","",N(M41)+N(N41))</f>
        <v/>
      </c>
      <c r="R41" s="23">
        <f>IF($C41="","",N(J41)+N(Q41))</f>
        <v/>
      </c>
      <c r="S41" s="25">
        <f>IF(OR($C41="",N($G41)=0),"",R41/$G41)</f>
        <v/>
      </c>
      <c r="T41" s="23">
        <f>IF($C41="","",N($G41)-N(R41))</f>
        <v/>
      </c>
      <c r="U41" s="24" t="n"/>
      <c r="V41" s="22" t="n"/>
    </row>
    <row r="42">
      <c r="B42" s="13">
        <f>IF($C42="","",COUNTA($C$9:$C42))</f>
        <v/>
      </c>
      <c r="C42" s="21" t="n"/>
      <c r="D42" s="14" t="n"/>
      <c r="E42" s="14" t="n"/>
      <c r="F42" s="14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3">
        <f>IF($C42="","",N(L42)-N(M42))</f>
        <v/>
      </c>
      <c r="P42" s="24" t="n"/>
      <c r="Q42" s="23">
        <f>IF($C42="","",N(M42)+N(N42))</f>
        <v/>
      </c>
      <c r="R42" s="23">
        <f>IF($C42="","",N(J42)+N(Q42))</f>
        <v/>
      </c>
      <c r="S42" s="25">
        <f>IF(OR($C42="",N($G42)=0),"",R42/$G42)</f>
        <v/>
      </c>
      <c r="T42" s="23">
        <f>IF($C42="","",N($G42)-N(R42))</f>
        <v/>
      </c>
      <c r="U42" s="24" t="n"/>
      <c r="V42" s="22" t="n"/>
    </row>
    <row r="43">
      <c r="B43" s="13">
        <f>IF($C43="","",COUNTA($C$9:$C43))</f>
        <v/>
      </c>
      <c r="C43" s="21" t="n"/>
      <c r="D43" s="14" t="n"/>
      <c r="E43" s="14" t="n"/>
      <c r="F43" s="14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3">
        <f>IF($C43="","",N(L43)-N(M43))</f>
        <v/>
      </c>
      <c r="P43" s="24" t="n"/>
      <c r="Q43" s="23">
        <f>IF($C43="","",N(M43)+N(N43))</f>
        <v/>
      </c>
      <c r="R43" s="23">
        <f>IF($C43="","",N(J43)+N(Q43))</f>
        <v/>
      </c>
      <c r="S43" s="25">
        <f>IF(OR($C43="",N($G43)=0),"",R43/$G43)</f>
        <v/>
      </c>
      <c r="T43" s="23">
        <f>IF($C43="","",N($G43)-N(R43))</f>
        <v/>
      </c>
      <c r="U43" s="24" t="n"/>
      <c r="V43" s="22" t="n"/>
    </row>
    <row r="44">
      <c r="B44" s="13">
        <f>IF($C44="","",COUNTA($C$9:$C44))</f>
        <v/>
      </c>
      <c r="C44" s="21" t="n"/>
      <c r="D44" s="14" t="n"/>
      <c r="E44" s="14" t="n"/>
      <c r="F44" s="14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3">
        <f>IF($C44="","",N(L44)-N(M44))</f>
        <v/>
      </c>
      <c r="P44" s="24" t="n"/>
      <c r="Q44" s="23">
        <f>IF($C44="","",N(M44)+N(N44))</f>
        <v/>
      </c>
      <c r="R44" s="23">
        <f>IF($C44="","",N(J44)+N(Q44))</f>
        <v/>
      </c>
      <c r="S44" s="25">
        <f>IF(OR($C44="",N($G44)=0),"",R44/$G44)</f>
        <v/>
      </c>
      <c r="T44" s="23">
        <f>IF($C44="","",N($G44)-N(R44))</f>
        <v/>
      </c>
      <c r="U44" s="24" t="n"/>
      <c r="V44" s="22" t="n"/>
    </row>
    <row r="45">
      <c r="B45" s="13">
        <f>IF($C45="","",COUNTA($C$9:$C45))</f>
        <v/>
      </c>
      <c r="C45" s="21" t="n"/>
      <c r="D45" s="14" t="n"/>
      <c r="E45" s="14" t="n"/>
      <c r="F45" s="14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3">
        <f>IF($C45="","",N(L45)-N(M45))</f>
        <v/>
      </c>
      <c r="P45" s="24" t="n"/>
      <c r="Q45" s="23">
        <f>IF($C45="","",N(M45)+N(N45))</f>
        <v/>
      </c>
      <c r="R45" s="23">
        <f>IF($C45="","",N(J45)+N(Q45))</f>
        <v/>
      </c>
      <c r="S45" s="25">
        <f>IF(OR($C45="",N($G45)=0),"",R45/$G45)</f>
        <v/>
      </c>
      <c r="T45" s="23">
        <f>IF($C45="","",N($G45)-N(R45))</f>
        <v/>
      </c>
      <c r="U45" s="24" t="n"/>
      <c r="V45" s="22" t="n"/>
    </row>
    <row r="46">
      <c r="B46" s="13">
        <f>IF($C46="","",COUNTA($C$9:$C46))</f>
        <v/>
      </c>
      <c r="C46" s="21" t="n"/>
      <c r="D46" s="14" t="n"/>
      <c r="E46" s="14" t="n"/>
      <c r="F46" s="14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3">
        <f>IF($C46="","",N(L46)-N(M46))</f>
        <v/>
      </c>
      <c r="P46" s="24" t="n"/>
      <c r="Q46" s="23">
        <f>IF($C46="","",N(M46)+N(N46))</f>
        <v/>
      </c>
      <c r="R46" s="23">
        <f>IF($C46="","",N(J46)+N(Q46))</f>
        <v/>
      </c>
      <c r="S46" s="25">
        <f>IF(OR($C46="",N($G46)=0),"",R46/$G46)</f>
        <v/>
      </c>
      <c r="T46" s="23">
        <f>IF($C46="","",N($G46)-N(R46))</f>
        <v/>
      </c>
      <c r="U46" s="24" t="n"/>
      <c r="V46" s="22" t="n"/>
    </row>
    <row r="47">
      <c r="B47" s="13">
        <f>IF($C47="","",COUNTA($C$9:$C47))</f>
        <v/>
      </c>
      <c r="C47" s="21" t="n"/>
      <c r="D47" s="14" t="n"/>
      <c r="E47" s="14" t="n"/>
      <c r="F47" s="14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3">
        <f>IF($C47="","",N(L47)-N(M47))</f>
        <v/>
      </c>
      <c r="P47" s="24" t="n"/>
      <c r="Q47" s="23">
        <f>IF($C47="","",N(M47)+N(N47))</f>
        <v/>
      </c>
      <c r="R47" s="23">
        <f>IF($C47="","",N(J47)+N(Q47))</f>
        <v/>
      </c>
      <c r="S47" s="25">
        <f>IF(OR($C47="",N($G47)=0),"",R47/$G47)</f>
        <v/>
      </c>
      <c r="T47" s="23">
        <f>IF($C47="","",N($G47)-N(R47))</f>
        <v/>
      </c>
      <c r="U47" s="24" t="n"/>
      <c r="V47" s="22" t="n"/>
    </row>
    <row r="48">
      <c r="B48" s="13">
        <f>IF($C48="","",COUNTA($C$9:$C48))</f>
        <v/>
      </c>
      <c r="C48" s="21" t="n"/>
      <c r="D48" s="14" t="n"/>
      <c r="E48" s="14" t="n"/>
      <c r="F48" s="14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3">
        <f>IF($C48="","",N(L48)-N(M48))</f>
        <v/>
      </c>
      <c r="P48" s="24" t="n"/>
      <c r="Q48" s="23">
        <f>IF($C48="","",N(M48)+N(N48))</f>
        <v/>
      </c>
      <c r="R48" s="23">
        <f>IF($C48="","",N(J48)+N(Q48))</f>
        <v/>
      </c>
      <c r="S48" s="25">
        <f>IF(OR($C48="",N($G48)=0),"",R48/$G48)</f>
        <v/>
      </c>
      <c r="T48" s="23">
        <f>IF($C48="","",N($G48)-N(R48))</f>
        <v/>
      </c>
      <c r="U48" s="24" t="n"/>
      <c r="V48" s="22" t="n"/>
    </row>
    <row r="49">
      <c r="B49" s="13">
        <f>IF($C49="","",COUNTA($C$9:$C49))</f>
        <v/>
      </c>
      <c r="C49" s="21" t="n"/>
      <c r="D49" s="14" t="n"/>
      <c r="E49" s="14" t="n"/>
      <c r="F49" s="14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3">
        <f>IF($C49="","",N(L49)-N(M49))</f>
        <v/>
      </c>
      <c r="P49" s="24" t="n"/>
      <c r="Q49" s="23">
        <f>IF($C49="","",N(M49)+N(N49))</f>
        <v/>
      </c>
      <c r="R49" s="23">
        <f>IF($C49="","",N(J49)+N(Q49))</f>
        <v/>
      </c>
      <c r="S49" s="25">
        <f>IF(OR($C49="",N($G49)=0),"",R49/$G49)</f>
        <v/>
      </c>
      <c r="T49" s="23">
        <f>IF($C49="","",N($G49)-N(R49))</f>
        <v/>
      </c>
      <c r="U49" s="24" t="n"/>
      <c r="V49" s="22" t="n"/>
    </row>
    <row r="50">
      <c r="B50" s="13">
        <f>IF($C50="","",COUNTA($C$9:$C50))</f>
        <v/>
      </c>
      <c r="C50" s="21" t="n"/>
      <c r="D50" s="14" t="n"/>
      <c r="E50" s="14" t="n"/>
      <c r="F50" s="14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3">
        <f>IF($C50="","",N(L50)-N(M50))</f>
        <v/>
      </c>
      <c r="P50" s="24" t="n"/>
      <c r="Q50" s="23">
        <f>IF($C50="","",N(M50)+N(N50))</f>
        <v/>
      </c>
      <c r="R50" s="23">
        <f>IF($C50="","",N(J50)+N(Q50))</f>
        <v/>
      </c>
      <c r="S50" s="25">
        <f>IF(OR($C50="",N($G50)=0),"",R50/$G50)</f>
        <v/>
      </c>
      <c r="T50" s="23">
        <f>IF($C50="","",N($G50)-N(R50))</f>
        <v/>
      </c>
      <c r="U50" s="24" t="n"/>
      <c r="V50" s="22" t="n"/>
    </row>
    <row r="51">
      <c r="B51" s="13">
        <f>IF($C51="","",COUNTA($C$9:$C51))</f>
        <v/>
      </c>
      <c r="C51" s="21" t="n"/>
      <c r="D51" s="14" t="n"/>
      <c r="E51" s="14" t="n"/>
      <c r="F51" s="14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3">
        <f>IF($C51="","",N(L51)-N(M51))</f>
        <v/>
      </c>
      <c r="P51" s="24" t="n"/>
      <c r="Q51" s="23">
        <f>IF($C51="","",N(M51)+N(N51))</f>
        <v/>
      </c>
      <c r="R51" s="23">
        <f>IF($C51="","",N(J51)+N(Q51))</f>
        <v/>
      </c>
      <c r="S51" s="25">
        <f>IF(OR($C51="",N($G51)=0),"",R51/$G51)</f>
        <v/>
      </c>
      <c r="T51" s="23">
        <f>IF($C51="","",N($G51)-N(R51))</f>
        <v/>
      </c>
      <c r="U51" s="24" t="n"/>
      <c r="V51" s="22" t="n"/>
    </row>
    <row r="52">
      <c r="B52" s="13">
        <f>IF($C52="","",COUNTA($C$9:$C52))</f>
        <v/>
      </c>
      <c r="C52" s="21" t="n"/>
      <c r="D52" s="14" t="n"/>
      <c r="E52" s="14" t="n"/>
      <c r="F52" s="14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3">
        <f>IF($C52="","",N(L52)-N(M52))</f>
        <v/>
      </c>
      <c r="P52" s="24" t="n"/>
      <c r="Q52" s="23">
        <f>IF($C52="","",N(M52)+N(N52))</f>
        <v/>
      </c>
      <c r="R52" s="23">
        <f>IF($C52="","",N(J52)+N(Q52))</f>
        <v/>
      </c>
      <c r="S52" s="25">
        <f>IF(OR($C52="",N($G52)=0),"",R52/$G52)</f>
        <v/>
      </c>
      <c r="T52" s="23">
        <f>IF($C52="","",N($G52)-N(R52))</f>
        <v/>
      </c>
      <c r="U52" s="24" t="n"/>
      <c r="V52" s="22" t="n"/>
    </row>
    <row r="53">
      <c r="B53" s="13">
        <f>IF($C53="","",COUNTA($C$9:$C53))</f>
        <v/>
      </c>
      <c r="C53" s="21" t="n"/>
      <c r="D53" s="14" t="n"/>
      <c r="E53" s="14" t="n"/>
      <c r="F53" s="14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3">
        <f>IF($C53="","",N(L53)-N(M53))</f>
        <v/>
      </c>
      <c r="P53" s="24" t="n"/>
      <c r="Q53" s="23">
        <f>IF($C53="","",N(M53)+N(N53))</f>
        <v/>
      </c>
      <c r="R53" s="23">
        <f>IF($C53="","",N(J53)+N(Q53))</f>
        <v/>
      </c>
      <c r="S53" s="25">
        <f>IF(OR($C53="",N($G53)=0),"",R53/$G53)</f>
        <v/>
      </c>
      <c r="T53" s="23">
        <f>IF($C53="","",N($G53)-N(R53))</f>
        <v/>
      </c>
      <c r="U53" s="24" t="n"/>
      <c r="V53" s="22" t="n"/>
    </row>
    <row r="54">
      <c r="B54" s="13">
        <f>IF($C54="","",COUNTA($C$9:$C54))</f>
        <v/>
      </c>
      <c r="C54" s="21" t="n"/>
      <c r="D54" s="14" t="n"/>
      <c r="E54" s="14" t="n"/>
      <c r="F54" s="14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3">
        <f>IF($C54="","",N(L54)-N(M54))</f>
        <v/>
      </c>
      <c r="P54" s="24" t="n"/>
      <c r="Q54" s="23">
        <f>IF($C54="","",N(M54)+N(N54))</f>
        <v/>
      </c>
      <c r="R54" s="23">
        <f>IF($C54="","",N(J54)+N(Q54))</f>
        <v/>
      </c>
      <c r="S54" s="25">
        <f>IF(OR($C54="",N($G54)=0),"",R54/$G54)</f>
        <v/>
      </c>
      <c r="T54" s="23">
        <f>IF($C54="","",N($G54)-N(R54))</f>
        <v/>
      </c>
      <c r="U54" s="24" t="n"/>
      <c r="V54" s="22" t="n"/>
    </row>
    <row r="55">
      <c r="B55" s="13">
        <f>IF($C55="","",COUNTA($C$9:$C55))</f>
        <v/>
      </c>
      <c r="C55" s="21" t="n"/>
      <c r="D55" s="14" t="n"/>
      <c r="E55" s="14" t="n"/>
      <c r="F55" s="14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3">
        <f>IF($C55="","",N(L55)-N(M55))</f>
        <v/>
      </c>
      <c r="P55" s="24" t="n"/>
      <c r="Q55" s="23">
        <f>IF($C55="","",N(M55)+N(N55))</f>
        <v/>
      </c>
      <c r="R55" s="23">
        <f>IF($C55="","",N(J55)+N(Q55))</f>
        <v/>
      </c>
      <c r="S55" s="25">
        <f>IF(OR($C55="",N($G55)=0),"",R55/$G55)</f>
        <v/>
      </c>
      <c r="T55" s="23">
        <f>IF($C55="","",N($G55)-N(R55))</f>
        <v/>
      </c>
      <c r="U55" s="24" t="n"/>
      <c r="V55" s="22" t="n"/>
    </row>
    <row r="56">
      <c r="B56" s="13">
        <f>IF($C56="","",COUNTA($C$9:$C56))</f>
        <v/>
      </c>
      <c r="C56" s="21" t="n"/>
      <c r="D56" s="14" t="n"/>
      <c r="E56" s="14" t="n"/>
      <c r="F56" s="14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3">
        <f>IF($C56="","",N(L56)-N(M56))</f>
        <v/>
      </c>
      <c r="P56" s="24" t="n"/>
      <c r="Q56" s="23">
        <f>IF($C56="","",N(M56)+N(N56))</f>
        <v/>
      </c>
      <c r="R56" s="23">
        <f>IF($C56="","",N(J56)+N(Q56))</f>
        <v/>
      </c>
      <c r="S56" s="25">
        <f>IF(OR($C56="",N($G56)=0),"",R56/$G56)</f>
        <v/>
      </c>
      <c r="T56" s="23">
        <f>IF($C56="","",N($G56)-N(R56))</f>
        <v/>
      </c>
      <c r="U56" s="24" t="n"/>
      <c r="V56" s="22" t="n"/>
    </row>
    <row r="57">
      <c r="B57" s="13">
        <f>IF($C57="","",COUNTA($C$9:$C57))</f>
        <v/>
      </c>
      <c r="C57" s="21" t="n"/>
      <c r="D57" s="14" t="n"/>
      <c r="E57" s="14" t="n"/>
      <c r="F57" s="14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3">
        <f>IF($C57="","",N(L57)-N(M57))</f>
        <v/>
      </c>
      <c r="P57" s="24" t="n"/>
      <c r="Q57" s="23">
        <f>IF($C57="","",N(M57)+N(N57))</f>
        <v/>
      </c>
      <c r="R57" s="23">
        <f>IF($C57="","",N(J57)+N(Q57))</f>
        <v/>
      </c>
      <c r="S57" s="25">
        <f>IF(OR($C57="",N($G57)=0),"",R57/$G57)</f>
        <v/>
      </c>
      <c r="T57" s="23">
        <f>IF($C57="","",N($G57)-N(R57))</f>
        <v/>
      </c>
      <c r="U57" s="24" t="n"/>
      <c r="V57" s="22" t="n"/>
    </row>
    <row r="58">
      <c r="B58" s="13">
        <f>IF($C58="","",COUNTA($C$9:$C58))</f>
        <v/>
      </c>
      <c r="C58" s="21" t="n"/>
      <c r="D58" s="14" t="n"/>
      <c r="E58" s="14" t="n"/>
      <c r="F58" s="14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3">
        <f>IF($C58="","",N(L58)-N(M58))</f>
        <v/>
      </c>
      <c r="P58" s="24" t="n"/>
      <c r="Q58" s="23">
        <f>IF($C58="","",N(M58)+N(N58))</f>
        <v/>
      </c>
      <c r="R58" s="23">
        <f>IF($C58="","",N(J58)+N(Q58))</f>
        <v/>
      </c>
      <c r="S58" s="25">
        <f>IF(OR($C58="",N($G58)=0),"",R58/$G58)</f>
        <v/>
      </c>
      <c r="T58" s="23">
        <f>IF($C58="","",N($G58)-N(R58))</f>
        <v/>
      </c>
      <c r="U58" s="24" t="n"/>
      <c r="V58" s="22" t="n"/>
    </row>
    <row r="59">
      <c r="B59" s="13">
        <f>IF($C59="","",COUNTA($C$9:$C59))</f>
        <v/>
      </c>
      <c r="C59" s="21" t="n"/>
      <c r="D59" s="14" t="n"/>
      <c r="E59" s="14" t="n"/>
      <c r="F59" s="14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3">
        <f>IF($C59="","",N(L59)-N(M59))</f>
        <v/>
      </c>
      <c r="P59" s="24" t="n"/>
      <c r="Q59" s="23">
        <f>IF($C59="","",N(M59)+N(N59))</f>
        <v/>
      </c>
      <c r="R59" s="23">
        <f>IF($C59="","",N(J59)+N(Q59))</f>
        <v/>
      </c>
      <c r="S59" s="25">
        <f>IF(OR($C59="",N($G59)=0),"",R59/$G59)</f>
        <v/>
      </c>
      <c r="T59" s="23">
        <f>IF($C59="","",N($G59)-N(R59))</f>
        <v/>
      </c>
      <c r="U59" s="24" t="n"/>
      <c r="V59" s="22" t="n"/>
    </row>
    <row r="60">
      <c r="B60" s="13">
        <f>IF($C60="","",COUNTA($C$9:$C60))</f>
        <v/>
      </c>
      <c r="C60" s="21" t="n"/>
      <c r="D60" s="14" t="n"/>
      <c r="E60" s="14" t="n"/>
      <c r="F60" s="14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3">
        <f>IF($C60="","",N(L60)-N(M60))</f>
        <v/>
      </c>
      <c r="P60" s="24" t="n"/>
      <c r="Q60" s="23">
        <f>IF($C60="","",N(M60)+N(N60))</f>
        <v/>
      </c>
      <c r="R60" s="23">
        <f>IF($C60="","",N(J60)+N(Q60))</f>
        <v/>
      </c>
      <c r="S60" s="25">
        <f>IF(OR($C60="",N($G60)=0),"",R60/$G60)</f>
        <v/>
      </c>
      <c r="T60" s="23">
        <f>IF($C60="","",N($G60)-N(R60))</f>
        <v/>
      </c>
      <c r="U60" s="24" t="n"/>
      <c r="V60" s="22" t="n"/>
    </row>
    <row r="61">
      <c r="B61" s="13">
        <f>IF($C61="","",COUNTA($C$9:$C61))</f>
        <v/>
      </c>
      <c r="C61" s="21" t="n"/>
      <c r="D61" s="14" t="n"/>
      <c r="E61" s="14" t="n"/>
      <c r="F61" s="14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3">
        <f>IF($C61="","",N(L61)-N(M61))</f>
        <v/>
      </c>
      <c r="P61" s="24" t="n"/>
      <c r="Q61" s="23">
        <f>IF($C61="","",N(M61)+N(N61))</f>
        <v/>
      </c>
      <c r="R61" s="23">
        <f>IF($C61="","",N(J61)+N(Q61))</f>
        <v/>
      </c>
      <c r="S61" s="25">
        <f>IF(OR($C61="",N($G61)=0),"",R61/$G61)</f>
        <v/>
      </c>
      <c r="T61" s="23">
        <f>IF($C61="","",N($G61)-N(R61))</f>
        <v/>
      </c>
      <c r="U61" s="24" t="n"/>
      <c r="V61" s="22" t="n"/>
    </row>
    <row r="62">
      <c r="B62" s="13">
        <f>IF($C62="","",COUNTA($C$9:$C62))</f>
        <v/>
      </c>
      <c r="C62" s="21" t="n"/>
      <c r="D62" s="14" t="n"/>
      <c r="E62" s="14" t="n"/>
      <c r="F62" s="14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3">
        <f>IF($C62="","",N(L62)-N(M62))</f>
        <v/>
      </c>
      <c r="P62" s="24" t="n"/>
      <c r="Q62" s="23">
        <f>IF($C62="","",N(M62)+N(N62))</f>
        <v/>
      </c>
      <c r="R62" s="23">
        <f>IF($C62="","",N(J62)+N(Q62))</f>
        <v/>
      </c>
      <c r="S62" s="25">
        <f>IF(OR($C62="",N($G62)=0),"",R62/$G62)</f>
        <v/>
      </c>
      <c r="T62" s="23">
        <f>IF($C62="","",N($G62)-N(R62))</f>
        <v/>
      </c>
      <c r="U62" s="24" t="n"/>
      <c r="V62" s="22" t="n"/>
    </row>
    <row r="63">
      <c r="B63" s="13">
        <f>IF($C63="","",COUNTA($C$9:$C63))</f>
        <v/>
      </c>
      <c r="C63" s="21" t="n"/>
      <c r="D63" s="14" t="n"/>
      <c r="E63" s="14" t="n"/>
      <c r="F63" s="14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3">
        <f>IF($C63="","",N(L63)-N(M63))</f>
        <v/>
      </c>
      <c r="P63" s="24" t="n"/>
      <c r="Q63" s="23">
        <f>IF($C63="","",N(M63)+N(N63))</f>
        <v/>
      </c>
      <c r="R63" s="23">
        <f>IF($C63="","",N(J63)+N(Q63))</f>
        <v/>
      </c>
      <c r="S63" s="25">
        <f>IF(OR($C63="",N($G63)=0),"",R63/$G63)</f>
        <v/>
      </c>
      <c r="T63" s="23">
        <f>IF($C63="","",N($G63)-N(R63))</f>
        <v/>
      </c>
      <c r="U63" s="24" t="n"/>
      <c r="V63" s="22" t="n"/>
    </row>
    <row r="64">
      <c r="B64" s="13">
        <f>IF($C64="","",COUNTA($C$9:$C64))</f>
        <v/>
      </c>
      <c r="C64" s="21" t="n"/>
      <c r="D64" s="14" t="n"/>
      <c r="E64" s="14" t="n"/>
      <c r="F64" s="14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3">
        <f>IF($C64="","",N(L64)-N(M64))</f>
        <v/>
      </c>
      <c r="P64" s="24" t="n"/>
      <c r="Q64" s="23">
        <f>IF($C64="","",N(M64)+N(N64))</f>
        <v/>
      </c>
      <c r="R64" s="23">
        <f>IF($C64="","",N(J64)+N(Q64))</f>
        <v/>
      </c>
      <c r="S64" s="25">
        <f>IF(OR($C64="",N($G64)=0),"",R64/$G64)</f>
        <v/>
      </c>
      <c r="T64" s="23">
        <f>IF($C64="","",N($G64)-N(R64))</f>
        <v/>
      </c>
      <c r="U64" s="24" t="n"/>
      <c r="V64" s="22" t="n"/>
    </row>
    <row r="65">
      <c r="B65" s="13">
        <f>IF($C65="","",COUNTA($C$9:$C65))</f>
        <v/>
      </c>
      <c r="C65" s="21" t="n"/>
      <c r="D65" s="14" t="n"/>
      <c r="E65" s="14" t="n"/>
      <c r="F65" s="14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3">
        <f>IF($C65="","",N(L65)-N(M65))</f>
        <v/>
      </c>
      <c r="P65" s="24" t="n"/>
      <c r="Q65" s="23">
        <f>IF($C65="","",N(M65)+N(N65))</f>
        <v/>
      </c>
      <c r="R65" s="23">
        <f>IF($C65="","",N(J65)+N(Q65))</f>
        <v/>
      </c>
      <c r="S65" s="25">
        <f>IF(OR($C65="",N($G65)=0),"",R65/$G65)</f>
        <v/>
      </c>
      <c r="T65" s="23">
        <f>IF($C65="","",N($G65)-N(R65))</f>
        <v/>
      </c>
      <c r="U65" s="24" t="n"/>
      <c r="V65" s="22" t="n"/>
    </row>
    <row r="66">
      <c r="B66" s="13">
        <f>IF($C66="","",COUNTA($C$9:$C66))</f>
        <v/>
      </c>
      <c r="C66" s="21" t="n"/>
      <c r="D66" s="14" t="n"/>
      <c r="E66" s="14" t="n"/>
      <c r="F66" s="14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3">
        <f>IF($C66="","",N(L66)-N(M66))</f>
        <v/>
      </c>
      <c r="P66" s="24" t="n"/>
      <c r="Q66" s="23">
        <f>IF($C66="","",N(M66)+N(N66))</f>
        <v/>
      </c>
      <c r="R66" s="23">
        <f>IF($C66="","",N(J66)+N(Q66))</f>
        <v/>
      </c>
      <c r="S66" s="25">
        <f>IF(OR($C66="",N($G66)=0),"",R66/$G66)</f>
        <v/>
      </c>
      <c r="T66" s="23">
        <f>IF($C66="","",N($G66)-N(R66))</f>
        <v/>
      </c>
      <c r="U66" s="24" t="n"/>
      <c r="V66" s="22" t="n"/>
    </row>
    <row r="67">
      <c r="B67" s="13">
        <f>IF($C67="","",COUNTA($C$9:$C67))</f>
        <v/>
      </c>
      <c r="C67" s="21" t="n"/>
      <c r="D67" s="14" t="n"/>
      <c r="E67" s="14" t="n"/>
      <c r="F67" s="14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3">
        <f>IF($C67="","",N(L67)-N(M67))</f>
        <v/>
      </c>
      <c r="P67" s="24" t="n"/>
      <c r="Q67" s="23">
        <f>IF($C67="","",N(M67)+N(N67))</f>
        <v/>
      </c>
      <c r="R67" s="23">
        <f>IF($C67="","",N(J67)+N(Q67))</f>
        <v/>
      </c>
      <c r="S67" s="25">
        <f>IF(OR($C67="",N($G67)=0),"",R67/$G67)</f>
        <v/>
      </c>
      <c r="T67" s="23">
        <f>IF($C67="","",N($G67)-N(R67))</f>
        <v/>
      </c>
      <c r="U67" s="24" t="n"/>
      <c r="V67" s="22" t="n"/>
    </row>
    <row r="68">
      <c r="B68" s="13">
        <f>IF($C68="","",COUNTA($C$9:$C68))</f>
        <v/>
      </c>
      <c r="C68" s="21" t="n"/>
      <c r="D68" s="14" t="n"/>
      <c r="E68" s="14" t="n"/>
      <c r="F68" s="14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3">
        <f>IF($C68="","",N(L68)-N(M68))</f>
        <v/>
      </c>
      <c r="P68" s="24" t="n"/>
      <c r="Q68" s="23">
        <f>IF($C68="","",N(M68)+N(N68))</f>
        <v/>
      </c>
      <c r="R68" s="23">
        <f>IF($C68="","",N(J68)+N(Q68))</f>
        <v/>
      </c>
      <c r="S68" s="25">
        <f>IF(OR($C68="",N($G68)=0),"",R68/$G68)</f>
        <v/>
      </c>
      <c r="T68" s="23">
        <f>IF($C68="","",N($G68)-N(R68))</f>
        <v/>
      </c>
      <c r="U68" s="24" t="n"/>
      <c r="V68" s="22" t="n"/>
    </row>
    <row r="69">
      <c r="B69" s="13">
        <f>IF($C69="","",COUNTA($C$9:$C69))</f>
        <v/>
      </c>
      <c r="C69" s="21" t="n"/>
      <c r="D69" s="14" t="n"/>
      <c r="E69" s="14" t="n"/>
      <c r="F69" s="14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3">
        <f>IF($C69="","",N(L69)-N(M69))</f>
        <v/>
      </c>
      <c r="P69" s="24" t="n"/>
      <c r="Q69" s="23">
        <f>IF($C69="","",N(M69)+N(N69))</f>
        <v/>
      </c>
      <c r="R69" s="23">
        <f>IF($C69="","",N(J69)+N(Q69))</f>
        <v/>
      </c>
      <c r="S69" s="25">
        <f>IF(OR($C69="",N($G69)=0),"",R69/$G69)</f>
        <v/>
      </c>
      <c r="T69" s="23">
        <f>IF($C69="","",N($G69)-N(R69))</f>
        <v/>
      </c>
      <c r="U69" s="24" t="n"/>
      <c r="V69" s="22" t="n"/>
    </row>
    <row r="70">
      <c r="B70" s="13">
        <f>IF($C70="","",COUNTA($C$9:$C70))</f>
        <v/>
      </c>
      <c r="C70" s="21" t="n"/>
      <c r="D70" s="14" t="n"/>
      <c r="E70" s="14" t="n"/>
      <c r="F70" s="14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3">
        <f>IF($C70="","",N(L70)-N(M70))</f>
        <v/>
      </c>
      <c r="P70" s="24" t="n"/>
      <c r="Q70" s="23">
        <f>IF($C70="","",N(M70)+N(N70))</f>
        <v/>
      </c>
      <c r="R70" s="23">
        <f>IF($C70="","",N(J70)+N(Q70))</f>
        <v/>
      </c>
      <c r="S70" s="25">
        <f>IF(OR($C70="",N($G70)=0),"",R70/$G70)</f>
        <v/>
      </c>
      <c r="T70" s="23">
        <f>IF($C70="","",N($G70)-N(R70))</f>
        <v/>
      </c>
      <c r="U70" s="24" t="n"/>
      <c r="V70" s="22" t="n"/>
    </row>
    <row r="71">
      <c r="B71" s="13">
        <f>IF($C71="","",COUNTA($C$9:$C71))</f>
        <v/>
      </c>
      <c r="C71" s="21" t="n"/>
      <c r="D71" s="14" t="n"/>
      <c r="E71" s="14" t="n"/>
      <c r="F71" s="14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3">
        <f>IF($C71="","",N(L71)-N(M71))</f>
        <v/>
      </c>
      <c r="P71" s="24" t="n"/>
      <c r="Q71" s="23">
        <f>IF($C71="","",N(M71)+N(N71))</f>
        <v/>
      </c>
      <c r="R71" s="23">
        <f>IF($C71="","",N(J71)+N(Q71))</f>
        <v/>
      </c>
      <c r="S71" s="25">
        <f>IF(OR($C71="",N($G71)=0),"",R71/$G71)</f>
        <v/>
      </c>
      <c r="T71" s="23">
        <f>IF($C71="","",N($G71)-N(R71))</f>
        <v/>
      </c>
      <c r="U71" s="24" t="n"/>
      <c r="V71" s="22" t="n"/>
    </row>
    <row r="72">
      <c r="B72" s="13">
        <f>IF($C72="","",COUNTA($C$9:$C72))</f>
        <v/>
      </c>
      <c r="C72" s="21" t="n"/>
      <c r="D72" s="14" t="n"/>
      <c r="E72" s="14" t="n"/>
      <c r="F72" s="14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3">
        <f>IF($C72="","",N(L72)-N(M72))</f>
        <v/>
      </c>
      <c r="P72" s="24" t="n"/>
      <c r="Q72" s="23">
        <f>IF($C72="","",N(M72)+N(N72))</f>
        <v/>
      </c>
      <c r="R72" s="23">
        <f>IF($C72="","",N(J72)+N(Q72))</f>
        <v/>
      </c>
      <c r="S72" s="25">
        <f>IF(OR($C72="",N($G72)=0),"",R72/$G72)</f>
        <v/>
      </c>
      <c r="T72" s="23">
        <f>IF($C72="","",N($G72)-N(R72))</f>
        <v/>
      </c>
      <c r="U72" s="24" t="n"/>
      <c r="V72" s="22" t="n"/>
    </row>
    <row r="73">
      <c r="B73" s="13">
        <f>IF($C73="","",COUNTA($C$9:$C73))</f>
        <v/>
      </c>
      <c r="C73" s="21" t="n"/>
      <c r="D73" s="14" t="n"/>
      <c r="E73" s="14" t="n"/>
      <c r="F73" s="14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3">
        <f>IF($C73="","",N(L73)-N(M73))</f>
        <v/>
      </c>
      <c r="P73" s="24" t="n"/>
      <c r="Q73" s="23">
        <f>IF($C73="","",N(M73)+N(N73))</f>
        <v/>
      </c>
      <c r="R73" s="23">
        <f>IF($C73="","",N(J73)+N(Q73))</f>
        <v/>
      </c>
      <c r="S73" s="25">
        <f>IF(OR($C73="",N($G73)=0),"",R73/$G73)</f>
        <v/>
      </c>
      <c r="T73" s="23">
        <f>IF($C73="","",N($G73)-N(R73))</f>
        <v/>
      </c>
      <c r="U73" s="24" t="n"/>
      <c r="V73" s="22" t="n"/>
    </row>
    <row r="74">
      <c r="B74" s="13">
        <f>IF($C74="","",COUNTA($C$9:$C74))</f>
        <v/>
      </c>
      <c r="C74" s="21" t="n"/>
      <c r="D74" s="14" t="n"/>
      <c r="E74" s="14" t="n"/>
      <c r="F74" s="14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3">
        <f>IF($C74="","",N(L74)-N(M74))</f>
        <v/>
      </c>
      <c r="P74" s="24" t="n"/>
      <c r="Q74" s="23">
        <f>IF($C74="","",N(M74)+N(N74))</f>
        <v/>
      </c>
      <c r="R74" s="23">
        <f>IF($C74="","",N(J74)+N(Q74))</f>
        <v/>
      </c>
      <c r="S74" s="25">
        <f>IF(OR($C74="",N($G74)=0),"",R74/$G74)</f>
        <v/>
      </c>
      <c r="T74" s="23">
        <f>IF($C74="","",N($G74)-N(R74))</f>
        <v/>
      </c>
      <c r="U74" s="24" t="n"/>
      <c r="V74" s="22" t="n"/>
    </row>
    <row r="75">
      <c r="B75" s="13">
        <f>IF($C75="","",COUNTA($C$9:$C75))</f>
        <v/>
      </c>
      <c r="C75" s="21" t="n"/>
      <c r="D75" s="14" t="n"/>
      <c r="E75" s="14" t="n"/>
      <c r="F75" s="14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3">
        <f>IF($C75="","",N(L75)-N(M75))</f>
        <v/>
      </c>
      <c r="P75" s="24" t="n"/>
      <c r="Q75" s="23">
        <f>IF($C75="","",N(M75)+N(N75))</f>
        <v/>
      </c>
      <c r="R75" s="23">
        <f>IF($C75="","",N(J75)+N(Q75))</f>
        <v/>
      </c>
      <c r="S75" s="25">
        <f>IF(OR($C75="",N($G75)=0),"",R75/$G75)</f>
        <v/>
      </c>
      <c r="T75" s="23">
        <f>IF($C75="","",N($G75)-N(R75))</f>
        <v/>
      </c>
      <c r="U75" s="24" t="n"/>
      <c r="V75" s="22" t="n"/>
    </row>
    <row r="76">
      <c r="B76" s="13">
        <f>IF($C76="","",COUNTA($C$9:$C76))</f>
        <v/>
      </c>
      <c r="C76" s="21" t="n"/>
      <c r="D76" s="14" t="n"/>
      <c r="E76" s="14" t="n"/>
      <c r="F76" s="14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3">
        <f>IF($C76="","",N(L76)-N(M76))</f>
        <v/>
      </c>
      <c r="P76" s="24" t="n"/>
      <c r="Q76" s="23">
        <f>IF($C76="","",N(M76)+N(N76))</f>
        <v/>
      </c>
      <c r="R76" s="23">
        <f>IF($C76="","",N(J76)+N(Q76))</f>
        <v/>
      </c>
      <c r="S76" s="25">
        <f>IF(OR($C76="",N($G76)=0),"",R76/$G76)</f>
        <v/>
      </c>
      <c r="T76" s="23">
        <f>IF($C76="","",N($G76)-N(R76))</f>
        <v/>
      </c>
      <c r="U76" s="24" t="n"/>
      <c r="V76" s="22" t="n"/>
    </row>
    <row r="77">
      <c r="B77" s="13">
        <f>IF($C77="","",COUNTA($C$9:$C77))</f>
        <v/>
      </c>
      <c r="C77" s="21" t="n"/>
      <c r="D77" s="14" t="n"/>
      <c r="E77" s="14" t="n"/>
      <c r="F77" s="14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3">
        <f>IF($C77="","",N(L77)-N(M77))</f>
        <v/>
      </c>
      <c r="P77" s="24" t="n"/>
      <c r="Q77" s="23">
        <f>IF($C77="","",N(M77)+N(N77))</f>
        <v/>
      </c>
      <c r="R77" s="23">
        <f>IF($C77="","",N(J77)+N(Q77))</f>
        <v/>
      </c>
      <c r="S77" s="25">
        <f>IF(OR($C77="",N($G77)=0),"",R77/$G77)</f>
        <v/>
      </c>
      <c r="T77" s="23">
        <f>IF($C77="","",N($G77)-N(R77))</f>
        <v/>
      </c>
      <c r="U77" s="24" t="n"/>
      <c r="V77" s="22" t="n"/>
    </row>
    <row r="78">
      <c r="B78" s="13">
        <f>IF($C78="","",COUNTA($C$9:$C78))</f>
        <v/>
      </c>
      <c r="C78" s="21" t="n"/>
      <c r="D78" s="14" t="n"/>
      <c r="E78" s="14" t="n"/>
      <c r="F78" s="14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3">
        <f>IF($C78="","",N(L78)-N(M78))</f>
        <v/>
      </c>
      <c r="P78" s="24" t="n"/>
      <c r="Q78" s="23">
        <f>IF($C78="","",N(M78)+N(N78))</f>
        <v/>
      </c>
      <c r="R78" s="23">
        <f>IF($C78="","",N(J78)+N(Q78))</f>
        <v/>
      </c>
      <c r="S78" s="25">
        <f>IF(OR($C78="",N($G78)=0),"",R78/$G78)</f>
        <v/>
      </c>
      <c r="T78" s="23">
        <f>IF($C78="","",N($G78)-N(R78))</f>
        <v/>
      </c>
      <c r="U78" s="24" t="n"/>
      <c r="V78" s="22" t="n"/>
    </row>
    <row r="79">
      <c r="B79" s="13">
        <f>IF($C79="","",COUNTA($C$9:$C79))</f>
        <v/>
      </c>
      <c r="C79" s="21" t="n"/>
      <c r="D79" s="14" t="n"/>
      <c r="E79" s="14" t="n"/>
      <c r="F79" s="14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3">
        <f>IF($C79="","",N(L79)-N(M79))</f>
        <v/>
      </c>
      <c r="P79" s="24" t="n"/>
      <c r="Q79" s="23">
        <f>IF($C79="","",N(M79)+N(N79))</f>
        <v/>
      </c>
      <c r="R79" s="23">
        <f>IF($C79="","",N(J79)+N(Q79))</f>
        <v/>
      </c>
      <c r="S79" s="25">
        <f>IF(OR($C79="",N($G79)=0),"",R79/$G79)</f>
        <v/>
      </c>
      <c r="T79" s="23">
        <f>IF($C79="","",N($G79)-N(R79))</f>
        <v/>
      </c>
      <c r="U79" s="24" t="n"/>
      <c r="V79" s="22" t="n"/>
    </row>
    <row r="80">
      <c r="B80" s="13">
        <f>IF($C80="","",COUNTA($C$9:$C80))</f>
        <v/>
      </c>
      <c r="C80" s="21" t="n"/>
      <c r="D80" s="14" t="n"/>
      <c r="E80" s="14" t="n"/>
      <c r="F80" s="14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3">
        <f>IF($C80="","",N(L80)-N(M80))</f>
        <v/>
      </c>
      <c r="P80" s="24" t="n"/>
      <c r="Q80" s="23">
        <f>IF($C80="","",N(M80)+N(N80))</f>
        <v/>
      </c>
      <c r="R80" s="23">
        <f>IF($C80="","",N(J80)+N(Q80))</f>
        <v/>
      </c>
      <c r="S80" s="25">
        <f>IF(OR($C80="",N($G80)=0),"",R80/$G80)</f>
        <v/>
      </c>
      <c r="T80" s="23">
        <f>IF($C80="","",N($G80)-N(R80))</f>
        <v/>
      </c>
      <c r="U80" s="24" t="n"/>
      <c r="V80" s="22" t="n"/>
    </row>
    <row r="81">
      <c r="B81" s="13">
        <f>IF($C81="","",COUNTA($C$9:$C81))</f>
        <v/>
      </c>
      <c r="C81" s="21" t="n"/>
      <c r="D81" s="14" t="n"/>
      <c r="E81" s="14" t="n"/>
      <c r="F81" s="14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3">
        <f>IF($C81="","",N(L81)-N(M81))</f>
        <v/>
      </c>
      <c r="P81" s="24" t="n"/>
      <c r="Q81" s="23">
        <f>IF($C81="","",N(M81)+N(N81))</f>
        <v/>
      </c>
      <c r="R81" s="23">
        <f>IF($C81="","",N(J81)+N(Q81))</f>
        <v/>
      </c>
      <c r="S81" s="25">
        <f>IF(OR($C81="",N($G81)=0),"",R81/$G81)</f>
        <v/>
      </c>
      <c r="T81" s="23">
        <f>IF($C81="","",N($G81)-N(R81))</f>
        <v/>
      </c>
      <c r="U81" s="24" t="n"/>
      <c r="V81" s="22" t="n"/>
    </row>
    <row r="82">
      <c r="B82" s="13">
        <f>IF($C82="","",COUNTA($C$9:$C82))</f>
        <v/>
      </c>
      <c r="C82" s="21" t="n"/>
      <c r="D82" s="14" t="n"/>
      <c r="E82" s="14" t="n"/>
      <c r="F82" s="14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3">
        <f>IF($C82="","",N(L82)-N(M82))</f>
        <v/>
      </c>
      <c r="P82" s="24" t="n"/>
      <c r="Q82" s="23">
        <f>IF($C82="","",N(M82)+N(N82))</f>
        <v/>
      </c>
      <c r="R82" s="23">
        <f>IF($C82="","",N(J82)+N(Q82))</f>
        <v/>
      </c>
      <c r="S82" s="25">
        <f>IF(OR($C82="",N($G82)=0),"",R82/$G82)</f>
        <v/>
      </c>
      <c r="T82" s="23">
        <f>IF($C82="","",N($G82)-N(R82))</f>
        <v/>
      </c>
      <c r="U82" s="24" t="n"/>
      <c r="V82" s="22" t="n"/>
    </row>
    <row r="83">
      <c r="B83" s="13">
        <f>IF($C83="","",COUNTA($C$9:$C83))</f>
        <v/>
      </c>
      <c r="C83" s="21" t="n"/>
      <c r="D83" s="14" t="n"/>
      <c r="E83" s="14" t="n"/>
      <c r="F83" s="14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3">
        <f>IF($C83="","",N(L83)-N(M83))</f>
        <v/>
      </c>
      <c r="P83" s="24" t="n"/>
      <c r="Q83" s="23">
        <f>IF($C83="","",N(M83)+N(N83))</f>
        <v/>
      </c>
      <c r="R83" s="23">
        <f>IF($C83="","",N(J83)+N(Q83))</f>
        <v/>
      </c>
      <c r="S83" s="25">
        <f>IF(OR($C83="",N($G83)=0),"",R83/$G83)</f>
        <v/>
      </c>
      <c r="T83" s="23">
        <f>IF($C83="","",N($G83)-N(R83))</f>
        <v/>
      </c>
      <c r="U83" s="24" t="n"/>
      <c r="V83" s="22" t="n"/>
    </row>
    <row r="84">
      <c r="B84" s="13">
        <f>IF($C84="","",COUNTA($C$9:$C84))</f>
        <v/>
      </c>
      <c r="C84" s="21" t="n"/>
      <c r="D84" s="14" t="n"/>
      <c r="E84" s="14" t="n"/>
      <c r="F84" s="14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3">
        <f>IF($C84="","",N(L84)-N(M84))</f>
        <v/>
      </c>
      <c r="P84" s="24" t="n"/>
      <c r="Q84" s="23">
        <f>IF($C84="","",N(M84)+N(N84))</f>
        <v/>
      </c>
      <c r="R84" s="23">
        <f>IF($C84="","",N(J84)+N(Q84))</f>
        <v/>
      </c>
      <c r="S84" s="25">
        <f>IF(OR($C84="",N($G84)=0),"",R84/$G84)</f>
        <v/>
      </c>
      <c r="T84" s="23">
        <f>IF($C84="","",N($G84)-N(R84))</f>
        <v/>
      </c>
      <c r="U84" s="24" t="n"/>
      <c r="V84" s="22" t="n"/>
    </row>
    <row r="85">
      <c r="B85" s="13">
        <f>IF($C85="","",COUNTA($C$9:$C85))</f>
        <v/>
      </c>
      <c r="C85" s="21" t="n"/>
      <c r="D85" s="14" t="n"/>
      <c r="E85" s="14" t="n"/>
      <c r="F85" s="14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3">
        <f>IF($C85="","",N(L85)-N(M85))</f>
        <v/>
      </c>
      <c r="P85" s="24" t="n"/>
      <c r="Q85" s="23">
        <f>IF($C85="","",N(M85)+N(N85))</f>
        <v/>
      </c>
      <c r="R85" s="23">
        <f>IF($C85="","",N(J85)+N(Q85))</f>
        <v/>
      </c>
      <c r="S85" s="25">
        <f>IF(OR($C85="",N($G85)=0),"",R85/$G85)</f>
        <v/>
      </c>
      <c r="T85" s="23">
        <f>IF($C85="","",N($G85)-N(R85))</f>
        <v/>
      </c>
      <c r="U85" s="24" t="n"/>
      <c r="V85" s="22" t="n"/>
    </row>
    <row r="86">
      <c r="B86" s="13">
        <f>IF($C86="","",COUNTA($C$9:$C86))</f>
        <v/>
      </c>
      <c r="C86" s="21" t="n"/>
      <c r="D86" s="14" t="n"/>
      <c r="E86" s="14" t="n"/>
      <c r="F86" s="14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3">
        <f>IF($C86="","",N(L86)-N(M86))</f>
        <v/>
      </c>
      <c r="P86" s="24" t="n"/>
      <c r="Q86" s="23">
        <f>IF($C86="","",N(M86)+N(N86))</f>
        <v/>
      </c>
      <c r="R86" s="23">
        <f>IF($C86="","",N(J86)+N(Q86))</f>
        <v/>
      </c>
      <c r="S86" s="25">
        <f>IF(OR($C86="",N($G86)=0),"",R86/$G86)</f>
        <v/>
      </c>
      <c r="T86" s="23">
        <f>IF($C86="","",N($G86)-N(R86))</f>
        <v/>
      </c>
      <c r="U86" s="24" t="n"/>
      <c r="V86" s="22" t="n"/>
    </row>
    <row r="87">
      <c r="B87" s="13">
        <f>IF($C87="","",COUNTA($C$9:$C87))</f>
        <v/>
      </c>
      <c r="C87" s="21" t="n"/>
      <c r="D87" s="14" t="n"/>
      <c r="E87" s="14" t="n"/>
      <c r="F87" s="14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3">
        <f>IF($C87="","",N(L87)-N(M87))</f>
        <v/>
      </c>
      <c r="P87" s="24" t="n"/>
      <c r="Q87" s="23">
        <f>IF($C87="","",N(M87)+N(N87))</f>
        <v/>
      </c>
      <c r="R87" s="23">
        <f>IF($C87="","",N(J87)+N(Q87))</f>
        <v/>
      </c>
      <c r="S87" s="25">
        <f>IF(OR($C87="",N($G87)=0),"",R87/$G87)</f>
        <v/>
      </c>
      <c r="T87" s="23">
        <f>IF($C87="","",N($G87)-N(R87))</f>
        <v/>
      </c>
      <c r="U87" s="24" t="n"/>
      <c r="V87" s="22" t="n"/>
    </row>
    <row r="88">
      <c r="B88" s="13">
        <f>IF($C88="","",COUNTA($C$9:$C88))</f>
        <v/>
      </c>
      <c r="C88" s="21" t="n"/>
      <c r="D88" s="14" t="n"/>
      <c r="E88" s="14" t="n"/>
      <c r="F88" s="14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3">
        <f>IF($C88="","",N(L88)-N(M88))</f>
        <v/>
      </c>
      <c r="P88" s="24" t="n"/>
      <c r="Q88" s="23">
        <f>IF($C88="","",N(M88)+N(N88))</f>
        <v/>
      </c>
      <c r="R88" s="23">
        <f>IF($C88="","",N(J88)+N(Q88))</f>
        <v/>
      </c>
      <c r="S88" s="25">
        <f>IF(OR($C88="",N($G88)=0),"",R88/$G88)</f>
        <v/>
      </c>
      <c r="T88" s="23">
        <f>IF($C88="","",N($G88)-N(R88))</f>
        <v/>
      </c>
      <c r="U88" s="24" t="n"/>
      <c r="V88" s="22" t="n"/>
    </row>
    <row r="89">
      <c r="B89" s="13">
        <f>IF($C89="","",COUNTA($C$9:$C89))</f>
        <v/>
      </c>
      <c r="C89" s="21" t="n"/>
      <c r="D89" s="14" t="n"/>
      <c r="E89" s="14" t="n"/>
      <c r="F89" s="14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3">
        <f>IF($C89="","",N(L89)-N(M89))</f>
        <v/>
      </c>
      <c r="P89" s="24" t="n"/>
      <c r="Q89" s="23">
        <f>IF($C89="","",N(M89)+N(N89))</f>
        <v/>
      </c>
      <c r="R89" s="23">
        <f>IF($C89="","",N(J89)+N(Q89))</f>
        <v/>
      </c>
      <c r="S89" s="25">
        <f>IF(OR($C89="",N($G89)=0),"",R89/$G89)</f>
        <v/>
      </c>
      <c r="T89" s="23">
        <f>IF($C89="","",N($G89)-N(R89))</f>
        <v/>
      </c>
      <c r="U89" s="24" t="n"/>
      <c r="V89" s="22" t="n"/>
    </row>
    <row r="90">
      <c r="B90" s="13">
        <f>IF($C90="","",COUNTA($C$9:$C90))</f>
        <v/>
      </c>
      <c r="C90" s="21" t="n"/>
      <c r="D90" s="14" t="n"/>
      <c r="E90" s="14" t="n"/>
      <c r="F90" s="14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3">
        <f>IF($C90="","",N(L90)-N(M90))</f>
        <v/>
      </c>
      <c r="P90" s="24" t="n"/>
      <c r="Q90" s="23">
        <f>IF($C90="","",N(M90)+N(N90))</f>
        <v/>
      </c>
      <c r="R90" s="23">
        <f>IF($C90="","",N(J90)+N(Q90))</f>
        <v/>
      </c>
      <c r="S90" s="25">
        <f>IF(OR($C90="",N($G90)=0),"",R90/$G90)</f>
        <v/>
      </c>
      <c r="T90" s="23">
        <f>IF($C90="","",N($G90)-N(R90))</f>
        <v/>
      </c>
      <c r="U90" s="24" t="n"/>
      <c r="V90" s="22" t="n"/>
    </row>
    <row r="91">
      <c r="B91" s="13">
        <f>IF($C91="","",COUNTA($C$9:$C91))</f>
        <v/>
      </c>
      <c r="C91" s="21" t="n"/>
      <c r="D91" s="14" t="n"/>
      <c r="E91" s="14" t="n"/>
      <c r="F91" s="14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3">
        <f>IF($C91="","",N(L91)-N(M91))</f>
        <v/>
      </c>
      <c r="P91" s="24" t="n"/>
      <c r="Q91" s="23">
        <f>IF($C91="","",N(M91)+N(N91))</f>
        <v/>
      </c>
      <c r="R91" s="23">
        <f>IF($C91="","",N(J91)+N(Q91))</f>
        <v/>
      </c>
      <c r="S91" s="25">
        <f>IF(OR($C91="",N($G91)=0),"",R91/$G91)</f>
        <v/>
      </c>
      <c r="T91" s="23">
        <f>IF($C91="","",N($G91)-N(R91))</f>
        <v/>
      </c>
      <c r="U91" s="24" t="n"/>
      <c r="V91" s="22" t="n"/>
    </row>
    <row r="92">
      <c r="B92" s="13">
        <f>IF($C92="","",COUNTA($C$9:$C92))</f>
        <v/>
      </c>
      <c r="C92" s="21" t="n"/>
      <c r="D92" s="14" t="n"/>
      <c r="E92" s="14" t="n"/>
      <c r="F92" s="14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3">
        <f>IF($C92="","",N(L92)-N(M92))</f>
        <v/>
      </c>
      <c r="P92" s="24" t="n"/>
      <c r="Q92" s="23">
        <f>IF($C92="","",N(M92)+N(N92))</f>
        <v/>
      </c>
      <c r="R92" s="23">
        <f>IF($C92="","",N(J92)+N(Q92))</f>
        <v/>
      </c>
      <c r="S92" s="25">
        <f>IF(OR($C92="",N($G92)=0),"",R92/$G92)</f>
        <v/>
      </c>
      <c r="T92" s="23">
        <f>IF($C92="","",N($G92)-N(R92))</f>
        <v/>
      </c>
      <c r="U92" s="24" t="n"/>
      <c r="V92" s="22" t="n"/>
    </row>
    <row r="93">
      <c r="B93" s="13">
        <f>IF($C93="","",COUNTA($C$9:$C93))</f>
        <v/>
      </c>
      <c r="C93" s="21" t="n"/>
      <c r="D93" s="14" t="n"/>
      <c r="E93" s="14" t="n"/>
      <c r="F93" s="14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3">
        <f>IF($C93="","",N(L93)-N(M93))</f>
        <v/>
      </c>
      <c r="P93" s="24" t="n"/>
      <c r="Q93" s="23">
        <f>IF($C93="","",N(M93)+N(N93))</f>
        <v/>
      </c>
      <c r="R93" s="23">
        <f>IF($C93="","",N(J93)+N(Q93))</f>
        <v/>
      </c>
      <c r="S93" s="25">
        <f>IF(OR($C93="",N($G93)=0),"",R93/$G93)</f>
        <v/>
      </c>
      <c r="T93" s="23">
        <f>IF($C93="","",N($G93)-N(R93))</f>
        <v/>
      </c>
      <c r="U93" s="24" t="n"/>
      <c r="V93" s="22" t="n"/>
    </row>
    <row r="94">
      <c r="B94" s="13">
        <f>IF($C94="","",COUNTA($C$9:$C94))</f>
        <v/>
      </c>
      <c r="C94" s="21" t="n"/>
      <c r="D94" s="14" t="n"/>
      <c r="E94" s="14" t="n"/>
      <c r="F94" s="14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3">
        <f>IF($C94="","",N(L94)-N(M94))</f>
        <v/>
      </c>
      <c r="P94" s="24" t="n"/>
      <c r="Q94" s="23">
        <f>IF($C94="","",N(M94)+N(N94))</f>
        <v/>
      </c>
      <c r="R94" s="23">
        <f>IF($C94="","",N(J94)+N(Q94))</f>
        <v/>
      </c>
      <c r="S94" s="25">
        <f>IF(OR($C94="",N($G94)=0),"",R94/$G94)</f>
        <v/>
      </c>
      <c r="T94" s="23">
        <f>IF($C94="","",N($G94)-N(R94))</f>
        <v/>
      </c>
      <c r="U94" s="24" t="n"/>
      <c r="V94" s="22" t="n"/>
    </row>
    <row r="95">
      <c r="B95" s="13">
        <f>IF($C95="","",COUNTA($C$9:$C95))</f>
        <v/>
      </c>
      <c r="C95" s="21" t="n"/>
      <c r="D95" s="14" t="n"/>
      <c r="E95" s="14" t="n"/>
      <c r="F95" s="14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3">
        <f>IF($C95="","",N(L95)-N(M95))</f>
        <v/>
      </c>
      <c r="P95" s="24" t="n"/>
      <c r="Q95" s="23">
        <f>IF($C95="","",N(M95)+N(N95))</f>
        <v/>
      </c>
      <c r="R95" s="23">
        <f>IF($C95="","",N(J95)+N(Q95))</f>
        <v/>
      </c>
      <c r="S95" s="25">
        <f>IF(OR($C95="",N($G95)=0),"",R95/$G95)</f>
        <v/>
      </c>
      <c r="T95" s="23">
        <f>IF($C95="","",N($G95)-N(R95))</f>
        <v/>
      </c>
      <c r="U95" s="24" t="n"/>
      <c r="V95" s="22" t="n"/>
    </row>
    <row r="96">
      <c r="B96" s="13">
        <f>IF($C96="","",COUNTA($C$9:$C96))</f>
        <v/>
      </c>
      <c r="C96" s="21" t="n"/>
      <c r="D96" s="14" t="n"/>
      <c r="E96" s="14" t="n"/>
      <c r="F96" s="14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3">
        <f>IF($C96="","",N(L96)-N(M96))</f>
        <v/>
      </c>
      <c r="P96" s="24" t="n"/>
      <c r="Q96" s="23">
        <f>IF($C96="","",N(M96)+N(N96))</f>
        <v/>
      </c>
      <c r="R96" s="23">
        <f>IF($C96="","",N(J96)+N(Q96))</f>
        <v/>
      </c>
      <c r="S96" s="25">
        <f>IF(OR($C96="",N($G96)=0),"",R96/$G96)</f>
        <v/>
      </c>
      <c r="T96" s="23">
        <f>IF($C96="","",N($G96)-N(R96))</f>
        <v/>
      </c>
      <c r="U96" s="24" t="n"/>
      <c r="V96" s="22" t="n"/>
    </row>
    <row r="97">
      <c r="B97" s="13">
        <f>IF($C97="","",COUNTA($C$9:$C97))</f>
        <v/>
      </c>
      <c r="C97" s="21" t="n"/>
      <c r="D97" s="14" t="n"/>
      <c r="E97" s="14" t="n"/>
      <c r="F97" s="14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3">
        <f>IF($C97="","",N(L97)-N(M97))</f>
        <v/>
      </c>
      <c r="P97" s="24" t="n"/>
      <c r="Q97" s="23">
        <f>IF($C97="","",N(M97)+N(N97))</f>
        <v/>
      </c>
      <c r="R97" s="23">
        <f>IF($C97="","",N(J97)+N(Q97))</f>
        <v/>
      </c>
      <c r="S97" s="25">
        <f>IF(OR($C97="",N($G97)=0),"",R97/$G97)</f>
        <v/>
      </c>
      <c r="T97" s="23">
        <f>IF($C97="","",N($G97)-N(R97))</f>
        <v/>
      </c>
      <c r="U97" s="24" t="n"/>
      <c r="V97" s="22" t="n"/>
    </row>
    <row r="98">
      <c r="B98" s="13">
        <f>IF($C98="","",COUNTA($C$9:$C98))</f>
        <v/>
      </c>
      <c r="C98" s="21" t="n"/>
      <c r="D98" s="14" t="n"/>
      <c r="E98" s="14" t="n"/>
      <c r="F98" s="14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3">
        <f>IF($C98="","",N(L98)-N(M98))</f>
        <v/>
      </c>
      <c r="P98" s="24" t="n"/>
      <c r="Q98" s="23">
        <f>IF($C98="","",N(M98)+N(N98))</f>
        <v/>
      </c>
      <c r="R98" s="23">
        <f>IF($C98="","",N(J98)+N(Q98))</f>
        <v/>
      </c>
      <c r="S98" s="25">
        <f>IF(OR($C98="",N($G98)=0),"",R98/$G98)</f>
        <v/>
      </c>
      <c r="T98" s="23">
        <f>IF($C98="","",N($G98)-N(R98))</f>
        <v/>
      </c>
      <c r="U98" s="24" t="n"/>
      <c r="V98" s="22" t="n"/>
    </row>
    <row r="99">
      <c r="B99" s="13">
        <f>IF($C99="","",COUNTA($C$9:$C99))</f>
        <v/>
      </c>
      <c r="C99" s="21" t="n"/>
      <c r="D99" s="14" t="n"/>
      <c r="E99" s="14" t="n"/>
      <c r="F99" s="14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3">
        <f>IF($C99="","",N(L99)-N(M99))</f>
        <v/>
      </c>
      <c r="P99" s="24" t="n"/>
      <c r="Q99" s="23">
        <f>IF($C99="","",N(M99)+N(N99))</f>
        <v/>
      </c>
      <c r="R99" s="23">
        <f>IF($C99="","",N(J99)+N(Q99))</f>
        <v/>
      </c>
      <c r="S99" s="25">
        <f>IF(OR($C99="",N($G99)=0),"",R99/$G99)</f>
        <v/>
      </c>
      <c r="T99" s="23">
        <f>IF($C99="","",N($G99)-N(R99))</f>
        <v/>
      </c>
      <c r="U99" s="24" t="n"/>
      <c r="V99" s="22" t="n"/>
    </row>
    <row r="100">
      <c r="B100" s="13">
        <f>IF($C100="","",COUNTA($C$9:$C100))</f>
        <v/>
      </c>
      <c r="C100" s="21" t="n"/>
      <c r="D100" s="14" t="n"/>
      <c r="E100" s="14" t="n"/>
      <c r="F100" s="14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3">
        <f>IF($C100="","",N(L100)-N(M100))</f>
        <v/>
      </c>
      <c r="P100" s="24" t="n"/>
      <c r="Q100" s="23">
        <f>IF($C100="","",N(M100)+N(N100))</f>
        <v/>
      </c>
      <c r="R100" s="23">
        <f>IF($C100="","",N(J100)+N(Q100))</f>
        <v/>
      </c>
      <c r="S100" s="25">
        <f>IF(OR($C100="",N($G100)=0),"",R100/$G100)</f>
        <v/>
      </c>
      <c r="T100" s="23">
        <f>IF($C100="","",N($G100)-N(R100))</f>
        <v/>
      </c>
      <c r="U100" s="24" t="n"/>
      <c r="V100" s="22" t="n"/>
    </row>
    <row r="101">
      <c r="B101" s="13">
        <f>IF($C101="","",COUNTA($C$9:$C101))</f>
        <v/>
      </c>
      <c r="C101" s="21" t="n"/>
      <c r="D101" s="14" t="n"/>
      <c r="E101" s="14" t="n"/>
      <c r="F101" s="14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3">
        <f>IF($C101="","",N(L101)-N(M101))</f>
        <v/>
      </c>
      <c r="P101" s="24" t="n"/>
      <c r="Q101" s="23">
        <f>IF($C101="","",N(M101)+N(N101))</f>
        <v/>
      </c>
      <c r="R101" s="23">
        <f>IF($C101="","",N(J101)+N(Q101))</f>
        <v/>
      </c>
      <c r="S101" s="25">
        <f>IF(OR($C101="",N($G101)=0),"",R101/$G101)</f>
        <v/>
      </c>
      <c r="T101" s="23">
        <f>IF($C101="","",N($G101)-N(R101))</f>
        <v/>
      </c>
      <c r="U101" s="24" t="n"/>
      <c r="V101" s="22" t="n"/>
    </row>
    <row r="102">
      <c r="B102" s="13">
        <f>IF($C102="","",COUNTA($C$9:$C102))</f>
        <v/>
      </c>
      <c r="C102" s="21" t="n"/>
      <c r="D102" s="14" t="n"/>
      <c r="E102" s="14" t="n"/>
      <c r="F102" s="14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3">
        <f>IF($C102="","",N(L102)-N(M102))</f>
        <v/>
      </c>
      <c r="P102" s="24" t="n"/>
      <c r="Q102" s="23">
        <f>IF($C102="","",N(M102)+N(N102))</f>
        <v/>
      </c>
      <c r="R102" s="23">
        <f>IF($C102="","",N(J102)+N(Q102))</f>
        <v/>
      </c>
      <c r="S102" s="25">
        <f>IF(OR($C102="",N($G102)=0),"",R102/$G102)</f>
        <v/>
      </c>
      <c r="T102" s="23">
        <f>IF($C102="","",N($G102)-N(R102))</f>
        <v/>
      </c>
      <c r="U102" s="24" t="n"/>
      <c r="V102" s="22" t="n"/>
    </row>
    <row r="103">
      <c r="B103" s="13">
        <f>IF($C103="","",COUNTA($C$9:$C103))</f>
        <v/>
      </c>
      <c r="C103" s="21" t="n"/>
      <c r="D103" s="14" t="n"/>
      <c r="E103" s="14" t="n"/>
      <c r="F103" s="14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3">
        <f>IF($C103="","",N(L103)-N(M103))</f>
        <v/>
      </c>
      <c r="P103" s="24" t="n"/>
      <c r="Q103" s="23">
        <f>IF($C103="","",N(M103)+N(N103))</f>
        <v/>
      </c>
      <c r="R103" s="23">
        <f>IF($C103="","",N(J103)+N(Q103))</f>
        <v/>
      </c>
      <c r="S103" s="25">
        <f>IF(OR($C103="",N($G103)=0),"",R103/$G103)</f>
        <v/>
      </c>
      <c r="T103" s="23">
        <f>IF($C103="","",N($G103)-N(R103))</f>
        <v/>
      </c>
      <c r="U103" s="24" t="n"/>
      <c r="V103" s="22" t="n"/>
    </row>
    <row r="104">
      <c r="B104" s="13">
        <f>IF($C104="","",COUNTA($C$9:$C104))</f>
        <v/>
      </c>
      <c r="C104" s="21" t="n"/>
      <c r="D104" s="14" t="n"/>
      <c r="E104" s="14" t="n"/>
      <c r="F104" s="14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3">
        <f>IF($C104="","",N(L104)-N(M104))</f>
        <v/>
      </c>
      <c r="P104" s="24" t="n"/>
      <c r="Q104" s="23">
        <f>IF($C104="","",N(M104)+N(N104))</f>
        <v/>
      </c>
      <c r="R104" s="23">
        <f>IF($C104="","",N(J104)+N(Q104))</f>
        <v/>
      </c>
      <c r="S104" s="25">
        <f>IF(OR($C104="",N($G104)=0),"",R104/$G104)</f>
        <v/>
      </c>
      <c r="T104" s="23">
        <f>IF($C104="","",N($G104)-N(R104))</f>
        <v/>
      </c>
      <c r="U104" s="24" t="n"/>
      <c r="V104" s="22" t="n"/>
    </row>
    <row r="105">
      <c r="B105" s="13">
        <f>IF($C105="","",COUNTA($C$9:$C105))</f>
        <v/>
      </c>
      <c r="C105" s="21" t="n"/>
      <c r="D105" s="14" t="n"/>
      <c r="E105" s="14" t="n"/>
      <c r="F105" s="14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3">
        <f>IF($C105="","",N(L105)-N(M105))</f>
        <v/>
      </c>
      <c r="P105" s="24" t="n"/>
      <c r="Q105" s="23">
        <f>IF($C105="","",N(M105)+N(N105))</f>
        <v/>
      </c>
      <c r="R105" s="23">
        <f>IF($C105="","",N(J105)+N(Q105))</f>
        <v/>
      </c>
      <c r="S105" s="25">
        <f>IF(OR($C105="",N($G105)=0),"",R105/$G105)</f>
        <v/>
      </c>
      <c r="T105" s="23">
        <f>IF($C105="","",N($G105)-N(R105))</f>
        <v/>
      </c>
      <c r="U105" s="24" t="n"/>
      <c r="V105" s="22" t="n"/>
    </row>
    <row r="106">
      <c r="B106" s="13">
        <f>IF($C106="","",COUNTA($C$9:$C106))</f>
        <v/>
      </c>
      <c r="C106" s="21" t="n"/>
      <c r="D106" s="14" t="n"/>
      <c r="E106" s="14" t="n"/>
      <c r="F106" s="14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3">
        <f>IF($C106="","",N(L106)-N(M106))</f>
        <v/>
      </c>
      <c r="P106" s="24" t="n"/>
      <c r="Q106" s="23">
        <f>IF($C106="","",N(M106)+N(N106))</f>
        <v/>
      </c>
      <c r="R106" s="23">
        <f>IF($C106="","",N(J106)+N(Q106))</f>
        <v/>
      </c>
      <c r="S106" s="25">
        <f>IF(OR($C106="",N($G106)=0),"",R106/$G106)</f>
        <v/>
      </c>
      <c r="T106" s="23">
        <f>IF($C106="","",N($G106)-N(R106))</f>
        <v/>
      </c>
      <c r="U106" s="24" t="n"/>
      <c r="V106" s="22" t="n"/>
    </row>
    <row r="107">
      <c r="B107" s="13">
        <f>IF($C107="","",COUNTA($C$9:$C107))</f>
        <v/>
      </c>
      <c r="C107" s="21" t="n"/>
      <c r="D107" s="14" t="n"/>
      <c r="E107" s="14" t="n"/>
      <c r="F107" s="14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3">
        <f>IF($C107="","",N(L107)-N(M107))</f>
        <v/>
      </c>
      <c r="P107" s="24" t="n"/>
      <c r="Q107" s="23">
        <f>IF($C107="","",N(M107)+N(N107))</f>
        <v/>
      </c>
      <c r="R107" s="23">
        <f>IF($C107="","",N(J107)+N(Q107))</f>
        <v/>
      </c>
      <c r="S107" s="25">
        <f>IF(OR($C107="",N($G107)=0),"",R107/$G107)</f>
        <v/>
      </c>
      <c r="T107" s="23">
        <f>IF($C107="","",N($G107)-N(R107))</f>
        <v/>
      </c>
      <c r="U107" s="24" t="n"/>
      <c r="V107" s="22" t="n"/>
    </row>
    <row r="108">
      <c r="B108" s="13">
        <f>IF($C108="","",COUNTA($C$9:$C108))</f>
        <v/>
      </c>
      <c r="C108" s="21" t="n"/>
      <c r="D108" s="14" t="n"/>
      <c r="E108" s="14" t="n"/>
      <c r="F108" s="14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3">
        <f>IF($C108="","",N(L108)-N(M108))</f>
        <v/>
      </c>
      <c r="P108" s="24" t="n"/>
      <c r="Q108" s="23">
        <f>IF($C108="","",N(M108)+N(N108))</f>
        <v/>
      </c>
      <c r="R108" s="23">
        <f>IF($C108="","",N(J108)+N(Q108))</f>
        <v/>
      </c>
      <c r="S108" s="25">
        <f>IF(OR($C108="",N($G108)=0),"",R108/$G108)</f>
        <v/>
      </c>
      <c r="T108" s="23">
        <f>IF($C108="","",N($G108)-N(R108))</f>
        <v/>
      </c>
      <c r="U108" s="24" t="n"/>
      <c r="V108" s="22" t="n"/>
    </row>
    <row r="109">
      <c r="B109" s="13">
        <f>IF($C109="","",COUNTA($C$9:$C109))</f>
        <v/>
      </c>
      <c r="C109" s="21" t="n"/>
      <c r="D109" s="14" t="n"/>
      <c r="E109" s="14" t="n"/>
      <c r="F109" s="14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3">
        <f>IF($C109="","",N(L109)-N(M109))</f>
        <v/>
      </c>
      <c r="P109" s="24" t="n"/>
      <c r="Q109" s="23">
        <f>IF($C109="","",N(M109)+N(N109))</f>
        <v/>
      </c>
      <c r="R109" s="23">
        <f>IF($C109="","",N(J109)+N(Q109))</f>
        <v/>
      </c>
      <c r="S109" s="25">
        <f>IF(OR($C109="",N($G109)=0),"",R109/$G109)</f>
        <v/>
      </c>
      <c r="T109" s="23">
        <f>IF($C109="","",N($G109)-N(R109))</f>
        <v/>
      </c>
      <c r="U109" s="24" t="n"/>
      <c r="V109" s="22" t="n"/>
    </row>
    <row r="110">
      <c r="B110" s="13">
        <f>IF($C110="","",COUNTA($C$9:$C110))</f>
        <v/>
      </c>
      <c r="C110" s="21" t="n"/>
      <c r="D110" s="14" t="n"/>
      <c r="E110" s="14" t="n"/>
      <c r="F110" s="14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3">
        <f>IF($C110="","",N(L110)-N(M110))</f>
        <v/>
      </c>
      <c r="P110" s="24" t="n"/>
      <c r="Q110" s="23">
        <f>IF($C110="","",N(M110)+N(N110))</f>
        <v/>
      </c>
      <c r="R110" s="23">
        <f>IF($C110="","",N(J110)+N(Q110))</f>
        <v/>
      </c>
      <c r="S110" s="25">
        <f>IF(OR($C110="",N($G110)=0),"",R110/$G110)</f>
        <v/>
      </c>
      <c r="T110" s="23">
        <f>IF($C110="","",N($G110)-N(R110))</f>
        <v/>
      </c>
      <c r="U110" s="24" t="n"/>
      <c r="V110" s="22" t="n"/>
    </row>
    <row r="111">
      <c r="B111" s="13">
        <f>IF($C111="","",COUNTA($C$9:$C111))</f>
        <v/>
      </c>
      <c r="C111" s="21" t="n"/>
      <c r="D111" s="14" t="n"/>
      <c r="E111" s="14" t="n"/>
      <c r="F111" s="14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3">
        <f>IF($C111="","",N(L111)-N(M111))</f>
        <v/>
      </c>
      <c r="P111" s="24" t="n"/>
      <c r="Q111" s="23">
        <f>IF($C111="","",N(M111)+N(N111))</f>
        <v/>
      </c>
      <c r="R111" s="23">
        <f>IF($C111="","",N(J111)+N(Q111))</f>
        <v/>
      </c>
      <c r="S111" s="25">
        <f>IF(OR($C111="",N($G111)=0),"",R111/$G111)</f>
        <v/>
      </c>
      <c r="T111" s="23">
        <f>IF($C111="","",N($G111)-N(R111))</f>
        <v/>
      </c>
      <c r="U111" s="24" t="n"/>
      <c r="V111" s="22" t="n"/>
    </row>
    <row r="112">
      <c r="B112" s="13">
        <f>IF($C112="","",COUNTA($C$9:$C112))</f>
        <v/>
      </c>
      <c r="C112" s="21" t="n"/>
      <c r="D112" s="14" t="n"/>
      <c r="E112" s="14" t="n"/>
      <c r="F112" s="14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3">
        <f>IF($C112="","",N(L112)-N(M112))</f>
        <v/>
      </c>
      <c r="P112" s="24" t="n"/>
      <c r="Q112" s="23">
        <f>IF($C112="","",N(M112)+N(N112))</f>
        <v/>
      </c>
      <c r="R112" s="23">
        <f>IF($C112="","",N(J112)+N(Q112))</f>
        <v/>
      </c>
      <c r="S112" s="25">
        <f>IF(OR($C112="",N($G112)=0),"",R112/$G112)</f>
        <v/>
      </c>
      <c r="T112" s="23">
        <f>IF($C112="","",N($G112)-N(R112))</f>
        <v/>
      </c>
      <c r="U112" s="24" t="n"/>
      <c r="V112" s="22" t="n"/>
    </row>
    <row r="113">
      <c r="B113" s="13">
        <f>IF($C113="","",COUNTA($C$9:$C113))</f>
        <v/>
      </c>
      <c r="C113" s="21" t="n"/>
      <c r="D113" s="14" t="n"/>
      <c r="E113" s="14" t="n"/>
      <c r="F113" s="14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3">
        <f>IF($C113="","",N(L113)-N(M113))</f>
        <v/>
      </c>
      <c r="P113" s="24" t="n"/>
      <c r="Q113" s="23">
        <f>IF($C113="","",N(M113)+N(N113))</f>
        <v/>
      </c>
      <c r="R113" s="23">
        <f>IF($C113="","",N(J113)+N(Q113))</f>
        <v/>
      </c>
      <c r="S113" s="25">
        <f>IF(OR($C113="",N($G113)=0),"",R113/$G113)</f>
        <v/>
      </c>
      <c r="T113" s="23">
        <f>IF($C113="","",N($G113)-N(R113))</f>
        <v/>
      </c>
      <c r="U113" s="24" t="n"/>
      <c r="V113" s="22" t="n"/>
    </row>
    <row r="114">
      <c r="B114" s="13">
        <f>IF($C114="","",COUNTA($C$9:$C114))</f>
        <v/>
      </c>
      <c r="C114" s="21" t="n"/>
      <c r="D114" s="14" t="n"/>
      <c r="E114" s="14" t="n"/>
      <c r="F114" s="14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3">
        <f>IF($C114="","",N(L114)-N(M114))</f>
        <v/>
      </c>
      <c r="P114" s="24" t="n"/>
      <c r="Q114" s="23">
        <f>IF($C114="","",N(M114)+N(N114))</f>
        <v/>
      </c>
      <c r="R114" s="23">
        <f>IF($C114="","",N(J114)+N(Q114))</f>
        <v/>
      </c>
      <c r="S114" s="25">
        <f>IF(OR($C114="",N($G114)=0),"",R114/$G114)</f>
        <v/>
      </c>
      <c r="T114" s="23">
        <f>IF($C114="","",N($G114)-N(R114))</f>
        <v/>
      </c>
      <c r="U114" s="24" t="n"/>
      <c r="V114" s="22" t="n"/>
    </row>
    <row r="115">
      <c r="B115" s="13">
        <f>IF($C115="","",COUNTA($C$9:$C115))</f>
        <v/>
      </c>
      <c r="C115" s="21" t="n"/>
      <c r="D115" s="14" t="n"/>
      <c r="E115" s="14" t="n"/>
      <c r="F115" s="14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3">
        <f>IF($C115="","",N(L115)-N(M115))</f>
        <v/>
      </c>
      <c r="P115" s="24" t="n"/>
      <c r="Q115" s="23">
        <f>IF($C115="","",N(M115)+N(N115))</f>
        <v/>
      </c>
      <c r="R115" s="23">
        <f>IF($C115="","",N(J115)+N(Q115))</f>
        <v/>
      </c>
      <c r="S115" s="25">
        <f>IF(OR($C115="",N($G115)=0),"",R115/$G115)</f>
        <v/>
      </c>
      <c r="T115" s="23">
        <f>IF($C115="","",N($G115)-N(R115))</f>
        <v/>
      </c>
      <c r="U115" s="24" t="n"/>
      <c r="V115" s="22" t="n"/>
    </row>
    <row r="116">
      <c r="B116" s="13">
        <f>IF($C116="","",COUNTA($C$9:$C116))</f>
        <v/>
      </c>
      <c r="C116" s="21" t="n"/>
      <c r="D116" s="14" t="n"/>
      <c r="E116" s="14" t="n"/>
      <c r="F116" s="14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3">
        <f>IF($C116="","",N(L116)-N(M116))</f>
        <v/>
      </c>
      <c r="P116" s="24" t="n"/>
      <c r="Q116" s="23">
        <f>IF($C116="","",N(M116)+N(N116))</f>
        <v/>
      </c>
      <c r="R116" s="23">
        <f>IF($C116="","",N(J116)+N(Q116))</f>
        <v/>
      </c>
      <c r="S116" s="25">
        <f>IF(OR($C116="",N($G116)=0),"",R116/$G116)</f>
        <v/>
      </c>
      <c r="T116" s="23">
        <f>IF($C116="","",N($G116)-N(R116))</f>
        <v/>
      </c>
      <c r="U116" s="24" t="n"/>
      <c r="V116" s="22" t="n"/>
    </row>
    <row r="117">
      <c r="B117" s="13">
        <f>IF($C117="","",COUNTA($C$9:$C117))</f>
        <v/>
      </c>
      <c r="C117" s="21" t="n"/>
      <c r="D117" s="14" t="n"/>
      <c r="E117" s="14" t="n"/>
      <c r="F117" s="14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3">
        <f>IF($C117="","",N(L117)-N(M117))</f>
        <v/>
      </c>
      <c r="P117" s="24" t="n"/>
      <c r="Q117" s="23">
        <f>IF($C117="","",N(M117)+N(N117))</f>
        <v/>
      </c>
      <c r="R117" s="23">
        <f>IF($C117="","",N(J117)+N(Q117))</f>
        <v/>
      </c>
      <c r="S117" s="25">
        <f>IF(OR($C117="",N($G117)=0),"",R117/$G117)</f>
        <v/>
      </c>
      <c r="T117" s="23">
        <f>IF($C117="","",N($G117)-N(R117))</f>
        <v/>
      </c>
      <c r="U117" s="24" t="n"/>
      <c r="V117" s="22" t="n"/>
    </row>
    <row r="118">
      <c r="B118" s="13">
        <f>IF($C118="","",COUNTA($C$9:$C118))</f>
        <v/>
      </c>
      <c r="C118" s="21" t="n"/>
      <c r="D118" s="14" t="n"/>
      <c r="E118" s="14" t="n"/>
      <c r="F118" s="14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3">
        <f>IF($C118="","",N(L118)-N(M118))</f>
        <v/>
      </c>
      <c r="P118" s="24" t="n"/>
      <c r="Q118" s="23">
        <f>IF($C118="","",N(M118)+N(N118))</f>
        <v/>
      </c>
      <c r="R118" s="23">
        <f>IF($C118="","",N(J118)+N(Q118))</f>
        <v/>
      </c>
      <c r="S118" s="25">
        <f>IF(OR($C118="",N($G118)=0),"",R118/$G118)</f>
        <v/>
      </c>
      <c r="T118" s="23">
        <f>IF($C118="","",N($G118)-N(R118))</f>
        <v/>
      </c>
      <c r="U118" s="24" t="n"/>
      <c r="V118" s="22" t="n"/>
    </row>
    <row r="119">
      <c r="B119" s="13">
        <f>IF($C119="","",COUNTA($C$9:$C119))</f>
        <v/>
      </c>
      <c r="C119" s="21" t="n"/>
      <c r="D119" s="14" t="n"/>
      <c r="E119" s="14" t="n"/>
      <c r="F119" s="14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3">
        <f>IF($C119="","",N(L119)-N(M119))</f>
        <v/>
      </c>
      <c r="P119" s="24" t="n"/>
      <c r="Q119" s="23">
        <f>IF($C119="","",N(M119)+N(N119))</f>
        <v/>
      </c>
      <c r="R119" s="23">
        <f>IF($C119="","",N(J119)+N(Q119))</f>
        <v/>
      </c>
      <c r="S119" s="25">
        <f>IF(OR($C119="",N($G119)=0),"",R119/$G119)</f>
        <v/>
      </c>
      <c r="T119" s="23">
        <f>IF($C119="","",N($G119)-N(R119))</f>
        <v/>
      </c>
      <c r="U119" s="24" t="n"/>
      <c r="V119" s="22" t="n"/>
    </row>
    <row r="120">
      <c r="B120" s="13">
        <f>IF($C120="","",COUNTA($C$9:$C120))</f>
        <v/>
      </c>
      <c r="C120" s="21" t="n"/>
      <c r="D120" s="14" t="n"/>
      <c r="E120" s="14" t="n"/>
      <c r="F120" s="14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3">
        <f>IF($C120="","",N(L120)-N(M120))</f>
        <v/>
      </c>
      <c r="P120" s="24" t="n"/>
      <c r="Q120" s="23">
        <f>IF($C120="","",N(M120)+N(N120))</f>
        <v/>
      </c>
      <c r="R120" s="23">
        <f>IF($C120="","",N(J120)+N(Q120))</f>
        <v/>
      </c>
      <c r="S120" s="25">
        <f>IF(OR($C120="",N($G120)=0),"",R120/$G120)</f>
        <v/>
      </c>
      <c r="T120" s="23">
        <f>IF($C120="","",N($G120)-N(R120))</f>
        <v/>
      </c>
      <c r="U120" s="24" t="n"/>
      <c r="V120" s="22" t="n"/>
    </row>
    <row r="121">
      <c r="B121" s="13">
        <f>IF($C121="","",COUNTA($C$9:$C121))</f>
        <v/>
      </c>
      <c r="C121" s="21" t="n"/>
      <c r="D121" s="14" t="n"/>
      <c r="E121" s="14" t="n"/>
      <c r="F121" s="14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3">
        <f>IF($C121="","",N(L121)-N(M121))</f>
        <v/>
      </c>
      <c r="P121" s="24" t="n"/>
      <c r="Q121" s="23">
        <f>IF($C121="","",N(M121)+N(N121))</f>
        <v/>
      </c>
      <c r="R121" s="23">
        <f>IF($C121="","",N(J121)+N(Q121))</f>
        <v/>
      </c>
      <c r="S121" s="25">
        <f>IF(OR($C121="",N($G121)=0),"",R121/$G121)</f>
        <v/>
      </c>
      <c r="T121" s="23">
        <f>IF($C121="","",N($G121)-N(R121))</f>
        <v/>
      </c>
      <c r="U121" s="24" t="n"/>
      <c r="V121" s="22" t="n"/>
    </row>
    <row r="122">
      <c r="B122" s="13">
        <f>IF($C122="","",COUNTA($C$9:$C122))</f>
        <v/>
      </c>
      <c r="C122" s="21" t="n"/>
      <c r="D122" s="14" t="n"/>
      <c r="E122" s="14" t="n"/>
      <c r="F122" s="14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3">
        <f>IF($C122="","",N(L122)-N(M122))</f>
        <v/>
      </c>
      <c r="P122" s="24" t="n"/>
      <c r="Q122" s="23">
        <f>IF($C122="","",N(M122)+N(N122))</f>
        <v/>
      </c>
      <c r="R122" s="23">
        <f>IF($C122="","",N(J122)+N(Q122))</f>
        <v/>
      </c>
      <c r="S122" s="25">
        <f>IF(OR($C122="",N($G122)=0),"",R122/$G122)</f>
        <v/>
      </c>
      <c r="T122" s="23">
        <f>IF($C122="","",N($G122)-N(R122))</f>
        <v/>
      </c>
      <c r="U122" s="24" t="n"/>
      <c r="V122" s="22" t="n"/>
    </row>
    <row r="123">
      <c r="B123" s="13">
        <f>IF($C123="","",COUNTA($C$9:$C123))</f>
        <v/>
      </c>
      <c r="C123" s="21" t="n"/>
      <c r="D123" s="14" t="n"/>
      <c r="E123" s="14" t="n"/>
      <c r="F123" s="14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3">
        <f>IF($C123="","",N(L123)-N(M123))</f>
        <v/>
      </c>
      <c r="P123" s="24" t="n"/>
      <c r="Q123" s="23">
        <f>IF($C123="","",N(M123)+N(N123))</f>
        <v/>
      </c>
      <c r="R123" s="23">
        <f>IF($C123="","",N(J123)+N(Q123))</f>
        <v/>
      </c>
      <c r="S123" s="25">
        <f>IF(OR($C123="",N($G123)=0),"",R123/$G123)</f>
        <v/>
      </c>
      <c r="T123" s="23">
        <f>IF($C123="","",N($G123)-N(R123))</f>
        <v/>
      </c>
      <c r="U123" s="24" t="n"/>
      <c r="V123" s="22" t="n"/>
    </row>
    <row r="124">
      <c r="B124" s="13">
        <f>IF($C124="","",COUNTA($C$9:$C124))</f>
        <v/>
      </c>
      <c r="C124" s="21" t="n"/>
      <c r="D124" s="14" t="n"/>
      <c r="E124" s="14" t="n"/>
      <c r="F124" s="14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3">
        <f>IF($C124="","",N(L124)-N(M124))</f>
        <v/>
      </c>
      <c r="P124" s="24" t="n"/>
      <c r="Q124" s="23">
        <f>IF($C124="","",N(M124)+N(N124))</f>
        <v/>
      </c>
      <c r="R124" s="23">
        <f>IF($C124="","",N(J124)+N(Q124))</f>
        <v/>
      </c>
      <c r="S124" s="25">
        <f>IF(OR($C124="",N($G124)=0),"",R124/$G124)</f>
        <v/>
      </c>
      <c r="T124" s="23">
        <f>IF($C124="","",N($G124)-N(R124))</f>
        <v/>
      </c>
      <c r="U124" s="24" t="n"/>
      <c r="V124" s="22" t="n"/>
    </row>
    <row r="125">
      <c r="B125" s="13">
        <f>IF($C125="","",COUNTA($C$9:$C125))</f>
        <v/>
      </c>
      <c r="C125" s="21" t="n"/>
      <c r="D125" s="14" t="n"/>
      <c r="E125" s="14" t="n"/>
      <c r="F125" s="14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3">
        <f>IF($C125="","",N(L125)-N(M125))</f>
        <v/>
      </c>
      <c r="P125" s="24" t="n"/>
      <c r="Q125" s="23">
        <f>IF($C125="","",N(M125)+N(N125))</f>
        <v/>
      </c>
      <c r="R125" s="23">
        <f>IF($C125="","",N(J125)+N(Q125))</f>
        <v/>
      </c>
      <c r="S125" s="25">
        <f>IF(OR($C125="",N($G125)=0),"",R125/$G125)</f>
        <v/>
      </c>
      <c r="T125" s="23">
        <f>IF($C125="","",N($G125)-N(R125))</f>
        <v/>
      </c>
      <c r="U125" s="24" t="n"/>
      <c r="V125" s="22" t="n"/>
    </row>
    <row r="126">
      <c r="B126" s="13">
        <f>IF($C126="","",COUNTA($C$9:$C126))</f>
        <v/>
      </c>
      <c r="C126" s="21" t="n"/>
      <c r="D126" s="14" t="n"/>
      <c r="E126" s="14" t="n"/>
      <c r="F126" s="14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3">
        <f>IF($C126="","",N(L126)-N(M126))</f>
        <v/>
      </c>
      <c r="P126" s="24" t="n"/>
      <c r="Q126" s="23">
        <f>IF($C126="","",N(M126)+N(N126))</f>
        <v/>
      </c>
      <c r="R126" s="23">
        <f>IF($C126="","",N(J126)+N(Q126))</f>
        <v/>
      </c>
      <c r="S126" s="25">
        <f>IF(OR($C126="",N($G126)=0),"",R126/$G126)</f>
        <v/>
      </c>
      <c r="T126" s="23">
        <f>IF($C126="","",N($G126)-N(R126))</f>
        <v/>
      </c>
      <c r="U126" s="24" t="n"/>
      <c r="V126" s="22" t="n"/>
    </row>
    <row r="127">
      <c r="B127" s="13">
        <f>IF($C127="","",COUNTA($C$9:$C127))</f>
        <v/>
      </c>
      <c r="C127" s="21" t="n"/>
      <c r="D127" s="14" t="n"/>
      <c r="E127" s="14" t="n"/>
      <c r="F127" s="14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3">
        <f>IF($C127="","",N(L127)-N(M127))</f>
        <v/>
      </c>
      <c r="P127" s="24" t="n"/>
      <c r="Q127" s="23">
        <f>IF($C127="","",N(M127)+N(N127))</f>
        <v/>
      </c>
      <c r="R127" s="23">
        <f>IF($C127="","",N(J127)+N(Q127))</f>
        <v/>
      </c>
      <c r="S127" s="25">
        <f>IF(OR($C127="",N($G127)=0),"",R127/$G127)</f>
        <v/>
      </c>
      <c r="T127" s="23">
        <f>IF($C127="","",N($G127)-N(R127))</f>
        <v/>
      </c>
      <c r="U127" s="24" t="n"/>
      <c r="V127" s="22" t="n"/>
    </row>
    <row r="128">
      <c r="B128" s="13">
        <f>IF($C128="","",COUNTA($C$9:$C128))</f>
        <v/>
      </c>
      <c r="C128" s="21" t="n"/>
      <c r="D128" s="14" t="n"/>
      <c r="E128" s="14" t="n"/>
      <c r="F128" s="14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3">
        <f>IF($C128="","",N(L128)-N(M128))</f>
        <v/>
      </c>
      <c r="P128" s="24" t="n"/>
      <c r="Q128" s="23">
        <f>IF($C128="","",N(M128)+N(N128))</f>
        <v/>
      </c>
      <c r="R128" s="23">
        <f>IF($C128="","",N(J128)+N(Q128))</f>
        <v/>
      </c>
      <c r="S128" s="25">
        <f>IF(OR($C128="",N($G128)=0),"",R128/$G128)</f>
        <v/>
      </c>
      <c r="T128" s="23">
        <f>IF($C128="","",N($G128)-N(R128))</f>
        <v/>
      </c>
      <c r="U128" s="24" t="n"/>
      <c r="V128" s="22" t="n"/>
    </row>
    <row r="129">
      <c r="B129" s="13">
        <f>IF($C129="","",COUNTA($C$9:$C129))</f>
        <v/>
      </c>
      <c r="C129" s="21" t="n"/>
      <c r="D129" s="14" t="n"/>
      <c r="E129" s="14" t="n"/>
      <c r="F129" s="14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3">
        <f>IF($C129="","",N(L129)-N(M129))</f>
        <v/>
      </c>
      <c r="P129" s="24" t="n"/>
      <c r="Q129" s="23">
        <f>IF($C129="","",N(M129)+N(N129))</f>
        <v/>
      </c>
      <c r="R129" s="23">
        <f>IF($C129="","",N(J129)+N(Q129))</f>
        <v/>
      </c>
      <c r="S129" s="25">
        <f>IF(OR($C129="",N($G129)=0),"",R129/$G129)</f>
        <v/>
      </c>
      <c r="T129" s="23">
        <f>IF($C129="","",N($G129)-N(R129))</f>
        <v/>
      </c>
      <c r="U129" s="24" t="n"/>
      <c r="V129" s="22" t="n"/>
    </row>
    <row r="130">
      <c r="B130" s="13">
        <f>IF($C130="","",COUNTA($C$9:$C130))</f>
        <v/>
      </c>
      <c r="C130" s="21" t="n"/>
      <c r="D130" s="14" t="n"/>
      <c r="E130" s="14" t="n"/>
      <c r="F130" s="14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3">
        <f>IF($C130="","",N(L130)-N(M130))</f>
        <v/>
      </c>
      <c r="P130" s="24" t="n"/>
      <c r="Q130" s="23">
        <f>IF($C130="","",N(M130)+N(N130))</f>
        <v/>
      </c>
      <c r="R130" s="23">
        <f>IF($C130="","",N(J130)+N(Q130))</f>
        <v/>
      </c>
      <c r="S130" s="25">
        <f>IF(OR($C130="",N($G130)=0),"",R130/$G130)</f>
        <v/>
      </c>
      <c r="T130" s="23">
        <f>IF($C130="","",N($G130)-N(R130))</f>
        <v/>
      </c>
      <c r="U130" s="24" t="n"/>
      <c r="V130" s="22" t="n"/>
    </row>
    <row r="131">
      <c r="B131" s="13">
        <f>IF($C131="","",COUNTA($C$9:$C131))</f>
        <v/>
      </c>
      <c r="C131" s="21" t="n"/>
      <c r="D131" s="14" t="n"/>
      <c r="E131" s="14" t="n"/>
      <c r="F131" s="14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3">
        <f>IF($C131="","",N(L131)-N(M131))</f>
        <v/>
      </c>
      <c r="P131" s="24" t="n"/>
      <c r="Q131" s="23">
        <f>IF($C131="","",N(M131)+N(N131))</f>
        <v/>
      </c>
      <c r="R131" s="23">
        <f>IF($C131="","",N(J131)+N(Q131))</f>
        <v/>
      </c>
      <c r="S131" s="25">
        <f>IF(OR($C131="",N($G131)=0),"",R131/$G131)</f>
        <v/>
      </c>
      <c r="T131" s="23">
        <f>IF($C131="","",N($G131)-N(R131))</f>
        <v/>
      </c>
      <c r="U131" s="24" t="n"/>
      <c r="V131" s="22" t="n"/>
    </row>
    <row r="132">
      <c r="B132" s="13">
        <f>IF($C132="","",COUNTA($C$9:$C132))</f>
        <v/>
      </c>
      <c r="C132" s="21" t="n"/>
      <c r="D132" s="14" t="n"/>
      <c r="E132" s="14" t="n"/>
      <c r="F132" s="14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3">
        <f>IF($C132="","",N(L132)-N(M132))</f>
        <v/>
      </c>
      <c r="P132" s="24" t="n"/>
      <c r="Q132" s="23">
        <f>IF($C132="","",N(M132)+N(N132))</f>
        <v/>
      </c>
      <c r="R132" s="23">
        <f>IF($C132="","",N(J132)+N(Q132))</f>
        <v/>
      </c>
      <c r="S132" s="25">
        <f>IF(OR($C132="",N($G132)=0),"",R132/$G132)</f>
        <v/>
      </c>
      <c r="T132" s="23">
        <f>IF($C132="","",N($G132)-N(R132))</f>
        <v/>
      </c>
      <c r="U132" s="24" t="n"/>
      <c r="V132" s="22" t="n"/>
    </row>
    <row r="133">
      <c r="B133" s="13">
        <f>IF($C133="","",COUNTA($C$9:$C133))</f>
        <v/>
      </c>
      <c r="C133" s="21" t="n"/>
      <c r="D133" s="14" t="n"/>
      <c r="E133" s="14" t="n"/>
      <c r="F133" s="14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3">
        <f>IF($C133="","",N(L133)-N(M133))</f>
        <v/>
      </c>
      <c r="P133" s="24" t="n"/>
      <c r="Q133" s="23">
        <f>IF($C133="","",N(M133)+N(N133))</f>
        <v/>
      </c>
      <c r="R133" s="23">
        <f>IF($C133="","",N(J133)+N(Q133))</f>
        <v/>
      </c>
      <c r="S133" s="25">
        <f>IF(OR($C133="",N($G133)=0),"",R133/$G133)</f>
        <v/>
      </c>
      <c r="T133" s="23">
        <f>IF($C133="","",N($G133)-N(R133))</f>
        <v/>
      </c>
      <c r="U133" s="24" t="n"/>
      <c r="V133" s="22" t="n"/>
    </row>
    <row r="134">
      <c r="B134" s="13">
        <f>IF($C134="","",COUNTA($C$9:$C134))</f>
        <v/>
      </c>
      <c r="C134" s="21" t="n"/>
      <c r="D134" s="14" t="n"/>
      <c r="E134" s="14" t="n"/>
      <c r="F134" s="14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3">
        <f>IF($C134="","",N(L134)-N(M134))</f>
        <v/>
      </c>
      <c r="P134" s="24" t="n"/>
      <c r="Q134" s="23">
        <f>IF($C134="","",N(M134)+N(N134))</f>
        <v/>
      </c>
      <c r="R134" s="23">
        <f>IF($C134="","",N(J134)+N(Q134))</f>
        <v/>
      </c>
      <c r="S134" s="25">
        <f>IF(OR($C134="",N($G134)=0),"",R134/$G134)</f>
        <v/>
      </c>
      <c r="T134" s="23">
        <f>IF($C134="","",N($G134)-N(R134))</f>
        <v/>
      </c>
      <c r="U134" s="24" t="n"/>
      <c r="V134" s="22" t="n"/>
    </row>
    <row r="135">
      <c r="B135" s="13">
        <f>IF($C135="","",COUNTA($C$9:$C135))</f>
        <v/>
      </c>
      <c r="C135" s="21" t="n"/>
      <c r="D135" s="14" t="n"/>
      <c r="E135" s="14" t="n"/>
      <c r="F135" s="14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3">
        <f>IF($C135="","",N(L135)-N(M135))</f>
        <v/>
      </c>
      <c r="P135" s="24" t="n"/>
      <c r="Q135" s="23">
        <f>IF($C135="","",N(M135)+N(N135))</f>
        <v/>
      </c>
      <c r="R135" s="23">
        <f>IF($C135="","",N(J135)+N(Q135))</f>
        <v/>
      </c>
      <c r="S135" s="25">
        <f>IF(OR($C135="",N($G135)=0),"",R135/$G135)</f>
        <v/>
      </c>
      <c r="T135" s="23">
        <f>IF($C135="","",N($G135)-N(R135))</f>
        <v/>
      </c>
      <c r="U135" s="24" t="n"/>
      <c r="V135" s="22" t="n"/>
    </row>
    <row r="136">
      <c r="B136" s="13">
        <f>IF($C136="","",COUNTA($C$9:$C136))</f>
        <v/>
      </c>
      <c r="C136" s="21" t="n"/>
      <c r="D136" s="14" t="n"/>
      <c r="E136" s="14" t="n"/>
      <c r="F136" s="14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3">
        <f>IF($C136="","",N(L136)-N(M136))</f>
        <v/>
      </c>
      <c r="P136" s="24" t="n"/>
      <c r="Q136" s="23">
        <f>IF($C136="","",N(M136)+N(N136))</f>
        <v/>
      </c>
      <c r="R136" s="23">
        <f>IF($C136="","",N(J136)+N(Q136))</f>
        <v/>
      </c>
      <c r="S136" s="25">
        <f>IF(OR($C136="",N($G136)=0),"",R136/$G136)</f>
        <v/>
      </c>
      <c r="T136" s="23">
        <f>IF($C136="","",N($G136)-N(R136))</f>
        <v/>
      </c>
      <c r="U136" s="24" t="n"/>
      <c r="V136" s="22" t="n"/>
    </row>
    <row r="137">
      <c r="B137" s="13">
        <f>IF($C137="","",COUNTA($C$9:$C137))</f>
        <v/>
      </c>
      <c r="C137" s="21" t="n"/>
      <c r="D137" s="14" t="n"/>
      <c r="E137" s="14" t="n"/>
      <c r="F137" s="14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3">
        <f>IF($C137="","",N(L137)-N(M137))</f>
        <v/>
      </c>
      <c r="P137" s="24" t="n"/>
      <c r="Q137" s="23">
        <f>IF($C137="","",N(M137)+N(N137))</f>
        <v/>
      </c>
      <c r="R137" s="23">
        <f>IF($C137="","",N(J137)+N(Q137))</f>
        <v/>
      </c>
      <c r="S137" s="25">
        <f>IF(OR($C137="",N($G137)=0),"",R137/$G137)</f>
        <v/>
      </c>
      <c r="T137" s="23">
        <f>IF($C137="","",N($G137)-N(R137))</f>
        <v/>
      </c>
      <c r="U137" s="24" t="n"/>
      <c r="V137" s="22" t="n"/>
    </row>
    <row r="138">
      <c r="B138" s="13">
        <f>IF($C138="","",COUNTA($C$9:$C138))</f>
        <v/>
      </c>
      <c r="C138" s="21" t="n"/>
      <c r="D138" s="14" t="n"/>
      <c r="E138" s="14" t="n"/>
      <c r="F138" s="14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3">
        <f>IF($C138="","",N(L138)-N(M138))</f>
        <v/>
      </c>
      <c r="P138" s="24" t="n"/>
      <c r="Q138" s="23">
        <f>IF($C138="","",N(M138)+N(N138))</f>
        <v/>
      </c>
      <c r="R138" s="23">
        <f>IF($C138="","",N(J138)+N(Q138))</f>
        <v/>
      </c>
      <c r="S138" s="25">
        <f>IF(OR($C138="",N($G138)=0),"",R138/$G138)</f>
        <v/>
      </c>
      <c r="T138" s="23">
        <f>IF($C138="","",N($G138)-N(R138))</f>
        <v/>
      </c>
      <c r="U138" s="24" t="n"/>
      <c r="V138" s="22" t="n"/>
    </row>
    <row r="139">
      <c r="B139" s="13">
        <f>IF($C139="","",COUNTA($C$9:$C139))</f>
        <v/>
      </c>
      <c r="C139" s="21" t="n"/>
      <c r="D139" s="14" t="n"/>
      <c r="E139" s="14" t="n"/>
      <c r="F139" s="14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3">
        <f>IF($C139="","",N(L139)-N(M139))</f>
        <v/>
      </c>
      <c r="P139" s="24" t="n"/>
      <c r="Q139" s="23">
        <f>IF($C139="","",N(M139)+N(N139))</f>
        <v/>
      </c>
      <c r="R139" s="23">
        <f>IF($C139="","",N(J139)+N(Q139))</f>
        <v/>
      </c>
      <c r="S139" s="25">
        <f>IF(OR($C139="",N($G139)=0),"",R139/$G139)</f>
        <v/>
      </c>
      <c r="T139" s="23">
        <f>IF($C139="","",N($G139)-N(R139))</f>
        <v/>
      </c>
      <c r="U139" s="24" t="n"/>
      <c r="V139" s="22" t="n"/>
    </row>
    <row r="140">
      <c r="B140" s="13">
        <f>IF($C140="","",COUNTA($C$9:$C140))</f>
        <v/>
      </c>
      <c r="C140" s="21" t="n"/>
      <c r="D140" s="14" t="n"/>
      <c r="E140" s="14" t="n"/>
      <c r="F140" s="14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3">
        <f>IF($C140="","",N(L140)-N(M140))</f>
        <v/>
      </c>
      <c r="P140" s="24" t="n"/>
      <c r="Q140" s="23">
        <f>IF($C140="","",N(M140)+N(N140))</f>
        <v/>
      </c>
      <c r="R140" s="23">
        <f>IF($C140="","",N(J140)+N(Q140))</f>
        <v/>
      </c>
      <c r="S140" s="25">
        <f>IF(OR($C140="",N($G140)=0),"",R140/$G140)</f>
        <v/>
      </c>
      <c r="T140" s="23">
        <f>IF($C140="","",N($G140)-N(R140))</f>
        <v/>
      </c>
      <c r="U140" s="24" t="n"/>
      <c r="V140" s="22" t="n"/>
    </row>
    <row r="141">
      <c r="B141" s="13">
        <f>IF($C141="","",COUNTA($C$9:$C141))</f>
        <v/>
      </c>
      <c r="C141" s="21" t="n"/>
      <c r="D141" s="14" t="n"/>
      <c r="E141" s="14" t="n"/>
      <c r="F141" s="14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3">
        <f>IF($C141="","",N(L141)-N(M141))</f>
        <v/>
      </c>
      <c r="P141" s="24" t="n"/>
      <c r="Q141" s="23">
        <f>IF($C141="","",N(M141)+N(N141))</f>
        <v/>
      </c>
      <c r="R141" s="23">
        <f>IF($C141="","",N(J141)+N(Q141))</f>
        <v/>
      </c>
      <c r="S141" s="25">
        <f>IF(OR($C141="",N($G141)=0),"",R141/$G141)</f>
        <v/>
      </c>
      <c r="T141" s="23">
        <f>IF($C141="","",N($G141)-N(R141))</f>
        <v/>
      </c>
      <c r="U141" s="24" t="n"/>
      <c r="V141" s="22" t="n"/>
    </row>
    <row r="142">
      <c r="B142" s="13">
        <f>IF($C142="","",COUNTA($C$9:$C142))</f>
        <v/>
      </c>
      <c r="C142" s="21" t="n"/>
      <c r="D142" s="14" t="n"/>
      <c r="E142" s="14" t="n"/>
      <c r="F142" s="14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3">
        <f>IF($C142="","",N(L142)-N(M142))</f>
        <v/>
      </c>
      <c r="P142" s="24" t="n"/>
      <c r="Q142" s="23">
        <f>IF($C142="","",N(M142)+N(N142))</f>
        <v/>
      </c>
      <c r="R142" s="23">
        <f>IF($C142="","",N(J142)+N(Q142))</f>
        <v/>
      </c>
      <c r="S142" s="25">
        <f>IF(OR($C142="",N($G142)=0),"",R142/$G142)</f>
        <v/>
      </c>
      <c r="T142" s="23">
        <f>IF($C142="","",N($G142)-N(R142))</f>
        <v/>
      </c>
      <c r="U142" s="24" t="n"/>
      <c r="V142" s="22" t="n"/>
    </row>
    <row r="143">
      <c r="B143" s="13">
        <f>IF($C143="","",COUNTA($C$9:$C143))</f>
        <v/>
      </c>
      <c r="C143" s="21" t="n"/>
      <c r="D143" s="14" t="n"/>
      <c r="E143" s="14" t="n"/>
      <c r="F143" s="14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3">
        <f>IF($C143="","",N(L143)-N(M143))</f>
        <v/>
      </c>
      <c r="P143" s="24" t="n"/>
      <c r="Q143" s="23">
        <f>IF($C143="","",N(M143)+N(N143))</f>
        <v/>
      </c>
      <c r="R143" s="23">
        <f>IF($C143="","",N(J143)+N(Q143))</f>
        <v/>
      </c>
      <c r="S143" s="25">
        <f>IF(OR($C143="",N($G143)=0),"",R143/$G143)</f>
        <v/>
      </c>
      <c r="T143" s="23">
        <f>IF($C143="","",N($G143)-N(R143))</f>
        <v/>
      </c>
      <c r="U143" s="24" t="n"/>
      <c r="V143" s="22" t="n"/>
    </row>
    <row r="144">
      <c r="B144" s="13">
        <f>IF($C144="","",COUNTA($C$9:$C144))</f>
        <v/>
      </c>
      <c r="C144" s="21" t="n"/>
      <c r="D144" s="14" t="n"/>
      <c r="E144" s="14" t="n"/>
      <c r="F144" s="14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3">
        <f>IF($C144="","",N(L144)-N(M144))</f>
        <v/>
      </c>
      <c r="P144" s="24" t="n"/>
      <c r="Q144" s="23">
        <f>IF($C144="","",N(M144)+N(N144))</f>
        <v/>
      </c>
      <c r="R144" s="23">
        <f>IF($C144="","",N(J144)+N(Q144))</f>
        <v/>
      </c>
      <c r="S144" s="25">
        <f>IF(OR($C144="",N($G144)=0),"",R144/$G144)</f>
        <v/>
      </c>
      <c r="T144" s="23">
        <f>IF($C144="","",N($G144)-N(R144))</f>
        <v/>
      </c>
      <c r="U144" s="24" t="n"/>
      <c r="V144" s="22" t="n"/>
    </row>
    <row r="145">
      <c r="B145" s="13">
        <f>IF($C145="","",COUNTA($C$9:$C145))</f>
        <v/>
      </c>
      <c r="C145" s="21" t="n"/>
      <c r="D145" s="14" t="n"/>
      <c r="E145" s="14" t="n"/>
      <c r="F145" s="14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3">
        <f>IF($C145="","",N(L145)-N(M145))</f>
        <v/>
      </c>
      <c r="P145" s="24" t="n"/>
      <c r="Q145" s="23">
        <f>IF($C145="","",N(M145)+N(N145))</f>
        <v/>
      </c>
      <c r="R145" s="23">
        <f>IF($C145="","",N(J145)+N(Q145))</f>
        <v/>
      </c>
      <c r="S145" s="25">
        <f>IF(OR($C145="",N($G145)=0),"",R145/$G145)</f>
        <v/>
      </c>
      <c r="T145" s="23">
        <f>IF($C145="","",N($G145)-N(R145))</f>
        <v/>
      </c>
      <c r="U145" s="24" t="n"/>
      <c r="V145" s="22" t="n"/>
    </row>
    <row r="146">
      <c r="B146" s="13">
        <f>IF($C146="","",COUNTA($C$9:$C146))</f>
        <v/>
      </c>
      <c r="C146" s="21" t="n"/>
      <c r="D146" s="14" t="n"/>
      <c r="E146" s="14" t="n"/>
      <c r="F146" s="14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3">
        <f>IF($C146="","",N(L146)-N(M146))</f>
        <v/>
      </c>
      <c r="P146" s="24" t="n"/>
      <c r="Q146" s="23">
        <f>IF($C146="","",N(M146)+N(N146))</f>
        <v/>
      </c>
      <c r="R146" s="23">
        <f>IF($C146="","",N(J146)+N(Q146))</f>
        <v/>
      </c>
      <c r="S146" s="25">
        <f>IF(OR($C146="",N($G146)=0),"",R146/$G146)</f>
        <v/>
      </c>
      <c r="T146" s="23">
        <f>IF($C146="","",N($G146)-N(R146))</f>
        <v/>
      </c>
      <c r="U146" s="24" t="n"/>
      <c r="V146" s="22" t="n"/>
    </row>
    <row r="147">
      <c r="B147" s="13">
        <f>IF($C147="","",COUNTA($C$9:$C147))</f>
        <v/>
      </c>
      <c r="C147" s="21" t="n"/>
      <c r="D147" s="14" t="n"/>
      <c r="E147" s="14" t="n"/>
      <c r="F147" s="14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3">
        <f>IF($C147="","",N(L147)-N(M147))</f>
        <v/>
      </c>
      <c r="P147" s="24" t="n"/>
      <c r="Q147" s="23">
        <f>IF($C147="","",N(M147)+N(N147))</f>
        <v/>
      </c>
      <c r="R147" s="23">
        <f>IF($C147="","",N(J147)+N(Q147))</f>
        <v/>
      </c>
      <c r="S147" s="25">
        <f>IF(OR($C147="",N($G147)=0),"",R147/$G147)</f>
        <v/>
      </c>
      <c r="T147" s="23">
        <f>IF($C147="","",N($G147)-N(R147))</f>
        <v/>
      </c>
      <c r="U147" s="24" t="n"/>
      <c r="V147" s="22" t="n"/>
    </row>
    <row r="148">
      <c r="B148" s="13">
        <f>IF($C148="","",COUNTA($C$9:$C148))</f>
        <v/>
      </c>
      <c r="C148" s="21" t="n"/>
      <c r="D148" s="14" t="n"/>
      <c r="E148" s="14" t="n"/>
      <c r="F148" s="14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3">
        <f>IF($C148="","",N(L148)-N(M148))</f>
        <v/>
      </c>
      <c r="P148" s="24" t="n"/>
      <c r="Q148" s="23">
        <f>IF($C148="","",N(M148)+N(N148))</f>
        <v/>
      </c>
      <c r="R148" s="23">
        <f>IF($C148="","",N(J148)+N(Q148))</f>
        <v/>
      </c>
      <c r="S148" s="25">
        <f>IF(OR($C148="",N($G148)=0),"",R148/$G148)</f>
        <v/>
      </c>
      <c r="T148" s="23">
        <f>IF($C148="","",N($G148)-N(R148))</f>
        <v/>
      </c>
      <c r="U148" s="24" t="n"/>
      <c r="V148" s="22" t="n"/>
    </row>
    <row r="149">
      <c r="B149" s="13">
        <f>IF($C149="","",COUNTA($C$9:$C149))</f>
        <v/>
      </c>
      <c r="C149" s="21" t="n"/>
      <c r="D149" s="14" t="n"/>
      <c r="E149" s="14" t="n"/>
      <c r="F149" s="14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3">
        <f>IF($C149="","",N(L149)-N(M149))</f>
        <v/>
      </c>
      <c r="P149" s="24" t="n"/>
      <c r="Q149" s="23">
        <f>IF($C149="","",N(M149)+N(N149))</f>
        <v/>
      </c>
      <c r="R149" s="23">
        <f>IF($C149="","",N(J149)+N(Q149))</f>
        <v/>
      </c>
      <c r="S149" s="25">
        <f>IF(OR($C149="",N($G149)=0),"",R149/$G149)</f>
        <v/>
      </c>
      <c r="T149" s="23">
        <f>IF($C149="","",N($G149)-N(R149))</f>
        <v/>
      </c>
      <c r="U149" s="24" t="n"/>
      <c r="V149" s="22" t="n"/>
    </row>
    <row r="150">
      <c r="B150" s="13">
        <f>IF($C150="","",COUNTA($C$9:$C150))</f>
        <v/>
      </c>
      <c r="C150" s="21" t="n"/>
      <c r="D150" s="14" t="n"/>
      <c r="E150" s="14" t="n"/>
      <c r="F150" s="14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3">
        <f>IF($C150="","",N(L150)-N(M150))</f>
        <v/>
      </c>
      <c r="P150" s="24" t="n"/>
      <c r="Q150" s="23">
        <f>IF($C150="","",N(M150)+N(N150))</f>
        <v/>
      </c>
      <c r="R150" s="23">
        <f>IF($C150="","",N(J150)+N(Q150))</f>
        <v/>
      </c>
      <c r="S150" s="25">
        <f>IF(OR($C150="",N($G150)=0),"",R150/$G150)</f>
        <v/>
      </c>
      <c r="T150" s="23">
        <f>IF($C150="","",N($G150)-N(R150))</f>
        <v/>
      </c>
      <c r="U150" s="24" t="n"/>
      <c r="V150" s="22" t="n"/>
    </row>
    <row r="151">
      <c r="B151" s="13">
        <f>IF($C151="","",COUNTA($C$9:$C151))</f>
        <v/>
      </c>
      <c r="C151" s="21" t="n"/>
      <c r="D151" s="14" t="n"/>
      <c r="E151" s="14" t="n"/>
      <c r="F151" s="14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3">
        <f>IF($C151="","",N(L151)-N(M151))</f>
        <v/>
      </c>
      <c r="P151" s="24" t="n"/>
      <c r="Q151" s="23">
        <f>IF($C151="","",N(M151)+N(N151))</f>
        <v/>
      </c>
      <c r="R151" s="23">
        <f>IF($C151="","",N(J151)+N(Q151))</f>
        <v/>
      </c>
      <c r="S151" s="25">
        <f>IF(OR($C151="",N($G151)=0),"",R151/$G151)</f>
        <v/>
      </c>
      <c r="T151" s="23">
        <f>IF($C151="","",N($G151)-N(R151))</f>
        <v/>
      </c>
      <c r="U151" s="24" t="n"/>
      <c r="V151" s="22" t="n"/>
    </row>
    <row r="152">
      <c r="B152" s="13">
        <f>IF($C152="","",COUNTA($C$9:$C152))</f>
        <v/>
      </c>
      <c r="C152" s="21" t="n"/>
      <c r="D152" s="14" t="n"/>
      <c r="E152" s="14" t="n"/>
      <c r="F152" s="14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3">
        <f>IF($C152="","",N(L152)-N(M152))</f>
        <v/>
      </c>
      <c r="P152" s="24" t="n"/>
      <c r="Q152" s="23">
        <f>IF($C152="","",N(M152)+N(N152))</f>
        <v/>
      </c>
      <c r="R152" s="23">
        <f>IF($C152="","",N(J152)+N(Q152))</f>
        <v/>
      </c>
      <c r="S152" s="25">
        <f>IF(OR($C152="",N($G152)=0),"",R152/$G152)</f>
        <v/>
      </c>
      <c r="T152" s="23">
        <f>IF($C152="","",N($G152)-N(R152))</f>
        <v/>
      </c>
      <c r="U152" s="24" t="n"/>
      <c r="V152" s="22" t="n"/>
    </row>
    <row r="153">
      <c r="B153" s="13">
        <f>IF($C153="","",COUNTA($C$9:$C153))</f>
        <v/>
      </c>
      <c r="C153" s="21" t="n"/>
      <c r="D153" s="14" t="n"/>
      <c r="E153" s="14" t="n"/>
      <c r="F153" s="14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3">
        <f>IF($C153="","",N(L153)-N(M153))</f>
        <v/>
      </c>
      <c r="P153" s="24" t="n"/>
      <c r="Q153" s="23">
        <f>IF($C153="","",N(M153)+N(N153))</f>
        <v/>
      </c>
      <c r="R153" s="23">
        <f>IF($C153="","",N(J153)+N(Q153))</f>
        <v/>
      </c>
      <c r="S153" s="25">
        <f>IF(OR($C153="",N($G153)=0),"",R153/$G153)</f>
        <v/>
      </c>
      <c r="T153" s="23">
        <f>IF($C153="","",N($G153)-N(R153))</f>
        <v/>
      </c>
      <c r="U153" s="24" t="n"/>
      <c r="V153" s="22" t="n"/>
    </row>
    <row r="154">
      <c r="B154" s="13">
        <f>IF($C154="","",COUNTA($C$9:$C154))</f>
        <v/>
      </c>
      <c r="C154" s="21" t="n"/>
      <c r="D154" s="14" t="n"/>
      <c r="E154" s="14" t="n"/>
      <c r="F154" s="14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3">
        <f>IF($C154="","",N(L154)-N(M154))</f>
        <v/>
      </c>
      <c r="P154" s="24" t="n"/>
      <c r="Q154" s="23">
        <f>IF($C154="","",N(M154)+N(N154))</f>
        <v/>
      </c>
      <c r="R154" s="23">
        <f>IF($C154="","",N(J154)+N(Q154))</f>
        <v/>
      </c>
      <c r="S154" s="25">
        <f>IF(OR($C154="",N($G154)=0),"",R154/$G154)</f>
        <v/>
      </c>
      <c r="T154" s="23">
        <f>IF($C154="","",N($G154)-N(R154))</f>
        <v/>
      </c>
      <c r="U154" s="24" t="n"/>
      <c r="V154" s="22" t="n"/>
    </row>
    <row r="155">
      <c r="B155" s="13">
        <f>IF($C155="","",COUNTA($C$9:$C155))</f>
        <v/>
      </c>
      <c r="C155" s="21" t="n"/>
      <c r="D155" s="14" t="n"/>
      <c r="E155" s="14" t="n"/>
      <c r="F155" s="14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3">
        <f>IF($C155="","",N(L155)-N(M155))</f>
        <v/>
      </c>
      <c r="P155" s="24" t="n"/>
      <c r="Q155" s="23">
        <f>IF($C155="","",N(M155)+N(N155))</f>
        <v/>
      </c>
      <c r="R155" s="23">
        <f>IF($C155="","",N(J155)+N(Q155))</f>
        <v/>
      </c>
      <c r="S155" s="25">
        <f>IF(OR($C155="",N($G155)=0),"",R155/$G155)</f>
        <v/>
      </c>
      <c r="T155" s="23">
        <f>IF($C155="","",N($G155)-N(R155))</f>
        <v/>
      </c>
      <c r="U155" s="24" t="n"/>
      <c r="V155" s="22" t="n"/>
    </row>
    <row r="156">
      <c r="B156" s="13">
        <f>IF($C156="","",COUNTA($C$9:$C156))</f>
        <v/>
      </c>
      <c r="C156" s="21" t="n"/>
      <c r="D156" s="14" t="n"/>
      <c r="E156" s="14" t="n"/>
      <c r="F156" s="14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3">
        <f>IF($C156="","",N(L156)-N(M156))</f>
        <v/>
      </c>
      <c r="P156" s="24" t="n"/>
      <c r="Q156" s="23">
        <f>IF($C156="","",N(M156)+N(N156))</f>
        <v/>
      </c>
      <c r="R156" s="23">
        <f>IF($C156="","",N(J156)+N(Q156))</f>
        <v/>
      </c>
      <c r="S156" s="25">
        <f>IF(OR($C156="",N($G156)=0),"",R156/$G156)</f>
        <v/>
      </c>
      <c r="T156" s="23">
        <f>IF($C156="","",N($G156)-N(R156))</f>
        <v/>
      </c>
      <c r="U156" s="24" t="n"/>
      <c r="V156" s="22" t="n"/>
    </row>
    <row r="157">
      <c r="B157" s="13">
        <f>IF($C157="","",COUNTA($C$9:$C157))</f>
        <v/>
      </c>
      <c r="C157" s="21" t="n"/>
      <c r="D157" s="14" t="n"/>
      <c r="E157" s="14" t="n"/>
      <c r="F157" s="14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3">
        <f>IF($C157="","",N(L157)-N(M157))</f>
        <v/>
      </c>
      <c r="P157" s="24" t="n"/>
      <c r="Q157" s="23">
        <f>IF($C157="","",N(M157)+N(N157))</f>
        <v/>
      </c>
      <c r="R157" s="23">
        <f>IF($C157="","",N(J157)+N(Q157))</f>
        <v/>
      </c>
      <c r="S157" s="25">
        <f>IF(OR($C157="",N($G157)=0),"",R157/$G157)</f>
        <v/>
      </c>
      <c r="T157" s="23">
        <f>IF($C157="","",N($G157)-N(R157))</f>
        <v/>
      </c>
      <c r="U157" s="24" t="n"/>
      <c r="V157" s="22" t="n"/>
    </row>
    <row r="158">
      <c r="B158" s="13">
        <f>IF($C158="","",COUNTA($C$9:$C158))</f>
        <v/>
      </c>
      <c r="C158" s="21" t="n"/>
      <c r="D158" s="14" t="n"/>
      <c r="E158" s="14" t="n"/>
      <c r="F158" s="14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3">
        <f>IF($C158="","",N(L158)-N(M158))</f>
        <v/>
      </c>
      <c r="P158" s="24" t="n"/>
      <c r="Q158" s="23">
        <f>IF($C158="","",N(M158)+N(N158))</f>
        <v/>
      </c>
      <c r="R158" s="23">
        <f>IF($C158="","",N(J158)+N(Q158))</f>
        <v/>
      </c>
      <c r="S158" s="25">
        <f>IF(OR($C158="",N($G158)=0),"",R158/$G158)</f>
        <v/>
      </c>
      <c r="T158" s="23">
        <f>IF($C158="","",N($G158)-N(R158))</f>
        <v/>
      </c>
      <c r="U158" s="24" t="n"/>
      <c r="V158" s="22" t="n"/>
    </row>
    <row r="159">
      <c r="B159" s="13">
        <f>IF($C159="","",COUNTA($C$9:$C159))</f>
        <v/>
      </c>
      <c r="C159" s="21" t="n"/>
      <c r="D159" s="14" t="n"/>
      <c r="E159" s="14" t="n"/>
      <c r="F159" s="14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3">
        <f>IF($C159="","",N(L159)-N(M159))</f>
        <v/>
      </c>
      <c r="P159" s="24" t="n"/>
      <c r="Q159" s="23">
        <f>IF($C159="","",N(M159)+N(N159))</f>
        <v/>
      </c>
      <c r="R159" s="23">
        <f>IF($C159="","",N(J159)+N(Q159))</f>
        <v/>
      </c>
      <c r="S159" s="25">
        <f>IF(OR($C159="",N($G159)=0),"",R159/$G159)</f>
        <v/>
      </c>
      <c r="T159" s="23">
        <f>IF($C159="","",N($G159)-N(R159))</f>
        <v/>
      </c>
      <c r="U159" s="24" t="n"/>
      <c r="V159" s="22" t="n"/>
    </row>
    <row r="160">
      <c r="B160" s="13">
        <f>IF($C160="","",COUNTA($C$9:$C160))</f>
        <v/>
      </c>
      <c r="C160" s="21" t="n"/>
      <c r="D160" s="14" t="n"/>
      <c r="E160" s="14" t="n"/>
      <c r="F160" s="14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3">
        <f>IF($C160="","",N(L160)-N(M160))</f>
        <v/>
      </c>
      <c r="P160" s="24" t="n"/>
      <c r="Q160" s="23">
        <f>IF($C160="","",N(M160)+N(N160))</f>
        <v/>
      </c>
      <c r="R160" s="23">
        <f>IF($C160="","",N(J160)+N(Q160))</f>
        <v/>
      </c>
      <c r="S160" s="25">
        <f>IF(OR($C160="",N($G160)=0),"",R160/$G160)</f>
        <v/>
      </c>
      <c r="T160" s="23">
        <f>IF($C160="","",N($G160)-N(R160))</f>
        <v/>
      </c>
      <c r="U160" s="24" t="n"/>
      <c r="V160" s="22" t="n"/>
    </row>
    <row r="161">
      <c r="B161" s="13">
        <f>IF($C161="","",COUNTA($C$9:$C161))</f>
        <v/>
      </c>
      <c r="C161" s="21" t="n"/>
      <c r="D161" s="14" t="n"/>
      <c r="E161" s="14" t="n"/>
      <c r="F161" s="14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3">
        <f>IF($C161="","",N(L161)-N(M161))</f>
        <v/>
      </c>
      <c r="P161" s="24" t="n"/>
      <c r="Q161" s="23">
        <f>IF($C161="","",N(M161)+N(N161))</f>
        <v/>
      </c>
      <c r="R161" s="23">
        <f>IF($C161="","",N(J161)+N(Q161))</f>
        <v/>
      </c>
      <c r="S161" s="25">
        <f>IF(OR($C161="",N($G161)=0),"",R161/$G161)</f>
        <v/>
      </c>
      <c r="T161" s="23">
        <f>IF($C161="","",N($G161)-N(R161))</f>
        <v/>
      </c>
      <c r="U161" s="24" t="n"/>
      <c r="V161" s="22" t="n"/>
    </row>
    <row r="162">
      <c r="B162" s="13">
        <f>IF($C162="","",COUNTA($C$9:$C162))</f>
        <v/>
      </c>
      <c r="C162" s="21" t="n"/>
      <c r="D162" s="14" t="n"/>
      <c r="E162" s="14" t="n"/>
      <c r="F162" s="14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3">
        <f>IF($C162="","",N(L162)-N(M162))</f>
        <v/>
      </c>
      <c r="P162" s="24" t="n"/>
      <c r="Q162" s="23">
        <f>IF($C162="","",N(M162)+N(N162))</f>
        <v/>
      </c>
      <c r="R162" s="23">
        <f>IF($C162="","",N(J162)+N(Q162))</f>
        <v/>
      </c>
      <c r="S162" s="25">
        <f>IF(OR($C162="",N($G162)=0),"",R162/$G162)</f>
        <v/>
      </c>
      <c r="T162" s="23">
        <f>IF($C162="","",N($G162)-N(R162))</f>
        <v/>
      </c>
      <c r="U162" s="24" t="n"/>
      <c r="V162" s="22" t="n"/>
    </row>
    <row r="163">
      <c r="B163" s="13">
        <f>IF($C163="","",COUNTA($C$9:$C163))</f>
        <v/>
      </c>
      <c r="C163" s="21" t="n"/>
      <c r="D163" s="14" t="n"/>
      <c r="E163" s="14" t="n"/>
      <c r="F163" s="14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3">
        <f>IF($C163="","",N(L163)-N(M163))</f>
        <v/>
      </c>
      <c r="P163" s="24" t="n"/>
      <c r="Q163" s="23">
        <f>IF($C163="","",N(M163)+N(N163))</f>
        <v/>
      </c>
      <c r="R163" s="23">
        <f>IF($C163="","",N(J163)+N(Q163))</f>
        <v/>
      </c>
      <c r="S163" s="25">
        <f>IF(OR($C163="",N($G163)=0),"",R163/$G163)</f>
        <v/>
      </c>
      <c r="T163" s="23">
        <f>IF($C163="","",N($G163)-N(R163))</f>
        <v/>
      </c>
      <c r="U163" s="24" t="n"/>
      <c r="V163" s="22" t="n"/>
    </row>
    <row r="164">
      <c r="B164" s="13">
        <f>IF($C164="","",COUNTA($C$9:$C164))</f>
        <v/>
      </c>
      <c r="C164" s="21" t="n"/>
      <c r="D164" s="14" t="n"/>
      <c r="E164" s="14" t="n"/>
      <c r="F164" s="14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3">
        <f>IF($C164="","",N(L164)-N(M164))</f>
        <v/>
      </c>
      <c r="P164" s="24" t="n"/>
      <c r="Q164" s="23">
        <f>IF($C164="","",N(M164)+N(N164))</f>
        <v/>
      </c>
      <c r="R164" s="23">
        <f>IF($C164="","",N(J164)+N(Q164))</f>
        <v/>
      </c>
      <c r="S164" s="25">
        <f>IF(OR($C164="",N($G164)=0),"",R164/$G164)</f>
        <v/>
      </c>
      <c r="T164" s="23">
        <f>IF($C164="","",N($G164)-N(R164))</f>
        <v/>
      </c>
      <c r="U164" s="24" t="n"/>
      <c r="V164" s="22" t="n"/>
    </row>
    <row r="165">
      <c r="B165" s="13">
        <f>IF($C165="","",COUNTA($C$9:$C165))</f>
        <v/>
      </c>
      <c r="C165" s="21" t="n"/>
      <c r="D165" s="14" t="n"/>
      <c r="E165" s="14" t="n"/>
      <c r="F165" s="14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3">
        <f>IF($C165="","",N(L165)-N(M165))</f>
        <v/>
      </c>
      <c r="P165" s="24" t="n"/>
      <c r="Q165" s="23">
        <f>IF($C165="","",N(M165)+N(N165))</f>
        <v/>
      </c>
      <c r="R165" s="23">
        <f>IF($C165="","",N(J165)+N(Q165))</f>
        <v/>
      </c>
      <c r="S165" s="25">
        <f>IF(OR($C165="",N($G165)=0),"",R165/$G165)</f>
        <v/>
      </c>
      <c r="T165" s="23">
        <f>IF($C165="","",N($G165)-N(R165))</f>
        <v/>
      </c>
      <c r="U165" s="24" t="n"/>
      <c r="V165" s="22" t="n"/>
    </row>
    <row r="166">
      <c r="B166" s="13">
        <f>IF($C166="","",COUNTA($C$9:$C166))</f>
        <v/>
      </c>
      <c r="C166" s="21" t="n"/>
      <c r="D166" s="14" t="n"/>
      <c r="E166" s="14" t="n"/>
      <c r="F166" s="14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3">
        <f>IF($C166="","",N(L166)-N(M166))</f>
        <v/>
      </c>
      <c r="P166" s="24" t="n"/>
      <c r="Q166" s="23">
        <f>IF($C166="","",N(M166)+N(N166))</f>
        <v/>
      </c>
      <c r="R166" s="23">
        <f>IF($C166="","",N(J166)+N(Q166))</f>
        <v/>
      </c>
      <c r="S166" s="25">
        <f>IF(OR($C166="",N($G166)=0),"",R166/$G166)</f>
        <v/>
      </c>
      <c r="T166" s="23">
        <f>IF($C166="","",N($G166)-N(R166))</f>
        <v/>
      </c>
      <c r="U166" s="24" t="n"/>
      <c r="V166" s="22" t="n"/>
    </row>
    <row r="167">
      <c r="B167" s="13">
        <f>IF($C167="","",COUNTA($C$9:$C167))</f>
        <v/>
      </c>
      <c r="C167" s="21" t="n"/>
      <c r="D167" s="14" t="n"/>
      <c r="E167" s="14" t="n"/>
      <c r="F167" s="14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3">
        <f>IF($C167="","",N(L167)-N(M167))</f>
        <v/>
      </c>
      <c r="P167" s="24" t="n"/>
      <c r="Q167" s="23">
        <f>IF($C167="","",N(M167)+N(N167))</f>
        <v/>
      </c>
      <c r="R167" s="23">
        <f>IF($C167="","",N(J167)+N(Q167))</f>
        <v/>
      </c>
      <c r="S167" s="25">
        <f>IF(OR($C167="",N($G167)=0),"",R167/$G167)</f>
        <v/>
      </c>
      <c r="T167" s="23">
        <f>IF($C167="","",N($G167)-N(R167))</f>
        <v/>
      </c>
      <c r="U167" s="24" t="n"/>
      <c r="V167" s="22" t="n"/>
    </row>
    <row r="168">
      <c r="B168" s="13">
        <f>IF($C168="","",COUNTA($C$9:$C168))</f>
        <v/>
      </c>
      <c r="C168" s="21" t="n"/>
      <c r="D168" s="14" t="n"/>
      <c r="E168" s="14" t="n"/>
      <c r="F168" s="14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3">
        <f>IF($C168="","",N(L168)-N(M168))</f>
        <v/>
      </c>
      <c r="P168" s="24" t="n"/>
      <c r="Q168" s="23">
        <f>IF($C168="","",N(M168)+N(N168))</f>
        <v/>
      </c>
      <c r="R168" s="23">
        <f>IF($C168="","",N(J168)+N(Q168))</f>
        <v/>
      </c>
      <c r="S168" s="25">
        <f>IF(OR($C168="",N($G168)=0),"",R168/$G168)</f>
        <v/>
      </c>
      <c r="T168" s="23">
        <f>IF($C168="","",N($G168)-N(R168))</f>
        <v/>
      </c>
      <c r="U168" s="24" t="n"/>
      <c r="V168" s="22" t="n"/>
    </row>
    <row r="169">
      <c r="B169" s="13">
        <f>IF($C169="","",COUNTA($C$9:$C169))</f>
        <v/>
      </c>
      <c r="C169" s="21" t="n"/>
      <c r="D169" s="14" t="n"/>
      <c r="E169" s="14" t="n"/>
      <c r="F169" s="14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3">
        <f>IF($C169="","",N(L169)-N(M169))</f>
        <v/>
      </c>
      <c r="P169" s="24" t="n"/>
      <c r="Q169" s="23">
        <f>IF($C169="","",N(M169)+N(N169))</f>
        <v/>
      </c>
      <c r="R169" s="23">
        <f>IF($C169="","",N(J169)+N(Q169))</f>
        <v/>
      </c>
      <c r="S169" s="25">
        <f>IF(OR($C169="",N($G169)=0),"",R169/$G169)</f>
        <v/>
      </c>
      <c r="T169" s="23">
        <f>IF($C169="","",N($G169)-N(R169))</f>
        <v/>
      </c>
      <c r="U169" s="24" t="n"/>
      <c r="V169" s="22" t="n"/>
    </row>
    <row r="170">
      <c r="B170" s="13">
        <f>IF($C170="","",COUNTA($C$9:$C170))</f>
        <v/>
      </c>
      <c r="C170" s="21" t="n"/>
      <c r="D170" s="14" t="n"/>
      <c r="E170" s="14" t="n"/>
      <c r="F170" s="14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3">
        <f>IF($C170="","",N(L170)-N(M170))</f>
        <v/>
      </c>
      <c r="P170" s="24" t="n"/>
      <c r="Q170" s="23">
        <f>IF($C170="","",N(M170)+N(N170))</f>
        <v/>
      </c>
      <c r="R170" s="23">
        <f>IF($C170="","",N(J170)+N(Q170))</f>
        <v/>
      </c>
      <c r="S170" s="25">
        <f>IF(OR($C170="",N($G170)=0),"",R170/$G170)</f>
        <v/>
      </c>
      <c r="T170" s="23">
        <f>IF($C170="","",N($G170)-N(R170))</f>
        <v/>
      </c>
      <c r="U170" s="24" t="n"/>
      <c r="V170" s="22" t="n"/>
    </row>
    <row r="171">
      <c r="B171" s="13">
        <f>IF($C171="","",COUNTA($C$9:$C171))</f>
        <v/>
      </c>
      <c r="C171" s="21" t="n"/>
      <c r="D171" s="14" t="n"/>
      <c r="E171" s="14" t="n"/>
      <c r="F171" s="14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3">
        <f>IF($C171="","",N(L171)-N(M171))</f>
        <v/>
      </c>
      <c r="P171" s="24" t="n"/>
      <c r="Q171" s="23">
        <f>IF($C171="","",N(M171)+N(N171))</f>
        <v/>
      </c>
      <c r="R171" s="23">
        <f>IF($C171="","",N(J171)+N(Q171))</f>
        <v/>
      </c>
      <c r="S171" s="25">
        <f>IF(OR($C171="",N($G171)=0),"",R171/$G171)</f>
        <v/>
      </c>
      <c r="T171" s="23">
        <f>IF($C171="","",N($G171)-N(R171))</f>
        <v/>
      </c>
      <c r="U171" s="24" t="n"/>
      <c r="V171" s="22" t="n"/>
    </row>
    <row r="172">
      <c r="B172" s="13">
        <f>IF($C172="","",COUNTA($C$9:$C172))</f>
        <v/>
      </c>
      <c r="C172" s="21" t="n"/>
      <c r="D172" s="14" t="n"/>
      <c r="E172" s="14" t="n"/>
      <c r="F172" s="14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3">
        <f>IF($C172="","",N(L172)-N(M172))</f>
        <v/>
      </c>
      <c r="P172" s="24" t="n"/>
      <c r="Q172" s="23">
        <f>IF($C172="","",N(M172)+N(N172))</f>
        <v/>
      </c>
      <c r="R172" s="23">
        <f>IF($C172="","",N(J172)+N(Q172))</f>
        <v/>
      </c>
      <c r="S172" s="25">
        <f>IF(OR($C172="",N($G172)=0),"",R172/$G172)</f>
        <v/>
      </c>
      <c r="T172" s="23">
        <f>IF($C172="","",N($G172)-N(R172))</f>
        <v/>
      </c>
      <c r="U172" s="24" t="n"/>
      <c r="V172" s="22" t="n"/>
    </row>
    <row r="173">
      <c r="B173" s="13">
        <f>IF($C173="","",COUNTA($C$9:$C173))</f>
        <v/>
      </c>
      <c r="C173" s="21" t="n"/>
      <c r="D173" s="14" t="n"/>
      <c r="E173" s="14" t="n"/>
      <c r="F173" s="14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3">
        <f>IF($C173="","",N(L173)-N(M173))</f>
        <v/>
      </c>
      <c r="P173" s="24" t="n"/>
      <c r="Q173" s="23">
        <f>IF($C173="","",N(M173)+N(N173))</f>
        <v/>
      </c>
      <c r="R173" s="23">
        <f>IF($C173="","",N(J173)+N(Q173))</f>
        <v/>
      </c>
      <c r="S173" s="25">
        <f>IF(OR($C173="",N($G173)=0),"",R173/$G173)</f>
        <v/>
      </c>
      <c r="T173" s="23">
        <f>IF($C173="","",N($G173)-N(R173))</f>
        <v/>
      </c>
      <c r="U173" s="24" t="n"/>
      <c r="V173" s="22" t="n"/>
    </row>
    <row r="174">
      <c r="B174" s="13">
        <f>IF($C174="","",COUNTA($C$9:$C174))</f>
        <v/>
      </c>
      <c r="C174" s="21" t="n"/>
      <c r="D174" s="14" t="n"/>
      <c r="E174" s="14" t="n"/>
      <c r="F174" s="14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3">
        <f>IF($C174="","",N(L174)-N(M174))</f>
        <v/>
      </c>
      <c r="P174" s="24" t="n"/>
      <c r="Q174" s="23">
        <f>IF($C174="","",N(M174)+N(N174))</f>
        <v/>
      </c>
      <c r="R174" s="23">
        <f>IF($C174="","",N(J174)+N(Q174))</f>
        <v/>
      </c>
      <c r="S174" s="25">
        <f>IF(OR($C174="",N($G174)=0),"",R174/$G174)</f>
        <v/>
      </c>
      <c r="T174" s="23">
        <f>IF($C174="","",N($G174)-N(R174))</f>
        <v/>
      </c>
      <c r="U174" s="24" t="n"/>
      <c r="V174" s="22" t="n"/>
    </row>
    <row r="175">
      <c r="B175" s="13">
        <f>IF($C175="","",COUNTA($C$9:$C175))</f>
        <v/>
      </c>
      <c r="C175" s="21" t="n"/>
      <c r="D175" s="14" t="n"/>
      <c r="E175" s="14" t="n"/>
      <c r="F175" s="14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3">
        <f>IF($C175="","",N(L175)-N(M175))</f>
        <v/>
      </c>
      <c r="P175" s="24" t="n"/>
      <c r="Q175" s="23">
        <f>IF($C175="","",N(M175)+N(N175))</f>
        <v/>
      </c>
      <c r="R175" s="23">
        <f>IF($C175="","",N(J175)+N(Q175))</f>
        <v/>
      </c>
      <c r="S175" s="25">
        <f>IF(OR($C175="",N($G175)=0),"",R175/$G175)</f>
        <v/>
      </c>
      <c r="T175" s="23">
        <f>IF($C175="","",N($G175)-N(R175))</f>
        <v/>
      </c>
      <c r="U175" s="24" t="n"/>
      <c r="V175" s="22" t="n"/>
    </row>
    <row r="176">
      <c r="B176" s="13">
        <f>IF($C176="","",COUNTA($C$9:$C176))</f>
        <v/>
      </c>
      <c r="C176" s="21" t="n"/>
      <c r="D176" s="14" t="n"/>
      <c r="E176" s="14" t="n"/>
      <c r="F176" s="14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3">
        <f>IF($C176="","",N(L176)-N(M176))</f>
        <v/>
      </c>
      <c r="P176" s="24" t="n"/>
      <c r="Q176" s="23">
        <f>IF($C176="","",N(M176)+N(N176))</f>
        <v/>
      </c>
      <c r="R176" s="23">
        <f>IF($C176="","",N(J176)+N(Q176))</f>
        <v/>
      </c>
      <c r="S176" s="25">
        <f>IF(OR($C176="",N($G176)=0),"",R176/$G176)</f>
        <v/>
      </c>
      <c r="T176" s="23">
        <f>IF($C176="","",N($G176)-N(R176))</f>
        <v/>
      </c>
      <c r="U176" s="24" t="n"/>
      <c r="V176" s="22" t="n"/>
    </row>
    <row r="177">
      <c r="B177" s="13">
        <f>IF($C177="","",COUNTA($C$9:$C177))</f>
        <v/>
      </c>
      <c r="C177" s="21" t="n"/>
      <c r="D177" s="14" t="n"/>
      <c r="E177" s="14" t="n"/>
      <c r="F177" s="14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3">
        <f>IF($C177="","",N(L177)-N(M177))</f>
        <v/>
      </c>
      <c r="P177" s="24" t="n"/>
      <c r="Q177" s="23">
        <f>IF($C177="","",N(M177)+N(N177))</f>
        <v/>
      </c>
      <c r="R177" s="23">
        <f>IF($C177="","",N(J177)+N(Q177))</f>
        <v/>
      </c>
      <c r="S177" s="25">
        <f>IF(OR($C177="",N($G177)=0),"",R177/$G177)</f>
        <v/>
      </c>
      <c r="T177" s="23">
        <f>IF($C177="","",N($G177)-N(R177))</f>
        <v/>
      </c>
      <c r="U177" s="24" t="n"/>
      <c r="V177" s="22" t="n"/>
    </row>
    <row r="178">
      <c r="B178" s="13">
        <f>IF($C178="","",COUNTA($C$9:$C178))</f>
        <v/>
      </c>
      <c r="C178" s="21" t="n"/>
      <c r="D178" s="14" t="n"/>
      <c r="E178" s="14" t="n"/>
      <c r="F178" s="14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3">
        <f>IF($C178="","",N(L178)-N(M178))</f>
        <v/>
      </c>
      <c r="P178" s="24" t="n"/>
      <c r="Q178" s="23">
        <f>IF($C178="","",N(M178)+N(N178))</f>
        <v/>
      </c>
      <c r="R178" s="23">
        <f>IF($C178="","",N(J178)+N(Q178))</f>
        <v/>
      </c>
      <c r="S178" s="25">
        <f>IF(OR($C178="",N($G178)=0),"",R178/$G178)</f>
        <v/>
      </c>
      <c r="T178" s="23">
        <f>IF($C178="","",N($G178)-N(R178))</f>
        <v/>
      </c>
      <c r="U178" s="24" t="n"/>
      <c r="V178" s="22" t="n"/>
    </row>
    <row r="179">
      <c r="B179" s="13">
        <f>IF($C179="","",COUNTA($C$9:$C179))</f>
        <v/>
      </c>
      <c r="C179" s="21" t="n"/>
      <c r="D179" s="14" t="n"/>
      <c r="E179" s="14" t="n"/>
      <c r="F179" s="14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3">
        <f>IF($C179="","",N(L179)-N(M179))</f>
        <v/>
      </c>
      <c r="P179" s="24" t="n"/>
      <c r="Q179" s="23">
        <f>IF($C179="","",N(M179)+N(N179))</f>
        <v/>
      </c>
      <c r="R179" s="23">
        <f>IF($C179="","",N(J179)+N(Q179))</f>
        <v/>
      </c>
      <c r="S179" s="25">
        <f>IF(OR($C179="",N($G179)=0),"",R179/$G179)</f>
        <v/>
      </c>
      <c r="T179" s="23">
        <f>IF($C179="","",N($G179)-N(R179))</f>
        <v/>
      </c>
      <c r="U179" s="24" t="n"/>
      <c r="V179" s="22" t="n"/>
    </row>
    <row r="180">
      <c r="B180" s="13">
        <f>IF($C180="","",COUNTA($C$9:$C180))</f>
        <v/>
      </c>
      <c r="C180" s="21" t="n"/>
      <c r="D180" s="14" t="n"/>
      <c r="E180" s="14" t="n"/>
      <c r="F180" s="14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3">
        <f>IF($C180="","",N(L180)-N(M180))</f>
        <v/>
      </c>
      <c r="P180" s="24" t="n"/>
      <c r="Q180" s="23">
        <f>IF($C180="","",N(M180)+N(N180))</f>
        <v/>
      </c>
      <c r="R180" s="23">
        <f>IF($C180="","",N(J180)+N(Q180))</f>
        <v/>
      </c>
      <c r="S180" s="25">
        <f>IF(OR($C180="",N($G180)=0),"",R180/$G180)</f>
        <v/>
      </c>
      <c r="T180" s="23">
        <f>IF($C180="","",N($G180)-N(R180))</f>
        <v/>
      </c>
      <c r="U180" s="24" t="n"/>
      <c r="V180" s="22" t="n"/>
    </row>
    <row r="181">
      <c r="B181" s="13">
        <f>IF($C181="","",COUNTA($C$9:$C181))</f>
        <v/>
      </c>
      <c r="C181" s="21" t="n"/>
      <c r="D181" s="14" t="n"/>
      <c r="E181" s="14" t="n"/>
      <c r="F181" s="14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3">
        <f>IF($C181="","",N(L181)-N(M181))</f>
        <v/>
      </c>
      <c r="P181" s="24" t="n"/>
      <c r="Q181" s="23">
        <f>IF($C181="","",N(M181)+N(N181))</f>
        <v/>
      </c>
      <c r="R181" s="23">
        <f>IF($C181="","",N(J181)+N(Q181))</f>
        <v/>
      </c>
      <c r="S181" s="25">
        <f>IF(OR($C181="",N($G181)=0),"",R181/$G181)</f>
        <v/>
      </c>
      <c r="T181" s="23">
        <f>IF($C181="","",N($G181)-N(R181))</f>
        <v/>
      </c>
      <c r="U181" s="24" t="n"/>
      <c r="V181" s="22" t="n"/>
    </row>
    <row r="182">
      <c r="B182" s="13">
        <f>IF($C182="","",COUNTA($C$9:$C182))</f>
        <v/>
      </c>
      <c r="C182" s="21" t="n"/>
      <c r="D182" s="14" t="n"/>
      <c r="E182" s="14" t="n"/>
      <c r="F182" s="14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3">
        <f>IF($C182="","",N(L182)-N(M182))</f>
        <v/>
      </c>
      <c r="P182" s="24" t="n"/>
      <c r="Q182" s="23">
        <f>IF($C182="","",N(M182)+N(N182))</f>
        <v/>
      </c>
      <c r="R182" s="23">
        <f>IF($C182="","",N(J182)+N(Q182))</f>
        <v/>
      </c>
      <c r="S182" s="25">
        <f>IF(OR($C182="",N($G182)=0),"",R182/$G182)</f>
        <v/>
      </c>
      <c r="T182" s="23">
        <f>IF($C182="","",N($G182)-N(R182))</f>
        <v/>
      </c>
      <c r="U182" s="24" t="n"/>
      <c r="V182" s="22" t="n"/>
    </row>
    <row r="183">
      <c r="B183" s="13">
        <f>IF($C183="","",COUNTA($C$9:$C183))</f>
        <v/>
      </c>
      <c r="C183" s="21" t="n"/>
      <c r="D183" s="14" t="n"/>
      <c r="E183" s="14" t="n"/>
      <c r="F183" s="14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3">
        <f>IF($C183="","",N(L183)-N(M183))</f>
        <v/>
      </c>
      <c r="P183" s="24" t="n"/>
      <c r="Q183" s="23">
        <f>IF($C183="","",N(M183)+N(N183))</f>
        <v/>
      </c>
      <c r="R183" s="23">
        <f>IF($C183="","",N(J183)+N(Q183))</f>
        <v/>
      </c>
      <c r="S183" s="25">
        <f>IF(OR($C183="",N($G183)=0),"",R183/$G183)</f>
        <v/>
      </c>
      <c r="T183" s="23">
        <f>IF($C183="","",N($G183)-N(R183))</f>
        <v/>
      </c>
      <c r="U183" s="24" t="n"/>
      <c r="V183" s="22" t="n"/>
    </row>
    <row r="184">
      <c r="B184" s="13">
        <f>IF($C184="","",COUNTA($C$9:$C184))</f>
        <v/>
      </c>
      <c r="C184" s="21" t="n"/>
      <c r="D184" s="14" t="n"/>
      <c r="E184" s="14" t="n"/>
      <c r="F184" s="14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3">
        <f>IF($C184="","",N(L184)-N(M184))</f>
        <v/>
      </c>
      <c r="P184" s="24" t="n"/>
      <c r="Q184" s="23">
        <f>IF($C184="","",N(M184)+N(N184))</f>
        <v/>
      </c>
      <c r="R184" s="23">
        <f>IF($C184="","",N(J184)+N(Q184))</f>
        <v/>
      </c>
      <c r="S184" s="25">
        <f>IF(OR($C184="",N($G184)=0),"",R184/$G184)</f>
        <v/>
      </c>
      <c r="T184" s="23">
        <f>IF($C184="","",N($G184)-N(R184))</f>
        <v/>
      </c>
      <c r="U184" s="24" t="n"/>
      <c r="V184" s="22" t="n"/>
    </row>
    <row r="185">
      <c r="B185" s="13">
        <f>IF($C185="","",COUNTA($C$9:$C185))</f>
        <v/>
      </c>
      <c r="C185" s="21" t="n"/>
      <c r="D185" s="14" t="n"/>
      <c r="E185" s="14" t="n"/>
      <c r="F185" s="14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3">
        <f>IF($C185="","",N(L185)-N(M185))</f>
        <v/>
      </c>
      <c r="P185" s="24" t="n"/>
      <c r="Q185" s="23">
        <f>IF($C185="","",N(M185)+N(N185))</f>
        <v/>
      </c>
      <c r="R185" s="23">
        <f>IF($C185="","",N(J185)+N(Q185))</f>
        <v/>
      </c>
      <c r="S185" s="25">
        <f>IF(OR($C185="",N($G185)=0),"",R185/$G185)</f>
        <v/>
      </c>
      <c r="T185" s="23">
        <f>IF($C185="","",N($G185)-N(R185))</f>
        <v/>
      </c>
      <c r="U185" s="24" t="n"/>
      <c r="V185" s="22" t="n"/>
    </row>
    <row r="186">
      <c r="B186" s="13">
        <f>IF($C186="","",COUNTA($C$9:$C186))</f>
        <v/>
      </c>
      <c r="C186" s="21" t="n"/>
      <c r="D186" s="14" t="n"/>
      <c r="E186" s="14" t="n"/>
      <c r="F186" s="14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3">
        <f>IF($C186="","",N(L186)-N(M186))</f>
        <v/>
      </c>
      <c r="P186" s="24" t="n"/>
      <c r="Q186" s="23">
        <f>IF($C186="","",N(M186)+N(N186))</f>
        <v/>
      </c>
      <c r="R186" s="23">
        <f>IF($C186="","",N(J186)+N(Q186))</f>
        <v/>
      </c>
      <c r="S186" s="25">
        <f>IF(OR($C186="",N($G186)=0),"",R186/$G186)</f>
        <v/>
      </c>
      <c r="T186" s="23">
        <f>IF($C186="","",N($G186)-N(R186))</f>
        <v/>
      </c>
      <c r="U186" s="24" t="n"/>
      <c r="V186" s="22" t="n"/>
    </row>
    <row r="187">
      <c r="B187" s="13">
        <f>IF($C187="","",COUNTA($C$9:$C187))</f>
        <v/>
      </c>
      <c r="C187" s="21" t="n"/>
      <c r="D187" s="14" t="n"/>
      <c r="E187" s="14" t="n"/>
      <c r="F187" s="14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3">
        <f>IF($C187="","",N(L187)-N(M187))</f>
        <v/>
      </c>
      <c r="P187" s="24" t="n"/>
      <c r="Q187" s="23">
        <f>IF($C187="","",N(M187)+N(N187))</f>
        <v/>
      </c>
      <c r="R187" s="23">
        <f>IF($C187="","",N(J187)+N(Q187))</f>
        <v/>
      </c>
      <c r="S187" s="25">
        <f>IF(OR($C187="",N($G187)=0),"",R187/$G187)</f>
        <v/>
      </c>
      <c r="T187" s="23">
        <f>IF($C187="","",N($G187)-N(R187))</f>
        <v/>
      </c>
      <c r="U187" s="24" t="n"/>
      <c r="V187" s="22" t="n"/>
    </row>
    <row r="188">
      <c r="B188" s="13">
        <f>IF($C188="","",COUNTA($C$9:$C188))</f>
        <v/>
      </c>
      <c r="C188" s="21" t="n"/>
      <c r="D188" s="14" t="n"/>
      <c r="E188" s="14" t="n"/>
      <c r="F188" s="14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3">
        <f>IF($C188="","",N(L188)-N(M188))</f>
        <v/>
      </c>
      <c r="P188" s="24" t="n"/>
      <c r="Q188" s="23">
        <f>IF($C188="","",N(M188)+N(N188))</f>
        <v/>
      </c>
      <c r="R188" s="23">
        <f>IF($C188="","",N(J188)+N(Q188))</f>
        <v/>
      </c>
      <c r="S188" s="25">
        <f>IF(OR($C188="",N($G188)=0),"",R188/$G188)</f>
        <v/>
      </c>
      <c r="T188" s="23">
        <f>IF($C188="","",N($G188)-N(R188))</f>
        <v/>
      </c>
      <c r="U188" s="24" t="n"/>
      <c r="V188" s="22" t="n"/>
    </row>
    <row r="189">
      <c r="B189" s="13">
        <f>IF($C189="","",COUNTA($C$9:$C189))</f>
        <v/>
      </c>
      <c r="C189" s="21" t="n"/>
      <c r="D189" s="14" t="n"/>
      <c r="E189" s="14" t="n"/>
      <c r="F189" s="14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3">
        <f>IF($C189="","",N(L189)-N(M189))</f>
        <v/>
      </c>
      <c r="P189" s="24" t="n"/>
      <c r="Q189" s="23">
        <f>IF($C189="","",N(M189)+N(N189))</f>
        <v/>
      </c>
      <c r="R189" s="23">
        <f>IF($C189="","",N(J189)+N(Q189))</f>
        <v/>
      </c>
      <c r="S189" s="25">
        <f>IF(OR($C189="",N($G189)=0),"",R189/$G189)</f>
        <v/>
      </c>
      <c r="T189" s="23">
        <f>IF($C189="","",N($G189)-N(R189))</f>
        <v/>
      </c>
      <c r="U189" s="24" t="n"/>
      <c r="V189" s="22" t="n"/>
    </row>
    <row r="190">
      <c r="B190" s="13">
        <f>IF($C190="","",COUNTA($C$9:$C190))</f>
        <v/>
      </c>
      <c r="C190" s="21" t="n"/>
      <c r="D190" s="14" t="n"/>
      <c r="E190" s="14" t="n"/>
      <c r="F190" s="14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3">
        <f>IF($C190="","",N(L190)-N(M190))</f>
        <v/>
      </c>
      <c r="P190" s="24" t="n"/>
      <c r="Q190" s="23">
        <f>IF($C190="","",N(M190)+N(N190))</f>
        <v/>
      </c>
      <c r="R190" s="23">
        <f>IF($C190="","",N(J190)+N(Q190))</f>
        <v/>
      </c>
      <c r="S190" s="25">
        <f>IF(OR($C190="",N($G190)=0),"",R190/$G190)</f>
        <v/>
      </c>
      <c r="T190" s="23">
        <f>IF($C190="","",N($G190)-N(R190))</f>
        <v/>
      </c>
      <c r="U190" s="24" t="n"/>
      <c r="V190" s="22" t="n"/>
    </row>
    <row r="191">
      <c r="B191" s="13">
        <f>IF($C191="","",COUNTA($C$9:$C191))</f>
        <v/>
      </c>
      <c r="C191" s="21" t="n"/>
      <c r="D191" s="14" t="n"/>
      <c r="E191" s="14" t="n"/>
      <c r="F191" s="14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3">
        <f>IF($C191="","",N(L191)-N(M191))</f>
        <v/>
      </c>
      <c r="P191" s="24" t="n"/>
      <c r="Q191" s="23">
        <f>IF($C191="","",N(M191)+N(N191))</f>
        <v/>
      </c>
      <c r="R191" s="23">
        <f>IF($C191="","",N(J191)+N(Q191))</f>
        <v/>
      </c>
      <c r="S191" s="25">
        <f>IF(OR($C191="",N($G191)=0),"",R191/$G191)</f>
        <v/>
      </c>
      <c r="T191" s="23">
        <f>IF($C191="","",N($G191)-N(R191))</f>
        <v/>
      </c>
      <c r="U191" s="24" t="n"/>
      <c r="V191" s="22" t="n"/>
    </row>
    <row r="192">
      <c r="B192" s="13">
        <f>IF($C192="","",COUNTA($C$9:$C192))</f>
        <v/>
      </c>
      <c r="C192" s="21" t="n"/>
      <c r="D192" s="14" t="n"/>
      <c r="E192" s="14" t="n"/>
      <c r="F192" s="14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3">
        <f>IF($C192="","",N(L192)-N(M192))</f>
        <v/>
      </c>
      <c r="P192" s="24" t="n"/>
      <c r="Q192" s="23">
        <f>IF($C192="","",N(M192)+N(N192))</f>
        <v/>
      </c>
      <c r="R192" s="23">
        <f>IF($C192="","",N(J192)+N(Q192))</f>
        <v/>
      </c>
      <c r="S192" s="25">
        <f>IF(OR($C192="",N($G192)=0),"",R192/$G192)</f>
        <v/>
      </c>
      <c r="T192" s="23">
        <f>IF($C192="","",N($G192)-N(R192))</f>
        <v/>
      </c>
      <c r="U192" s="24" t="n"/>
      <c r="V192" s="22" t="n"/>
    </row>
    <row r="193">
      <c r="B193" s="13">
        <f>IF($C193="","",COUNTA($C$9:$C193))</f>
        <v/>
      </c>
      <c r="C193" s="21" t="n"/>
      <c r="D193" s="14" t="n"/>
      <c r="E193" s="14" t="n"/>
      <c r="F193" s="14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3">
        <f>IF($C193="","",N(L193)-N(M193))</f>
        <v/>
      </c>
      <c r="P193" s="24" t="n"/>
      <c r="Q193" s="23">
        <f>IF($C193="","",N(M193)+N(N193))</f>
        <v/>
      </c>
      <c r="R193" s="23">
        <f>IF($C193="","",N(J193)+N(Q193))</f>
        <v/>
      </c>
      <c r="S193" s="25">
        <f>IF(OR($C193="",N($G193)=0),"",R193/$G193)</f>
        <v/>
      </c>
      <c r="T193" s="23">
        <f>IF($C193="","",N($G193)-N(R193))</f>
        <v/>
      </c>
      <c r="U193" s="24" t="n"/>
      <c r="V193" s="22" t="n"/>
    </row>
    <row r="194">
      <c r="B194" s="13">
        <f>IF($C194="","",COUNTA($C$9:$C194))</f>
        <v/>
      </c>
      <c r="C194" s="21" t="n"/>
      <c r="D194" s="14" t="n"/>
      <c r="E194" s="14" t="n"/>
      <c r="F194" s="14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3">
        <f>IF($C194="","",N(L194)-N(M194))</f>
        <v/>
      </c>
      <c r="P194" s="24" t="n"/>
      <c r="Q194" s="23">
        <f>IF($C194="","",N(M194)+N(N194))</f>
        <v/>
      </c>
      <c r="R194" s="23">
        <f>IF($C194="","",N(J194)+N(Q194))</f>
        <v/>
      </c>
      <c r="S194" s="25">
        <f>IF(OR($C194="",N($G194)=0),"",R194/$G194)</f>
        <v/>
      </c>
      <c r="T194" s="23">
        <f>IF($C194="","",N($G194)-N(R194))</f>
        <v/>
      </c>
      <c r="U194" s="24" t="n"/>
      <c r="V194" s="22" t="n"/>
    </row>
    <row r="195">
      <c r="B195" s="13">
        <f>IF($C195="","",COUNTA($C$9:$C195))</f>
        <v/>
      </c>
      <c r="C195" s="21" t="n"/>
      <c r="D195" s="14" t="n"/>
      <c r="E195" s="14" t="n"/>
      <c r="F195" s="14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3">
        <f>IF($C195="","",N(L195)-N(M195))</f>
        <v/>
      </c>
      <c r="P195" s="24" t="n"/>
      <c r="Q195" s="23">
        <f>IF($C195="","",N(M195)+N(N195))</f>
        <v/>
      </c>
      <c r="R195" s="23">
        <f>IF($C195="","",N(J195)+N(Q195))</f>
        <v/>
      </c>
      <c r="S195" s="25">
        <f>IF(OR($C195="",N($G195)=0),"",R195/$G195)</f>
        <v/>
      </c>
      <c r="T195" s="23">
        <f>IF($C195="","",N($G195)-N(R195))</f>
        <v/>
      </c>
      <c r="U195" s="24" t="n"/>
      <c r="V195" s="22" t="n"/>
    </row>
    <row r="196">
      <c r="B196" s="13">
        <f>IF($C196="","",COUNTA($C$9:$C196))</f>
        <v/>
      </c>
      <c r="C196" s="21" t="n"/>
      <c r="D196" s="14" t="n"/>
      <c r="E196" s="14" t="n"/>
      <c r="F196" s="14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3">
        <f>IF($C196="","",N(L196)-N(M196))</f>
        <v/>
      </c>
      <c r="P196" s="24" t="n"/>
      <c r="Q196" s="23">
        <f>IF($C196="","",N(M196)+N(N196))</f>
        <v/>
      </c>
      <c r="R196" s="23">
        <f>IF($C196="","",N(J196)+N(Q196))</f>
        <v/>
      </c>
      <c r="S196" s="25">
        <f>IF(OR($C196="",N($G196)=0),"",R196/$G196)</f>
        <v/>
      </c>
      <c r="T196" s="23">
        <f>IF($C196="","",N($G196)-N(R196))</f>
        <v/>
      </c>
      <c r="U196" s="24" t="n"/>
      <c r="V196" s="22" t="n"/>
    </row>
    <row r="197">
      <c r="B197" s="13">
        <f>IF($C197="","",COUNTA($C$9:$C197))</f>
        <v/>
      </c>
      <c r="C197" s="21" t="n"/>
      <c r="D197" s="14" t="n"/>
      <c r="E197" s="14" t="n"/>
      <c r="F197" s="14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3">
        <f>IF($C197="","",N(L197)-N(M197))</f>
        <v/>
      </c>
      <c r="P197" s="24" t="n"/>
      <c r="Q197" s="23">
        <f>IF($C197="","",N(M197)+N(N197))</f>
        <v/>
      </c>
      <c r="R197" s="23">
        <f>IF($C197="","",N(J197)+N(Q197))</f>
        <v/>
      </c>
      <c r="S197" s="25">
        <f>IF(OR($C197="",N($G197)=0),"",R197/$G197)</f>
        <v/>
      </c>
      <c r="T197" s="23">
        <f>IF($C197="","",N($G197)-N(R197))</f>
        <v/>
      </c>
      <c r="U197" s="24" t="n"/>
      <c r="V197" s="22" t="n"/>
    </row>
    <row r="198">
      <c r="B198" s="13">
        <f>IF($C198="","",COUNTA($C$9:$C198))</f>
        <v/>
      </c>
      <c r="C198" s="21" t="n"/>
      <c r="D198" s="14" t="n"/>
      <c r="E198" s="14" t="n"/>
      <c r="F198" s="14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3">
        <f>IF($C198="","",N(L198)-N(M198))</f>
        <v/>
      </c>
      <c r="P198" s="24" t="n"/>
      <c r="Q198" s="23">
        <f>IF($C198="","",N(M198)+N(N198))</f>
        <v/>
      </c>
      <c r="R198" s="23">
        <f>IF($C198="","",N(J198)+N(Q198))</f>
        <v/>
      </c>
      <c r="S198" s="25">
        <f>IF(OR($C198="",N($G198)=0),"",R198/$G198)</f>
        <v/>
      </c>
      <c r="T198" s="23">
        <f>IF($C198="","",N($G198)-N(R198))</f>
        <v/>
      </c>
      <c r="U198" s="24" t="n"/>
      <c r="V198" s="22" t="n"/>
    </row>
    <row r="199">
      <c r="B199" s="13">
        <f>IF($C199="","",COUNTA($C$9:$C199))</f>
        <v/>
      </c>
      <c r="C199" s="21" t="n"/>
      <c r="D199" s="14" t="n"/>
      <c r="E199" s="14" t="n"/>
      <c r="F199" s="14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3">
        <f>IF($C199="","",N(L199)-N(M199))</f>
        <v/>
      </c>
      <c r="P199" s="24" t="n"/>
      <c r="Q199" s="23">
        <f>IF($C199="","",N(M199)+N(N199))</f>
        <v/>
      </c>
      <c r="R199" s="23">
        <f>IF($C199="","",N(J199)+N(Q199))</f>
        <v/>
      </c>
      <c r="S199" s="25">
        <f>IF(OR($C199="",N($G199)=0),"",R199/$G199)</f>
        <v/>
      </c>
      <c r="T199" s="23">
        <f>IF($C199="","",N($G199)-N(R199))</f>
        <v/>
      </c>
      <c r="U199" s="24" t="n"/>
      <c r="V199" s="22" t="n"/>
    </row>
    <row r="200">
      <c r="B200" s="13">
        <f>IF($C200="","",COUNTA($C$9:$C200))</f>
        <v/>
      </c>
      <c r="C200" s="21" t="n"/>
      <c r="D200" s="14" t="n"/>
      <c r="E200" s="14" t="n"/>
      <c r="F200" s="14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3">
        <f>IF($C200="","",N(L200)-N(M200))</f>
        <v/>
      </c>
      <c r="P200" s="24" t="n"/>
      <c r="Q200" s="23">
        <f>IF($C200="","",N(M200)+N(N200))</f>
        <v/>
      </c>
      <c r="R200" s="23">
        <f>IF($C200="","",N(J200)+N(Q200))</f>
        <v/>
      </c>
      <c r="S200" s="25">
        <f>IF(OR($C200="",N($G200)=0),"",R200/$G200)</f>
        <v/>
      </c>
      <c r="T200" s="23">
        <f>IF($C200="","",N($G200)-N(R200))</f>
        <v/>
      </c>
      <c r="U200" s="24" t="n"/>
      <c r="V200" s="22" t="n"/>
    </row>
    <row r="201">
      <c r="B201" s="13">
        <f>IF($C201="","",COUNTA($C$9:$C201))</f>
        <v/>
      </c>
      <c r="C201" s="21" t="n"/>
      <c r="D201" s="14" t="n"/>
      <c r="E201" s="14" t="n"/>
      <c r="F201" s="14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3">
        <f>IF($C201="","",N(L201)-N(M201))</f>
        <v/>
      </c>
      <c r="P201" s="24" t="n"/>
      <c r="Q201" s="23">
        <f>IF($C201="","",N(M201)+N(N201))</f>
        <v/>
      </c>
      <c r="R201" s="23">
        <f>IF($C201="","",N(J201)+N(Q201))</f>
        <v/>
      </c>
      <c r="S201" s="25">
        <f>IF(OR($C201="",N($G201)=0),"",R201/$G201)</f>
        <v/>
      </c>
      <c r="T201" s="23">
        <f>IF($C201="","",N($G201)-N(R201))</f>
        <v/>
      </c>
      <c r="U201" s="24" t="n"/>
      <c r="V201" s="22" t="n"/>
    </row>
    <row r="202">
      <c r="B202" s="13">
        <f>IF($C202="","",COUNTA($C$9:$C202))</f>
        <v/>
      </c>
      <c r="C202" s="21" t="n"/>
      <c r="D202" s="14" t="n"/>
      <c r="E202" s="14" t="n"/>
      <c r="F202" s="14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3">
        <f>IF($C202="","",N(L202)-N(M202))</f>
        <v/>
      </c>
      <c r="P202" s="24" t="n"/>
      <c r="Q202" s="23">
        <f>IF($C202="","",N(M202)+N(N202))</f>
        <v/>
      </c>
      <c r="R202" s="23">
        <f>IF($C202="","",N(J202)+N(Q202))</f>
        <v/>
      </c>
      <c r="S202" s="25">
        <f>IF(OR($C202="",N($G202)=0),"",R202/$G202)</f>
        <v/>
      </c>
      <c r="T202" s="23">
        <f>IF($C202="","",N($G202)-N(R202))</f>
        <v/>
      </c>
      <c r="U202" s="24" t="n"/>
      <c r="V202" s="22" t="n"/>
    </row>
    <row r="203">
      <c r="B203" s="13">
        <f>IF($C203="","",COUNTA($C$9:$C203))</f>
        <v/>
      </c>
      <c r="C203" s="21" t="n"/>
      <c r="D203" s="14" t="n"/>
      <c r="E203" s="14" t="n"/>
      <c r="F203" s="14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3">
        <f>IF($C203="","",N(L203)-N(M203))</f>
        <v/>
      </c>
      <c r="P203" s="24" t="n"/>
      <c r="Q203" s="23">
        <f>IF($C203="","",N(M203)+N(N203))</f>
        <v/>
      </c>
      <c r="R203" s="23">
        <f>IF($C203="","",N(J203)+N(Q203))</f>
        <v/>
      </c>
      <c r="S203" s="25">
        <f>IF(OR($C203="",N($G203)=0),"",R203/$G203)</f>
        <v/>
      </c>
      <c r="T203" s="23">
        <f>IF($C203="","",N($G203)-N(R203))</f>
        <v/>
      </c>
      <c r="U203" s="24" t="n"/>
      <c r="V203" s="22" t="n"/>
    </row>
    <row r="204">
      <c r="B204" s="13">
        <f>IF($C204="","",COUNTA($C$9:$C204))</f>
        <v/>
      </c>
      <c r="C204" s="21" t="n"/>
      <c r="D204" s="14" t="n"/>
      <c r="E204" s="14" t="n"/>
      <c r="F204" s="14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3">
        <f>IF($C204="","",N(L204)-N(M204))</f>
        <v/>
      </c>
      <c r="P204" s="24" t="n"/>
      <c r="Q204" s="23">
        <f>IF($C204="","",N(M204)+N(N204))</f>
        <v/>
      </c>
      <c r="R204" s="23">
        <f>IF($C204="","",N(J204)+N(Q204))</f>
        <v/>
      </c>
      <c r="S204" s="25">
        <f>IF(OR($C204="",N($G204)=0),"",R204/$G204)</f>
        <v/>
      </c>
      <c r="T204" s="23">
        <f>IF($C204="","",N($G204)-N(R204))</f>
        <v/>
      </c>
      <c r="U204" s="24" t="n"/>
      <c r="V204" s="22" t="n"/>
    </row>
    <row r="205">
      <c r="B205" s="13">
        <f>IF($C205="","",COUNTA($C$9:$C205))</f>
        <v/>
      </c>
      <c r="C205" s="21" t="n"/>
      <c r="D205" s="14" t="n"/>
      <c r="E205" s="14" t="n"/>
      <c r="F205" s="14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3">
        <f>IF($C205="","",N(L205)-N(M205))</f>
        <v/>
      </c>
      <c r="P205" s="24" t="n"/>
      <c r="Q205" s="23">
        <f>IF($C205="","",N(M205)+N(N205))</f>
        <v/>
      </c>
      <c r="R205" s="23">
        <f>IF($C205="","",N(J205)+N(Q205))</f>
        <v/>
      </c>
      <c r="S205" s="25">
        <f>IF(OR($C205="",N($G205)=0),"",R205/$G205)</f>
        <v/>
      </c>
      <c r="T205" s="23">
        <f>IF($C205="","",N($G205)-N(R205))</f>
        <v/>
      </c>
      <c r="U205" s="24" t="n"/>
      <c r="V205" s="22" t="n"/>
    </row>
    <row r="206">
      <c r="B206" s="13">
        <f>IF($C206="","",COUNTA($C$9:$C206))</f>
        <v/>
      </c>
      <c r="C206" s="21" t="n"/>
      <c r="D206" s="14" t="n"/>
      <c r="E206" s="14" t="n"/>
      <c r="F206" s="14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3">
        <f>IF($C206="","",N(L206)-N(M206))</f>
        <v/>
      </c>
      <c r="P206" s="24" t="n"/>
      <c r="Q206" s="23">
        <f>IF($C206="","",N(M206)+N(N206))</f>
        <v/>
      </c>
      <c r="R206" s="23">
        <f>IF($C206="","",N(J206)+N(Q206))</f>
        <v/>
      </c>
      <c r="S206" s="25">
        <f>IF(OR($C206="",N($G206)=0),"",R206/$G206)</f>
        <v/>
      </c>
      <c r="T206" s="23">
        <f>IF($C206="","",N($G206)-N(R206))</f>
        <v/>
      </c>
      <c r="U206" s="24" t="n"/>
      <c r="V206" s="22" t="n"/>
    </row>
    <row r="207">
      <c r="B207" s="13">
        <f>IF($C207="","",COUNTA($C$9:$C207))</f>
        <v/>
      </c>
      <c r="C207" s="21" t="n"/>
      <c r="D207" s="14" t="n"/>
      <c r="E207" s="14" t="n"/>
      <c r="F207" s="14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3">
        <f>IF($C207="","",N(L207)-N(M207))</f>
        <v/>
      </c>
      <c r="P207" s="24" t="n"/>
      <c r="Q207" s="23">
        <f>IF($C207="","",N(M207)+N(N207))</f>
        <v/>
      </c>
      <c r="R207" s="23">
        <f>IF($C207="","",N(J207)+N(Q207))</f>
        <v/>
      </c>
      <c r="S207" s="25">
        <f>IF(OR($C207="",N($G207)=0),"",R207/$G207)</f>
        <v/>
      </c>
      <c r="T207" s="23">
        <f>IF($C207="","",N($G207)-N(R207))</f>
        <v/>
      </c>
      <c r="U207" s="24" t="n"/>
      <c r="V207" s="22" t="n"/>
    </row>
    <row r="208">
      <c r="B208" s="13">
        <f>IF($C208="","",COUNTA($C$9:$C208))</f>
        <v/>
      </c>
      <c r="C208" s="21" t="n"/>
      <c r="D208" s="14" t="n"/>
      <c r="E208" s="14" t="n"/>
      <c r="F208" s="14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3">
        <f>IF($C208="","",N(L208)-N(M208))</f>
        <v/>
      </c>
      <c r="P208" s="24" t="n"/>
      <c r="Q208" s="23">
        <f>IF($C208="","",N(M208)+N(N208))</f>
        <v/>
      </c>
      <c r="R208" s="23">
        <f>IF($C208="","",N(J208)+N(Q208))</f>
        <v/>
      </c>
      <c r="S208" s="25">
        <f>IF(OR($C208="",N($G208)=0),"",R208/$G208)</f>
        <v/>
      </c>
      <c r="T208" s="23">
        <f>IF($C208="","",N($G208)-N(R208))</f>
        <v/>
      </c>
      <c r="U208" s="24" t="n"/>
      <c r="V208" s="22" t="n"/>
    </row>
    <row r="209">
      <c r="B209" s="13">
        <f>IF($C209="","",COUNTA($C$9:$C209))</f>
        <v/>
      </c>
      <c r="C209" s="21" t="n"/>
      <c r="D209" s="14" t="n"/>
      <c r="E209" s="14" t="n"/>
      <c r="F209" s="14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3">
        <f>IF($C209="","",N(L209)-N(M209))</f>
        <v/>
      </c>
      <c r="P209" s="24" t="n"/>
      <c r="Q209" s="23">
        <f>IF($C209="","",N(M209)+N(N209))</f>
        <v/>
      </c>
      <c r="R209" s="23">
        <f>IF($C209="","",N(J209)+N(Q209))</f>
        <v/>
      </c>
      <c r="S209" s="25">
        <f>IF(OR($C209="",N($G209)=0),"",R209/$G209)</f>
        <v/>
      </c>
      <c r="T209" s="23">
        <f>IF($C209="","",N($G209)-N(R209))</f>
        <v/>
      </c>
      <c r="U209" s="24" t="n"/>
      <c r="V209" s="22" t="n"/>
    </row>
    <row r="210">
      <c r="B210" s="13">
        <f>IF($C210="","",COUNTA($C$9:$C210))</f>
        <v/>
      </c>
      <c r="C210" s="21" t="n"/>
      <c r="D210" s="14" t="n"/>
      <c r="E210" s="14" t="n"/>
      <c r="F210" s="14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3">
        <f>IF($C210="","",N(L210)-N(M210))</f>
        <v/>
      </c>
      <c r="P210" s="24" t="n"/>
      <c r="Q210" s="23">
        <f>IF($C210="","",N(M210)+N(N210))</f>
        <v/>
      </c>
      <c r="R210" s="23">
        <f>IF($C210="","",N(J210)+N(Q210))</f>
        <v/>
      </c>
      <c r="S210" s="25">
        <f>IF(OR($C210="",N($G210)=0),"",R210/$G210)</f>
        <v/>
      </c>
      <c r="T210" s="23">
        <f>IF($C210="","",N($G210)-N(R210))</f>
        <v/>
      </c>
      <c r="U210" s="24" t="n"/>
      <c r="V210" s="22" t="n"/>
    </row>
    <row r="211">
      <c r="B211" s="13">
        <f>IF($C211="","",COUNTA($C$9:$C211))</f>
        <v/>
      </c>
      <c r="C211" s="21" t="n"/>
      <c r="D211" s="14" t="n"/>
      <c r="E211" s="14" t="n"/>
      <c r="F211" s="14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3">
        <f>IF($C211="","",N(L211)-N(M211))</f>
        <v/>
      </c>
      <c r="P211" s="24" t="n"/>
      <c r="Q211" s="23">
        <f>IF($C211="","",N(M211)+N(N211))</f>
        <v/>
      </c>
      <c r="R211" s="23">
        <f>IF($C211="","",N(J211)+N(Q211))</f>
        <v/>
      </c>
      <c r="S211" s="25">
        <f>IF(OR($C211="",N($G211)=0),"",R211/$G211)</f>
        <v/>
      </c>
      <c r="T211" s="23">
        <f>IF($C211="","",N($G211)-N(R211))</f>
        <v/>
      </c>
      <c r="U211" s="24" t="n"/>
      <c r="V211" s="22" t="n"/>
    </row>
    <row r="212">
      <c r="B212" s="13">
        <f>IF($C212="","",COUNTA($C$9:$C212))</f>
        <v/>
      </c>
      <c r="C212" s="21" t="n"/>
      <c r="D212" s="14" t="n"/>
      <c r="E212" s="14" t="n"/>
      <c r="F212" s="14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3">
        <f>IF($C212="","",N(L212)-N(M212))</f>
        <v/>
      </c>
      <c r="P212" s="24" t="n"/>
      <c r="Q212" s="23">
        <f>IF($C212="","",N(M212)+N(N212))</f>
        <v/>
      </c>
      <c r="R212" s="23">
        <f>IF($C212="","",N(J212)+N(Q212))</f>
        <v/>
      </c>
      <c r="S212" s="25">
        <f>IF(OR($C212="",N($G212)=0),"",R212/$G212)</f>
        <v/>
      </c>
      <c r="T212" s="23">
        <f>IF($C212="","",N($G212)-N(R212))</f>
        <v/>
      </c>
      <c r="U212" s="24" t="n"/>
      <c r="V212" s="22" t="n"/>
    </row>
    <row r="213">
      <c r="B213" s="13">
        <f>IF($C213="","",COUNTA($C$9:$C213))</f>
        <v/>
      </c>
      <c r="C213" s="21" t="n"/>
      <c r="D213" s="14" t="n"/>
      <c r="E213" s="14" t="n"/>
      <c r="F213" s="14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3">
        <f>IF($C213="","",N(L213)-N(M213))</f>
        <v/>
      </c>
      <c r="P213" s="24" t="n"/>
      <c r="Q213" s="23">
        <f>IF($C213="","",N(M213)+N(N213))</f>
        <v/>
      </c>
      <c r="R213" s="23">
        <f>IF($C213="","",N(J213)+N(Q213))</f>
        <v/>
      </c>
      <c r="S213" s="25">
        <f>IF(OR($C213="",N($G213)=0),"",R213/$G213)</f>
        <v/>
      </c>
      <c r="T213" s="23">
        <f>IF($C213="","",N($G213)-N(R213))</f>
        <v/>
      </c>
      <c r="U213" s="24" t="n"/>
      <c r="V213" s="22" t="n"/>
    </row>
    <row r="214">
      <c r="B214" s="13">
        <f>IF($C214="","",COUNTA($C$9:$C214))</f>
        <v/>
      </c>
      <c r="C214" s="21" t="n"/>
      <c r="D214" s="14" t="n"/>
      <c r="E214" s="14" t="n"/>
      <c r="F214" s="14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3">
        <f>IF($C214="","",N(L214)-N(M214))</f>
        <v/>
      </c>
      <c r="P214" s="24" t="n"/>
      <c r="Q214" s="23">
        <f>IF($C214="","",N(M214)+N(N214))</f>
        <v/>
      </c>
      <c r="R214" s="23">
        <f>IF($C214="","",N(J214)+N(Q214))</f>
        <v/>
      </c>
      <c r="S214" s="25">
        <f>IF(OR($C214="",N($G214)=0),"",R214/$G214)</f>
        <v/>
      </c>
      <c r="T214" s="23">
        <f>IF($C214="","",N($G214)-N(R214))</f>
        <v/>
      </c>
      <c r="U214" s="24" t="n"/>
      <c r="V214" s="22" t="n"/>
    </row>
    <row r="215">
      <c r="B215" s="13">
        <f>IF($C215="","",COUNTA($C$9:$C215))</f>
        <v/>
      </c>
      <c r="C215" s="21" t="n"/>
      <c r="D215" s="14" t="n"/>
      <c r="E215" s="14" t="n"/>
      <c r="F215" s="14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3">
        <f>IF($C215="","",N(L215)-N(M215))</f>
        <v/>
      </c>
      <c r="P215" s="24" t="n"/>
      <c r="Q215" s="23">
        <f>IF($C215="","",N(M215)+N(N215))</f>
        <v/>
      </c>
      <c r="R215" s="23">
        <f>IF($C215="","",N(J215)+N(Q215))</f>
        <v/>
      </c>
      <c r="S215" s="25">
        <f>IF(OR($C215="",N($G215)=0),"",R215/$G215)</f>
        <v/>
      </c>
      <c r="T215" s="23">
        <f>IF($C215="","",N($G215)-N(R215))</f>
        <v/>
      </c>
      <c r="U215" s="24" t="n"/>
      <c r="V215" s="22" t="n"/>
    </row>
    <row r="216">
      <c r="B216" s="13">
        <f>IF($C216="","",COUNTA($C$9:$C216))</f>
        <v/>
      </c>
      <c r="C216" s="21" t="n"/>
      <c r="D216" s="14" t="n"/>
      <c r="E216" s="14" t="n"/>
      <c r="F216" s="14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3">
        <f>IF($C216="","",N(L216)-N(M216))</f>
        <v/>
      </c>
      <c r="P216" s="24" t="n"/>
      <c r="Q216" s="23">
        <f>IF($C216="","",N(M216)+N(N216))</f>
        <v/>
      </c>
      <c r="R216" s="23">
        <f>IF($C216="","",N(J216)+N(Q216))</f>
        <v/>
      </c>
      <c r="S216" s="25">
        <f>IF(OR($C216="",N($G216)=0),"",R216/$G216)</f>
        <v/>
      </c>
      <c r="T216" s="23">
        <f>IF($C216="","",N($G216)-N(R216))</f>
        <v/>
      </c>
      <c r="U216" s="24" t="n"/>
      <c r="V216" s="22" t="n"/>
    </row>
    <row r="217">
      <c r="B217" s="13">
        <f>IF($C217="","",COUNTA($C$9:$C217))</f>
        <v/>
      </c>
      <c r="C217" s="21" t="n"/>
      <c r="D217" s="14" t="n"/>
      <c r="E217" s="14" t="n"/>
      <c r="F217" s="14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3">
        <f>IF($C217="","",N(L217)-N(M217))</f>
        <v/>
      </c>
      <c r="P217" s="24" t="n"/>
      <c r="Q217" s="23">
        <f>IF($C217="","",N(M217)+N(N217))</f>
        <v/>
      </c>
      <c r="R217" s="23">
        <f>IF($C217="","",N(J217)+N(Q217))</f>
        <v/>
      </c>
      <c r="S217" s="25">
        <f>IF(OR($C217="",N($G217)=0),"",R217/$G217)</f>
        <v/>
      </c>
      <c r="T217" s="23">
        <f>IF($C217="","",N($G217)-N(R217))</f>
        <v/>
      </c>
      <c r="U217" s="24" t="n"/>
      <c r="V217" s="22" t="n"/>
    </row>
    <row r="218">
      <c r="B218" s="13">
        <f>IF($C218="","",COUNTA($C$9:$C218))</f>
        <v/>
      </c>
      <c r="C218" s="21" t="n"/>
      <c r="D218" s="14" t="n"/>
      <c r="E218" s="14" t="n"/>
      <c r="F218" s="14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3">
        <f>IF($C218="","",N(L218)-N(M218))</f>
        <v/>
      </c>
      <c r="P218" s="24" t="n"/>
      <c r="Q218" s="23">
        <f>IF($C218="","",N(M218)+N(N218))</f>
        <v/>
      </c>
      <c r="R218" s="23">
        <f>IF($C218="","",N(J218)+N(Q218))</f>
        <v/>
      </c>
      <c r="S218" s="25">
        <f>IF(OR($C218="",N($G218)=0),"",R218/$G218)</f>
        <v/>
      </c>
      <c r="T218" s="23">
        <f>IF($C218="","",N($G218)-N(R218))</f>
        <v/>
      </c>
      <c r="U218" s="24" t="n"/>
      <c r="V218" s="22" t="n"/>
    </row>
    <row r="219">
      <c r="B219" s="13">
        <f>IF($C219="","",COUNTA($C$9:$C219))</f>
        <v/>
      </c>
      <c r="C219" s="21" t="n"/>
      <c r="D219" s="14" t="n"/>
      <c r="E219" s="14" t="n"/>
      <c r="F219" s="14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3">
        <f>IF($C219="","",N(L219)-N(M219))</f>
        <v/>
      </c>
      <c r="P219" s="24" t="n"/>
      <c r="Q219" s="23">
        <f>IF($C219="","",N(M219)+N(N219))</f>
        <v/>
      </c>
      <c r="R219" s="23">
        <f>IF($C219="","",N(J219)+N(Q219))</f>
        <v/>
      </c>
      <c r="S219" s="25">
        <f>IF(OR($C219="",N($G219)=0),"",R219/$G219)</f>
        <v/>
      </c>
      <c r="T219" s="23">
        <f>IF($C219="","",N($G219)-N(R219))</f>
        <v/>
      </c>
      <c r="U219" s="24" t="n"/>
      <c r="V219" s="22" t="n"/>
    </row>
    <row r="220">
      <c r="B220" s="13">
        <f>IF($C220="","",COUNTA($C$9:$C220))</f>
        <v/>
      </c>
      <c r="C220" s="21" t="n"/>
      <c r="D220" s="14" t="n"/>
      <c r="E220" s="14" t="n"/>
      <c r="F220" s="14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3">
        <f>IF($C220="","",N(L220)-N(M220))</f>
        <v/>
      </c>
      <c r="P220" s="24" t="n"/>
      <c r="Q220" s="23">
        <f>IF($C220="","",N(M220)+N(N220))</f>
        <v/>
      </c>
      <c r="R220" s="23">
        <f>IF($C220="","",N(J220)+N(Q220))</f>
        <v/>
      </c>
      <c r="S220" s="25">
        <f>IF(OR($C220="",N($G220)=0),"",R220/$G220)</f>
        <v/>
      </c>
      <c r="T220" s="23">
        <f>IF($C220="","",N($G220)-N(R220))</f>
        <v/>
      </c>
      <c r="U220" s="24" t="n"/>
      <c r="V220" s="22" t="n"/>
    </row>
    <row r="221">
      <c r="B221" s="13">
        <f>IF($C221="","",COUNTA($C$9:$C221))</f>
        <v/>
      </c>
      <c r="C221" s="21" t="n"/>
      <c r="D221" s="14" t="n"/>
      <c r="E221" s="14" t="n"/>
      <c r="F221" s="14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3">
        <f>IF($C221="","",N(L221)-N(M221))</f>
        <v/>
      </c>
      <c r="P221" s="24" t="n"/>
      <c r="Q221" s="23">
        <f>IF($C221="","",N(M221)+N(N221))</f>
        <v/>
      </c>
      <c r="R221" s="23">
        <f>IF($C221="","",N(J221)+N(Q221))</f>
        <v/>
      </c>
      <c r="S221" s="25">
        <f>IF(OR($C221="",N($G221)=0),"",R221/$G221)</f>
        <v/>
      </c>
      <c r="T221" s="23">
        <f>IF($C221="","",N($G221)-N(R221))</f>
        <v/>
      </c>
      <c r="U221" s="24" t="n"/>
      <c r="V221" s="22" t="n"/>
    </row>
    <row r="222">
      <c r="B222" s="13">
        <f>IF($C222="","",COUNTA($C$9:$C222))</f>
        <v/>
      </c>
      <c r="C222" s="21" t="n"/>
      <c r="D222" s="14" t="n"/>
      <c r="E222" s="14" t="n"/>
      <c r="F222" s="14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3">
        <f>IF($C222="","",N(L222)-N(M222))</f>
        <v/>
      </c>
      <c r="P222" s="24" t="n"/>
      <c r="Q222" s="23">
        <f>IF($C222="","",N(M222)+N(N222))</f>
        <v/>
      </c>
      <c r="R222" s="23">
        <f>IF($C222="","",N(J222)+N(Q222))</f>
        <v/>
      </c>
      <c r="S222" s="25">
        <f>IF(OR($C222="",N($G222)=0),"",R222/$G222)</f>
        <v/>
      </c>
      <c r="T222" s="23">
        <f>IF($C222="","",N($G222)-N(R222))</f>
        <v/>
      </c>
      <c r="U222" s="24" t="n"/>
      <c r="V222" s="22" t="n"/>
    </row>
    <row r="223">
      <c r="B223" s="13">
        <f>IF($C223="","",COUNTA($C$9:$C223))</f>
        <v/>
      </c>
      <c r="C223" s="21" t="n"/>
      <c r="D223" s="14" t="n"/>
      <c r="E223" s="14" t="n"/>
      <c r="F223" s="14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3">
        <f>IF($C223="","",N(L223)-N(M223))</f>
        <v/>
      </c>
      <c r="P223" s="24" t="n"/>
      <c r="Q223" s="23">
        <f>IF($C223="","",N(M223)+N(N223))</f>
        <v/>
      </c>
      <c r="R223" s="23">
        <f>IF($C223="","",N(J223)+N(Q223))</f>
        <v/>
      </c>
      <c r="S223" s="25">
        <f>IF(OR($C223="",N($G223)=0),"",R223/$G223)</f>
        <v/>
      </c>
      <c r="T223" s="23">
        <f>IF($C223="","",N($G223)-N(R223))</f>
        <v/>
      </c>
      <c r="U223" s="24" t="n"/>
      <c r="V223" s="22" t="n"/>
    </row>
    <row r="224">
      <c r="B224" s="13">
        <f>IF($C224="","",COUNTA($C$9:$C224))</f>
        <v/>
      </c>
      <c r="C224" s="21" t="n"/>
      <c r="D224" s="14" t="n"/>
      <c r="E224" s="14" t="n"/>
      <c r="F224" s="14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3">
        <f>IF($C224="","",N(L224)-N(M224))</f>
        <v/>
      </c>
      <c r="P224" s="24" t="n"/>
      <c r="Q224" s="23">
        <f>IF($C224="","",N(M224)+N(N224))</f>
        <v/>
      </c>
      <c r="R224" s="23">
        <f>IF($C224="","",N(J224)+N(Q224))</f>
        <v/>
      </c>
      <c r="S224" s="25">
        <f>IF(OR($C224="",N($G224)=0),"",R224/$G224)</f>
        <v/>
      </c>
      <c r="T224" s="23">
        <f>IF($C224="","",N($G224)-N(R224))</f>
        <v/>
      </c>
      <c r="U224" s="24" t="n"/>
      <c r="V224" s="22" t="n"/>
    </row>
    <row r="225">
      <c r="B225" s="13">
        <f>IF($C225="","",COUNTA($C$9:$C225))</f>
        <v/>
      </c>
      <c r="C225" s="21" t="n"/>
      <c r="D225" s="14" t="n"/>
      <c r="E225" s="14" t="n"/>
      <c r="F225" s="14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3">
        <f>IF($C225="","",N(L225)-N(M225))</f>
        <v/>
      </c>
      <c r="P225" s="24" t="n"/>
      <c r="Q225" s="23">
        <f>IF($C225="","",N(M225)+N(N225))</f>
        <v/>
      </c>
      <c r="R225" s="23">
        <f>IF($C225="","",N(J225)+N(Q225))</f>
        <v/>
      </c>
      <c r="S225" s="25">
        <f>IF(OR($C225="",N($G225)=0),"",R225/$G225)</f>
        <v/>
      </c>
      <c r="T225" s="23">
        <f>IF($C225="","",N($G225)-N(R225))</f>
        <v/>
      </c>
      <c r="U225" s="24" t="n"/>
      <c r="V225" s="22" t="n"/>
    </row>
    <row r="226">
      <c r="B226" s="13">
        <f>IF($C226="","",COUNTA($C$9:$C226))</f>
        <v/>
      </c>
      <c r="C226" s="21" t="n"/>
      <c r="D226" s="14" t="n"/>
      <c r="E226" s="14" t="n"/>
      <c r="F226" s="14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3">
        <f>IF($C226="","",N(L226)-N(M226))</f>
        <v/>
      </c>
      <c r="P226" s="24" t="n"/>
      <c r="Q226" s="23">
        <f>IF($C226="","",N(M226)+N(N226))</f>
        <v/>
      </c>
      <c r="R226" s="23">
        <f>IF($C226="","",N(J226)+N(Q226))</f>
        <v/>
      </c>
      <c r="S226" s="25">
        <f>IF(OR($C226="",N($G226)=0),"",R226/$G226)</f>
        <v/>
      </c>
      <c r="T226" s="23">
        <f>IF($C226="","",N($G226)-N(R226))</f>
        <v/>
      </c>
      <c r="U226" s="24" t="n"/>
      <c r="V226" s="22" t="n"/>
    </row>
    <row r="227">
      <c r="B227" s="13">
        <f>IF($C227="","",COUNTA($C$9:$C227))</f>
        <v/>
      </c>
      <c r="C227" s="21" t="n"/>
      <c r="D227" s="14" t="n"/>
      <c r="E227" s="14" t="n"/>
      <c r="F227" s="14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3">
        <f>IF($C227="","",N(L227)-N(M227))</f>
        <v/>
      </c>
      <c r="P227" s="24" t="n"/>
      <c r="Q227" s="23">
        <f>IF($C227="","",N(M227)+N(N227))</f>
        <v/>
      </c>
      <c r="R227" s="23">
        <f>IF($C227="","",N(J227)+N(Q227))</f>
        <v/>
      </c>
      <c r="S227" s="25">
        <f>IF(OR($C227="",N($G227)=0),"",R227/$G227)</f>
        <v/>
      </c>
      <c r="T227" s="23">
        <f>IF($C227="","",N($G227)-N(R227))</f>
        <v/>
      </c>
      <c r="U227" s="24" t="n"/>
      <c r="V227" s="22" t="n"/>
    </row>
    <row r="228">
      <c r="B228" s="13">
        <f>IF($C228="","",COUNTA($C$9:$C228))</f>
        <v/>
      </c>
      <c r="C228" s="21" t="n"/>
      <c r="D228" s="14" t="n"/>
      <c r="E228" s="14" t="n"/>
      <c r="F228" s="14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3">
        <f>IF($C228="","",N(L228)-N(M228))</f>
        <v/>
      </c>
      <c r="P228" s="24" t="n"/>
      <c r="Q228" s="23">
        <f>IF($C228="","",N(M228)+N(N228))</f>
        <v/>
      </c>
      <c r="R228" s="23">
        <f>IF($C228="","",N(J228)+N(Q228))</f>
        <v/>
      </c>
      <c r="S228" s="25">
        <f>IF(OR($C228="",N($G228)=0),"",R228/$G228)</f>
        <v/>
      </c>
      <c r="T228" s="23">
        <f>IF($C228="","",N($G228)-N(R228))</f>
        <v/>
      </c>
      <c r="U228" s="24" t="n"/>
      <c r="V228" s="22" t="n"/>
    </row>
    <row r="229">
      <c r="B229" s="13">
        <f>IF($C229="","",COUNTA($C$9:$C229))</f>
        <v/>
      </c>
      <c r="C229" s="21" t="n"/>
      <c r="D229" s="14" t="n"/>
      <c r="E229" s="14" t="n"/>
      <c r="F229" s="14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3">
        <f>IF($C229="","",N(L229)-N(M229))</f>
        <v/>
      </c>
      <c r="P229" s="24" t="n"/>
      <c r="Q229" s="23">
        <f>IF($C229="","",N(M229)+N(N229))</f>
        <v/>
      </c>
      <c r="R229" s="23">
        <f>IF($C229="","",N(J229)+N(Q229))</f>
        <v/>
      </c>
      <c r="S229" s="25">
        <f>IF(OR($C229="",N($G229)=0),"",R229/$G229)</f>
        <v/>
      </c>
      <c r="T229" s="23">
        <f>IF($C229="","",N($G229)-N(R229))</f>
        <v/>
      </c>
      <c r="U229" s="24" t="n"/>
      <c r="V229" s="22" t="n"/>
    </row>
    <row r="230">
      <c r="B230" s="13">
        <f>IF($C230="","",COUNTA($C$9:$C230))</f>
        <v/>
      </c>
      <c r="C230" s="21" t="n"/>
      <c r="D230" s="14" t="n"/>
      <c r="E230" s="14" t="n"/>
      <c r="F230" s="14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3">
        <f>IF($C230="","",N(L230)-N(M230))</f>
        <v/>
      </c>
      <c r="P230" s="24" t="n"/>
      <c r="Q230" s="23">
        <f>IF($C230="","",N(M230)+N(N230))</f>
        <v/>
      </c>
      <c r="R230" s="23">
        <f>IF($C230="","",N(J230)+N(Q230))</f>
        <v/>
      </c>
      <c r="S230" s="25">
        <f>IF(OR($C230="",N($G230)=0),"",R230/$G230)</f>
        <v/>
      </c>
      <c r="T230" s="23">
        <f>IF($C230="","",N($G230)-N(R230))</f>
        <v/>
      </c>
      <c r="U230" s="24" t="n"/>
      <c r="V230" s="22" t="n"/>
    </row>
    <row r="231">
      <c r="B231" s="13">
        <f>IF($C231="","",COUNTA($C$9:$C231))</f>
        <v/>
      </c>
      <c r="C231" s="21" t="n"/>
      <c r="D231" s="14" t="n"/>
      <c r="E231" s="14" t="n"/>
      <c r="F231" s="14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3">
        <f>IF($C231="","",N(L231)-N(M231))</f>
        <v/>
      </c>
      <c r="P231" s="24" t="n"/>
      <c r="Q231" s="23">
        <f>IF($C231="","",N(M231)+N(N231))</f>
        <v/>
      </c>
      <c r="R231" s="23">
        <f>IF($C231="","",N(J231)+N(Q231))</f>
        <v/>
      </c>
      <c r="S231" s="25">
        <f>IF(OR($C231="",N($G231)=0),"",R231/$G231)</f>
        <v/>
      </c>
      <c r="T231" s="23">
        <f>IF($C231="","",N($G231)-N(R231))</f>
        <v/>
      </c>
      <c r="U231" s="24" t="n"/>
      <c r="V231" s="22" t="n"/>
    </row>
    <row r="232">
      <c r="B232" s="13">
        <f>IF($C232="","",COUNTA($C$9:$C232))</f>
        <v/>
      </c>
      <c r="C232" s="21" t="n"/>
      <c r="D232" s="14" t="n"/>
      <c r="E232" s="14" t="n"/>
      <c r="F232" s="14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3">
        <f>IF($C232="","",N(L232)-N(M232))</f>
        <v/>
      </c>
      <c r="P232" s="24" t="n"/>
      <c r="Q232" s="23">
        <f>IF($C232="","",N(M232)+N(N232))</f>
        <v/>
      </c>
      <c r="R232" s="23">
        <f>IF($C232="","",N(J232)+N(Q232))</f>
        <v/>
      </c>
      <c r="S232" s="25">
        <f>IF(OR($C232="",N($G232)=0),"",R232/$G232)</f>
        <v/>
      </c>
      <c r="T232" s="23">
        <f>IF($C232="","",N($G232)-N(R232))</f>
        <v/>
      </c>
      <c r="U232" s="24" t="n"/>
      <c r="V232" s="22" t="n"/>
    </row>
    <row r="233">
      <c r="B233" s="13">
        <f>IF($C233="","",COUNTA($C$9:$C233))</f>
        <v/>
      </c>
      <c r="C233" s="21" t="n"/>
      <c r="D233" s="14" t="n"/>
      <c r="E233" s="14" t="n"/>
      <c r="F233" s="14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3">
        <f>IF($C233="","",N(L233)-N(M233))</f>
        <v/>
      </c>
      <c r="P233" s="24" t="n"/>
      <c r="Q233" s="23">
        <f>IF($C233="","",N(M233)+N(N233))</f>
        <v/>
      </c>
      <c r="R233" s="23">
        <f>IF($C233="","",N(J233)+N(Q233))</f>
        <v/>
      </c>
      <c r="S233" s="25">
        <f>IF(OR($C233="",N($G233)=0),"",R233/$G233)</f>
        <v/>
      </c>
      <c r="T233" s="23">
        <f>IF($C233="","",N($G233)-N(R233))</f>
        <v/>
      </c>
      <c r="U233" s="24" t="n"/>
      <c r="V233" s="22" t="n"/>
    </row>
    <row r="234">
      <c r="B234" s="13">
        <f>IF($C234="","",COUNTA($C$9:$C234))</f>
        <v/>
      </c>
      <c r="C234" s="21" t="n"/>
      <c r="D234" s="14" t="n"/>
      <c r="E234" s="14" t="n"/>
      <c r="F234" s="14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3">
        <f>IF($C234="","",N(L234)-N(M234))</f>
        <v/>
      </c>
      <c r="P234" s="24" t="n"/>
      <c r="Q234" s="23">
        <f>IF($C234="","",N(M234)+N(N234))</f>
        <v/>
      </c>
      <c r="R234" s="23">
        <f>IF($C234="","",N(J234)+N(Q234))</f>
        <v/>
      </c>
      <c r="S234" s="25">
        <f>IF(OR($C234="",N($G234)=0),"",R234/$G234)</f>
        <v/>
      </c>
      <c r="T234" s="23">
        <f>IF($C234="","",N($G234)-N(R234))</f>
        <v/>
      </c>
      <c r="U234" s="24" t="n"/>
      <c r="V234" s="22" t="n"/>
    </row>
    <row r="235">
      <c r="B235" s="13">
        <f>IF($C235="","",COUNTA($C$9:$C235))</f>
        <v/>
      </c>
      <c r="C235" s="21" t="n"/>
      <c r="D235" s="14" t="n"/>
      <c r="E235" s="14" t="n"/>
      <c r="F235" s="14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3">
        <f>IF($C235="","",N(L235)-N(M235))</f>
        <v/>
      </c>
      <c r="P235" s="24" t="n"/>
      <c r="Q235" s="23">
        <f>IF($C235="","",N(M235)+N(N235))</f>
        <v/>
      </c>
      <c r="R235" s="23">
        <f>IF($C235="","",N(J235)+N(Q235))</f>
        <v/>
      </c>
      <c r="S235" s="25">
        <f>IF(OR($C235="",N($G235)=0),"",R235/$G235)</f>
        <v/>
      </c>
      <c r="T235" s="23">
        <f>IF($C235="","",N($G235)-N(R235))</f>
        <v/>
      </c>
      <c r="U235" s="24" t="n"/>
      <c r="V235" s="22" t="n"/>
    </row>
    <row r="236">
      <c r="B236" s="13">
        <f>IF($C236="","",COUNTA($C$9:$C236))</f>
        <v/>
      </c>
      <c r="C236" s="21" t="n"/>
      <c r="D236" s="14" t="n"/>
      <c r="E236" s="14" t="n"/>
      <c r="F236" s="14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3">
        <f>IF($C236="","",N(L236)-N(M236))</f>
        <v/>
      </c>
      <c r="P236" s="24" t="n"/>
      <c r="Q236" s="23">
        <f>IF($C236="","",N(M236)+N(N236))</f>
        <v/>
      </c>
      <c r="R236" s="23">
        <f>IF($C236="","",N(J236)+N(Q236))</f>
        <v/>
      </c>
      <c r="S236" s="25">
        <f>IF(OR($C236="",N($G236)=0),"",R236/$G236)</f>
        <v/>
      </c>
      <c r="T236" s="23">
        <f>IF($C236="","",N($G236)-N(R236))</f>
        <v/>
      </c>
      <c r="U236" s="24" t="n"/>
      <c r="V236" s="22" t="n"/>
    </row>
    <row r="237">
      <c r="B237" s="13">
        <f>IF($C237="","",COUNTA($C$9:$C237))</f>
        <v/>
      </c>
      <c r="C237" s="21" t="n"/>
      <c r="D237" s="14" t="n"/>
      <c r="E237" s="14" t="n"/>
      <c r="F237" s="14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3">
        <f>IF($C237="","",N(L237)-N(M237))</f>
        <v/>
      </c>
      <c r="P237" s="24" t="n"/>
      <c r="Q237" s="23">
        <f>IF($C237="","",N(M237)+N(N237))</f>
        <v/>
      </c>
      <c r="R237" s="23">
        <f>IF($C237="","",N(J237)+N(Q237))</f>
        <v/>
      </c>
      <c r="S237" s="25">
        <f>IF(OR($C237="",N($G237)=0),"",R237/$G237)</f>
        <v/>
      </c>
      <c r="T237" s="23">
        <f>IF($C237="","",N($G237)-N(R237))</f>
        <v/>
      </c>
      <c r="U237" s="24" t="n"/>
      <c r="V237" s="22" t="n"/>
    </row>
    <row r="238">
      <c r="B238" s="13">
        <f>IF($C238="","",COUNTA($C$9:$C238))</f>
        <v/>
      </c>
      <c r="C238" s="21" t="n"/>
      <c r="D238" s="14" t="n"/>
      <c r="E238" s="14" t="n"/>
      <c r="F238" s="14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3">
        <f>IF($C238="","",N(L238)-N(M238))</f>
        <v/>
      </c>
      <c r="P238" s="24" t="n"/>
      <c r="Q238" s="23">
        <f>IF($C238="","",N(M238)+N(N238))</f>
        <v/>
      </c>
      <c r="R238" s="23">
        <f>IF($C238="","",N(J238)+N(Q238))</f>
        <v/>
      </c>
      <c r="S238" s="25">
        <f>IF(OR($C238="",N($G238)=0),"",R238/$G238)</f>
        <v/>
      </c>
      <c r="T238" s="23">
        <f>IF($C238="","",N($G238)-N(R238))</f>
        <v/>
      </c>
      <c r="U238" s="24" t="n"/>
      <c r="V238" s="22" t="n"/>
    </row>
    <row r="239">
      <c r="B239" s="13">
        <f>IF($C239="","",COUNTA($C$9:$C239))</f>
        <v/>
      </c>
      <c r="C239" s="21" t="n"/>
      <c r="D239" s="14" t="n"/>
      <c r="E239" s="14" t="n"/>
      <c r="F239" s="14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3">
        <f>IF($C239="","",N(L239)-N(M239))</f>
        <v/>
      </c>
      <c r="P239" s="24" t="n"/>
      <c r="Q239" s="23">
        <f>IF($C239="","",N(M239)+N(N239))</f>
        <v/>
      </c>
      <c r="R239" s="23">
        <f>IF($C239="","",N(J239)+N(Q239))</f>
        <v/>
      </c>
      <c r="S239" s="25">
        <f>IF(OR($C239="",N($G239)=0),"",R239/$G239)</f>
        <v/>
      </c>
      <c r="T239" s="23">
        <f>IF($C239="","",N($G239)-N(R239))</f>
        <v/>
      </c>
      <c r="U239" s="24" t="n"/>
      <c r="V239" s="22" t="n"/>
    </row>
    <row r="240">
      <c r="B240" s="13">
        <f>IF($C240="","",COUNTA($C$9:$C240))</f>
        <v/>
      </c>
      <c r="C240" s="21" t="n"/>
      <c r="D240" s="14" t="n"/>
      <c r="E240" s="14" t="n"/>
      <c r="F240" s="14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3">
        <f>IF($C240="","",N(L240)-N(M240))</f>
        <v/>
      </c>
      <c r="P240" s="24" t="n"/>
      <c r="Q240" s="23">
        <f>IF($C240="","",N(M240)+N(N240))</f>
        <v/>
      </c>
      <c r="R240" s="23">
        <f>IF($C240="","",N(J240)+N(Q240))</f>
        <v/>
      </c>
      <c r="S240" s="25">
        <f>IF(OR($C240="",N($G240)=0),"",R240/$G240)</f>
        <v/>
      </c>
      <c r="T240" s="23">
        <f>IF($C240="","",N($G240)-N(R240))</f>
        <v/>
      </c>
      <c r="U240" s="24" t="n"/>
      <c r="V240" s="22" t="n"/>
    </row>
    <row r="241">
      <c r="B241" s="13">
        <f>IF($C241="","",COUNTA($C$9:$C241))</f>
        <v/>
      </c>
      <c r="C241" s="21" t="n"/>
      <c r="D241" s="14" t="n"/>
      <c r="E241" s="14" t="n"/>
      <c r="F241" s="14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3">
        <f>IF($C241="","",N(L241)-N(M241))</f>
        <v/>
      </c>
      <c r="P241" s="24" t="n"/>
      <c r="Q241" s="23">
        <f>IF($C241="","",N(M241)+N(N241))</f>
        <v/>
      </c>
      <c r="R241" s="23">
        <f>IF($C241="","",N(J241)+N(Q241))</f>
        <v/>
      </c>
      <c r="S241" s="25">
        <f>IF(OR($C241="",N($G241)=0),"",R241/$G241)</f>
        <v/>
      </c>
      <c r="T241" s="23">
        <f>IF($C241="","",N($G241)-N(R241))</f>
        <v/>
      </c>
      <c r="U241" s="24" t="n"/>
      <c r="V241" s="22" t="n"/>
    </row>
    <row r="242">
      <c r="B242" s="13">
        <f>IF($C242="","",COUNTA($C$9:$C242))</f>
        <v/>
      </c>
      <c r="C242" s="21" t="n"/>
      <c r="D242" s="14" t="n"/>
      <c r="E242" s="14" t="n"/>
      <c r="F242" s="14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3">
        <f>IF($C242="","",N(L242)-N(M242))</f>
        <v/>
      </c>
      <c r="P242" s="24" t="n"/>
      <c r="Q242" s="23">
        <f>IF($C242="","",N(M242)+N(N242))</f>
        <v/>
      </c>
      <c r="R242" s="23">
        <f>IF($C242="","",N(J242)+N(Q242))</f>
        <v/>
      </c>
      <c r="S242" s="25">
        <f>IF(OR($C242="",N($G242)=0),"",R242/$G242)</f>
        <v/>
      </c>
      <c r="T242" s="23">
        <f>IF($C242="","",N($G242)-N(R242))</f>
        <v/>
      </c>
      <c r="U242" s="24" t="n"/>
      <c r="V242" s="22" t="n"/>
    </row>
    <row r="243">
      <c r="B243" s="13">
        <f>IF($C243="","",COUNTA($C$9:$C243))</f>
        <v/>
      </c>
      <c r="C243" s="21" t="n"/>
      <c r="D243" s="14" t="n"/>
      <c r="E243" s="14" t="n"/>
      <c r="F243" s="14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3">
        <f>IF($C243="","",N(L243)-N(M243))</f>
        <v/>
      </c>
      <c r="P243" s="24" t="n"/>
      <c r="Q243" s="23">
        <f>IF($C243="","",N(M243)+N(N243))</f>
        <v/>
      </c>
      <c r="R243" s="23">
        <f>IF($C243="","",N(J243)+N(Q243))</f>
        <v/>
      </c>
      <c r="S243" s="25">
        <f>IF(OR($C243="",N($G243)=0),"",R243/$G243)</f>
        <v/>
      </c>
      <c r="T243" s="23">
        <f>IF($C243="","",N($G243)-N(R243))</f>
        <v/>
      </c>
      <c r="U243" s="24" t="n"/>
      <c r="V243" s="22" t="n"/>
    </row>
    <row r="244">
      <c r="B244" s="13">
        <f>IF($C244="","",COUNTA($C$9:$C244))</f>
        <v/>
      </c>
      <c r="C244" s="21" t="n"/>
      <c r="D244" s="14" t="n"/>
      <c r="E244" s="14" t="n"/>
      <c r="F244" s="14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3">
        <f>IF($C244="","",N(L244)-N(M244))</f>
        <v/>
      </c>
      <c r="P244" s="24" t="n"/>
      <c r="Q244" s="23">
        <f>IF($C244="","",N(M244)+N(N244))</f>
        <v/>
      </c>
      <c r="R244" s="23">
        <f>IF($C244="","",N(J244)+N(Q244))</f>
        <v/>
      </c>
      <c r="S244" s="25">
        <f>IF(OR($C244="",N($G244)=0),"",R244/$G244)</f>
        <v/>
      </c>
      <c r="T244" s="23">
        <f>IF($C244="","",N($G244)-N(R244))</f>
        <v/>
      </c>
      <c r="U244" s="24" t="n"/>
      <c r="V244" s="22" t="n"/>
    </row>
    <row r="245">
      <c r="B245" s="13">
        <f>IF($C245="","",COUNTA($C$9:$C245))</f>
        <v/>
      </c>
      <c r="C245" s="21" t="n"/>
      <c r="D245" s="14" t="n"/>
      <c r="E245" s="14" t="n"/>
      <c r="F245" s="14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3">
        <f>IF($C245="","",N(L245)-N(M245))</f>
        <v/>
      </c>
      <c r="P245" s="24" t="n"/>
      <c r="Q245" s="23">
        <f>IF($C245="","",N(M245)+N(N245))</f>
        <v/>
      </c>
      <c r="R245" s="23">
        <f>IF($C245="","",N(J245)+N(Q245))</f>
        <v/>
      </c>
      <c r="S245" s="25">
        <f>IF(OR($C245="",N($G245)=0),"",R245/$G245)</f>
        <v/>
      </c>
      <c r="T245" s="23">
        <f>IF($C245="","",N($G245)-N(R245))</f>
        <v/>
      </c>
      <c r="U245" s="24" t="n"/>
      <c r="V245" s="22" t="n"/>
    </row>
    <row r="246">
      <c r="B246" s="13">
        <f>IF($C246="","",COUNTA($C$9:$C246))</f>
        <v/>
      </c>
      <c r="C246" s="21" t="n"/>
      <c r="D246" s="14" t="n"/>
      <c r="E246" s="14" t="n"/>
      <c r="F246" s="14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3">
        <f>IF($C246="","",N(L246)-N(M246))</f>
        <v/>
      </c>
      <c r="P246" s="24" t="n"/>
      <c r="Q246" s="23">
        <f>IF($C246="","",N(M246)+N(N246))</f>
        <v/>
      </c>
      <c r="R246" s="23">
        <f>IF($C246="","",N(J246)+N(Q246))</f>
        <v/>
      </c>
      <c r="S246" s="25">
        <f>IF(OR($C246="",N($G246)=0),"",R246/$G246)</f>
        <v/>
      </c>
      <c r="T246" s="23">
        <f>IF($C246="","",N($G246)-N(R246))</f>
        <v/>
      </c>
      <c r="U246" s="24" t="n"/>
      <c r="V246" s="22" t="n"/>
    </row>
    <row r="247">
      <c r="B247" s="13">
        <f>IF($C247="","",COUNTA($C$9:$C247))</f>
        <v/>
      </c>
      <c r="C247" s="21" t="n"/>
      <c r="D247" s="14" t="n"/>
      <c r="E247" s="14" t="n"/>
      <c r="F247" s="14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3">
        <f>IF($C247="","",N(L247)-N(M247))</f>
        <v/>
      </c>
      <c r="P247" s="24" t="n"/>
      <c r="Q247" s="23">
        <f>IF($C247="","",N(M247)+N(N247))</f>
        <v/>
      </c>
      <c r="R247" s="23">
        <f>IF($C247="","",N(J247)+N(Q247))</f>
        <v/>
      </c>
      <c r="S247" s="25">
        <f>IF(OR($C247="",N($G247)=0),"",R247/$G247)</f>
        <v/>
      </c>
      <c r="T247" s="23">
        <f>IF($C247="","",N($G247)-N(R247))</f>
        <v/>
      </c>
      <c r="U247" s="24" t="n"/>
      <c r="V247" s="22" t="n"/>
    </row>
    <row r="248">
      <c r="B248" s="13">
        <f>IF($C248="","",COUNTA($C$9:$C248))</f>
        <v/>
      </c>
      <c r="C248" s="21" t="n"/>
      <c r="D248" s="14" t="n"/>
      <c r="E248" s="14" t="n"/>
      <c r="F248" s="14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3">
        <f>IF($C248="","",N(L248)-N(M248))</f>
        <v/>
      </c>
      <c r="P248" s="24" t="n"/>
      <c r="Q248" s="23">
        <f>IF($C248="","",N(M248)+N(N248))</f>
        <v/>
      </c>
      <c r="R248" s="23">
        <f>IF($C248="","",N(J248)+N(Q248))</f>
        <v/>
      </c>
      <c r="S248" s="25">
        <f>IF(OR($C248="",N($G248)=0),"",R248/$G248)</f>
        <v/>
      </c>
      <c r="T248" s="23">
        <f>IF($C248="","",N($G248)-N(R248))</f>
        <v/>
      </c>
      <c r="U248" s="24" t="n"/>
      <c r="V248" s="22" t="n"/>
    </row>
    <row r="249">
      <c r="B249" s="13">
        <f>IF($C249="","",COUNTA($C$9:$C249))</f>
        <v/>
      </c>
      <c r="C249" s="21" t="n"/>
      <c r="D249" s="14" t="n"/>
      <c r="E249" s="14" t="n"/>
      <c r="F249" s="14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3">
        <f>IF($C249="","",N(L249)-N(M249))</f>
        <v/>
      </c>
      <c r="P249" s="24" t="n"/>
      <c r="Q249" s="23">
        <f>IF($C249="","",N(M249)+N(N249))</f>
        <v/>
      </c>
      <c r="R249" s="23">
        <f>IF($C249="","",N(J249)+N(Q249))</f>
        <v/>
      </c>
      <c r="S249" s="25">
        <f>IF(OR($C249="",N($G249)=0),"",R249/$G249)</f>
        <v/>
      </c>
      <c r="T249" s="23">
        <f>IF($C249="","",N($G249)-N(R249))</f>
        <v/>
      </c>
      <c r="U249" s="24" t="n"/>
      <c r="V249" s="22" t="n"/>
    </row>
    <row r="250">
      <c r="B250" s="13">
        <f>IF($C250="","",COUNTA($C$9:$C250))</f>
        <v/>
      </c>
      <c r="C250" s="21" t="n"/>
      <c r="D250" s="14" t="n"/>
      <c r="E250" s="14" t="n"/>
      <c r="F250" s="14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3">
        <f>IF($C250="","",N(L250)-N(M250))</f>
        <v/>
      </c>
      <c r="P250" s="24" t="n"/>
      <c r="Q250" s="23">
        <f>IF($C250="","",N(M250)+N(N250))</f>
        <v/>
      </c>
      <c r="R250" s="23">
        <f>IF($C250="","",N(J250)+N(Q250))</f>
        <v/>
      </c>
      <c r="S250" s="25">
        <f>IF(OR($C250="",N($G250)=0),"",R250/$G250)</f>
        <v/>
      </c>
      <c r="T250" s="23">
        <f>IF($C250="","",N($G250)-N(R250))</f>
        <v/>
      </c>
      <c r="U250" s="24" t="n"/>
      <c r="V250" s="22" t="n"/>
    </row>
    <row r="251">
      <c r="B251" s="13">
        <f>IF($C251="","",COUNTA($C$9:$C251))</f>
        <v/>
      </c>
      <c r="C251" s="21" t="n"/>
      <c r="D251" s="14" t="n"/>
      <c r="E251" s="14" t="n"/>
      <c r="F251" s="14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3">
        <f>IF($C251="","",N(L251)-N(M251))</f>
        <v/>
      </c>
      <c r="P251" s="24" t="n"/>
      <c r="Q251" s="23">
        <f>IF($C251="","",N(M251)+N(N251))</f>
        <v/>
      </c>
      <c r="R251" s="23">
        <f>IF($C251="","",N(J251)+N(Q251))</f>
        <v/>
      </c>
      <c r="S251" s="25">
        <f>IF(OR($C251="",N($G251)=0),"",R251/$G251)</f>
        <v/>
      </c>
      <c r="T251" s="23">
        <f>IF($C251="","",N($G251)-N(R251))</f>
        <v/>
      </c>
      <c r="U251" s="24" t="n"/>
      <c r="V251" s="22" t="n"/>
    </row>
    <row r="252">
      <c r="B252" s="13">
        <f>IF($C252="","",COUNTA($C$9:$C252))</f>
        <v/>
      </c>
      <c r="C252" s="21" t="n"/>
      <c r="D252" s="14" t="n"/>
      <c r="E252" s="14" t="n"/>
      <c r="F252" s="14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3">
        <f>IF($C252="","",N(L252)-N(M252))</f>
        <v/>
      </c>
      <c r="P252" s="24" t="n"/>
      <c r="Q252" s="23">
        <f>IF($C252="","",N(M252)+N(N252))</f>
        <v/>
      </c>
      <c r="R252" s="23">
        <f>IF($C252="","",N(J252)+N(Q252))</f>
        <v/>
      </c>
      <c r="S252" s="25">
        <f>IF(OR($C252="",N($G252)=0),"",R252/$G252)</f>
        <v/>
      </c>
      <c r="T252" s="23">
        <f>IF($C252="","",N($G252)-N(R252))</f>
        <v/>
      </c>
      <c r="U252" s="24" t="n"/>
      <c r="V252" s="22" t="n"/>
    </row>
    <row r="253">
      <c r="B253" s="13">
        <f>IF($C253="","",COUNTA($C$9:$C253))</f>
        <v/>
      </c>
      <c r="C253" s="21" t="n"/>
      <c r="D253" s="14" t="n"/>
      <c r="E253" s="14" t="n"/>
      <c r="F253" s="14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3">
        <f>IF($C253="","",N(L253)-N(M253))</f>
        <v/>
      </c>
      <c r="P253" s="24" t="n"/>
      <c r="Q253" s="23">
        <f>IF($C253="","",N(M253)+N(N253))</f>
        <v/>
      </c>
      <c r="R253" s="23">
        <f>IF($C253="","",N(J253)+N(Q253))</f>
        <v/>
      </c>
      <c r="S253" s="25">
        <f>IF(OR($C253="",N($G253)=0),"",R253/$G253)</f>
        <v/>
      </c>
      <c r="T253" s="23">
        <f>IF($C253="","",N($G253)-N(R253))</f>
        <v/>
      </c>
      <c r="U253" s="24" t="n"/>
      <c r="V253" s="22" t="n"/>
    </row>
    <row r="254">
      <c r="B254" s="13">
        <f>IF($C254="","",COUNTA($C$9:$C254))</f>
        <v/>
      </c>
      <c r="C254" s="21" t="n"/>
      <c r="D254" s="14" t="n"/>
      <c r="E254" s="14" t="n"/>
      <c r="F254" s="14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3">
        <f>IF($C254="","",N(L254)-N(M254))</f>
        <v/>
      </c>
      <c r="P254" s="24" t="n"/>
      <c r="Q254" s="23">
        <f>IF($C254="","",N(M254)+N(N254))</f>
        <v/>
      </c>
      <c r="R254" s="23">
        <f>IF($C254="","",N(J254)+N(Q254))</f>
        <v/>
      </c>
      <c r="S254" s="25">
        <f>IF(OR($C254="",N($G254)=0),"",R254/$G254)</f>
        <v/>
      </c>
      <c r="T254" s="23">
        <f>IF($C254="","",N($G254)-N(R254))</f>
        <v/>
      </c>
      <c r="U254" s="24" t="n"/>
      <c r="V254" s="22" t="n"/>
    </row>
    <row r="255">
      <c r="B255" s="13">
        <f>IF($C255="","",COUNTA($C$9:$C255))</f>
        <v/>
      </c>
      <c r="C255" s="21" t="n"/>
      <c r="D255" s="14" t="n"/>
      <c r="E255" s="14" t="n"/>
      <c r="F255" s="14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3">
        <f>IF($C255="","",N(L255)-N(M255))</f>
        <v/>
      </c>
      <c r="P255" s="24" t="n"/>
      <c r="Q255" s="23">
        <f>IF($C255="","",N(M255)+N(N255))</f>
        <v/>
      </c>
      <c r="R255" s="23">
        <f>IF($C255="","",N(J255)+N(Q255))</f>
        <v/>
      </c>
      <c r="S255" s="25">
        <f>IF(OR($C255="",N($G255)=0),"",R255/$G255)</f>
        <v/>
      </c>
      <c r="T255" s="23">
        <f>IF($C255="","",N($G255)-N(R255))</f>
        <v/>
      </c>
      <c r="U255" s="24" t="n"/>
      <c r="V255" s="22" t="n"/>
    </row>
    <row r="256">
      <c r="B256" s="13">
        <f>IF($C256="","",COUNTA($C$9:$C256))</f>
        <v/>
      </c>
      <c r="C256" s="21" t="n"/>
      <c r="D256" s="14" t="n"/>
      <c r="E256" s="14" t="n"/>
      <c r="F256" s="14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3">
        <f>IF($C256="","",N(L256)-N(M256))</f>
        <v/>
      </c>
      <c r="P256" s="24" t="n"/>
      <c r="Q256" s="23">
        <f>IF($C256="","",N(M256)+N(N256))</f>
        <v/>
      </c>
      <c r="R256" s="23">
        <f>IF($C256="","",N(J256)+N(Q256))</f>
        <v/>
      </c>
      <c r="S256" s="25">
        <f>IF(OR($C256="",N($G256)=0),"",R256/$G256)</f>
        <v/>
      </c>
      <c r="T256" s="23">
        <f>IF($C256="","",N($G256)-N(R256))</f>
        <v/>
      </c>
      <c r="U256" s="24" t="n"/>
      <c r="V256" s="22" t="n"/>
    </row>
    <row r="257">
      <c r="B257" s="13">
        <f>IF($C257="","",COUNTA($C$9:$C257))</f>
        <v/>
      </c>
      <c r="C257" s="21" t="n"/>
      <c r="D257" s="14" t="n"/>
      <c r="E257" s="14" t="n"/>
      <c r="F257" s="14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3">
        <f>IF($C257="","",N(L257)-N(M257))</f>
        <v/>
      </c>
      <c r="P257" s="24" t="n"/>
      <c r="Q257" s="23">
        <f>IF($C257="","",N(M257)+N(N257))</f>
        <v/>
      </c>
      <c r="R257" s="23">
        <f>IF($C257="","",N(J257)+N(Q257))</f>
        <v/>
      </c>
      <c r="S257" s="25">
        <f>IF(OR($C257="",N($G257)=0),"",R257/$G257)</f>
        <v/>
      </c>
      <c r="T257" s="23">
        <f>IF($C257="","",N($G257)-N(R257))</f>
        <v/>
      </c>
      <c r="U257" s="24" t="n"/>
      <c r="V257" s="22" t="n"/>
    </row>
    <row r="258">
      <c r="B258" s="13">
        <f>IF($C258="","",COUNTA($C$9:$C258))</f>
        <v/>
      </c>
      <c r="C258" s="21" t="n"/>
      <c r="D258" s="14" t="n"/>
      <c r="E258" s="14" t="n"/>
      <c r="F258" s="14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3">
        <f>IF($C258="","",N(L258)-N(M258))</f>
        <v/>
      </c>
      <c r="P258" s="24" t="n"/>
      <c r="Q258" s="23">
        <f>IF($C258="","",N(M258)+N(N258))</f>
        <v/>
      </c>
      <c r="R258" s="23">
        <f>IF($C258="","",N(J258)+N(Q258))</f>
        <v/>
      </c>
      <c r="S258" s="25">
        <f>IF(OR($C258="",N($G258)=0),"",R258/$G258)</f>
        <v/>
      </c>
      <c r="T258" s="23">
        <f>IF($C258="","",N($G258)-N(R258))</f>
        <v/>
      </c>
      <c r="U258" s="24" t="n"/>
      <c r="V258" s="22" t="n"/>
    </row>
    <row r="259">
      <c r="B259" s="13">
        <f>IF($C259="","",COUNTA($C$9:$C259))</f>
        <v/>
      </c>
      <c r="C259" s="21" t="n"/>
      <c r="D259" s="14" t="n"/>
      <c r="E259" s="14" t="n"/>
      <c r="F259" s="14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3">
        <f>IF($C259="","",N(L259)-N(M259))</f>
        <v/>
      </c>
      <c r="P259" s="24" t="n"/>
      <c r="Q259" s="23">
        <f>IF($C259="","",N(M259)+N(N259))</f>
        <v/>
      </c>
      <c r="R259" s="23">
        <f>IF($C259="","",N(J259)+N(Q259))</f>
        <v/>
      </c>
      <c r="S259" s="25">
        <f>IF(OR($C259="",N($G259)=0),"",R259/$G259)</f>
        <v/>
      </c>
      <c r="T259" s="23">
        <f>IF($C259="","",N($G259)-N(R259))</f>
        <v/>
      </c>
      <c r="U259" s="24" t="n"/>
      <c r="V259" s="22" t="n"/>
    </row>
    <row r="260">
      <c r="B260" s="13">
        <f>IF($C260="","",COUNTA($C$9:$C260))</f>
        <v/>
      </c>
      <c r="C260" s="21" t="n"/>
      <c r="D260" s="14" t="n"/>
      <c r="E260" s="14" t="n"/>
      <c r="F260" s="14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3">
        <f>IF($C260="","",N(L260)-N(M260))</f>
        <v/>
      </c>
      <c r="P260" s="24" t="n"/>
      <c r="Q260" s="23">
        <f>IF($C260="","",N(M260)+N(N260))</f>
        <v/>
      </c>
      <c r="R260" s="23">
        <f>IF($C260="","",N(J260)+N(Q260))</f>
        <v/>
      </c>
      <c r="S260" s="25">
        <f>IF(OR($C260="",N($G260)=0),"",R260/$G260)</f>
        <v/>
      </c>
      <c r="T260" s="23">
        <f>IF($C260="","",N($G260)-N(R260))</f>
        <v/>
      </c>
      <c r="U260" s="24" t="n"/>
      <c r="V260" s="22" t="n"/>
    </row>
    <row r="261">
      <c r="B261" s="13">
        <f>IF($C261="","",COUNTA($C$9:$C261))</f>
        <v/>
      </c>
      <c r="C261" s="21" t="n"/>
      <c r="D261" s="14" t="n"/>
      <c r="E261" s="14" t="n"/>
      <c r="F261" s="14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3">
        <f>IF($C261="","",N(L261)-N(M261))</f>
        <v/>
      </c>
      <c r="P261" s="24" t="n"/>
      <c r="Q261" s="23">
        <f>IF($C261="","",N(M261)+N(N261))</f>
        <v/>
      </c>
      <c r="R261" s="23">
        <f>IF($C261="","",N(J261)+N(Q261))</f>
        <v/>
      </c>
      <c r="S261" s="25">
        <f>IF(OR($C261="",N($G261)=0),"",R261/$G261)</f>
        <v/>
      </c>
      <c r="T261" s="23">
        <f>IF($C261="","",N($G261)-N(R261))</f>
        <v/>
      </c>
      <c r="U261" s="24" t="n"/>
      <c r="V261" s="22" t="n"/>
    </row>
    <row r="262">
      <c r="B262" s="13">
        <f>IF($C262="","",COUNTA($C$9:$C262))</f>
        <v/>
      </c>
      <c r="C262" s="21" t="n"/>
      <c r="D262" s="14" t="n"/>
      <c r="E262" s="14" t="n"/>
      <c r="F262" s="14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3">
        <f>IF($C262="","",N(L262)-N(M262))</f>
        <v/>
      </c>
      <c r="P262" s="24" t="n"/>
      <c r="Q262" s="23">
        <f>IF($C262="","",N(M262)+N(N262))</f>
        <v/>
      </c>
      <c r="R262" s="23">
        <f>IF($C262="","",N(J262)+N(Q262))</f>
        <v/>
      </c>
      <c r="S262" s="25">
        <f>IF(OR($C262="",N($G262)=0),"",R262/$G262)</f>
        <v/>
      </c>
      <c r="T262" s="23">
        <f>IF($C262="","",N($G262)-N(R262))</f>
        <v/>
      </c>
      <c r="U262" s="24" t="n"/>
      <c r="V262" s="22" t="n"/>
    </row>
    <row r="263">
      <c r="B263" s="13">
        <f>IF($C263="","",COUNTA($C$9:$C263))</f>
        <v/>
      </c>
      <c r="C263" s="21" t="n"/>
      <c r="D263" s="14" t="n"/>
      <c r="E263" s="14" t="n"/>
      <c r="F263" s="14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3">
        <f>IF($C263="","",N(L263)-N(M263))</f>
        <v/>
      </c>
      <c r="P263" s="24" t="n"/>
      <c r="Q263" s="23">
        <f>IF($C263="","",N(M263)+N(N263))</f>
        <v/>
      </c>
      <c r="R263" s="23">
        <f>IF($C263="","",N(J263)+N(Q263))</f>
        <v/>
      </c>
      <c r="S263" s="25">
        <f>IF(OR($C263="",N($G263)=0),"",R263/$G263)</f>
        <v/>
      </c>
      <c r="T263" s="23">
        <f>IF($C263="","",N($G263)-N(R263))</f>
        <v/>
      </c>
      <c r="U263" s="24" t="n"/>
      <c r="V263" s="22" t="n"/>
    </row>
    <row r="264">
      <c r="B264" s="13">
        <f>IF($C264="","",COUNTA($C$9:$C264))</f>
        <v/>
      </c>
      <c r="C264" s="21" t="n"/>
      <c r="D264" s="14" t="n"/>
      <c r="E264" s="14" t="n"/>
      <c r="F264" s="14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3">
        <f>IF($C264="","",N(L264)-N(M264))</f>
        <v/>
      </c>
      <c r="P264" s="24" t="n"/>
      <c r="Q264" s="23">
        <f>IF($C264="","",N(M264)+N(N264))</f>
        <v/>
      </c>
      <c r="R264" s="23">
        <f>IF($C264="","",N(J264)+N(Q264))</f>
        <v/>
      </c>
      <c r="S264" s="25">
        <f>IF(OR($C264="",N($G264)=0),"",R264/$G264)</f>
        <v/>
      </c>
      <c r="T264" s="23">
        <f>IF($C264="","",N($G264)-N(R264))</f>
        <v/>
      </c>
      <c r="U264" s="24" t="n"/>
      <c r="V264" s="22" t="n"/>
    </row>
    <row r="265">
      <c r="B265" s="13">
        <f>IF($C265="","",COUNTA($C$9:$C265))</f>
        <v/>
      </c>
      <c r="C265" s="21" t="n"/>
      <c r="D265" s="14" t="n"/>
      <c r="E265" s="14" t="n"/>
      <c r="F265" s="14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3">
        <f>IF($C265="","",N(L265)-N(M265))</f>
        <v/>
      </c>
      <c r="P265" s="24" t="n"/>
      <c r="Q265" s="23">
        <f>IF($C265="","",N(M265)+N(N265))</f>
        <v/>
      </c>
      <c r="R265" s="23">
        <f>IF($C265="","",N(J265)+N(Q265))</f>
        <v/>
      </c>
      <c r="S265" s="25">
        <f>IF(OR($C265="",N($G265)=0),"",R265/$G265)</f>
        <v/>
      </c>
      <c r="T265" s="23">
        <f>IF($C265="","",N($G265)-N(R265))</f>
        <v/>
      </c>
      <c r="U265" s="24" t="n"/>
      <c r="V265" s="22" t="n"/>
    </row>
    <row r="266">
      <c r="B266" s="13">
        <f>IF($C266="","",COUNTA($C$9:$C266))</f>
        <v/>
      </c>
      <c r="C266" s="21" t="n"/>
      <c r="D266" s="14" t="n"/>
      <c r="E266" s="14" t="n"/>
      <c r="F266" s="14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3">
        <f>IF($C266="","",N(L266)-N(M266))</f>
        <v/>
      </c>
      <c r="P266" s="24" t="n"/>
      <c r="Q266" s="23">
        <f>IF($C266="","",N(M266)+N(N266))</f>
        <v/>
      </c>
      <c r="R266" s="23">
        <f>IF($C266="","",N(J266)+N(Q266))</f>
        <v/>
      </c>
      <c r="S266" s="25">
        <f>IF(OR($C266="",N($G266)=0),"",R266/$G266)</f>
        <v/>
      </c>
      <c r="T266" s="23">
        <f>IF($C266="","",N($G266)-N(R266))</f>
        <v/>
      </c>
      <c r="U266" s="24" t="n"/>
      <c r="V266" s="22" t="n"/>
    </row>
    <row r="267">
      <c r="B267" s="13">
        <f>IF($C267="","",COUNTA($C$9:$C267))</f>
        <v/>
      </c>
      <c r="C267" s="21" t="n"/>
      <c r="D267" s="14" t="n"/>
      <c r="E267" s="14" t="n"/>
      <c r="F267" s="14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3">
        <f>IF($C267="","",N(L267)-N(M267))</f>
        <v/>
      </c>
      <c r="P267" s="24" t="n"/>
      <c r="Q267" s="23">
        <f>IF($C267="","",N(M267)+N(N267))</f>
        <v/>
      </c>
      <c r="R267" s="23">
        <f>IF($C267="","",N(J267)+N(Q267))</f>
        <v/>
      </c>
      <c r="S267" s="25">
        <f>IF(OR($C267="",N($G267)=0),"",R267/$G267)</f>
        <v/>
      </c>
      <c r="T267" s="23">
        <f>IF($C267="","",N($G267)-N(R267))</f>
        <v/>
      </c>
      <c r="U267" s="24" t="n"/>
      <c r="V267" s="22" t="n"/>
    </row>
    <row r="268">
      <c r="B268" s="13">
        <f>IF($C268="","",COUNTA($C$9:$C268))</f>
        <v/>
      </c>
      <c r="C268" s="21" t="n"/>
      <c r="D268" s="14" t="n"/>
      <c r="E268" s="14" t="n"/>
      <c r="F268" s="14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3">
        <f>IF($C268="","",N(L268)-N(M268))</f>
        <v/>
      </c>
      <c r="P268" s="24" t="n"/>
      <c r="Q268" s="23">
        <f>IF($C268="","",N(M268)+N(N268))</f>
        <v/>
      </c>
      <c r="R268" s="23">
        <f>IF($C268="","",N(J268)+N(Q268))</f>
        <v/>
      </c>
      <c r="S268" s="25">
        <f>IF(OR($C268="",N($G268)=0),"",R268/$G268)</f>
        <v/>
      </c>
      <c r="T268" s="23">
        <f>IF($C268="","",N($G268)-N(R268))</f>
        <v/>
      </c>
      <c r="U268" s="24" t="n"/>
      <c r="V268" s="22" t="n"/>
    </row>
    <row r="269">
      <c r="B269" s="13">
        <f>IF($C269="","",COUNTA($C$9:$C269))</f>
        <v/>
      </c>
      <c r="C269" s="21" t="n"/>
      <c r="D269" s="14" t="n"/>
      <c r="E269" s="14" t="n"/>
      <c r="F269" s="14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3">
        <f>IF($C269="","",N(L269)-N(M269))</f>
        <v/>
      </c>
      <c r="P269" s="24" t="n"/>
      <c r="Q269" s="23">
        <f>IF($C269="","",N(M269)+N(N269))</f>
        <v/>
      </c>
      <c r="R269" s="23">
        <f>IF($C269="","",N(J269)+N(Q269))</f>
        <v/>
      </c>
      <c r="S269" s="25">
        <f>IF(OR($C269="",N($G269)=0),"",R269/$G269)</f>
        <v/>
      </c>
      <c r="T269" s="23">
        <f>IF($C269="","",N($G269)-N(R269))</f>
        <v/>
      </c>
      <c r="U269" s="24" t="n"/>
      <c r="V269" s="22" t="n"/>
    </row>
    <row r="270">
      <c r="B270" s="13">
        <f>IF($C270="","",COUNTA($C$9:$C270))</f>
        <v/>
      </c>
      <c r="C270" s="21" t="n"/>
      <c r="D270" s="14" t="n"/>
      <c r="E270" s="14" t="n"/>
      <c r="F270" s="14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3">
        <f>IF($C270="","",N(L270)-N(M270))</f>
        <v/>
      </c>
      <c r="P270" s="24" t="n"/>
      <c r="Q270" s="23">
        <f>IF($C270="","",N(M270)+N(N270))</f>
        <v/>
      </c>
      <c r="R270" s="23">
        <f>IF($C270="","",N(J270)+N(Q270))</f>
        <v/>
      </c>
      <c r="S270" s="25">
        <f>IF(OR($C270="",N($G270)=0),"",R270/$G270)</f>
        <v/>
      </c>
      <c r="T270" s="23">
        <f>IF($C270="","",N($G270)-N(R270))</f>
        <v/>
      </c>
      <c r="U270" s="24" t="n"/>
      <c r="V270" s="22" t="n"/>
    </row>
    <row r="271">
      <c r="B271" s="13">
        <f>IF($C271="","",COUNTA($C$9:$C271))</f>
        <v/>
      </c>
      <c r="C271" s="21" t="n"/>
      <c r="D271" s="14" t="n"/>
      <c r="E271" s="14" t="n"/>
      <c r="F271" s="14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3">
        <f>IF($C271="","",N(L271)-N(M271))</f>
        <v/>
      </c>
      <c r="P271" s="24" t="n"/>
      <c r="Q271" s="23">
        <f>IF($C271="","",N(M271)+N(N271))</f>
        <v/>
      </c>
      <c r="R271" s="23">
        <f>IF($C271="","",N(J271)+N(Q271))</f>
        <v/>
      </c>
      <c r="S271" s="25">
        <f>IF(OR($C271="",N($G271)=0),"",R271/$G271)</f>
        <v/>
      </c>
      <c r="T271" s="23">
        <f>IF($C271="","",N($G271)-N(R271))</f>
        <v/>
      </c>
      <c r="U271" s="24" t="n"/>
      <c r="V271" s="22" t="n"/>
    </row>
    <row r="272">
      <c r="B272" s="13">
        <f>IF($C272="","",COUNTA($C$9:$C272))</f>
        <v/>
      </c>
      <c r="C272" s="21" t="n"/>
      <c r="D272" s="14" t="n"/>
      <c r="E272" s="14" t="n"/>
      <c r="F272" s="14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3">
        <f>IF($C272="","",N(L272)-N(M272))</f>
        <v/>
      </c>
      <c r="P272" s="24" t="n"/>
      <c r="Q272" s="23">
        <f>IF($C272="","",N(M272)+N(N272))</f>
        <v/>
      </c>
      <c r="R272" s="23">
        <f>IF($C272="","",N(J272)+N(Q272))</f>
        <v/>
      </c>
      <c r="S272" s="25">
        <f>IF(OR($C272="",N($G272)=0),"",R272/$G272)</f>
        <v/>
      </c>
      <c r="T272" s="23">
        <f>IF($C272="","",N($G272)-N(R272))</f>
        <v/>
      </c>
      <c r="U272" s="24" t="n"/>
      <c r="V272" s="22" t="n"/>
    </row>
    <row r="273">
      <c r="B273" s="13">
        <f>IF($C273="","",COUNTA($C$9:$C273))</f>
        <v/>
      </c>
      <c r="C273" s="21" t="n"/>
      <c r="D273" s="14" t="n"/>
      <c r="E273" s="14" t="n"/>
      <c r="F273" s="14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3">
        <f>IF($C273="","",N(L273)-N(M273))</f>
        <v/>
      </c>
      <c r="P273" s="24" t="n"/>
      <c r="Q273" s="23">
        <f>IF($C273="","",N(M273)+N(N273))</f>
        <v/>
      </c>
      <c r="R273" s="23">
        <f>IF($C273="","",N(J273)+N(Q273))</f>
        <v/>
      </c>
      <c r="S273" s="25">
        <f>IF(OR($C273="",N($G273)=0),"",R273/$G273)</f>
        <v/>
      </c>
      <c r="T273" s="23">
        <f>IF($C273="","",N($G273)-N(R273))</f>
        <v/>
      </c>
      <c r="U273" s="24" t="n"/>
      <c r="V273" s="22" t="n"/>
    </row>
    <row r="274">
      <c r="B274" s="13">
        <f>IF($C274="","",COUNTA($C$9:$C274))</f>
        <v/>
      </c>
      <c r="C274" s="21" t="n"/>
      <c r="D274" s="14" t="n"/>
      <c r="E274" s="14" t="n"/>
      <c r="F274" s="14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3">
        <f>IF($C274="","",N(L274)-N(M274))</f>
        <v/>
      </c>
      <c r="P274" s="24" t="n"/>
      <c r="Q274" s="23">
        <f>IF($C274="","",N(M274)+N(N274))</f>
        <v/>
      </c>
      <c r="R274" s="23">
        <f>IF($C274="","",N(J274)+N(Q274))</f>
        <v/>
      </c>
      <c r="S274" s="25">
        <f>IF(OR($C274="",N($G274)=0),"",R274/$G274)</f>
        <v/>
      </c>
      <c r="T274" s="23">
        <f>IF($C274="","",N($G274)-N(R274))</f>
        <v/>
      </c>
      <c r="U274" s="24" t="n"/>
      <c r="V274" s="22" t="n"/>
    </row>
    <row r="275">
      <c r="B275" s="13">
        <f>IF($C275="","",COUNTA($C$9:$C275))</f>
        <v/>
      </c>
      <c r="C275" s="21" t="n"/>
      <c r="D275" s="14" t="n"/>
      <c r="E275" s="14" t="n"/>
      <c r="F275" s="14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3">
        <f>IF($C275="","",N(L275)-N(M275))</f>
        <v/>
      </c>
      <c r="P275" s="24" t="n"/>
      <c r="Q275" s="23">
        <f>IF($C275="","",N(M275)+N(N275))</f>
        <v/>
      </c>
      <c r="R275" s="23">
        <f>IF($C275="","",N(J275)+N(Q275))</f>
        <v/>
      </c>
      <c r="S275" s="25">
        <f>IF(OR($C275="",N($G275)=0),"",R275/$G275)</f>
        <v/>
      </c>
      <c r="T275" s="23">
        <f>IF($C275="","",N($G275)-N(R275))</f>
        <v/>
      </c>
      <c r="U275" s="24" t="n"/>
      <c r="V275" s="22" t="n"/>
    </row>
    <row r="276">
      <c r="B276" s="13">
        <f>IF($C276="","",COUNTA($C$9:$C276))</f>
        <v/>
      </c>
      <c r="C276" s="21" t="n"/>
      <c r="D276" s="14" t="n"/>
      <c r="E276" s="14" t="n"/>
      <c r="F276" s="14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3">
        <f>IF($C276="","",N(L276)-N(M276))</f>
        <v/>
      </c>
      <c r="P276" s="24" t="n"/>
      <c r="Q276" s="23">
        <f>IF($C276="","",N(M276)+N(N276))</f>
        <v/>
      </c>
      <c r="R276" s="23">
        <f>IF($C276="","",N(J276)+N(Q276))</f>
        <v/>
      </c>
      <c r="S276" s="25">
        <f>IF(OR($C276="",N($G276)=0),"",R276/$G276)</f>
        <v/>
      </c>
      <c r="T276" s="23">
        <f>IF($C276="","",N($G276)-N(R276))</f>
        <v/>
      </c>
      <c r="U276" s="24" t="n"/>
      <c r="V276" s="22" t="n"/>
    </row>
    <row r="277">
      <c r="B277" s="13">
        <f>IF($C277="","",COUNTA($C$9:$C277))</f>
        <v/>
      </c>
      <c r="C277" s="21" t="n"/>
      <c r="D277" s="14" t="n"/>
      <c r="E277" s="14" t="n"/>
      <c r="F277" s="14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3">
        <f>IF($C277="","",N(L277)-N(M277))</f>
        <v/>
      </c>
      <c r="P277" s="24" t="n"/>
      <c r="Q277" s="23">
        <f>IF($C277="","",N(M277)+N(N277))</f>
        <v/>
      </c>
      <c r="R277" s="23">
        <f>IF($C277="","",N(J277)+N(Q277))</f>
        <v/>
      </c>
      <c r="S277" s="25">
        <f>IF(OR($C277="",N($G277)=0),"",R277/$G277)</f>
        <v/>
      </c>
      <c r="T277" s="23">
        <f>IF($C277="","",N($G277)-N(R277))</f>
        <v/>
      </c>
      <c r="U277" s="24" t="n"/>
      <c r="V277" s="22" t="n"/>
    </row>
    <row r="278">
      <c r="B278" s="13">
        <f>IF($C278="","",COUNTA($C$9:$C278))</f>
        <v/>
      </c>
      <c r="C278" s="21" t="n"/>
      <c r="D278" s="14" t="n"/>
      <c r="E278" s="14" t="n"/>
      <c r="F278" s="14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3">
        <f>IF($C278="","",N(L278)-N(M278))</f>
        <v/>
      </c>
      <c r="P278" s="24" t="n"/>
      <c r="Q278" s="23">
        <f>IF($C278="","",N(M278)+N(N278))</f>
        <v/>
      </c>
      <c r="R278" s="23">
        <f>IF($C278="","",N(J278)+N(Q278))</f>
        <v/>
      </c>
      <c r="S278" s="25">
        <f>IF(OR($C278="",N($G278)=0),"",R278/$G278)</f>
        <v/>
      </c>
      <c r="T278" s="23">
        <f>IF($C278="","",N($G278)-N(R278))</f>
        <v/>
      </c>
      <c r="U278" s="24" t="n"/>
      <c r="V278" s="22" t="n"/>
    </row>
    <row r="279">
      <c r="B279" s="13">
        <f>IF($C279="","",COUNTA($C$9:$C279))</f>
        <v/>
      </c>
      <c r="C279" s="21" t="n"/>
      <c r="D279" s="14" t="n"/>
      <c r="E279" s="14" t="n"/>
      <c r="F279" s="14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3">
        <f>IF($C279="","",N(L279)-N(M279))</f>
        <v/>
      </c>
      <c r="P279" s="24" t="n"/>
      <c r="Q279" s="23">
        <f>IF($C279="","",N(M279)+N(N279))</f>
        <v/>
      </c>
      <c r="R279" s="23">
        <f>IF($C279="","",N(J279)+N(Q279))</f>
        <v/>
      </c>
      <c r="S279" s="25">
        <f>IF(OR($C279="",N($G279)=0),"",R279/$G279)</f>
        <v/>
      </c>
      <c r="T279" s="23">
        <f>IF($C279="","",N($G279)-N(R279))</f>
        <v/>
      </c>
      <c r="U279" s="24" t="n"/>
      <c r="V279" s="22" t="n"/>
    </row>
    <row r="280">
      <c r="B280" s="13">
        <f>IF($C280="","",COUNTA($C$9:$C280))</f>
        <v/>
      </c>
      <c r="C280" s="21" t="n"/>
      <c r="D280" s="14" t="n"/>
      <c r="E280" s="14" t="n"/>
      <c r="F280" s="14" t="n"/>
      <c r="G280" s="22" t="n"/>
      <c r="H280" s="22" t="n"/>
      <c r="I280" s="22" t="n"/>
      <c r="J280" s="22" t="n"/>
      <c r="K280" s="22" t="n"/>
      <c r="L280" s="22" t="n"/>
      <c r="M280" s="22" t="n"/>
      <c r="N280" s="22" t="n"/>
      <c r="O280" s="23">
        <f>IF($C280="","",N(L280)-N(M280))</f>
        <v/>
      </c>
      <c r="P280" s="24" t="n"/>
      <c r="Q280" s="23">
        <f>IF($C280="","",N(M280)+N(N280))</f>
        <v/>
      </c>
      <c r="R280" s="23">
        <f>IF($C280="","",N(J280)+N(Q280))</f>
        <v/>
      </c>
      <c r="S280" s="25">
        <f>IF(OR($C280="",N($G280)=0),"",R280/$G280)</f>
        <v/>
      </c>
      <c r="T280" s="23">
        <f>IF($C280="","",N($G280)-N(R280))</f>
        <v/>
      </c>
      <c r="U280" s="24" t="n"/>
      <c r="V280" s="22" t="n"/>
    </row>
    <row r="281">
      <c r="B281" s="13">
        <f>IF($C281="","",COUNTA($C$9:$C281))</f>
        <v/>
      </c>
      <c r="C281" s="21" t="n"/>
      <c r="D281" s="14" t="n"/>
      <c r="E281" s="14" t="n"/>
      <c r="F281" s="14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3">
        <f>IF($C281="","",N(L281)-N(M281))</f>
        <v/>
      </c>
      <c r="P281" s="24" t="n"/>
      <c r="Q281" s="23">
        <f>IF($C281="","",N(M281)+N(N281))</f>
        <v/>
      </c>
      <c r="R281" s="23">
        <f>IF($C281="","",N(J281)+N(Q281))</f>
        <v/>
      </c>
      <c r="S281" s="25">
        <f>IF(OR($C281="",N($G281)=0),"",R281/$G281)</f>
        <v/>
      </c>
      <c r="T281" s="23">
        <f>IF($C281="","",N($G281)-N(R281))</f>
        <v/>
      </c>
      <c r="U281" s="24" t="n"/>
      <c r="V281" s="22" t="n"/>
    </row>
    <row r="282">
      <c r="B282" s="13">
        <f>IF($C282="","",COUNTA($C$9:$C282))</f>
        <v/>
      </c>
      <c r="C282" s="21" t="n"/>
      <c r="D282" s="14" t="n"/>
      <c r="E282" s="14" t="n"/>
      <c r="F282" s="14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3">
        <f>IF($C282="","",N(L282)-N(M282))</f>
        <v/>
      </c>
      <c r="P282" s="24" t="n"/>
      <c r="Q282" s="23">
        <f>IF($C282="","",N(M282)+N(N282))</f>
        <v/>
      </c>
      <c r="R282" s="23">
        <f>IF($C282="","",N(J282)+N(Q282))</f>
        <v/>
      </c>
      <c r="S282" s="25">
        <f>IF(OR($C282="",N($G282)=0),"",R282/$G282)</f>
        <v/>
      </c>
      <c r="T282" s="23">
        <f>IF($C282="","",N($G282)-N(R282))</f>
        <v/>
      </c>
      <c r="U282" s="24" t="n"/>
      <c r="V282" s="22" t="n"/>
    </row>
    <row r="283">
      <c r="B283" s="13">
        <f>IF($C283="","",COUNTA($C$9:$C283))</f>
        <v/>
      </c>
      <c r="C283" s="21" t="n"/>
      <c r="D283" s="14" t="n"/>
      <c r="E283" s="14" t="n"/>
      <c r="F283" s="14" t="n"/>
      <c r="G283" s="22" t="n"/>
      <c r="H283" s="22" t="n"/>
      <c r="I283" s="22" t="n"/>
      <c r="J283" s="22" t="n"/>
      <c r="K283" s="22" t="n"/>
      <c r="L283" s="22" t="n"/>
      <c r="M283" s="22" t="n"/>
      <c r="N283" s="22" t="n"/>
      <c r="O283" s="23">
        <f>IF($C283="","",N(L283)-N(M283))</f>
        <v/>
      </c>
      <c r="P283" s="24" t="n"/>
      <c r="Q283" s="23">
        <f>IF($C283="","",N(M283)+N(N283))</f>
        <v/>
      </c>
      <c r="R283" s="23">
        <f>IF($C283="","",N(J283)+N(Q283))</f>
        <v/>
      </c>
      <c r="S283" s="25">
        <f>IF(OR($C283="",N($G283)=0),"",R283/$G283)</f>
        <v/>
      </c>
      <c r="T283" s="23">
        <f>IF($C283="","",N($G283)-N(R283))</f>
        <v/>
      </c>
      <c r="U283" s="24" t="n"/>
      <c r="V283" s="22" t="n"/>
    </row>
    <row r="284">
      <c r="B284" s="13">
        <f>IF($C284="","",COUNTA($C$9:$C284))</f>
        <v/>
      </c>
      <c r="C284" s="21" t="n"/>
      <c r="D284" s="14" t="n"/>
      <c r="E284" s="14" t="n"/>
      <c r="F284" s="14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3">
        <f>IF($C284="","",N(L284)-N(M284))</f>
        <v/>
      </c>
      <c r="P284" s="24" t="n"/>
      <c r="Q284" s="23">
        <f>IF($C284="","",N(M284)+N(N284))</f>
        <v/>
      </c>
      <c r="R284" s="23">
        <f>IF($C284="","",N(J284)+N(Q284))</f>
        <v/>
      </c>
      <c r="S284" s="25">
        <f>IF(OR($C284="",N($G284)=0),"",R284/$G284)</f>
        <v/>
      </c>
      <c r="T284" s="23">
        <f>IF($C284="","",N($G284)-N(R284))</f>
        <v/>
      </c>
      <c r="U284" s="24" t="n"/>
      <c r="V284" s="22" t="n"/>
    </row>
    <row r="285">
      <c r="B285" s="13">
        <f>IF($C285="","",COUNTA($C$9:$C285))</f>
        <v/>
      </c>
      <c r="C285" s="21" t="n"/>
      <c r="D285" s="14" t="n"/>
      <c r="E285" s="14" t="n"/>
      <c r="F285" s="14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3">
        <f>IF($C285="","",N(L285)-N(M285))</f>
        <v/>
      </c>
      <c r="P285" s="24" t="n"/>
      <c r="Q285" s="23">
        <f>IF($C285="","",N(M285)+N(N285))</f>
        <v/>
      </c>
      <c r="R285" s="23">
        <f>IF($C285="","",N(J285)+N(Q285))</f>
        <v/>
      </c>
      <c r="S285" s="25">
        <f>IF(OR($C285="",N($G285)=0),"",R285/$G285)</f>
        <v/>
      </c>
      <c r="T285" s="23">
        <f>IF($C285="","",N($G285)-N(R285))</f>
        <v/>
      </c>
      <c r="U285" s="24" t="n"/>
      <c r="V285" s="22" t="n"/>
    </row>
    <row r="286">
      <c r="B286" s="13">
        <f>IF($C286="","",COUNTA($C$9:$C286))</f>
        <v/>
      </c>
      <c r="C286" s="21" t="n"/>
      <c r="D286" s="14" t="n"/>
      <c r="E286" s="14" t="n"/>
      <c r="F286" s="14" t="n"/>
      <c r="G286" s="22" t="n"/>
      <c r="H286" s="22" t="n"/>
      <c r="I286" s="22" t="n"/>
      <c r="J286" s="22" t="n"/>
      <c r="K286" s="22" t="n"/>
      <c r="L286" s="22" t="n"/>
      <c r="M286" s="22" t="n"/>
      <c r="N286" s="22" t="n"/>
      <c r="O286" s="23">
        <f>IF($C286="","",N(L286)-N(M286))</f>
        <v/>
      </c>
      <c r="P286" s="24" t="n"/>
      <c r="Q286" s="23">
        <f>IF($C286="","",N(M286)+N(N286))</f>
        <v/>
      </c>
      <c r="R286" s="23">
        <f>IF($C286="","",N(J286)+N(Q286))</f>
        <v/>
      </c>
      <c r="S286" s="25">
        <f>IF(OR($C286="",N($G286)=0),"",R286/$G286)</f>
        <v/>
      </c>
      <c r="T286" s="23">
        <f>IF($C286="","",N($G286)-N(R286))</f>
        <v/>
      </c>
      <c r="U286" s="24" t="n"/>
      <c r="V286" s="22" t="n"/>
    </row>
    <row r="287">
      <c r="B287" s="13">
        <f>IF($C287="","",COUNTA($C$9:$C287))</f>
        <v/>
      </c>
      <c r="C287" s="21" t="n"/>
      <c r="D287" s="14" t="n"/>
      <c r="E287" s="14" t="n"/>
      <c r="F287" s="14" t="n"/>
      <c r="G287" s="22" t="n"/>
      <c r="H287" s="22" t="n"/>
      <c r="I287" s="22" t="n"/>
      <c r="J287" s="22" t="n"/>
      <c r="K287" s="22" t="n"/>
      <c r="L287" s="22" t="n"/>
      <c r="M287" s="22" t="n"/>
      <c r="N287" s="22" t="n"/>
      <c r="O287" s="23">
        <f>IF($C287="","",N(L287)-N(M287))</f>
        <v/>
      </c>
      <c r="P287" s="24" t="n"/>
      <c r="Q287" s="23">
        <f>IF($C287="","",N(M287)+N(N287))</f>
        <v/>
      </c>
      <c r="R287" s="23">
        <f>IF($C287="","",N(J287)+N(Q287))</f>
        <v/>
      </c>
      <c r="S287" s="25">
        <f>IF(OR($C287="",N($G287)=0),"",R287/$G287)</f>
        <v/>
      </c>
      <c r="T287" s="23">
        <f>IF($C287="","",N($G287)-N(R287))</f>
        <v/>
      </c>
      <c r="U287" s="24" t="n"/>
      <c r="V287" s="22" t="n"/>
    </row>
    <row r="288">
      <c r="B288" s="13">
        <f>IF($C288="","",COUNTA($C$9:$C288))</f>
        <v/>
      </c>
      <c r="C288" s="21" t="n"/>
      <c r="D288" s="14" t="n"/>
      <c r="E288" s="14" t="n"/>
      <c r="F288" s="14" t="n"/>
      <c r="G288" s="22" t="n"/>
      <c r="H288" s="22" t="n"/>
      <c r="I288" s="22" t="n"/>
      <c r="J288" s="22" t="n"/>
      <c r="K288" s="22" t="n"/>
      <c r="L288" s="22" t="n"/>
      <c r="M288" s="22" t="n"/>
      <c r="N288" s="22" t="n"/>
      <c r="O288" s="23">
        <f>IF($C288="","",N(L288)-N(M288))</f>
        <v/>
      </c>
      <c r="P288" s="24" t="n"/>
      <c r="Q288" s="23">
        <f>IF($C288="","",N(M288)+N(N288))</f>
        <v/>
      </c>
      <c r="R288" s="23">
        <f>IF($C288="","",N(J288)+N(Q288))</f>
        <v/>
      </c>
      <c r="S288" s="25">
        <f>IF(OR($C288="",N($G288)=0),"",R288/$G288)</f>
        <v/>
      </c>
      <c r="T288" s="23">
        <f>IF($C288="","",N($G288)-N(R288))</f>
        <v/>
      </c>
      <c r="U288" s="24" t="n"/>
      <c r="V288" s="22" t="n"/>
    </row>
    <row r="289">
      <c r="B289" s="13">
        <f>IF($C289="","",COUNTA($C$9:$C289))</f>
        <v/>
      </c>
      <c r="C289" s="21" t="n"/>
      <c r="D289" s="14" t="n"/>
      <c r="E289" s="14" t="n"/>
      <c r="F289" s="14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3">
        <f>IF($C289="","",N(L289)-N(M289))</f>
        <v/>
      </c>
      <c r="P289" s="24" t="n"/>
      <c r="Q289" s="23">
        <f>IF($C289="","",N(M289)+N(N289))</f>
        <v/>
      </c>
      <c r="R289" s="23">
        <f>IF($C289="","",N(J289)+N(Q289))</f>
        <v/>
      </c>
      <c r="S289" s="25">
        <f>IF(OR($C289="",N($G289)=0),"",R289/$G289)</f>
        <v/>
      </c>
      <c r="T289" s="23">
        <f>IF($C289="","",N($G289)-N(R289))</f>
        <v/>
      </c>
      <c r="U289" s="24" t="n"/>
      <c r="V289" s="22" t="n"/>
    </row>
    <row r="290">
      <c r="B290" s="13">
        <f>IF($C290="","",COUNTA($C$9:$C290))</f>
        <v/>
      </c>
      <c r="C290" s="21" t="n"/>
      <c r="D290" s="14" t="n"/>
      <c r="E290" s="14" t="n"/>
      <c r="F290" s="14" t="n"/>
      <c r="G290" s="22" t="n"/>
      <c r="H290" s="22" t="n"/>
      <c r="I290" s="22" t="n"/>
      <c r="J290" s="22" t="n"/>
      <c r="K290" s="22" t="n"/>
      <c r="L290" s="22" t="n"/>
      <c r="M290" s="22" t="n"/>
      <c r="N290" s="22" t="n"/>
      <c r="O290" s="23">
        <f>IF($C290="","",N(L290)-N(M290))</f>
        <v/>
      </c>
      <c r="P290" s="24" t="n"/>
      <c r="Q290" s="23">
        <f>IF($C290="","",N(M290)+N(N290))</f>
        <v/>
      </c>
      <c r="R290" s="23">
        <f>IF($C290="","",N(J290)+N(Q290))</f>
        <v/>
      </c>
      <c r="S290" s="25">
        <f>IF(OR($C290="",N($G290)=0),"",R290/$G290)</f>
        <v/>
      </c>
      <c r="T290" s="23">
        <f>IF($C290="","",N($G290)-N(R290))</f>
        <v/>
      </c>
      <c r="U290" s="24" t="n"/>
      <c r="V290" s="22" t="n"/>
    </row>
    <row r="291">
      <c r="B291" s="13">
        <f>IF($C291="","",COUNTA($C$9:$C291))</f>
        <v/>
      </c>
      <c r="C291" s="21" t="n"/>
      <c r="D291" s="14" t="n"/>
      <c r="E291" s="14" t="n"/>
      <c r="F291" s="14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3">
        <f>IF($C291="","",N(L291)-N(M291))</f>
        <v/>
      </c>
      <c r="P291" s="24" t="n"/>
      <c r="Q291" s="23">
        <f>IF($C291="","",N(M291)+N(N291))</f>
        <v/>
      </c>
      <c r="R291" s="23">
        <f>IF($C291="","",N(J291)+N(Q291))</f>
        <v/>
      </c>
      <c r="S291" s="25">
        <f>IF(OR($C291="",N($G291)=0),"",R291/$G291)</f>
        <v/>
      </c>
      <c r="T291" s="23">
        <f>IF($C291="","",N($G291)-N(R291))</f>
        <v/>
      </c>
      <c r="U291" s="24" t="n"/>
      <c r="V291" s="22" t="n"/>
    </row>
    <row r="292">
      <c r="B292" s="13">
        <f>IF($C292="","",COUNTA($C$9:$C292))</f>
        <v/>
      </c>
      <c r="C292" s="21" t="n"/>
      <c r="D292" s="14" t="n"/>
      <c r="E292" s="14" t="n"/>
      <c r="F292" s="14" t="n"/>
      <c r="G292" s="22" t="n"/>
      <c r="H292" s="22" t="n"/>
      <c r="I292" s="22" t="n"/>
      <c r="J292" s="22" t="n"/>
      <c r="K292" s="22" t="n"/>
      <c r="L292" s="22" t="n"/>
      <c r="M292" s="22" t="n"/>
      <c r="N292" s="22" t="n"/>
      <c r="O292" s="23">
        <f>IF($C292="","",N(L292)-N(M292))</f>
        <v/>
      </c>
      <c r="P292" s="24" t="n"/>
      <c r="Q292" s="23">
        <f>IF($C292="","",N(M292)+N(N292))</f>
        <v/>
      </c>
      <c r="R292" s="23">
        <f>IF($C292="","",N(J292)+N(Q292))</f>
        <v/>
      </c>
      <c r="S292" s="25">
        <f>IF(OR($C292="",N($G292)=0),"",R292/$G292)</f>
        <v/>
      </c>
      <c r="T292" s="23">
        <f>IF($C292="","",N($G292)-N(R292))</f>
        <v/>
      </c>
      <c r="U292" s="24" t="n"/>
      <c r="V292" s="22" t="n"/>
    </row>
    <row r="293">
      <c r="B293" s="13">
        <f>IF($C293="","",COUNTA($C$9:$C293))</f>
        <v/>
      </c>
      <c r="C293" s="21" t="n"/>
      <c r="D293" s="14" t="n"/>
      <c r="E293" s="14" t="n"/>
      <c r="F293" s="14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3">
        <f>IF($C293="","",N(L293)-N(M293))</f>
        <v/>
      </c>
      <c r="P293" s="24" t="n"/>
      <c r="Q293" s="23">
        <f>IF($C293="","",N(M293)+N(N293))</f>
        <v/>
      </c>
      <c r="R293" s="23">
        <f>IF($C293="","",N(J293)+N(Q293))</f>
        <v/>
      </c>
      <c r="S293" s="25">
        <f>IF(OR($C293="",N($G293)=0),"",R293/$G293)</f>
        <v/>
      </c>
      <c r="T293" s="23">
        <f>IF($C293="","",N($G293)-N(R293))</f>
        <v/>
      </c>
      <c r="U293" s="24" t="n"/>
      <c r="V293" s="22" t="n"/>
    </row>
    <row r="294">
      <c r="B294" s="13">
        <f>IF($C294="","",COUNTA($C$9:$C294))</f>
        <v/>
      </c>
      <c r="C294" s="21" t="n"/>
      <c r="D294" s="14" t="n"/>
      <c r="E294" s="14" t="n"/>
      <c r="F294" s="14" t="n"/>
      <c r="G294" s="22" t="n"/>
      <c r="H294" s="22" t="n"/>
      <c r="I294" s="22" t="n"/>
      <c r="J294" s="22" t="n"/>
      <c r="K294" s="22" t="n"/>
      <c r="L294" s="22" t="n"/>
      <c r="M294" s="22" t="n"/>
      <c r="N294" s="22" t="n"/>
      <c r="O294" s="23">
        <f>IF($C294="","",N(L294)-N(M294))</f>
        <v/>
      </c>
      <c r="P294" s="24" t="n"/>
      <c r="Q294" s="23">
        <f>IF($C294="","",N(M294)+N(N294))</f>
        <v/>
      </c>
      <c r="R294" s="23">
        <f>IF($C294="","",N(J294)+N(Q294))</f>
        <v/>
      </c>
      <c r="S294" s="25">
        <f>IF(OR($C294="",N($G294)=0),"",R294/$G294)</f>
        <v/>
      </c>
      <c r="T294" s="23">
        <f>IF($C294="","",N($G294)-N(R294))</f>
        <v/>
      </c>
      <c r="U294" s="24" t="n"/>
      <c r="V294" s="22" t="n"/>
    </row>
    <row r="295">
      <c r="B295" s="13">
        <f>IF($C295="","",COUNTA($C$9:$C295))</f>
        <v/>
      </c>
      <c r="C295" s="21" t="n"/>
      <c r="D295" s="14" t="n"/>
      <c r="E295" s="14" t="n"/>
      <c r="F295" s="14" t="n"/>
      <c r="G295" s="22" t="n"/>
      <c r="H295" s="22" t="n"/>
      <c r="I295" s="22" t="n"/>
      <c r="J295" s="22" t="n"/>
      <c r="K295" s="22" t="n"/>
      <c r="L295" s="22" t="n"/>
      <c r="M295" s="22" t="n"/>
      <c r="N295" s="22" t="n"/>
      <c r="O295" s="23">
        <f>IF($C295="","",N(L295)-N(M295))</f>
        <v/>
      </c>
      <c r="P295" s="24" t="n"/>
      <c r="Q295" s="23">
        <f>IF($C295="","",N(M295)+N(N295))</f>
        <v/>
      </c>
      <c r="R295" s="23">
        <f>IF($C295="","",N(J295)+N(Q295))</f>
        <v/>
      </c>
      <c r="S295" s="25">
        <f>IF(OR($C295="",N($G295)=0),"",R295/$G295)</f>
        <v/>
      </c>
      <c r="T295" s="23">
        <f>IF($C295="","",N($G295)-N(R295))</f>
        <v/>
      </c>
      <c r="U295" s="24" t="n"/>
      <c r="V295" s="22" t="n"/>
    </row>
    <row r="296">
      <c r="B296" s="13">
        <f>IF($C296="","",COUNTA($C$9:$C296))</f>
        <v/>
      </c>
      <c r="C296" s="21" t="n"/>
      <c r="D296" s="14" t="n"/>
      <c r="E296" s="14" t="n"/>
      <c r="F296" s="14" t="n"/>
      <c r="G296" s="22" t="n"/>
      <c r="H296" s="22" t="n"/>
      <c r="I296" s="22" t="n"/>
      <c r="J296" s="22" t="n"/>
      <c r="K296" s="22" t="n"/>
      <c r="L296" s="22" t="n"/>
      <c r="M296" s="22" t="n"/>
      <c r="N296" s="22" t="n"/>
      <c r="O296" s="23">
        <f>IF($C296="","",N(L296)-N(M296))</f>
        <v/>
      </c>
      <c r="P296" s="24" t="n"/>
      <c r="Q296" s="23">
        <f>IF($C296="","",N(M296)+N(N296))</f>
        <v/>
      </c>
      <c r="R296" s="23">
        <f>IF($C296="","",N(J296)+N(Q296))</f>
        <v/>
      </c>
      <c r="S296" s="25">
        <f>IF(OR($C296="",N($G296)=0),"",R296/$G296)</f>
        <v/>
      </c>
      <c r="T296" s="23">
        <f>IF($C296="","",N($G296)-N(R296))</f>
        <v/>
      </c>
      <c r="U296" s="24" t="n"/>
      <c r="V296" s="22" t="n"/>
    </row>
    <row r="297">
      <c r="B297" s="13">
        <f>IF($C297="","",COUNTA($C$9:$C297))</f>
        <v/>
      </c>
      <c r="C297" s="21" t="n"/>
      <c r="D297" s="14" t="n"/>
      <c r="E297" s="14" t="n"/>
      <c r="F297" s="14" t="n"/>
      <c r="G297" s="22" t="n"/>
      <c r="H297" s="22" t="n"/>
      <c r="I297" s="22" t="n"/>
      <c r="J297" s="22" t="n"/>
      <c r="K297" s="22" t="n"/>
      <c r="L297" s="22" t="n"/>
      <c r="M297" s="22" t="n"/>
      <c r="N297" s="22" t="n"/>
      <c r="O297" s="23">
        <f>IF($C297="","",N(L297)-N(M297))</f>
        <v/>
      </c>
      <c r="P297" s="24" t="n"/>
      <c r="Q297" s="23">
        <f>IF($C297="","",N(M297)+N(N297))</f>
        <v/>
      </c>
      <c r="R297" s="23">
        <f>IF($C297="","",N(J297)+N(Q297))</f>
        <v/>
      </c>
      <c r="S297" s="25">
        <f>IF(OR($C297="",N($G297)=0),"",R297/$G297)</f>
        <v/>
      </c>
      <c r="T297" s="23">
        <f>IF($C297="","",N($G297)-N(R297))</f>
        <v/>
      </c>
      <c r="U297" s="24" t="n"/>
      <c r="V297" s="22" t="n"/>
    </row>
    <row r="298">
      <c r="B298" s="13">
        <f>IF($C298="","",COUNTA($C$9:$C298))</f>
        <v/>
      </c>
      <c r="C298" s="21" t="n"/>
      <c r="D298" s="14" t="n"/>
      <c r="E298" s="14" t="n"/>
      <c r="F298" s="14" t="n"/>
      <c r="G298" s="22" t="n"/>
      <c r="H298" s="22" t="n"/>
      <c r="I298" s="22" t="n"/>
      <c r="J298" s="22" t="n"/>
      <c r="K298" s="22" t="n"/>
      <c r="L298" s="22" t="n"/>
      <c r="M298" s="22" t="n"/>
      <c r="N298" s="22" t="n"/>
      <c r="O298" s="23">
        <f>IF($C298="","",N(L298)-N(M298))</f>
        <v/>
      </c>
      <c r="P298" s="24" t="n"/>
      <c r="Q298" s="23">
        <f>IF($C298="","",N(M298)+N(N298))</f>
        <v/>
      </c>
      <c r="R298" s="23">
        <f>IF($C298="","",N(J298)+N(Q298))</f>
        <v/>
      </c>
      <c r="S298" s="25">
        <f>IF(OR($C298="",N($G298)=0),"",R298/$G298)</f>
        <v/>
      </c>
      <c r="T298" s="23">
        <f>IF($C298="","",N($G298)-N(R298))</f>
        <v/>
      </c>
      <c r="U298" s="24" t="n"/>
      <c r="V298" s="22" t="n"/>
    </row>
    <row r="299">
      <c r="B299" s="13">
        <f>IF($C299="","",COUNTA($C$9:$C299))</f>
        <v/>
      </c>
      <c r="C299" s="21" t="n"/>
      <c r="D299" s="14" t="n"/>
      <c r="E299" s="14" t="n"/>
      <c r="F299" s="14" t="n"/>
      <c r="G299" s="22" t="n"/>
      <c r="H299" s="22" t="n"/>
      <c r="I299" s="22" t="n"/>
      <c r="J299" s="22" t="n"/>
      <c r="K299" s="22" t="n"/>
      <c r="L299" s="22" t="n"/>
      <c r="M299" s="22" t="n"/>
      <c r="N299" s="22" t="n"/>
      <c r="O299" s="23">
        <f>IF($C299="","",N(L299)-N(M299))</f>
        <v/>
      </c>
      <c r="P299" s="24" t="n"/>
      <c r="Q299" s="23">
        <f>IF($C299="","",N(M299)+N(N299))</f>
        <v/>
      </c>
      <c r="R299" s="23">
        <f>IF($C299="","",N(J299)+N(Q299))</f>
        <v/>
      </c>
      <c r="S299" s="25">
        <f>IF(OR($C299="",N($G299)=0),"",R299/$G299)</f>
        <v/>
      </c>
      <c r="T299" s="23">
        <f>IF($C299="","",N($G299)-N(R299))</f>
        <v/>
      </c>
      <c r="U299" s="24" t="n"/>
      <c r="V299" s="22" t="n"/>
    </row>
    <row r="300">
      <c r="B300" s="13">
        <f>IF($C300="","",COUNTA($C$9:$C300))</f>
        <v/>
      </c>
      <c r="C300" s="21" t="n"/>
      <c r="D300" s="14" t="n"/>
      <c r="E300" s="14" t="n"/>
      <c r="F300" s="14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3">
        <f>IF($C300="","",N(L300)-N(M300))</f>
        <v/>
      </c>
      <c r="P300" s="24" t="n"/>
      <c r="Q300" s="23">
        <f>IF($C300="","",N(M300)+N(N300))</f>
        <v/>
      </c>
      <c r="R300" s="23">
        <f>IF($C300="","",N(J300)+N(Q300))</f>
        <v/>
      </c>
      <c r="S300" s="25">
        <f>IF(OR($C300="",N($G300)=0),"",R300/$G300)</f>
        <v/>
      </c>
      <c r="T300" s="23">
        <f>IF($C300="","",N($G300)-N(R300))</f>
        <v/>
      </c>
      <c r="U300" s="24" t="n"/>
      <c r="V300" s="22" t="n"/>
    </row>
    <row r="301">
      <c r="B301" s="13">
        <f>IF($C301="","",COUNTA($C$9:$C301))</f>
        <v/>
      </c>
      <c r="C301" s="21" t="n"/>
      <c r="D301" s="14" t="n"/>
      <c r="E301" s="14" t="n"/>
      <c r="F301" s="14" t="n"/>
      <c r="G301" s="22" t="n"/>
      <c r="H301" s="22" t="n"/>
      <c r="I301" s="22" t="n"/>
      <c r="J301" s="22" t="n"/>
      <c r="K301" s="22" t="n"/>
      <c r="L301" s="22" t="n"/>
      <c r="M301" s="22" t="n"/>
      <c r="N301" s="22" t="n"/>
      <c r="O301" s="23">
        <f>IF($C301="","",N(L301)-N(M301))</f>
        <v/>
      </c>
      <c r="P301" s="24" t="n"/>
      <c r="Q301" s="23">
        <f>IF($C301="","",N(M301)+N(N301))</f>
        <v/>
      </c>
      <c r="R301" s="23">
        <f>IF($C301="","",N(J301)+N(Q301))</f>
        <v/>
      </c>
      <c r="S301" s="25">
        <f>IF(OR($C301="",N($G301)=0),"",R301/$G301)</f>
        <v/>
      </c>
      <c r="T301" s="23">
        <f>IF($C301="","",N($G301)-N(R301))</f>
        <v/>
      </c>
      <c r="U301" s="24" t="n"/>
      <c r="V301" s="22" t="n"/>
    </row>
    <row r="302">
      <c r="B302" s="13">
        <f>IF($C302="","",COUNTA($C$9:$C302))</f>
        <v/>
      </c>
      <c r="C302" s="21" t="n"/>
      <c r="D302" s="14" t="n"/>
      <c r="E302" s="14" t="n"/>
      <c r="F302" s="14" t="n"/>
      <c r="G302" s="22" t="n"/>
      <c r="H302" s="22" t="n"/>
      <c r="I302" s="22" t="n"/>
      <c r="J302" s="22" t="n"/>
      <c r="K302" s="22" t="n"/>
      <c r="L302" s="22" t="n"/>
      <c r="M302" s="22" t="n"/>
      <c r="N302" s="22" t="n"/>
      <c r="O302" s="23">
        <f>IF($C302="","",N(L302)-N(M302))</f>
        <v/>
      </c>
      <c r="P302" s="24" t="n"/>
      <c r="Q302" s="23">
        <f>IF($C302="","",N(M302)+N(N302))</f>
        <v/>
      </c>
      <c r="R302" s="23">
        <f>IF($C302="","",N(J302)+N(Q302))</f>
        <v/>
      </c>
      <c r="S302" s="25">
        <f>IF(OR($C302="",N($G302)=0),"",R302/$G302)</f>
        <v/>
      </c>
      <c r="T302" s="23">
        <f>IF($C302="","",N($G302)-N(R302))</f>
        <v/>
      </c>
      <c r="U302" s="24" t="n"/>
      <c r="V302" s="22" t="n"/>
    </row>
    <row r="303">
      <c r="B303" s="13">
        <f>IF($C303="","",COUNTA($C$9:$C303))</f>
        <v/>
      </c>
      <c r="C303" s="21" t="n"/>
      <c r="D303" s="14" t="n"/>
      <c r="E303" s="14" t="n"/>
      <c r="F303" s="14" t="n"/>
      <c r="G303" s="22" t="n"/>
      <c r="H303" s="22" t="n"/>
      <c r="I303" s="22" t="n"/>
      <c r="J303" s="22" t="n"/>
      <c r="K303" s="22" t="n"/>
      <c r="L303" s="22" t="n"/>
      <c r="M303" s="22" t="n"/>
      <c r="N303" s="22" t="n"/>
      <c r="O303" s="23">
        <f>IF($C303="","",N(L303)-N(M303))</f>
        <v/>
      </c>
      <c r="P303" s="24" t="n"/>
      <c r="Q303" s="23">
        <f>IF($C303="","",N(M303)+N(N303))</f>
        <v/>
      </c>
      <c r="R303" s="23">
        <f>IF($C303="","",N(J303)+N(Q303))</f>
        <v/>
      </c>
      <c r="S303" s="25">
        <f>IF(OR($C303="",N($G303)=0),"",R303/$G303)</f>
        <v/>
      </c>
      <c r="T303" s="23">
        <f>IF($C303="","",N($G303)-N(R303))</f>
        <v/>
      </c>
      <c r="U303" s="24" t="n"/>
      <c r="V303" s="22" t="n"/>
    </row>
    <row r="304">
      <c r="B304" s="13">
        <f>IF($C304="","",COUNTA($C$9:$C304))</f>
        <v/>
      </c>
      <c r="C304" s="21" t="n"/>
      <c r="D304" s="14" t="n"/>
      <c r="E304" s="14" t="n"/>
      <c r="F304" s="14" t="n"/>
      <c r="G304" s="22" t="n"/>
      <c r="H304" s="22" t="n"/>
      <c r="I304" s="22" t="n"/>
      <c r="J304" s="22" t="n"/>
      <c r="K304" s="22" t="n"/>
      <c r="L304" s="22" t="n"/>
      <c r="M304" s="22" t="n"/>
      <c r="N304" s="22" t="n"/>
      <c r="O304" s="23">
        <f>IF($C304="","",N(L304)-N(M304))</f>
        <v/>
      </c>
      <c r="P304" s="24" t="n"/>
      <c r="Q304" s="23">
        <f>IF($C304="","",N(M304)+N(N304))</f>
        <v/>
      </c>
      <c r="R304" s="23">
        <f>IF($C304="","",N(J304)+N(Q304))</f>
        <v/>
      </c>
      <c r="S304" s="25">
        <f>IF(OR($C304="",N($G304)=0),"",R304/$G304)</f>
        <v/>
      </c>
      <c r="T304" s="23">
        <f>IF($C304="","",N($G304)-N(R304))</f>
        <v/>
      </c>
      <c r="U304" s="24" t="n"/>
      <c r="V304" s="22" t="n"/>
    </row>
    <row r="305">
      <c r="B305" s="13">
        <f>IF($C305="","",COUNTA($C$9:$C305))</f>
        <v/>
      </c>
      <c r="C305" s="21" t="n"/>
      <c r="D305" s="14" t="n"/>
      <c r="E305" s="14" t="n"/>
      <c r="F305" s="14" t="n"/>
      <c r="G305" s="22" t="n"/>
      <c r="H305" s="22" t="n"/>
      <c r="I305" s="22" t="n"/>
      <c r="J305" s="22" t="n"/>
      <c r="K305" s="22" t="n"/>
      <c r="L305" s="22" t="n"/>
      <c r="M305" s="22" t="n"/>
      <c r="N305" s="22" t="n"/>
      <c r="O305" s="23">
        <f>IF($C305="","",N(L305)-N(M305))</f>
        <v/>
      </c>
      <c r="P305" s="24" t="n"/>
      <c r="Q305" s="23">
        <f>IF($C305="","",N(M305)+N(N305))</f>
        <v/>
      </c>
      <c r="R305" s="23">
        <f>IF($C305="","",N(J305)+N(Q305))</f>
        <v/>
      </c>
      <c r="S305" s="25">
        <f>IF(OR($C305="",N($G305)=0),"",R305/$G305)</f>
        <v/>
      </c>
      <c r="T305" s="23">
        <f>IF($C305="","",N($G305)-N(R305))</f>
        <v/>
      </c>
      <c r="U305" s="24" t="n"/>
      <c r="V305" s="22" t="n"/>
    </row>
    <row r="306">
      <c r="B306" s="13">
        <f>IF($C306="","",COUNTA($C$9:$C306))</f>
        <v/>
      </c>
      <c r="C306" s="21" t="n"/>
      <c r="D306" s="14" t="n"/>
      <c r="E306" s="14" t="n"/>
      <c r="F306" s="14" t="n"/>
      <c r="G306" s="22" t="n"/>
      <c r="H306" s="22" t="n"/>
      <c r="I306" s="22" t="n"/>
      <c r="J306" s="22" t="n"/>
      <c r="K306" s="22" t="n"/>
      <c r="L306" s="22" t="n"/>
      <c r="M306" s="22" t="n"/>
      <c r="N306" s="22" t="n"/>
      <c r="O306" s="23">
        <f>IF($C306="","",N(L306)-N(M306))</f>
        <v/>
      </c>
      <c r="P306" s="24" t="n"/>
      <c r="Q306" s="23">
        <f>IF($C306="","",N(M306)+N(N306))</f>
        <v/>
      </c>
      <c r="R306" s="23">
        <f>IF($C306="","",N(J306)+N(Q306))</f>
        <v/>
      </c>
      <c r="S306" s="25">
        <f>IF(OR($C306="",N($G306)=0),"",R306/$G306)</f>
        <v/>
      </c>
      <c r="T306" s="23">
        <f>IF($C306="","",N($G306)-N(R306))</f>
        <v/>
      </c>
      <c r="U306" s="24" t="n"/>
      <c r="V306" s="22" t="n"/>
    </row>
    <row r="307">
      <c r="B307" s="13">
        <f>IF($C307="","",COUNTA($C$9:$C307))</f>
        <v/>
      </c>
      <c r="C307" s="21" t="n"/>
      <c r="D307" s="14" t="n"/>
      <c r="E307" s="14" t="n"/>
      <c r="F307" s="14" t="n"/>
      <c r="G307" s="22" t="n"/>
      <c r="H307" s="22" t="n"/>
      <c r="I307" s="22" t="n"/>
      <c r="J307" s="22" t="n"/>
      <c r="K307" s="22" t="n"/>
      <c r="L307" s="22" t="n"/>
      <c r="M307" s="22" t="n"/>
      <c r="N307" s="22" t="n"/>
      <c r="O307" s="23">
        <f>IF($C307="","",N(L307)-N(M307))</f>
        <v/>
      </c>
      <c r="P307" s="24" t="n"/>
      <c r="Q307" s="23">
        <f>IF($C307="","",N(M307)+N(N307))</f>
        <v/>
      </c>
      <c r="R307" s="23">
        <f>IF($C307="","",N(J307)+N(Q307))</f>
        <v/>
      </c>
      <c r="S307" s="25">
        <f>IF(OR($C307="",N($G307)=0),"",R307/$G307)</f>
        <v/>
      </c>
      <c r="T307" s="23">
        <f>IF($C307="","",N($G307)-N(R307))</f>
        <v/>
      </c>
      <c r="U307" s="24" t="n"/>
      <c r="V307" s="22" t="n"/>
    </row>
    <row r="308">
      <c r="B308" s="13">
        <f>IF($C308="","",COUNTA($C$9:$C308))</f>
        <v/>
      </c>
      <c r="C308" s="21" t="n"/>
      <c r="D308" s="14" t="n"/>
      <c r="E308" s="14" t="n"/>
      <c r="F308" s="14" t="n"/>
      <c r="G308" s="22" t="n"/>
      <c r="H308" s="22" t="n"/>
      <c r="I308" s="22" t="n"/>
      <c r="J308" s="22" t="n"/>
      <c r="K308" s="22" t="n"/>
      <c r="L308" s="22" t="n"/>
      <c r="M308" s="22" t="n"/>
      <c r="N308" s="22" t="n"/>
      <c r="O308" s="23">
        <f>IF($C308="","",N(L308)-N(M308))</f>
        <v/>
      </c>
      <c r="P308" s="24" t="n"/>
      <c r="Q308" s="23">
        <f>IF($C308="","",N(M308)+N(N308))</f>
        <v/>
      </c>
      <c r="R308" s="23">
        <f>IF($C308="","",N(J308)+N(Q308))</f>
        <v/>
      </c>
      <c r="S308" s="25">
        <f>IF(OR($C308="",N($G308)=0),"",R308/$G308)</f>
        <v/>
      </c>
      <c r="T308" s="23">
        <f>IF($C308="","",N($G308)-N(R308))</f>
        <v/>
      </c>
      <c r="U308" s="24" t="n"/>
      <c r="V308" s="22" t="n"/>
    </row>
    <row r="309">
      <c r="B309" s="13">
        <f>IF($C309="","",COUNTA($C$9:$C309))</f>
        <v/>
      </c>
      <c r="C309" s="21" t="n"/>
      <c r="D309" s="14" t="n"/>
      <c r="E309" s="14" t="n"/>
      <c r="F309" s="14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3">
        <f>IF($C309="","",N(L309)-N(M309))</f>
        <v/>
      </c>
      <c r="P309" s="24" t="n"/>
      <c r="Q309" s="23">
        <f>IF($C309="","",N(M309)+N(N309))</f>
        <v/>
      </c>
      <c r="R309" s="23">
        <f>IF($C309="","",N(J309)+N(Q309))</f>
        <v/>
      </c>
      <c r="S309" s="25">
        <f>IF(OR($C309="",N($G309)=0),"",R309/$G309)</f>
        <v/>
      </c>
      <c r="T309" s="23">
        <f>IF($C309="","",N($G309)-N(R309))</f>
        <v/>
      </c>
      <c r="U309" s="24" t="n"/>
      <c r="V309" s="22" t="n"/>
    </row>
    <row r="310">
      <c r="B310" s="13">
        <f>IF($C310="","",COUNTA($C$9:$C310))</f>
        <v/>
      </c>
      <c r="C310" s="21" t="n"/>
      <c r="D310" s="14" t="n"/>
      <c r="E310" s="14" t="n"/>
      <c r="F310" s="14" t="n"/>
      <c r="G310" s="22" t="n"/>
      <c r="H310" s="22" t="n"/>
      <c r="I310" s="22" t="n"/>
      <c r="J310" s="22" t="n"/>
      <c r="K310" s="22" t="n"/>
      <c r="L310" s="22" t="n"/>
      <c r="M310" s="22" t="n"/>
      <c r="N310" s="22" t="n"/>
      <c r="O310" s="23">
        <f>IF($C310="","",N(L310)-N(M310))</f>
        <v/>
      </c>
      <c r="P310" s="24" t="n"/>
      <c r="Q310" s="23">
        <f>IF($C310="","",N(M310)+N(N310))</f>
        <v/>
      </c>
      <c r="R310" s="23">
        <f>IF($C310="","",N(J310)+N(Q310))</f>
        <v/>
      </c>
      <c r="S310" s="25">
        <f>IF(OR($C310="",N($G310)=0),"",R310/$G310)</f>
        <v/>
      </c>
      <c r="T310" s="23">
        <f>IF($C310="","",N($G310)-N(R310))</f>
        <v/>
      </c>
      <c r="U310" s="24" t="n"/>
      <c r="V310" s="22" t="n"/>
    </row>
    <row r="311">
      <c r="B311" s="13">
        <f>IF($C311="","",COUNTA($C$9:$C311))</f>
        <v/>
      </c>
      <c r="C311" s="21" t="n"/>
      <c r="D311" s="14" t="n"/>
      <c r="E311" s="14" t="n"/>
      <c r="F311" s="14" t="n"/>
      <c r="G311" s="22" t="n"/>
      <c r="H311" s="22" t="n"/>
      <c r="I311" s="22" t="n"/>
      <c r="J311" s="22" t="n"/>
      <c r="K311" s="22" t="n"/>
      <c r="L311" s="22" t="n"/>
      <c r="M311" s="22" t="n"/>
      <c r="N311" s="22" t="n"/>
      <c r="O311" s="23">
        <f>IF($C311="","",N(L311)-N(M311))</f>
        <v/>
      </c>
      <c r="P311" s="24" t="n"/>
      <c r="Q311" s="23">
        <f>IF($C311="","",N(M311)+N(N311))</f>
        <v/>
      </c>
      <c r="R311" s="23">
        <f>IF($C311="","",N(J311)+N(Q311))</f>
        <v/>
      </c>
      <c r="S311" s="25">
        <f>IF(OR($C311="",N($G311)=0),"",R311/$G311)</f>
        <v/>
      </c>
      <c r="T311" s="23">
        <f>IF($C311="","",N($G311)-N(R311))</f>
        <v/>
      </c>
      <c r="U311" s="24" t="n"/>
      <c r="V311" s="22" t="n"/>
    </row>
    <row r="312">
      <c r="B312" s="13">
        <f>IF($C312="","",COUNTA($C$9:$C312))</f>
        <v/>
      </c>
      <c r="C312" s="21" t="n"/>
      <c r="D312" s="14" t="n"/>
      <c r="E312" s="14" t="n"/>
      <c r="F312" s="14" t="n"/>
      <c r="G312" s="22" t="n"/>
      <c r="H312" s="22" t="n"/>
      <c r="I312" s="22" t="n"/>
      <c r="J312" s="22" t="n"/>
      <c r="K312" s="22" t="n"/>
      <c r="L312" s="22" t="n"/>
      <c r="M312" s="22" t="n"/>
      <c r="N312" s="22" t="n"/>
      <c r="O312" s="23">
        <f>IF($C312="","",N(L312)-N(M312))</f>
        <v/>
      </c>
      <c r="P312" s="24" t="n"/>
      <c r="Q312" s="23">
        <f>IF($C312="","",N(M312)+N(N312))</f>
        <v/>
      </c>
      <c r="R312" s="23">
        <f>IF($C312="","",N(J312)+N(Q312))</f>
        <v/>
      </c>
      <c r="S312" s="25">
        <f>IF(OR($C312="",N($G312)=0),"",R312/$G312)</f>
        <v/>
      </c>
      <c r="T312" s="23">
        <f>IF($C312="","",N($G312)-N(R312))</f>
        <v/>
      </c>
      <c r="U312" s="24" t="n"/>
      <c r="V312" s="22" t="n"/>
    </row>
    <row r="313">
      <c r="B313" s="13">
        <f>IF($C313="","",COUNTA($C$9:$C313))</f>
        <v/>
      </c>
      <c r="C313" s="21" t="n"/>
      <c r="D313" s="14" t="n"/>
      <c r="E313" s="14" t="n"/>
      <c r="F313" s="14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3">
        <f>IF($C313="","",N(L313)-N(M313))</f>
        <v/>
      </c>
      <c r="P313" s="24" t="n"/>
      <c r="Q313" s="23">
        <f>IF($C313="","",N(M313)+N(N313))</f>
        <v/>
      </c>
      <c r="R313" s="23">
        <f>IF($C313="","",N(J313)+N(Q313))</f>
        <v/>
      </c>
      <c r="S313" s="25">
        <f>IF(OR($C313="",N($G313)=0),"",R313/$G313)</f>
        <v/>
      </c>
      <c r="T313" s="23">
        <f>IF($C313="","",N($G313)-N(R313))</f>
        <v/>
      </c>
      <c r="U313" s="24" t="n"/>
      <c r="V313" s="22" t="n"/>
    </row>
    <row r="314">
      <c r="B314" s="13">
        <f>IF($C314="","",COUNTA($C$9:$C314))</f>
        <v/>
      </c>
      <c r="C314" s="21" t="n"/>
      <c r="D314" s="14" t="n"/>
      <c r="E314" s="14" t="n"/>
      <c r="F314" s="14" t="n"/>
      <c r="G314" s="22" t="n"/>
      <c r="H314" s="22" t="n"/>
      <c r="I314" s="22" t="n"/>
      <c r="J314" s="22" t="n"/>
      <c r="K314" s="22" t="n"/>
      <c r="L314" s="22" t="n"/>
      <c r="M314" s="22" t="n"/>
      <c r="N314" s="22" t="n"/>
      <c r="O314" s="23">
        <f>IF($C314="","",N(L314)-N(M314))</f>
        <v/>
      </c>
      <c r="P314" s="24" t="n"/>
      <c r="Q314" s="23">
        <f>IF($C314="","",N(M314)+N(N314))</f>
        <v/>
      </c>
      <c r="R314" s="23">
        <f>IF($C314="","",N(J314)+N(Q314))</f>
        <v/>
      </c>
      <c r="S314" s="25">
        <f>IF(OR($C314="",N($G314)=0),"",R314/$G314)</f>
        <v/>
      </c>
      <c r="T314" s="23">
        <f>IF($C314="","",N($G314)-N(R314))</f>
        <v/>
      </c>
      <c r="U314" s="24" t="n"/>
      <c r="V314" s="22" t="n"/>
    </row>
    <row r="315">
      <c r="B315" s="13">
        <f>IF($C315="","",COUNTA($C$9:$C315))</f>
        <v/>
      </c>
      <c r="C315" s="21" t="n"/>
      <c r="D315" s="14" t="n"/>
      <c r="E315" s="14" t="n"/>
      <c r="F315" s="14" t="n"/>
      <c r="G315" s="22" t="n"/>
      <c r="H315" s="22" t="n"/>
      <c r="I315" s="22" t="n"/>
      <c r="J315" s="22" t="n"/>
      <c r="K315" s="22" t="n"/>
      <c r="L315" s="22" t="n"/>
      <c r="M315" s="22" t="n"/>
      <c r="N315" s="22" t="n"/>
      <c r="O315" s="23">
        <f>IF($C315="","",N(L315)-N(M315))</f>
        <v/>
      </c>
      <c r="P315" s="24" t="n"/>
      <c r="Q315" s="23">
        <f>IF($C315="","",N(M315)+N(N315))</f>
        <v/>
      </c>
      <c r="R315" s="23">
        <f>IF($C315="","",N(J315)+N(Q315))</f>
        <v/>
      </c>
      <c r="S315" s="25">
        <f>IF(OR($C315="",N($G315)=0),"",R315/$G315)</f>
        <v/>
      </c>
      <c r="T315" s="23">
        <f>IF($C315="","",N($G315)-N(R315))</f>
        <v/>
      </c>
      <c r="U315" s="24" t="n"/>
      <c r="V315" s="22" t="n"/>
    </row>
    <row r="316">
      <c r="B316" s="13">
        <f>IF($C316="","",COUNTA($C$9:$C316))</f>
        <v/>
      </c>
      <c r="C316" s="21" t="n"/>
      <c r="D316" s="14" t="n"/>
      <c r="E316" s="14" t="n"/>
      <c r="F316" s="14" t="n"/>
      <c r="G316" s="22" t="n"/>
      <c r="H316" s="22" t="n"/>
      <c r="I316" s="22" t="n"/>
      <c r="J316" s="22" t="n"/>
      <c r="K316" s="22" t="n"/>
      <c r="L316" s="22" t="n"/>
      <c r="M316" s="22" t="n"/>
      <c r="N316" s="22" t="n"/>
      <c r="O316" s="23">
        <f>IF($C316="","",N(L316)-N(M316))</f>
        <v/>
      </c>
      <c r="P316" s="24" t="n"/>
      <c r="Q316" s="23">
        <f>IF($C316="","",N(M316)+N(N316))</f>
        <v/>
      </c>
      <c r="R316" s="23">
        <f>IF($C316="","",N(J316)+N(Q316))</f>
        <v/>
      </c>
      <c r="S316" s="25">
        <f>IF(OR($C316="",N($G316)=0),"",R316/$G316)</f>
        <v/>
      </c>
      <c r="T316" s="23">
        <f>IF($C316="","",N($G316)-N(R316))</f>
        <v/>
      </c>
      <c r="U316" s="24" t="n"/>
      <c r="V316" s="22" t="n"/>
    </row>
    <row r="317">
      <c r="B317" s="13">
        <f>IF($C317="","",COUNTA($C$9:$C317))</f>
        <v/>
      </c>
      <c r="C317" s="21" t="n"/>
      <c r="D317" s="14" t="n"/>
      <c r="E317" s="14" t="n"/>
      <c r="F317" s="14" t="n"/>
      <c r="G317" s="22" t="n"/>
      <c r="H317" s="22" t="n"/>
      <c r="I317" s="22" t="n"/>
      <c r="J317" s="22" t="n"/>
      <c r="K317" s="22" t="n"/>
      <c r="L317" s="22" t="n"/>
      <c r="M317" s="22" t="n"/>
      <c r="N317" s="22" t="n"/>
      <c r="O317" s="23">
        <f>IF($C317="","",N(L317)-N(M317))</f>
        <v/>
      </c>
      <c r="P317" s="24" t="n"/>
      <c r="Q317" s="23">
        <f>IF($C317="","",N(M317)+N(N317))</f>
        <v/>
      </c>
      <c r="R317" s="23">
        <f>IF($C317="","",N(J317)+N(Q317))</f>
        <v/>
      </c>
      <c r="S317" s="25">
        <f>IF(OR($C317="",N($G317)=0),"",R317/$G317)</f>
        <v/>
      </c>
      <c r="T317" s="23">
        <f>IF($C317="","",N($G317)-N(R317))</f>
        <v/>
      </c>
      <c r="U317" s="24" t="n"/>
      <c r="V317" s="22" t="n"/>
    </row>
    <row r="318">
      <c r="B318" s="13">
        <f>IF($C318="","",COUNTA($C$9:$C318))</f>
        <v/>
      </c>
      <c r="C318" s="21" t="n"/>
      <c r="D318" s="14" t="n"/>
      <c r="E318" s="14" t="n"/>
      <c r="F318" s="14" t="n"/>
      <c r="G318" s="22" t="n"/>
      <c r="H318" s="22" t="n"/>
      <c r="I318" s="22" t="n"/>
      <c r="J318" s="22" t="n"/>
      <c r="K318" s="22" t="n"/>
      <c r="L318" s="22" t="n"/>
      <c r="M318" s="22" t="n"/>
      <c r="N318" s="22" t="n"/>
      <c r="O318" s="23">
        <f>IF($C318="","",N(L318)-N(M318))</f>
        <v/>
      </c>
      <c r="P318" s="24" t="n"/>
      <c r="Q318" s="23">
        <f>IF($C318="","",N(M318)+N(N318))</f>
        <v/>
      </c>
      <c r="R318" s="23">
        <f>IF($C318="","",N(J318)+N(Q318))</f>
        <v/>
      </c>
      <c r="S318" s="25">
        <f>IF(OR($C318="",N($G318)=0),"",R318/$G318)</f>
        <v/>
      </c>
      <c r="T318" s="23">
        <f>IF($C318="","",N($G318)-N(R318))</f>
        <v/>
      </c>
      <c r="U318" s="24" t="n"/>
      <c r="V318" s="22" t="n"/>
    </row>
    <row r="319">
      <c r="B319" s="13">
        <f>IF($C319="","",COUNTA($C$9:$C319))</f>
        <v/>
      </c>
      <c r="C319" s="21" t="n"/>
      <c r="D319" s="14" t="n"/>
      <c r="E319" s="14" t="n"/>
      <c r="F319" s="14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3">
        <f>IF($C319="","",N(L319)-N(M319))</f>
        <v/>
      </c>
      <c r="P319" s="24" t="n"/>
      <c r="Q319" s="23">
        <f>IF($C319="","",N(M319)+N(N319))</f>
        <v/>
      </c>
      <c r="R319" s="23">
        <f>IF($C319="","",N(J319)+N(Q319))</f>
        <v/>
      </c>
      <c r="S319" s="25">
        <f>IF(OR($C319="",N($G319)=0),"",R319/$G319)</f>
        <v/>
      </c>
      <c r="T319" s="23">
        <f>IF($C319="","",N($G319)-N(R319))</f>
        <v/>
      </c>
      <c r="U319" s="24" t="n"/>
      <c r="V319" s="22" t="n"/>
    </row>
    <row r="320">
      <c r="B320" s="13">
        <f>IF($C320="","",COUNTA($C$9:$C320))</f>
        <v/>
      </c>
      <c r="C320" s="21" t="n"/>
      <c r="D320" s="14" t="n"/>
      <c r="E320" s="14" t="n"/>
      <c r="F320" s="14" t="n"/>
      <c r="G320" s="22" t="n"/>
      <c r="H320" s="22" t="n"/>
      <c r="I320" s="22" t="n"/>
      <c r="J320" s="22" t="n"/>
      <c r="K320" s="22" t="n"/>
      <c r="L320" s="22" t="n"/>
      <c r="M320" s="22" t="n"/>
      <c r="N320" s="22" t="n"/>
      <c r="O320" s="23">
        <f>IF($C320="","",N(L320)-N(M320))</f>
        <v/>
      </c>
      <c r="P320" s="24" t="n"/>
      <c r="Q320" s="23">
        <f>IF($C320="","",N(M320)+N(N320))</f>
        <v/>
      </c>
      <c r="R320" s="23">
        <f>IF($C320="","",N(J320)+N(Q320))</f>
        <v/>
      </c>
      <c r="S320" s="25">
        <f>IF(OR($C320="",N($G320)=0),"",R320/$G320)</f>
        <v/>
      </c>
      <c r="T320" s="23">
        <f>IF($C320="","",N($G320)-N(R320))</f>
        <v/>
      </c>
      <c r="U320" s="24" t="n"/>
      <c r="V320" s="22" t="n"/>
    </row>
    <row r="321">
      <c r="B321" s="13">
        <f>IF($C321="","",COUNTA($C$9:$C321))</f>
        <v/>
      </c>
      <c r="C321" s="21" t="n"/>
      <c r="D321" s="14" t="n"/>
      <c r="E321" s="14" t="n"/>
      <c r="F321" s="14" t="n"/>
      <c r="G321" s="22" t="n"/>
      <c r="H321" s="22" t="n"/>
      <c r="I321" s="22" t="n"/>
      <c r="J321" s="22" t="n"/>
      <c r="K321" s="22" t="n"/>
      <c r="L321" s="22" t="n"/>
      <c r="M321" s="22" t="n"/>
      <c r="N321" s="22" t="n"/>
      <c r="O321" s="23">
        <f>IF($C321="","",N(L321)-N(M321))</f>
        <v/>
      </c>
      <c r="P321" s="24" t="n"/>
      <c r="Q321" s="23">
        <f>IF($C321="","",N(M321)+N(N321))</f>
        <v/>
      </c>
      <c r="R321" s="23">
        <f>IF($C321="","",N(J321)+N(Q321))</f>
        <v/>
      </c>
      <c r="S321" s="25">
        <f>IF(OR($C321="",N($G321)=0),"",R321/$G321)</f>
        <v/>
      </c>
      <c r="T321" s="23">
        <f>IF($C321="","",N($G321)-N(R321))</f>
        <v/>
      </c>
      <c r="U321" s="24" t="n"/>
      <c r="V321" s="22" t="n"/>
    </row>
    <row r="322">
      <c r="B322" s="13">
        <f>IF($C322="","",COUNTA($C$9:$C322))</f>
        <v/>
      </c>
      <c r="C322" s="21" t="n"/>
      <c r="D322" s="14" t="n"/>
      <c r="E322" s="14" t="n"/>
      <c r="F322" s="14" t="n"/>
      <c r="G322" s="22" t="n"/>
      <c r="H322" s="22" t="n"/>
      <c r="I322" s="22" t="n"/>
      <c r="J322" s="22" t="n"/>
      <c r="K322" s="22" t="n"/>
      <c r="L322" s="22" t="n"/>
      <c r="M322" s="22" t="n"/>
      <c r="N322" s="22" t="n"/>
      <c r="O322" s="23">
        <f>IF($C322="","",N(L322)-N(M322))</f>
        <v/>
      </c>
      <c r="P322" s="24" t="n"/>
      <c r="Q322" s="23">
        <f>IF($C322="","",N(M322)+N(N322))</f>
        <v/>
      </c>
      <c r="R322" s="23">
        <f>IF($C322="","",N(J322)+N(Q322))</f>
        <v/>
      </c>
      <c r="S322" s="25">
        <f>IF(OR($C322="",N($G322)=0),"",R322/$G322)</f>
        <v/>
      </c>
      <c r="T322" s="23">
        <f>IF($C322="","",N($G322)-N(R322))</f>
        <v/>
      </c>
      <c r="U322" s="24" t="n"/>
      <c r="V322" s="22" t="n"/>
    </row>
    <row r="323">
      <c r="B323" s="13">
        <f>IF($C323="","",COUNTA($C$9:$C323))</f>
        <v/>
      </c>
      <c r="C323" s="21" t="n"/>
      <c r="D323" s="14" t="n"/>
      <c r="E323" s="14" t="n"/>
      <c r="F323" s="14" t="n"/>
      <c r="G323" s="22" t="n"/>
      <c r="H323" s="22" t="n"/>
      <c r="I323" s="22" t="n"/>
      <c r="J323" s="22" t="n"/>
      <c r="K323" s="22" t="n"/>
      <c r="L323" s="22" t="n"/>
      <c r="M323" s="22" t="n"/>
      <c r="N323" s="22" t="n"/>
      <c r="O323" s="23">
        <f>IF($C323="","",N(L323)-N(M323))</f>
        <v/>
      </c>
      <c r="P323" s="24" t="n"/>
      <c r="Q323" s="23">
        <f>IF($C323="","",N(M323)+N(N323))</f>
        <v/>
      </c>
      <c r="R323" s="23">
        <f>IF($C323="","",N(J323)+N(Q323))</f>
        <v/>
      </c>
      <c r="S323" s="25">
        <f>IF(OR($C323="",N($G323)=0),"",R323/$G323)</f>
        <v/>
      </c>
      <c r="T323" s="23">
        <f>IF($C323="","",N($G323)-N(R323))</f>
        <v/>
      </c>
      <c r="U323" s="24" t="n"/>
      <c r="V323" s="22" t="n"/>
    </row>
    <row r="324">
      <c r="B324" s="13">
        <f>IF($C324="","",COUNTA($C$9:$C324))</f>
        <v/>
      </c>
      <c r="C324" s="21" t="n"/>
      <c r="D324" s="14" t="n"/>
      <c r="E324" s="14" t="n"/>
      <c r="F324" s="14" t="n"/>
      <c r="G324" s="22" t="n"/>
      <c r="H324" s="22" t="n"/>
      <c r="I324" s="22" t="n"/>
      <c r="J324" s="22" t="n"/>
      <c r="K324" s="22" t="n"/>
      <c r="L324" s="22" t="n"/>
      <c r="M324" s="22" t="n"/>
      <c r="N324" s="22" t="n"/>
      <c r="O324" s="23">
        <f>IF($C324="","",N(L324)-N(M324))</f>
        <v/>
      </c>
      <c r="P324" s="24" t="n"/>
      <c r="Q324" s="23">
        <f>IF($C324="","",N(M324)+N(N324))</f>
        <v/>
      </c>
      <c r="R324" s="23">
        <f>IF($C324="","",N(J324)+N(Q324))</f>
        <v/>
      </c>
      <c r="S324" s="25">
        <f>IF(OR($C324="",N($G324)=0),"",R324/$G324)</f>
        <v/>
      </c>
      <c r="T324" s="23">
        <f>IF($C324="","",N($G324)-N(R324))</f>
        <v/>
      </c>
      <c r="U324" s="24" t="n"/>
      <c r="V324" s="22" t="n"/>
    </row>
    <row r="325">
      <c r="B325" s="13">
        <f>IF($C325="","",COUNTA($C$9:$C325))</f>
        <v/>
      </c>
      <c r="C325" s="21" t="n"/>
      <c r="D325" s="14" t="n"/>
      <c r="E325" s="14" t="n"/>
      <c r="F325" s="14" t="n"/>
      <c r="G325" s="22" t="n"/>
      <c r="H325" s="22" t="n"/>
      <c r="I325" s="22" t="n"/>
      <c r="J325" s="22" t="n"/>
      <c r="K325" s="22" t="n"/>
      <c r="L325" s="22" t="n"/>
      <c r="M325" s="22" t="n"/>
      <c r="N325" s="22" t="n"/>
      <c r="O325" s="23">
        <f>IF($C325="","",N(L325)-N(M325))</f>
        <v/>
      </c>
      <c r="P325" s="24" t="n"/>
      <c r="Q325" s="23">
        <f>IF($C325="","",N(M325)+N(N325))</f>
        <v/>
      </c>
      <c r="R325" s="23">
        <f>IF($C325="","",N(J325)+N(Q325))</f>
        <v/>
      </c>
      <c r="S325" s="25">
        <f>IF(OR($C325="",N($G325)=0),"",R325/$G325)</f>
        <v/>
      </c>
      <c r="T325" s="23">
        <f>IF($C325="","",N($G325)-N(R325))</f>
        <v/>
      </c>
      <c r="U325" s="24" t="n"/>
      <c r="V325" s="22" t="n"/>
    </row>
    <row r="326">
      <c r="B326" s="13">
        <f>IF($C326="","",COUNTA($C$9:$C326))</f>
        <v/>
      </c>
      <c r="C326" s="21" t="n"/>
      <c r="D326" s="14" t="n"/>
      <c r="E326" s="14" t="n"/>
      <c r="F326" s="14" t="n"/>
      <c r="G326" s="22" t="n"/>
      <c r="H326" s="22" t="n"/>
      <c r="I326" s="22" t="n"/>
      <c r="J326" s="22" t="n"/>
      <c r="K326" s="22" t="n"/>
      <c r="L326" s="22" t="n"/>
      <c r="M326" s="22" t="n"/>
      <c r="N326" s="22" t="n"/>
      <c r="O326" s="23">
        <f>IF($C326="","",N(L326)-N(M326))</f>
        <v/>
      </c>
      <c r="P326" s="24" t="n"/>
      <c r="Q326" s="23">
        <f>IF($C326="","",N(M326)+N(N326))</f>
        <v/>
      </c>
      <c r="R326" s="23">
        <f>IF($C326="","",N(J326)+N(Q326))</f>
        <v/>
      </c>
      <c r="S326" s="25">
        <f>IF(OR($C326="",N($G326)=0),"",R326/$G326)</f>
        <v/>
      </c>
      <c r="T326" s="23">
        <f>IF($C326="","",N($G326)-N(R326))</f>
        <v/>
      </c>
      <c r="U326" s="24" t="n"/>
      <c r="V326" s="22" t="n"/>
    </row>
    <row r="327">
      <c r="B327" s="13">
        <f>IF($C327="","",COUNTA($C$9:$C327))</f>
        <v/>
      </c>
      <c r="C327" s="21" t="n"/>
      <c r="D327" s="14" t="n"/>
      <c r="E327" s="14" t="n"/>
      <c r="F327" s="14" t="n"/>
      <c r="G327" s="22" t="n"/>
      <c r="H327" s="22" t="n"/>
      <c r="I327" s="22" t="n"/>
      <c r="J327" s="22" t="n"/>
      <c r="K327" s="22" t="n"/>
      <c r="L327" s="22" t="n"/>
      <c r="M327" s="22" t="n"/>
      <c r="N327" s="22" t="n"/>
      <c r="O327" s="23">
        <f>IF($C327="","",N(L327)-N(M327))</f>
        <v/>
      </c>
      <c r="P327" s="24" t="n"/>
      <c r="Q327" s="23">
        <f>IF($C327="","",N(M327)+N(N327))</f>
        <v/>
      </c>
      <c r="R327" s="23">
        <f>IF($C327="","",N(J327)+N(Q327))</f>
        <v/>
      </c>
      <c r="S327" s="25">
        <f>IF(OR($C327="",N($G327)=0),"",R327/$G327)</f>
        <v/>
      </c>
      <c r="T327" s="23">
        <f>IF($C327="","",N($G327)-N(R327))</f>
        <v/>
      </c>
      <c r="U327" s="24" t="n"/>
      <c r="V327" s="22" t="n"/>
    </row>
    <row r="328">
      <c r="B328" s="13">
        <f>IF($C328="","",COUNTA($C$9:$C328))</f>
        <v/>
      </c>
      <c r="C328" s="21" t="n"/>
      <c r="D328" s="14" t="n"/>
      <c r="E328" s="14" t="n"/>
      <c r="F328" s="14" t="n"/>
      <c r="G328" s="22" t="n"/>
      <c r="H328" s="22" t="n"/>
      <c r="I328" s="22" t="n"/>
      <c r="J328" s="22" t="n"/>
      <c r="K328" s="22" t="n"/>
      <c r="L328" s="22" t="n"/>
      <c r="M328" s="22" t="n"/>
      <c r="N328" s="22" t="n"/>
      <c r="O328" s="23">
        <f>IF($C328="","",N(L328)-N(M328))</f>
        <v/>
      </c>
      <c r="P328" s="24" t="n"/>
      <c r="Q328" s="23">
        <f>IF($C328="","",N(M328)+N(N328))</f>
        <v/>
      </c>
      <c r="R328" s="23">
        <f>IF($C328="","",N(J328)+N(Q328))</f>
        <v/>
      </c>
      <c r="S328" s="25">
        <f>IF(OR($C328="",N($G328)=0),"",R328/$G328)</f>
        <v/>
      </c>
      <c r="T328" s="23">
        <f>IF($C328="","",N($G328)-N(R328))</f>
        <v/>
      </c>
      <c r="U328" s="24" t="n"/>
      <c r="V328" s="22" t="n"/>
    </row>
    <row r="329">
      <c r="B329" s="13">
        <f>IF($C329="","",COUNTA($C$9:$C329))</f>
        <v/>
      </c>
      <c r="C329" s="21" t="n"/>
      <c r="D329" s="14" t="n"/>
      <c r="E329" s="14" t="n"/>
      <c r="F329" s="14" t="n"/>
      <c r="G329" s="22" t="n"/>
      <c r="H329" s="22" t="n"/>
      <c r="I329" s="22" t="n"/>
      <c r="J329" s="22" t="n"/>
      <c r="K329" s="22" t="n"/>
      <c r="L329" s="22" t="n"/>
      <c r="M329" s="22" t="n"/>
      <c r="N329" s="22" t="n"/>
      <c r="O329" s="23">
        <f>IF($C329="","",N(L329)-N(M329))</f>
        <v/>
      </c>
      <c r="P329" s="24" t="n"/>
      <c r="Q329" s="23">
        <f>IF($C329="","",N(M329)+N(N329))</f>
        <v/>
      </c>
      <c r="R329" s="23">
        <f>IF($C329="","",N(J329)+N(Q329))</f>
        <v/>
      </c>
      <c r="S329" s="25">
        <f>IF(OR($C329="",N($G329)=0),"",R329/$G329)</f>
        <v/>
      </c>
      <c r="T329" s="23">
        <f>IF($C329="","",N($G329)-N(R329))</f>
        <v/>
      </c>
      <c r="U329" s="24" t="n"/>
      <c r="V329" s="22" t="n"/>
    </row>
    <row r="330">
      <c r="B330" s="13">
        <f>IF($C330="","",COUNTA($C$9:$C330))</f>
        <v/>
      </c>
      <c r="C330" s="21" t="n"/>
      <c r="D330" s="14" t="n"/>
      <c r="E330" s="14" t="n"/>
      <c r="F330" s="14" t="n"/>
      <c r="G330" s="22" t="n"/>
      <c r="H330" s="22" t="n"/>
      <c r="I330" s="22" t="n"/>
      <c r="J330" s="22" t="n"/>
      <c r="K330" s="22" t="n"/>
      <c r="L330" s="22" t="n"/>
      <c r="M330" s="22" t="n"/>
      <c r="N330" s="22" t="n"/>
      <c r="O330" s="23">
        <f>IF($C330="","",N(L330)-N(M330))</f>
        <v/>
      </c>
      <c r="P330" s="24" t="n"/>
      <c r="Q330" s="23">
        <f>IF($C330="","",N(M330)+N(N330))</f>
        <v/>
      </c>
      <c r="R330" s="23">
        <f>IF($C330="","",N(J330)+N(Q330))</f>
        <v/>
      </c>
      <c r="S330" s="25">
        <f>IF(OR($C330="",N($G330)=0),"",R330/$G330)</f>
        <v/>
      </c>
      <c r="T330" s="23">
        <f>IF($C330="","",N($G330)-N(R330))</f>
        <v/>
      </c>
      <c r="U330" s="24" t="n"/>
      <c r="V330" s="22" t="n"/>
    </row>
    <row r="331">
      <c r="B331" s="13">
        <f>IF($C331="","",COUNTA($C$9:$C331))</f>
        <v/>
      </c>
      <c r="C331" s="21" t="n"/>
      <c r="D331" s="14" t="n"/>
      <c r="E331" s="14" t="n"/>
      <c r="F331" s="14" t="n"/>
      <c r="G331" s="22" t="n"/>
      <c r="H331" s="22" t="n"/>
      <c r="I331" s="22" t="n"/>
      <c r="J331" s="22" t="n"/>
      <c r="K331" s="22" t="n"/>
      <c r="L331" s="22" t="n"/>
      <c r="M331" s="22" t="n"/>
      <c r="N331" s="22" t="n"/>
      <c r="O331" s="23">
        <f>IF($C331="","",N(L331)-N(M331))</f>
        <v/>
      </c>
      <c r="P331" s="24" t="n"/>
      <c r="Q331" s="23">
        <f>IF($C331="","",N(M331)+N(N331))</f>
        <v/>
      </c>
      <c r="R331" s="23">
        <f>IF($C331="","",N(J331)+N(Q331))</f>
        <v/>
      </c>
      <c r="S331" s="25">
        <f>IF(OR($C331="",N($G331)=0),"",R331/$G331)</f>
        <v/>
      </c>
      <c r="T331" s="23">
        <f>IF($C331="","",N($G331)-N(R331))</f>
        <v/>
      </c>
      <c r="U331" s="24" t="n"/>
      <c r="V331" s="22" t="n"/>
    </row>
    <row r="332">
      <c r="B332" s="13">
        <f>IF($C332="","",COUNTA($C$9:$C332))</f>
        <v/>
      </c>
      <c r="C332" s="21" t="n"/>
      <c r="D332" s="14" t="n"/>
      <c r="E332" s="14" t="n"/>
      <c r="F332" s="14" t="n"/>
      <c r="G332" s="22" t="n"/>
      <c r="H332" s="22" t="n"/>
      <c r="I332" s="22" t="n"/>
      <c r="J332" s="22" t="n"/>
      <c r="K332" s="22" t="n"/>
      <c r="L332" s="22" t="n"/>
      <c r="M332" s="22" t="n"/>
      <c r="N332" s="22" t="n"/>
      <c r="O332" s="23">
        <f>IF($C332="","",N(L332)-N(M332))</f>
        <v/>
      </c>
      <c r="P332" s="24" t="n"/>
      <c r="Q332" s="23">
        <f>IF($C332="","",N(M332)+N(N332))</f>
        <v/>
      </c>
      <c r="R332" s="23">
        <f>IF($C332="","",N(J332)+N(Q332))</f>
        <v/>
      </c>
      <c r="S332" s="25">
        <f>IF(OR($C332="",N($G332)=0),"",R332/$G332)</f>
        <v/>
      </c>
      <c r="T332" s="23">
        <f>IF($C332="","",N($G332)-N(R332))</f>
        <v/>
      </c>
      <c r="U332" s="24" t="n"/>
      <c r="V332" s="22" t="n"/>
    </row>
    <row r="333">
      <c r="B333" s="13">
        <f>IF($C333="","",COUNTA($C$9:$C333))</f>
        <v/>
      </c>
      <c r="C333" s="21" t="n"/>
      <c r="D333" s="14" t="n"/>
      <c r="E333" s="14" t="n"/>
      <c r="F333" s="14" t="n"/>
      <c r="G333" s="22" t="n"/>
      <c r="H333" s="22" t="n"/>
      <c r="I333" s="22" t="n"/>
      <c r="J333" s="22" t="n"/>
      <c r="K333" s="22" t="n"/>
      <c r="L333" s="22" t="n"/>
      <c r="M333" s="22" t="n"/>
      <c r="N333" s="22" t="n"/>
      <c r="O333" s="23">
        <f>IF($C333="","",N(L333)-N(M333))</f>
        <v/>
      </c>
      <c r="P333" s="24" t="n"/>
      <c r="Q333" s="23">
        <f>IF($C333="","",N(M333)+N(N333))</f>
        <v/>
      </c>
      <c r="R333" s="23">
        <f>IF($C333="","",N(J333)+N(Q333))</f>
        <v/>
      </c>
      <c r="S333" s="25">
        <f>IF(OR($C333="",N($G333)=0),"",R333/$G333)</f>
        <v/>
      </c>
      <c r="T333" s="23">
        <f>IF($C333="","",N($G333)-N(R333))</f>
        <v/>
      </c>
      <c r="U333" s="24" t="n"/>
      <c r="V333" s="22" t="n"/>
    </row>
    <row r="334">
      <c r="B334" s="13">
        <f>IF($C334="","",COUNTA($C$9:$C334))</f>
        <v/>
      </c>
      <c r="C334" s="21" t="n"/>
      <c r="D334" s="14" t="n"/>
      <c r="E334" s="14" t="n"/>
      <c r="F334" s="14" t="n"/>
      <c r="G334" s="22" t="n"/>
      <c r="H334" s="22" t="n"/>
      <c r="I334" s="22" t="n"/>
      <c r="J334" s="22" t="n"/>
      <c r="K334" s="22" t="n"/>
      <c r="L334" s="22" t="n"/>
      <c r="M334" s="22" t="n"/>
      <c r="N334" s="22" t="n"/>
      <c r="O334" s="23">
        <f>IF($C334="","",N(L334)-N(M334))</f>
        <v/>
      </c>
      <c r="P334" s="24" t="n"/>
      <c r="Q334" s="23">
        <f>IF($C334="","",N(M334)+N(N334))</f>
        <v/>
      </c>
      <c r="R334" s="23">
        <f>IF($C334="","",N(J334)+N(Q334))</f>
        <v/>
      </c>
      <c r="S334" s="25">
        <f>IF(OR($C334="",N($G334)=0),"",R334/$G334)</f>
        <v/>
      </c>
      <c r="T334" s="23">
        <f>IF($C334="","",N($G334)-N(R334))</f>
        <v/>
      </c>
      <c r="U334" s="24" t="n"/>
      <c r="V334" s="22" t="n"/>
    </row>
    <row r="335">
      <c r="B335" s="13">
        <f>IF($C335="","",COUNTA($C$9:$C335))</f>
        <v/>
      </c>
      <c r="C335" s="21" t="n"/>
      <c r="D335" s="14" t="n"/>
      <c r="E335" s="14" t="n"/>
      <c r="F335" s="14" t="n"/>
      <c r="G335" s="22" t="n"/>
      <c r="H335" s="22" t="n"/>
      <c r="I335" s="22" t="n"/>
      <c r="J335" s="22" t="n"/>
      <c r="K335" s="22" t="n"/>
      <c r="L335" s="22" t="n"/>
      <c r="M335" s="22" t="n"/>
      <c r="N335" s="22" t="n"/>
      <c r="O335" s="23">
        <f>IF($C335="","",N(L335)-N(M335))</f>
        <v/>
      </c>
      <c r="P335" s="24" t="n"/>
      <c r="Q335" s="23">
        <f>IF($C335="","",N(M335)+N(N335))</f>
        <v/>
      </c>
      <c r="R335" s="23">
        <f>IF($C335="","",N(J335)+N(Q335))</f>
        <v/>
      </c>
      <c r="S335" s="25">
        <f>IF(OR($C335="",N($G335)=0),"",R335/$G335)</f>
        <v/>
      </c>
      <c r="T335" s="23">
        <f>IF($C335="","",N($G335)-N(R335))</f>
        <v/>
      </c>
      <c r="U335" s="24" t="n"/>
      <c r="V335" s="22" t="n"/>
    </row>
    <row r="336">
      <c r="B336" s="13">
        <f>IF($C336="","",COUNTA($C$9:$C336))</f>
        <v/>
      </c>
      <c r="C336" s="21" t="n"/>
      <c r="D336" s="14" t="n"/>
      <c r="E336" s="14" t="n"/>
      <c r="F336" s="14" t="n"/>
      <c r="G336" s="22" t="n"/>
      <c r="H336" s="22" t="n"/>
      <c r="I336" s="22" t="n"/>
      <c r="J336" s="22" t="n"/>
      <c r="K336" s="22" t="n"/>
      <c r="L336" s="22" t="n"/>
      <c r="M336" s="22" t="n"/>
      <c r="N336" s="22" t="n"/>
      <c r="O336" s="23">
        <f>IF($C336="","",N(L336)-N(M336))</f>
        <v/>
      </c>
      <c r="P336" s="24" t="n"/>
      <c r="Q336" s="23">
        <f>IF($C336="","",N(M336)+N(N336))</f>
        <v/>
      </c>
      <c r="R336" s="23">
        <f>IF($C336="","",N(J336)+N(Q336))</f>
        <v/>
      </c>
      <c r="S336" s="25">
        <f>IF(OR($C336="",N($G336)=0),"",R336/$G336)</f>
        <v/>
      </c>
      <c r="T336" s="23">
        <f>IF($C336="","",N($G336)-N(R336))</f>
        <v/>
      </c>
      <c r="U336" s="24" t="n"/>
      <c r="V336" s="22" t="n"/>
    </row>
    <row r="337">
      <c r="B337" s="13">
        <f>IF($C337="","",COUNTA($C$9:$C337))</f>
        <v/>
      </c>
      <c r="C337" s="21" t="n"/>
      <c r="D337" s="14" t="n"/>
      <c r="E337" s="14" t="n"/>
      <c r="F337" s="14" t="n"/>
      <c r="G337" s="22" t="n"/>
      <c r="H337" s="22" t="n"/>
      <c r="I337" s="22" t="n"/>
      <c r="J337" s="22" t="n"/>
      <c r="K337" s="22" t="n"/>
      <c r="L337" s="22" t="n"/>
      <c r="M337" s="22" t="n"/>
      <c r="N337" s="22" t="n"/>
      <c r="O337" s="23">
        <f>IF($C337="","",N(L337)-N(M337))</f>
        <v/>
      </c>
      <c r="P337" s="24" t="n"/>
      <c r="Q337" s="23">
        <f>IF($C337="","",N(M337)+N(N337))</f>
        <v/>
      </c>
      <c r="R337" s="23">
        <f>IF($C337="","",N(J337)+N(Q337))</f>
        <v/>
      </c>
      <c r="S337" s="25">
        <f>IF(OR($C337="",N($G337)=0),"",R337/$G337)</f>
        <v/>
      </c>
      <c r="T337" s="23">
        <f>IF($C337="","",N($G337)-N(R337))</f>
        <v/>
      </c>
      <c r="U337" s="24" t="n"/>
      <c r="V337" s="22" t="n"/>
    </row>
    <row r="338">
      <c r="B338" s="13">
        <f>IF($C338="","",COUNTA($C$9:$C338))</f>
        <v/>
      </c>
      <c r="C338" s="21" t="n"/>
      <c r="D338" s="14" t="n"/>
      <c r="E338" s="14" t="n"/>
      <c r="F338" s="14" t="n"/>
      <c r="G338" s="22" t="n"/>
      <c r="H338" s="22" t="n"/>
      <c r="I338" s="22" t="n"/>
      <c r="J338" s="22" t="n"/>
      <c r="K338" s="22" t="n"/>
      <c r="L338" s="22" t="n"/>
      <c r="M338" s="22" t="n"/>
      <c r="N338" s="22" t="n"/>
      <c r="O338" s="23">
        <f>IF($C338="","",N(L338)-N(M338))</f>
        <v/>
      </c>
      <c r="P338" s="24" t="n"/>
      <c r="Q338" s="23">
        <f>IF($C338="","",N(M338)+N(N338))</f>
        <v/>
      </c>
      <c r="R338" s="23">
        <f>IF($C338="","",N(J338)+N(Q338))</f>
        <v/>
      </c>
      <c r="S338" s="25">
        <f>IF(OR($C338="",N($G338)=0),"",R338/$G338)</f>
        <v/>
      </c>
      <c r="T338" s="23">
        <f>IF($C338="","",N($G338)-N(R338))</f>
        <v/>
      </c>
      <c r="U338" s="24" t="n"/>
      <c r="V338" s="22" t="n"/>
    </row>
    <row r="339">
      <c r="B339" s="13">
        <f>IF($C339="","",COUNTA($C$9:$C339))</f>
        <v/>
      </c>
      <c r="C339" s="21" t="n"/>
      <c r="D339" s="14" t="n"/>
      <c r="E339" s="14" t="n"/>
      <c r="F339" s="14" t="n"/>
      <c r="G339" s="22" t="n"/>
      <c r="H339" s="22" t="n"/>
      <c r="I339" s="22" t="n"/>
      <c r="J339" s="22" t="n"/>
      <c r="K339" s="22" t="n"/>
      <c r="L339" s="22" t="n"/>
      <c r="M339" s="22" t="n"/>
      <c r="N339" s="22" t="n"/>
      <c r="O339" s="23">
        <f>IF($C339="","",N(L339)-N(M339))</f>
        <v/>
      </c>
      <c r="P339" s="24" t="n"/>
      <c r="Q339" s="23">
        <f>IF($C339="","",N(M339)+N(N339))</f>
        <v/>
      </c>
      <c r="R339" s="23">
        <f>IF($C339="","",N(J339)+N(Q339))</f>
        <v/>
      </c>
      <c r="S339" s="25">
        <f>IF(OR($C339="",N($G339)=0),"",R339/$G339)</f>
        <v/>
      </c>
      <c r="T339" s="23">
        <f>IF($C339="","",N($G339)-N(R339))</f>
        <v/>
      </c>
      <c r="U339" s="24" t="n"/>
      <c r="V339" s="22" t="n"/>
    </row>
    <row r="340">
      <c r="B340" s="13">
        <f>IF($C340="","",COUNTA($C$9:$C340))</f>
        <v/>
      </c>
      <c r="C340" s="21" t="n"/>
      <c r="D340" s="14" t="n"/>
      <c r="E340" s="14" t="n"/>
      <c r="F340" s="14" t="n"/>
      <c r="G340" s="22" t="n"/>
      <c r="H340" s="22" t="n"/>
      <c r="I340" s="22" t="n"/>
      <c r="J340" s="22" t="n"/>
      <c r="K340" s="22" t="n"/>
      <c r="L340" s="22" t="n"/>
      <c r="M340" s="22" t="n"/>
      <c r="N340" s="22" t="n"/>
      <c r="O340" s="23">
        <f>IF($C340="","",N(L340)-N(M340))</f>
        <v/>
      </c>
      <c r="P340" s="24" t="n"/>
      <c r="Q340" s="23">
        <f>IF($C340="","",N(M340)+N(N340))</f>
        <v/>
      </c>
      <c r="R340" s="23">
        <f>IF($C340="","",N(J340)+N(Q340))</f>
        <v/>
      </c>
      <c r="S340" s="25">
        <f>IF(OR($C340="",N($G340)=0),"",R340/$G340)</f>
        <v/>
      </c>
      <c r="T340" s="23">
        <f>IF($C340="","",N($G340)-N(R340))</f>
        <v/>
      </c>
      <c r="U340" s="24" t="n"/>
      <c r="V340" s="22" t="n"/>
    </row>
    <row r="341">
      <c r="B341" s="13">
        <f>IF($C341="","",COUNTA($C$9:$C341))</f>
        <v/>
      </c>
      <c r="C341" s="21" t="n"/>
      <c r="D341" s="14" t="n"/>
      <c r="E341" s="14" t="n"/>
      <c r="F341" s="14" t="n"/>
      <c r="G341" s="22" t="n"/>
      <c r="H341" s="22" t="n"/>
      <c r="I341" s="22" t="n"/>
      <c r="J341" s="22" t="n"/>
      <c r="K341" s="22" t="n"/>
      <c r="L341" s="22" t="n"/>
      <c r="M341" s="22" t="n"/>
      <c r="N341" s="22" t="n"/>
      <c r="O341" s="23">
        <f>IF($C341="","",N(L341)-N(M341))</f>
        <v/>
      </c>
      <c r="P341" s="24" t="n"/>
      <c r="Q341" s="23">
        <f>IF($C341="","",N(M341)+N(N341))</f>
        <v/>
      </c>
      <c r="R341" s="23">
        <f>IF($C341="","",N(J341)+N(Q341))</f>
        <v/>
      </c>
      <c r="S341" s="25">
        <f>IF(OR($C341="",N($G341)=0),"",R341/$G341)</f>
        <v/>
      </c>
      <c r="T341" s="23">
        <f>IF($C341="","",N($G341)-N(R341))</f>
        <v/>
      </c>
      <c r="U341" s="24" t="n"/>
      <c r="V341" s="22" t="n"/>
    </row>
    <row r="342">
      <c r="B342" s="13">
        <f>IF($C342="","",COUNTA($C$9:$C342))</f>
        <v/>
      </c>
      <c r="C342" s="21" t="n"/>
      <c r="D342" s="14" t="n"/>
      <c r="E342" s="14" t="n"/>
      <c r="F342" s="14" t="n"/>
      <c r="G342" s="22" t="n"/>
      <c r="H342" s="22" t="n"/>
      <c r="I342" s="22" t="n"/>
      <c r="J342" s="22" t="n"/>
      <c r="K342" s="22" t="n"/>
      <c r="L342" s="22" t="n"/>
      <c r="M342" s="22" t="n"/>
      <c r="N342" s="22" t="n"/>
      <c r="O342" s="23">
        <f>IF($C342="","",N(L342)-N(M342))</f>
        <v/>
      </c>
      <c r="P342" s="24" t="n"/>
      <c r="Q342" s="23">
        <f>IF($C342="","",N(M342)+N(N342))</f>
        <v/>
      </c>
      <c r="R342" s="23">
        <f>IF($C342="","",N(J342)+N(Q342))</f>
        <v/>
      </c>
      <c r="S342" s="25">
        <f>IF(OR($C342="",N($G342)=0),"",R342/$G342)</f>
        <v/>
      </c>
      <c r="T342" s="23">
        <f>IF($C342="","",N($G342)-N(R342))</f>
        <v/>
      </c>
      <c r="U342" s="24" t="n"/>
      <c r="V342" s="22" t="n"/>
    </row>
    <row r="343">
      <c r="B343" s="13">
        <f>IF($C343="","",COUNTA($C$9:$C343))</f>
        <v/>
      </c>
      <c r="C343" s="21" t="n"/>
      <c r="D343" s="14" t="n"/>
      <c r="E343" s="14" t="n"/>
      <c r="F343" s="14" t="n"/>
      <c r="G343" s="22" t="n"/>
      <c r="H343" s="22" t="n"/>
      <c r="I343" s="22" t="n"/>
      <c r="J343" s="22" t="n"/>
      <c r="K343" s="22" t="n"/>
      <c r="L343" s="22" t="n"/>
      <c r="M343" s="22" t="n"/>
      <c r="N343" s="22" t="n"/>
      <c r="O343" s="23">
        <f>IF($C343="","",N(L343)-N(M343))</f>
        <v/>
      </c>
      <c r="P343" s="24" t="n"/>
      <c r="Q343" s="23">
        <f>IF($C343="","",N(M343)+N(N343))</f>
        <v/>
      </c>
      <c r="R343" s="23">
        <f>IF($C343="","",N(J343)+N(Q343))</f>
        <v/>
      </c>
      <c r="S343" s="25">
        <f>IF(OR($C343="",N($G343)=0),"",R343/$G343)</f>
        <v/>
      </c>
      <c r="T343" s="23">
        <f>IF($C343="","",N($G343)-N(R343))</f>
        <v/>
      </c>
      <c r="U343" s="24" t="n"/>
      <c r="V343" s="22" t="n"/>
    </row>
    <row r="344">
      <c r="B344" s="13">
        <f>IF($C344="","",COUNTA($C$9:$C344))</f>
        <v/>
      </c>
      <c r="C344" s="21" t="n"/>
      <c r="D344" s="14" t="n"/>
      <c r="E344" s="14" t="n"/>
      <c r="F344" s="14" t="n"/>
      <c r="G344" s="22" t="n"/>
      <c r="H344" s="22" t="n"/>
      <c r="I344" s="22" t="n"/>
      <c r="J344" s="22" t="n"/>
      <c r="K344" s="22" t="n"/>
      <c r="L344" s="22" t="n"/>
      <c r="M344" s="22" t="n"/>
      <c r="N344" s="22" t="n"/>
      <c r="O344" s="23">
        <f>IF($C344="","",N(L344)-N(M344))</f>
        <v/>
      </c>
      <c r="P344" s="24" t="n"/>
      <c r="Q344" s="23">
        <f>IF($C344="","",N(M344)+N(N344))</f>
        <v/>
      </c>
      <c r="R344" s="23">
        <f>IF($C344="","",N(J344)+N(Q344))</f>
        <v/>
      </c>
      <c r="S344" s="25">
        <f>IF(OR($C344="",N($G344)=0),"",R344/$G344)</f>
        <v/>
      </c>
      <c r="T344" s="23">
        <f>IF($C344="","",N($G344)-N(R344))</f>
        <v/>
      </c>
      <c r="U344" s="24" t="n"/>
      <c r="V344" s="22" t="n"/>
    </row>
    <row r="345">
      <c r="B345" s="13">
        <f>IF($C345="","",COUNTA($C$9:$C345))</f>
        <v/>
      </c>
      <c r="C345" s="21" t="n"/>
      <c r="D345" s="14" t="n"/>
      <c r="E345" s="14" t="n"/>
      <c r="F345" s="14" t="n"/>
      <c r="G345" s="22" t="n"/>
      <c r="H345" s="22" t="n"/>
      <c r="I345" s="22" t="n"/>
      <c r="J345" s="22" t="n"/>
      <c r="K345" s="22" t="n"/>
      <c r="L345" s="22" t="n"/>
      <c r="M345" s="22" t="n"/>
      <c r="N345" s="22" t="n"/>
      <c r="O345" s="23">
        <f>IF($C345="","",N(L345)-N(M345))</f>
        <v/>
      </c>
      <c r="P345" s="24" t="n"/>
      <c r="Q345" s="23">
        <f>IF($C345="","",N(M345)+N(N345))</f>
        <v/>
      </c>
      <c r="R345" s="23">
        <f>IF($C345="","",N(J345)+N(Q345))</f>
        <v/>
      </c>
      <c r="S345" s="25">
        <f>IF(OR($C345="",N($G345)=0),"",R345/$G345)</f>
        <v/>
      </c>
      <c r="T345" s="23">
        <f>IF($C345="","",N($G345)-N(R345))</f>
        <v/>
      </c>
      <c r="U345" s="24" t="n"/>
      <c r="V345" s="22" t="n"/>
    </row>
    <row r="346">
      <c r="B346" s="13">
        <f>IF($C346="","",COUNTA($C$9:$C346))</f>
        <v/>
      </c>
      <c r="C346" s="21" t="n"/>
      <c r="D346" s="14" t="n"/>
      <c r="E346" s="14" t="n"/>
      <c r="F346" s="14" t="n"/>
      <c r="G346" s="22" t="n"/>
      <c r="H346" s="22" t="n"/>
      <c r="I346" s="22" t="n"/>
      <c r="J346" s="22" t="n"/>
      <c r="K346" s="22" t="n"/>
      <c r="L346" s="22" t="n"/>
      <c r="M346" s="22" t="n"/>
      <c r="N346" s="22" t="n"/>
      <c r="O346" s="23">
        <f>IF($C346="","",N(L346)-N(M346))</f>
        <v/>
      </c>
      <c r="P346" s="24" t="n"/>
      <c r="Q346" s="23">
        <f>IF($C346="","",N(M346)+N(N346))</f>
        <v/>
      </c>
      <c r="R346" s="23">
        <f>IF($C346="","",N(J346)+N(Q346))</f>
        <v/>
      </c>
      <c r="S346" s="25">
        <f>IF(OR($C346="",N($G346)=0),"",R346/$G346)</f>
        <v/>
      </c>
      <c r="T346" s="23">
        <f>IF($C346="","",N($G346)-N(R346))</f>
        <v/>
      </c>
      <c r="U346" s="24" t="n"/>
      <c r="V346" s="22" t="n"/>
    </row>
    <row r="347">
      <c r="B347" s="13">
        <f>IF($C347="","",COUNTA($C$9:$C347))</f>
        <v/>
      </c>
      <c r="C347" s="21" t="n"/>
      <c r="D347" s="14" t="n"/>
      <c r="E347" s="14" t="n"/>
      <c r="F347" s="14" t="n"/>
      <c r="G347" s="22" t="n"/>
      <c r="H347" s="22" t="n"/>
      <c r="I347" s="22" t="n"/>
      <c r="J347" s="22" t="n"/>
      <c r="K347" s="22" t="n"/>
      <c r="L347" s="22" t="n"/>
      <c r="M347" s="22" t="n"/>
      <c r="N347" s="22" t="n"/>
      <c r="O347" s="23">
        <f>IF($C347="","",N(L347)-N(M347))</f>
        <v/>
      </c>
      <c r="P347" s="24" t="n"/>
      <c r="Q347" s="23">
        <f>IF($C347="","",N(M347)+N(N347))</f>
        <v/>
      </c>
      <c r="R347" s="23">
        <f>IF($C347="","",N(J347)+N(Q347))</f>
        <v/>
      </c>
      <c r="S347" s="25">
        <f>IF(OR($C347="",N($G347)=0),"",R347/$G347)</f>
        <v/>
      </c>
      <c r="T347" s="23">
        <f>IF($C347="","",N($G347)-N(R347))</f>
        <v/>
      </c>
      <c r="U347" s="24" t="n"/>
      <c r="V347" s="22" t="n"/>
    </row>
    <row r="348">
      <c r="B348" s="13">
        <f>IF($C348="","",COUNTA($C$9:$C348))</f>
        <v/>
      </c>
      <c r="C348" s="21" t="n"/>
      <c r="D348" s="14" t="n"/>
      <c r="E348" s="14" t="n"/>
      <c r="F348" s="14" t="n"/>
      <c r="G348" s="22" t="n"/>
      <c r="H348" s="22" t="n"/>
      <c r="I348" s="22" t="n"/>
      <c r="J348" s="22" t="n"/>
      <c r="K348" s="22" t="n"/>
      <c r="L348" s="22" t="n"/>
      <c r="M348" s="22" t="n"/>
      <c r="N348" s="22" t="n"/>
      <c r="O348" s="23">
        <f>IF($C348="","",N(L348)-N(M348))</f>
        <v/>
      </c>
      <c r="P348" s="24" t="n"/>
      <c r="Q348" s="23">
        <f>IF($C348="","",N(M348)+N(N348))</f>
        <v/>
      </c>
      <c r="R348" s="23">
        <f>IF($C348="","",N(J348)+N(Q348))</f>
        <v/>
      </c>
      <c r="S348" s="25">
        <f>IF(OR($C348="",N($G348)=0),"",R348/$G348)</f>
        <v/>
      </c>
      <c r="T348" s="23">
        <f>IF($C348="","",N($G348)-N(R348))</f>
        <v/>
      </c>
      <c r="U348" s="24" t="n"/>
      <c r="V348" s="22" t="n"/>
    </row>
    <row r="349">
      <c r="B349" s="13">
        <f>IF($C349="","",COUNTA($C$9:$C349))</f>
        <v/>
      </c>
      <c r="C349" s="21" t="n"/>
      <c r="D349" s="14" t="n"/>
      <c r="E349" s="14" t="n"/>
      <c r="F349" s="14" t="n"/>
      <c r="G349" s="22" t="n"/>
      <c r="H349" s="22" t="n"/>
      <c r="I349" s="22" t="n"/>
      <c r="J349" s="22" t="n"/>
      <c r="K349" s="22" t="n"/>
      <c r="L349" s="22" t="n"/>
      <c r="M349" s="22" t="n"/>
      <c r="N349" s="22" t="n"/>
      <c r="O349" s="23">
        <f>IF($C349="","",N(L349)-N(M349))</f>
        <v/>
      </c>
      <c r="P349" s="24" t="n"/>
      <c r="Q349" s="23">
        <f>IF($C349="","",N(M349)+N(N349))</f>
        <v/>
      </c>
      <c r="R349" s="23">
        <f>IF($C349="","",N(J349)+N(Q349))</f>
        <v/>
      </c>
      <c r="S349" s="25">
        <f>IF(OR($C349="",N($G349)=0),"",R349/$G349)</f>
        <v/>
      </c>
      <c r="T349" s="23">
        <f>IF($C349="","",N($G349)-N(R349))</f>
        <v/>
      </c>
      <c r="U349" s="24" t="n"/>
      <c r="V349" s="22" t="n"/>
    </row>
    <row r="350">
      <c r="B350" s="13">
        <f>IF($C350="","",COUNTA($C$9:$C350))</f>
        <v/>
      </c>
      <c r="C350" s="21" t="n"/>
      <c r="D350" s="14" t="n"/>
      <c r="E350" s="14" t="n"/>
      <c r="F350" s="14" t="n"/>
      <c r="G350" s="22" t="n"/>
      <c r="H350" s="22" t="n"/>
      <c r="I350" s="22" t="n"/>
      <c r="J350" s="22" t="n"/>
      <c r="K350" s="22" t="n"/>
      <c r="L350" s="22" t="n"/>
      <c r="M350" s="22" t="n"/>
      <c r="N350" s="22" t="n"/>
      <c r="O350" s="23">
        <f>IF($C350="","",N(L350)-N(M350))</f>
        <v/>
      </c>
      <c r="P350" s="24" t="n"/>
      <c r="Q350" s="23">
        <f>IF($C350="","",N(M350)+N(N350))</f>
        <v/>
      </c>
      <c r="R350" s="23">
        <f>IF($C350="","",N(J350)+N(Q350))</f>
        <v/>
      </c>
      <c r="S350" s="25">
        <f>IF(OR($C350="",N($G350)=0),"",R350/$G350)</f>
        <v/>
      </c>
      <c r="T350" s="23">
        <f>IF($C350="","",N($G350)-N(R350))</f>
        <v/>
      </c>
      <c r="U350" s="24" t="n"/>
      <c r="V350" s="22" t="n"/>
    </row>
    <row r="351">
      <c r="B351" s="13">
        <f>IF($C351="","",COUNTA($C$9:$C351))</f>
        <v/>
      </c>
      <c r="C351" s="21" t="n"/>
      <c r="D351" s="14" t="n"/>
      <c r="E351" s="14" t="n"/>
      <c r="F351" s="14" t="n"/>
      <c r="G351" s="22" t="n"/>
      <c r="H351" s="22" t="n"/>
      <c r="I351" s="22" t="n"/>
      <c r="J351" s="22" t="n"/>
      <c r="K351" s="22" t="n"/>
      <c r="L351" s="22" t="n"/>
      <c r="M351" s="22" t="n"/>
      <c r="N351" s="22" t="n"/>
      <c r="O351" s="23">
        <f>IF($C351="","",N(L351)-N(M351))</f>
        <v/>
      </c>
      <c r="P351" s="24" t="n"/>
      <c r="Q351" s="23">
        <f>IF($C351="","",N(M351)+N(N351))</f>
        <v/>
      </c>
      <c r="R351" s="23">
        <f>IF($C351="","",N(J351)+N(Q351))</f>
        <v/>
      </c>
      <c r="S351" s="25">
        <f>IF(OR($C351="",N($G351)=0),"",R351/$G351)</f>
        <v/>
      </c>
      <c r="T351" s="23">
        <f>IF($C351="","",N($G351)-N(R351))</f>
        <v/>
      </c>
      <c r="U351" s="24" t="n"/>
      <c r="V351" s="22" t="n"/>
    </row>
    <row r="352">
      <c r="B352" s="13">
        <f>IF($C352="","",COUNTA($C$9:$C352))</f>
        <v/>
      </c>
      <c r="C352" s="21" t="n"/>
      <c r="D352" s="14" t="n"/>
      <c r="E352" s="14" t="n"/>
      <c r="F352" s="14" t="n"/>
      <c r="G352" s="22" t="n"/>
      <c r="H352" s="22" t="n"/>
      <c r="I352" s="22" t="n"/>
      <c r="J352" s="22" t="n"/>
      <c r="K352" s="22" t="n"/>
      <c r="L352" s="22" t="n"/>
      <c r="M352" s="22" t="n"/>
      <c r="N352" s="22" t="n"/>
      <c r="O352" s="23">
        <f>IF($C352="","",N(L352)-N(M352))</f>
        <v/>
      </c>
      <c r="P352" s="24" t="n"/>
      <c r="Q352" s="23">
        <f>IF($C352="","",N(M352)+N(N352))</f>
        <v/>
      </c>
      <c r="R352" s="23">
        <f>IF($C352="","",N(J352)+N(Q352))</f>
        <v/>
      </c>
      <c r="S352" s="25">
        <f>IF(OR($C352="",N($G352)=0),"",R352/$G352)</f>
        <v/>
      </c>
      <c r="T352" s="23">
        <f>IF($C352="","",N($G352)-N(R352))</f>
        <v/>
      </c>
      <c r="U352" s="24" t="n"/>
      <c r="V352" s="22" t="n"/>
    </row>
    <row r="353">
      <c r="B353" s="13">
        <f>IF($C353="","",COUNTA($C$9:$C353))</f>
        <v/>
      </c>
      <c r="C353" s="21" t="n"/>
      <c r="D353" s="14" t="n"/>
      <c r="E353" s="14" t="n"/>
      <c r="F353" s="14" t="n"/>
      <c r="G353" s="22" t="n"/>
      <c r="H353" s="22" t="n"/>
      <c r="I353" s="22" t="n"/>
      <c r="J353" s="22" t="n"/>
      <c r="K353" s="22" t="n"/>
      <c r="L353" s="22" t="n"/>
      <c r="M353" s="22" t="n"/>
      <c r="N353" s="22" t="n"/>
      <c r="O353" s="23">
        <f>IF($C353="","",N(L353)-N(M353))</f>
        <v/>
      </c>
      <c r="P353" s="24" t="n"/>
      <c r="Q353" s="23">
        <f>IF($C353="","",N(M353)+N(N353))</f>
        <v/>
      </c>
      <c r="R353" s="23">
        <f>IF($C353="","",N(J353)+N(Q353))</f>
        <v/>
      </c>
      <c r="S353" s="25">
        <f>IF(OR($C353="",N($G353)=0),"",R353/$G353)</f>
        <v/>
      </c>
      <c r="T353" s="23">
        <f>IF($C353="","",N($G353)-N(R353))</f>
        <v/>
      </c>
      <c r="U353" s="24" t="n"/>
      <c r="V353" s="22" t="n"/>
    </row>
    <row r="354">
      <c r="B354" s="13">
        <f>IF($C354="","",COUNTA($C$9:$C354))</f>
        <v/>
      </c>
      <c r="C354" s="21" t="n"/>
      <c r="D354" s="14" t="n"/>
      <c r="E354" s="14" t="n"/>
      <c r="F354" s="14" t="n"/>
      <c r="G354" s="22" t="n"/>
      <c r="H354" s="22" t="n"/>
      <c r="I354" s="22" t="n"/>
      <c r="J354" s="22" t="n"/>
      <c r="K354" s="22" t="n"/>
      <c r="L354" s="22" t="n"/>
      <c r="M354" s="22" t="n"/>
      <c r="N354" s="22" t="n"/>
      <c r="O354" s="23">
        <f>IF($C354="","",N(L354)-N(M354))</f>
        <v/>
      </c>
      <c r="P354" s="24" t="n"/>
      <c r="Q354" s="23">
        <f>IF($C354="","",N(M354)+N(N354))</f>
        <v/>
      </c>
      <c r="R354" s="23">
        <f>IF($C354="","",N(J354)+N(Q354))</f>
        <v/>
      </c>
      <c r="S354" s="25">
        <f>IF(OR($C354="",N($G354)=0),"",R354/$G354)</f>
        <v/>
      </c>
      <c r="T354" s="23">
        <f>IF($C354="","",N($G354)-N(R354))</f>
        <v/>
      </c>
      <c r="U354" s="24" t="n"/>
      <c r="V354" s="22" t="n"/>
    </row>
    <row r="355">
      <c r="B355" s="13">
        <f>IF($C355="","",COUNTA($C$9:$C355))</f>
        <v/>
      </c>
      <c r="C355" s="21" t="n"/>
      <c r="D355" s="14" t="n"/>
      <c r="E355" s="14" t="n"/>
      <c r="F355" s="14" t="n"/>
      <c r="G355" s="22" t="n"/>
      <c r="H355" s="22" t="n"/>
      <c r="I355" s="22" t="n"/>
      <c r="J355" s="22" t="n"/>
      <c r="K355" s="22" t="n"/>
      <c r="L355" s="22" t="n"/>
      <c r="M355" s="22" t="n"/>
      <c r="N355" s="22" t="n"/>
      <c r="O355" s="23">
        <f>IF($C355="","",N(L355)-N(M355))</f>
        <v/>
      </c>
      <c r="P355" s="24" t="n"/>
      <c r="Q355" s="23">
        <f>IF($C355="","",N(M355)+N(N355))</f>
        <v/>
      </c>
      <c r="R355" s="23">
        <f>IF($C355="","",N(J355)+N(Q355))</f>
        <v/>
      </c>
      <c r="S355" s="25">
        <f>IF(OR($C355="",N($G355)=0),"",R355/$G355)</f>
        <v/>
      </c>
      <c r="T355" s="23">
        <f>IF($C355="","",N($G355)-N(R355))</f>
        <v/>
      </c>
      <c r="U355" s="24" t="n"/>
      <c r="V355" s="22" t="n"/>
    </row>
    <row r="356">
      <c r="B356" s="13">
        <f>IF($C356="","",COUNTA($C$9:$C356))</f>
        <v/>
      </c>
      <c r="C356" s="21" t="n"/>
      <c r="D356" s="14" t="n"/>
      <c r="E356" s="14" t="n"/>
      <c r="F356" s="14" t="n"/>
      <c r="G356" s="22" t="n"/>
      <c r="H356" s="22" t="n"/>
      <c r="I356" s="22" t="n"/>
      <c r="J356" s="22" t="n"/>
      <c r="K356" s="22" t="n"/>
      <c r="L356" s="22" t="n"/>
      <c r="M356" s="22" t="n"/>
      <c r="N356" s="22" t="n"/>
      <c r="O356" s="23">
        <f>IF($C356="","",N(L356)-N(M356))</f>
        <v/>
      </c>
      <c r="P356" s="24" t="n"/>
      <c r="Q356" s="23">
        <f>IF($C356="","",N(M356)+N(N356))</f>
        <v/>
      </c>
      <c r="R356" s="23">
        <f>IF($C356="","",N(J356)+N(Q356))</f>
        <v/>
      </c>
      <c r="S356" s="25">
        <f>IF(OR($C356="",N($G356)=0),"",R356/$G356)</f>
        <v/>
      </c>
      <c r="T356" s="23">
        <f>IF($C356="","",N($G356)-N(R356))</f>
        <v/>
      </c>
      <c r="U356" s="24" t="n"/>
      <c r="V356" s="22" t="n"/>
    </row>
    <row r="357">
      <c r="B357" s="13">
        <f>IF($C357="","",COUNTA($C$9:$C357))</f>
        <v/>
      </c>
      <c r="C357" s="21" t="n"/>
      <c r="D357" s="14" t="n"/>
      <c r="E357" s="14" t="n"/>
      <c r="F357" s="14" t="n"/>
      <c r="G357" s="22" t="n"/>
      <c r="H357" s="22" t="n"/>
      <c r="I357" s="22" t="n"/>
      <c r="J357" s="22" t="n"/>
      <c r="K357" s="22" t="n"/>
      <c r="L357" s="22" t="n"/>
      <c r="M357" s="22" t="n"/>
      <c r="N357" s="22" t="n"/>
      <c r="O357" s="23">
        <f>IF($C357="","",N(L357)-N(M357))</f>
        <v/>
      </c>
      <c r="P357" s="24" t="n"/>
      <c r="Q357" s="23">
        <f>IF($C357="","",N(M357)+N(N357))</f>
        <v/>
      </c>
      <c r="R357" s="23">
        <f>IF($C357="","",N(J357)+N(Q357))</f>
        <v/>
      </c>
      <c r="S357" s="25">
        <f>IF(OR($C357="",N($G357)=0),"",R357/$G357)</f>
        <v/>
      </c>
      <c r="T357" s="23">
        <f>IF($C357="","",N($G357)-N(R357))</f>
        <v/>
      </c>
      <c r="U357" s="24" t="n"/>
      <c r="V357" s="22" t="n"/>
    </row>
    <row r="358">
      <c r="B358" s="13">
        <f>IF($C358="","",COUNTA($C$9:$C358))</f>
        <v/>
      </c>
      <c r="C358" s="21" t="n"/>
      <c r="D358" s="14" t="n"/>
      <c r="E358" s="14" t="n"/>
      <c r="F358" s="14" t="n"/>
      <c r="G358" s="22" t="n"/>
      <c r="H358" s="22" t="n"/>
      <c r="I358" s="22" t="n"/>
      <c r="J358" s="22" t="n"/>
      <c r="K358" s="22" t="n"/>
      <c r="L358" s="22" t="n"/>
      <c r="M358" s="22" t="n"/>
      <c r="N358" s="22" t="n"/>
      <c r="O358" s="23">
        <f>IF($C358="","",N(L358)-N(M358))</f>
        <v/>
      </c>
      <c r="P358" s="24" t="n"/>
      <c r="Q358" s="23">
        <f>IF($C358="","",N(M358)+N(N358))</f>
        <v/>
      </c>
      <c r="R358" s="23">
        <f>IF($C358="","",N(J358)+N(Q358))</f>
        <v/>
      </c>
      <c r="S358" s="25">
        <f>IF(OR($C358="",N($G358)=0),"",R358/$G358)</f>
        <v/>
      </c>
      <c r="T358" s="23">
        <f>IF($C358="","",N($G358)-N(R358))</f>
        <v/>
      </c>
      <c r="U358" s="24" t="n"/>
      <c r="V358" s="22" t="n"/>
    </row>
    <row r="359">
      <c r="B359" s="13">
        <f>IF($C359="","",COUNTA($C$9:$C359))</f>
        <v/>
      </c>
      <c r="C359" s="21" t="n"/>
      <c r="D359" s="14" t="n"/>
      <c r="E359" s="14" t="n"/>
      <c r="F359" s="14" t="n"/>
      <c r="G359" s="22" t="n"/>
      <c r="H359" s="22" t="n"/>
      <c r="I359" s="22" t="n"/>
      <c r="J359" s="22" t="n"/>
      <c r="K359" s="22" t="n"/>
      <c r="L359" s="22" t="n"/>
      <c r="M359" s="22" t="n"/>
      <c r="N359" s="22" t="n"/>
      <c r="O359" s="23">
        <f>IF($C359="","",N(L359)-N(M359))</f>
        <v/>
      </c>
      <c r="P359" s="24" t="n"/>
      <c r="Q359" s="23">
        <f>IF($C359="","",N(M359)+N(N359))</f>
        <v/>
      </c>
      <c r="R359" s="23">
        <f>IF($C359="","",N(J359)+N(Q359))</f>
        <v/>
      </c>
      <c r="S359" s="25">
        <f>IF(OR($C359="",N($G359)=0),"",R359/$G359)</f>
        <v/>
      </c>
      <c r="T359" s="23">
        <f>IF($C359="","",N($G359)-N(R359))</f>
        <v/>
      </c>
      <c r="U359" s="24" t="n"/>
      <c r="V359" s="22" t="n"/>
    </row>
    <row r="360">
      <c r="B360" s="13">
        <f>IF($C360="","",COUNTA($C$9:$C360))</f>
        <v/>
      </c>
      <c r="C360" s="21" t="n"/>
      <c r="D360" s="14" t="n"/>
      <c r="E360" s="14" t="n"/>
      <c r="F360" s="14" t="n"/>
      <c r="G360" s="22" t="n"/>
      <c r="H360" s="22" t="n"/>
      <c r="I360" s="22" t="n"/>
      <c r="J360" s="22" t="n"/>
      <c r="K360" s="22" t="n"/>
      <c r="L360" s="22" t="n"/>
      <c r="M360" s="22" t="n"/>
      <c r="N360" s="22" t="n"/>
      <c r="O360" s="23">
        <f>IF($C360="","",N(L360)-N(M360))</f>
        <v/>
      </c>
      <c r="P360" s="24" t="n"/>
      <c r="Q360" s="23">
        <f>IF($C360="","",N(M360)+N(N360))</f>
        <v/>
      </c>
      <c r="R360" s="23">
        <f>IF($C360="","",N(J360)+N(Q360))</f>
        <v/>
      </c>
      <c r="S360" s="25">
        <f>IF(OR($C360="",N($G360)=0),"",R360/$G360)</f>
        <v/>
      </c>
      <c r="T360" s="23">
        <f>IF($C360="","",N($G360)-N(R360))</f>
        <v/>
      </c>
      <c r="U360" s="24" t="n"/>
      <c r="V360" s="22" t="n"/>
    </row>
    <row r="361">
      <c r="B361" s="13">
        <f>IF($C361="","",COUNTA($C$9:$C361))</f>
        <v/>
      </c>
      <c r="C361" s="21" t="n"/>
      <c r="D361" s="14" t="n"/>
      <c r="E361" s="14" t="n"/>
      <c r="F361" s="14" t="n"/>
      <c r="G361" s="22" t="n"/>
      <c r="H361" s="22" t="n"/>
      <c r="I361" s="22" t="n"/>
      <c r="J361" s="22" t="n"/>
      <c r="K361" s="22" t="n"/>
      <c r="L361" s="22" t="n"/>
      <c r="M361" s="22" t="n"/>
      <c r="N361" s="22" t="n"/>
      <c r="O361" s="23">
        <f>IF($C361="","",N(L361)-N(M361))</f>
        <v/>
      </c>
      <c r="P361" s="24" t="n"/>
      <c r="Q361" s="23">
        <f>IF($C361="","",N(M361)+N(N361))</f>
        <v/>
      </c>
      <c r="R361" s="23">
        <f>IF($C361="","",N(J361)+N(Q361))</f>
        <v/>
      </c>
      <c r="S361" s="25">
        <f>IF(OR($C361="",N($G361)=0),"",R361/$G361)</f>
        <v/>
      </c>
      <c r="T361" s="23">
        <f>IF($C361="","",N($G361)-N(R361))</f>
        <v/>
      </c>
      <c r="U361" s="24" t="n"/>
      <c r="V361" s="22" t="n"/>
    </row>
    <row r="362">
      <c r="B362" s="13">
        <f>IF($C362="","",COUNTA($C$9:$C362))</f>
        <v/>
      </c>
      <c r="C362" s="21" t="n"/>
      <c r="D362" s="14" t="n"/>
      <c r="E362" s="14" t="n"/>
      <c r="F362" s="14" t="n"/>
      <c r="G362" s="22" t="n"/>
      <c r="H362" s="22" t="n"/>
      <c r="I362" s="22" t="n"/>
      <c r="J362" s="22" t="n"/>
      <c r="K362" s="22" t="n"/>
      <c r="L362" s="22" t="n"/>
      <c r="M362" s="22" t="n"/>
      <c r="N362" s="22" t="n"/>
      <c r="O362" s="23">
        <f>IF($C362="","",N(L362)-N(M362))</f>
        <v/>
      </c>
      <c r="P362" s="24" t="n"/>
      <c r="Q362" s="23">
        <f>IF($C362="","",N(M362)+N(N362))</f>
        <v/>
      </c>
      <c r="R362" s="23">
        <f>IF($C362="","",N(J362)+N(Q362))</f>
        <v/>
      </c>
      <c r="S362" s="25">
        <f>IF(OR($C362="",N($G362)=0),"",R362/$G362)</f>
        <v/>
      </c>
      <c r="T362" s="23">
        <f>IF($C362="","",N($G362)-N(R362))</f>
        <v/>
      </c>
      <c r="U362" s="24" t="n"/>
      <c r="V362" s="22" t="n"/>
    </row>
    <row r="363">
      <c r="B363" s="13">
        <f>IF($C363="","",COUNTA($C$9:$C363))</f>
        <v/>
      </c>
      <c r="C363" s="21" t="n"/>
      <c r="D363" s="14" t="n"/>
      <c r="E363" s="14" t="n"/>
      <c r="F363" s="14" t="n"/>
      <c r="G363" s="22" t="n"/>
      <c r="H363" s="22" t="n"/>
      <c r="I363" s="22" t="n"/>
      <c r="J363" s="22" t="n"/>
      <c r="K363" s="22" t="n"/>
      <c r="L363" s="22" t="n"/>
      <c r="M363" s="22" t="n"/>
      <c r="N363" s="22" t="n"/>
      <c r="O363" s="23">
        <f>IF($C363="","",N(L363)-N(M363))</f>
        <v/>
      </c>
      <c r="P363" s="24" t="n"/>
      <c r="Q363" s="23">
        <f>IF($C363="","",N(M363)+N(N363))</f>
        <v/>
      </c>
      <c r="R363" s="23">
        <f>IF($C363="","",N(J363)+N(Q363))</f>
        <v/>
      </c>
      <c r="S363" s="25">
        <f>IF(OR($C363="",N($G363)=0),"",R363/$G363)</f>
        <v/>
      </c>
      <c r="T363" s="23">
        <f>IF($C363="","",N($G363)-N(R363))</f>
        <v/>
      </c>
      <c r="U363" s="24" t="n"/>
      <c r="V363" s="22" t="n"/>
    </row>
    <row r="364">
      <c r="B364" s="13">
        <f>IF($C364="","",COUNTA($C$9:$C364))</f>
        <v/>
      </c>
      <c r="C364" s="21" t="n"/>
      <c r="D364" s="14" t="n"/>
      <c r="E364" s="14" t="n"/>
      <c r="F364" s="14" t="n"/>
      <c r="G364" s="22" t="n"/>
      <c r="H364" s="22" t="n"/>
      <c r="I364" s="22" t="n"/>
      <c r="J364" s="22" t="n"/>
      <c r="K364" s="22" t="n"/>
      <c r="L364" s="22" t="n"/>
      <c r="M364" s="22" t="n"/>
      <c r="N364" s="22" t="n"/>
      <c r="O364" s="23">
        <f>IF($C364="","",N(L364)-N(M364))</f>
        <v/>
      </c>
      <c r="P364" s="24" t="n"/>
      <c r="Q364" s="23">
        <f>IF($C364="","",N(M364)+N(N364))</f>
        <v/>
      </c>
      <c r="R364" s="23">
        <f>IF($C364="","",N(J364)+N(Q364))</f>
        <v/>
      </c>
      <c r="S364" s="25">
        <f>IF(OR($C364="",N($G364)=0),"",R364/$G364)</f>
        <v/>
      </c>
      <c r="T364" s="23">
        <f>IF($C364="","",N($G364)-N(R364))</f>
        <v/>
      </c>
      <c r="U364" s="24" t="n"/>
      <c r="V364" s="22" t="n"/>
    </row>
    <row r="365">
      <c r="B365" s="13">
        <f>IF($C365="","",COUNTA($C$9:$C365))</f>
        <v/>
      </c>
      <c r="C365" s="21" t="n"/>
      <c r="D365" s="14" t="n"/>
      <c r="E365" s="14" t="n"/>
      <c r="F365" s="14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3">
        <f>IF($C365="","",N(L365)-N(M365))</f>
        <v/>
      </c>
      <c r="P365" s="24" t="n"/>
      <c r="Q365" s="23">
        <f>IF($C365="","",N(M365)+N(N365))</f>
        <v/>
      </c>
      <c r="R365" s="23">
        <f>IF($C365="","",N(J365)+N(Q365))</f>
        <v/>
      </c>
      <c r="S365" s="25">
        <f>IF(OR($C365="",N($G365)=0),"",R365/$G365)</f>
        <v/>
      </c>
      <c r="T365" s="23">
        <f>IF($C365="","",N($G365)-N(R365))</f>
        <v/>
      </c>
      <c r="U365" s="24" t="n"/>
      <c r="V365" s="22" t="n"/>
    </row>
    <row r="366">
      <c r="B366" s="13">
        <f>IF($C366="","",COUNTA($C$9:$C366))</f>
        <v/>
      </c>
      <c r="C366" s="21" t="n"/>
      <c r="D366" s="14" t="n"/>
      <c r="E366" s="14" t="n"/>
      <c r="F366" s="14" t="n"/>
      <c r="G366" s="22" t="n"/>
      <c r="H366" s="22" t="n"/>
      <c r="I366" s="22" t="n"/>
      <c r="J366" s="22" t="n"/>
      <c r="K366" s="22" t="n"/>
      <c r="L366" s="22" t="n"/>
      <c r="M366" s="22" t="n"/>
      <c r="N366" s="22" t="n"/>
      <c r="O366" s="23">
        <f>IF($C366="","",N(L366)-N(M366))</f>
        <v/>
      </c>
      <c r="P366" s="24" t="n"/>
      <c r="Q366" s="23">
        <f>IF($C366="","",N(M366)+N(N366))</f>
        <v/>
      </c>
      <c r="R366" s="23">
        <f>IF($C366="","",N(J366)+N(Q366))</f>
        <v/>
      </c>
      <c r="S366" s="25">
        <f>IF(OR($C366="",N($G366)=0),"",R366/$G366)</f>
        <v/>
      </c>
      <c r="T366" s="23">
        <f>IF($C366="","",N($G366)-N(R366))</f>
        <v/>
      </c>
      <c r="U366" s="24" t="n"/>
      <c r="V366" s="22" t="n"/>
    </row>
    <row r="367">
      <c r="B367" s="13">
        <f>IF($C367="","",COUNTA($C$9:$C367))</f>
        <v/>
      </c>
      <c r="C367" s="21" t="n"/>
      <c r="D367" s="14" t="n"/>
      <c r="E367" s="14" t="n"/>
      <c r="F367" s="14" t="n"/>
      <c r="G367" s="22" t="n"/>
      <c r="H367" s="22" t="n"/>
      <c r="I367" s="22" t="n"/>
      <c r="J367" s="22" t="n"/>
      <c r="K367" s="22" t="n"/>
      <c r="L367" s="22" t="n"/>
      <c r="M367" s="22" t="n"/>
      <c r="N367" s="22" t="n"/>
      <c r="O367" s="23">
        <f>IF($C367="","",N(L367)-N(M367))</f>
        <v/>
      </c>
      <c r="P367" s="24" t="n"/>
      <c r="Q367" s="23">
        <f>IF($C367="","",N(M367)+N(N367))</f>
        <v/>
      </c>
      <c r="R367" s="23">
        <f>IF($C367="","",N(J367)+N(Q367))</f>
        <v/>
      </c>
      <c r="S367" s="25">
        <f>IF(OR($C367="",N($G367)=0),"",R367/$G367)</f>
        <v/>
      </c>
      <c r="T367" s="23">
        <f>IF($C367="","",N($G367)-N(R367))</f>
        <v/>
      </c>
      <c r="U367" s="24" t="n"/>
      <c r="V367" s="22" t="n"/>
    </row>
    <row r="368">
      <c r="B368" s="13">
        <f>IF($C368="","",COUNTA($C$9:$C368))</f>
        <v/>
      </c>
      <c r="C368" s="21" t="n"/>
      <c r="D368" s="14" t="n"/>
      <c r="E368" s="14" t="n"/>
      <c r="F368" s="14" t="n"/>
      <c r="G368" s="22" t="n"/>
      <c r="H368" s="22" t="n"/>
      <c r="I368" s="22" t="n"/>
      <c r="J368" s="22" t="n"/>
      <c r="K368" s="22" t="n"/>
      <c r="L368" s="22" t="n"/>
      <c r="M368" s="22" t="n"/>
      <c r="N368" s="22" t="n"/>
      <c r="O368" s="23">
        <f>IF($C368="","",N(L368)-N(M368))</f>
        <v/>
      </c>
      <c r="P368" s="24" t="n"/>
      <c r="Q368" s="23">
        <f>IF($C368="","",N(M368)+N(N368))</f>
        <v/>
      </c>
      <c r="R368" s="23">
        <f>IF($C368="","",N(J368)+N(Q368))</f>
        <v/>
      </c>
      <c r="S368" s="25">
        <f>IF(OR($C368="",N($G368)=0),"",R368/$G368)</f>
        <v/>
      </c>
      <c r="T368" s="23">
        <f>IF($C368="","",N($G368)-N(R368))</f>
        <v/>
      </c>
      <c r="U368" s="24" t="n"/>
      <c r="V368" s="22" t="n"/>
    </row>
    <row r="369">
      <c r="B369" s="13">
        <f>IF($C369="","",COUNTA($C$9:$C369))</f>
        <v/>
      </c>
      <c r="C369" s="21" t="n"/>
      <c r="D369" s="14" t="n"/>
      <c r="E369" s="14" t="n"/>
      <c r="F369" s="14" t="n"/>
      <c r="G369" s="22" t="n"/>
      <c r="H369" s="22" t="n"/>
      <c r="I369" s="22" t="n"/>
      <c r="J369" s="22" t="n"/>
      <c r="K369" s="22" t="n"/>
      <c r="L369" s="22" t="n"/>
      <c r="M369" s="22" t="n"/>
      <c r="N369" s="22" t="n"/>
      <c r="O369" s="23">
        <f>IF($C369="","",N(L369)-N(M369))</f>
        <v/>
      </c>
      <c r="P369" s="24" t="n"/>
      <c r="Q369" s="23">
        <f>IF($C369="","",N(M369)+N(N369))</f>
        <v/>
      </c>
      <c r="R369" s="23">
        <f>IF($C369="","",N(J369)+N(Q369))</f>
        <v/>
      </c>
      <c r="S369" s="25">
        <f>IF(OR($C369="",N($G369)=0),"",R369/$G369)</f>
        <v/>
      </c>
      <c r="T369" s="23">
        <f>IF($C369="","",N($G369)-N(R369))</f>
        <v/>
      </c>
      <c r="U369" s="24" t="n"/>
      <c r="V369" s="22" t="n"/>
    </row>
    <row r="370">
      <c r="B370" s="13">
        <f>IF($C370="","",COUNTA($C$9:$C370))</f>
        <v/>
      </c>
      <c r="C370" s="21" t="n"/>
      <c r="D370" s="14" t="n"/>
      <c r="E370" s="14" t="n"/>
      <c r="F370" s="14" t="n"/>
      <c r="G370" s="22" t="n"/>
      <c r="H370" s="22" t="n"/>
      <c r="I370" s="22" t="n"/>
      <c r="J370" s="22" t="n"/>
      <c r="K370" s="22" t="n"/>
      <c r="L370" s="22" t="n"/>
      <c r="M370" s="22" t="n"/>
      <c r="N370" s="22" t="n"/>
      <c r="O370" s="23">
        <f>IF($C370="","",N(L370)-N(M370))</f>
        <v/>
      </c>
      <c r="P370" s="24" t="n"/>
      <c r="Q370" s="23">
        <f>IF($C370="","",N(M370)+N(N370))</f>
        <v/>
      </c>
      <c r="R370" s="23">
        <f>IF($C370="","",N(J370)+N(Q370))</f>
        <v/>
      </c>
      <c r="S370" s="25">
        <f>IF(OR($C370="",N($G370)=0),"",R370/$G370)</f>
        <v/>
      </c>
      <c r="T370" s="23">
        <f>IF($C370="","",N($G370)-N(R370))</f>
        <v/>
      </c>
      <c r="U370" s="24" t="n"/>
      <c r="V370" s="22" t="n"/>
    </row>
    <row r="371">
      <c r="B371" s="13">
        <f>IF($C371="","",COUNTA($C$9:$C371))</f>
        <v/>
      </c>
      <c r="C371" s="21" t="n"/>
      <c r="D371" s="14" t="n"/>
      <c r="E371" s="14" t="n"/>
      <c r="F371" s="14" t="n"/>
      <c r="G371" s="22" t="n"/>
      <c r="H371" s="22" t="n"/>
      <c r="I371" s="22" t="n"/>
      <c r="J371" s="22" t="n"/>
      <c r="K371" s="22" t="n"/>
      <c r="L371" s="22" t="n"/>
      <c r="M371" s="22" t="n"/>
      <c r="N371" s="22" t="n"/>
      <c r="O371" s="23">
        <f>IF($C371="","",N(L371)-N(M371))</f>
        <v/>
      </c>
      <c r="P371" s="24" t="n"/>
      <c r="Q371" s="23">
        <f>IF($C371="","",N(M371)+N(N371))</f>
        <v/>
      </c>
      <c r="R371" s="23">
        <f>IF($C371="","",N(J371)+N(Q371))</f>
        <v/>
      </c>
      <c r="S371" s="25">
        <f>IF(OR($C371="",N($G371)=0),"",R371/$G371)</f>
        <v/>
      </c>
      <c r="T371" s="23">
        <f>IF($C371="","",N($G371)-N(R371))</f>
        <v/>
      </c>
      <c r="U371" s="24" t="n"/>
      <c r="V371" s="22" t="n"/>
    </row>
    <row r="372">
      <c r="B372" s="13">
        <f>IF($C372="","",COUNTA($C$9:$C372))</f>
        <v/>
      </c>
      <c r="C372" s="21" t="n"/>
      <c r="D372" s="14" t="n"/>
      <c r="E372" s="14" t="n"/>
      <c r="F372" s="14" t="n"/>
      <c r="G372" s="22" t="n"/>
      <c r="H372" s="22" t="n"/>
      <c r="I372" s="22" t="n"/>
      <c r="J372" s="22" t="n"/>
      <c r="K372" s="22" t="n"/>
      <c r="L372" s="22" t="n"/>
      <c r="M372" s="22" t="n"/>
      <c r="N372" s="22" t="n"/>
      <c r="O372" s="23">
        <f>IF($C372="","",N(L372)-N(M372))</f>
        <v/>
      </c>
      <c r="P372" s="24" t="n"/>
      <c r="Q372" s="23">
        <f>IF($C372="","",N(M372)+N(N372))</f>
        <v/>
      </c>
      <c r="R372" s="23">
        <f>IF($C372="","",N(J372)+N(Q372))</f>
        <v/>
      </c>
      <c r="S372" s="25">
        <f>IF(OR($C372="",N($G372)=0),"",R372/$G372)</f>
        <v/>
      </c>
      <c r="T372" s="23">
        <f>IF($C372="","",N($G372)-N(R372))</f>
        <v/>
      </c>
      <c r="U372" s="24" t="n"/>
      <c r="V372" s="22" t="n"/>
    </row>
    <row r="373">
      <c r="B373" s="13">
        <f>IF($C373="","",COUNTA($C$9:$C373))</f>
        <v/>
      </c>
      <c r="C373" s="21" t="n"/>
      <c r="D373" s="14" t="n"/>
      <c r="E373" s="14" t="n"/>
      <c r="F373" s="14" t="n"/>
      <c r="G373" s="22" t="n"/>
      <c r="H373" s="22" t="n"/>
      <c r="I373" s="22" t="n"/>
      <c r="J373" s="22" t="n"/>
      <c r="K373" s="22" t="n"/>
      <c r="L373" s="22" t="n"/>
      <c r="M373" s="22" t="n"/>
      <c r="N373" s="22" t="n"/>
      <c r="O373" s="23">
        <f>IF($C373="","",N(L373)-N(M373))</f>
        <v/>
      </c>
      <c r="P373" s="24" t="n"/>
      <c r="Q373" s="23">
        <f>IF($C373="","",N(M373)+N(N373))</f>
        <v/>
      </c>
      <c r="R373" s="23">
        <f>IF($C373="","",N(J373)+N(Q373))</f>
        <v/>
      </c>
      <c r="S373" s="25">
        <f>IF(OR($C373="",N($G373)=0),"",R373/$G373)</f>
        <v/>
      </c>
      <c r="T373" s="23">
        <f>IF($C373="","",N($G373)-N(R373))</f>
        <v/>
      </c>
      <c r="U373" s="24" t="n"/>
      <c r="V373" s="22" t="n"/>
    </row>
    <row r="374">
      <c r="B374" s="13">
        <f>IF($C374="","",COUNTA($C$9:$C374))</f>
        <v/>
      </c>
      <c r="C374" s="21" t="n"/>
      <c r="D374" s="14" t="n"/>
      <c r="E374" s="14" t="n"/>
      <c r="F374" s="14" t="n"/>
      <c r="G374" s="22" t="n"/>
      <c r="H374" s="22" t="n"/>
      <c r="I374" s="22" t="n"/>
      <c r="J374" s="22" t="n"/>
      <c r="K374" s="22" t="n"/>
      <c r="L374" s="22" t="n"/>
      <c r="M374" s="22" t="n"/>
      <c r="N374" s="22" t="n"/>
      <c r="O374" s="23">
        <f>IF($C374="","",N(L374)-N(M374))</f>
        <v/>
      </c>
      <c r="P374" s="24" t="n"/>
      <c r="Q374" s="23">
        <f>IF($C374="","",N(M374)+N(N374))</f>
        <v/>
      </c>
      <c r="R374" s="23">
        <f>IF($C374="","",N(J374)+N(Q374))</f>
        <v/>
      </c>
      <c r="S374" s="25">
        <f>IF(OR($C374="",N($G374)=0),"",R374/$G374)</f>
        <v/>
      </c>
      <c r="T374" s="23">
        <f>IF($C374="","",N($G374)-N(R374))</f>
        <v/>
      </c>
      <c r="U374" s="24" t="n"/>
      <c r="V374" s="22" t="n"/>
    </row>
    <row r="375">
      <c r="B375" s="13">
        <f>IF($C375="","",COUNTA($C$9:$C375))</f>
        <v/>
      </c>
      <c r="C375" s="21" t="n"/>
      <c r="D375" s="14" t="n"/>
      <c r="E375" s="14" t="n"/>
      <c r="F375" s="14" t="n"/>
      <c r="G375" s="22" t="n"/>
      <c r="H375" s="22" t="n"/>
      <c r="I375" s="22" t="n"/>
      <c r="J375" s="22" t="n"/>
      <c r="K375" s="22" t="n"/>
      <c r="L375" s="22" t="n"/>
      <c r="M375" s="22" t="n"/>
      <c r="N375" s="22" t="n"/>
      <c r="O375" s="23">
        <f>IF($C375="","",N(L375)-N(M375))</f>
        <v/>
      </c>
      <c r="P375" s="24" t="n"/>
      <c r="Q375" s="23">
        <f>IF($C375="","",N(M375)+N(N375))</f>
        <v/>
      </c>
      <c r="R375" s="23">
        <f>IF($C375="","",N(J375)+N(Q375))</f>
        <v/>
      </c>
      <c r="S375" s="25">
        <f>IF(OR($C375="",N($G375)=0),"",R375/$G375)</f>
        <v/>
      </c>
      <c r="T375" s="23">
        <f>IF($C375="","",N($G375)-N(R375))</f>
        <v/>
      </c>
      <c r="U375" s="24" t="n"/>
      <c r="V375" s="22" t="n"/>
    </row>
    <row r="376">
      <c r="B376" s="13">
        <f>IF($C376="","",COUNTA($C$9:$C376))</f>
        <v/>
      </c>
      <c r="C376" s="21" t="n"/>
      <c r="D376" s="14" t="n"/>
      <c r="E376" s="14" t="n"/>
      <c r="F376" s="14" t="n"/>
      <c r="G376" s="22" t="n"/>
      <c r="H376" s="22" t="n"/>
      <c r="I376" s="22" t="n"/>
      <c r="J376" s="22" t="n"/>
      <c r="K376" s="22" t="n"/>
      <c r="L376" s="22" t="n"/>
      <c r="M376" s="22" t="n"/>
      <c r="N376" s="22" t="n"/>
      <c r="O376" s="23">
        <f>IF($C376="","",N(L376)-N(M376))</f>
        <v/>
      </c>
      <c r="P376" s="24" t="n"/>
      <c r="Q376" s="23">
        <f>IF($C376="","",N(M376)+N(N376))</f>
        <v/>
      </c>
      <c r="R376" s="23">
        <f>IF($C376="","",N(J376)+N(Q376))</f>
        <v/>
      </c>
      <c r="S376" s="25">
        <f>IF(OR($C376="",N($G376)=0),"",R376/$G376)</f>
        <v/>
      </c>
      <c r="T376" s="23">
        <f>IF($C376="","",N($G376)-N(R376))</f>
        <v/>
      </c>
      <c r="U376" s="24" t="n"/>
      <c r="V376" s="22" t="n"/>
    </row>
    <row r="377">
      <c r="B377" s="13">
        <f>IF($C377="","",COUNTA($C$9:$C377))</f>
        <v/>
      </c>
      <c r="C377" s="21" t="n"/>
      <c r="D377" s="14" t="n"/>
      <c r="E377" s="14" t="n"/>
      <c r="F377" s="14" t="n"/>
      <c r="G377" s="22" t="n"/>
      <c r="H377" s="22" t="n"/>
      <c r="I377" s="22" t="n"/>
      <c r="J377" s="22" t="n"/>
      <c r="K377" s="22" t="n"/>
      <c r="L377" s="22" t="n"/>
      <c r="M377" s="22" t="n"/>
      <c r="N377" s="22" t="n"/>
      <c r="O377" s="23">
        <f>IF($C377="","",N(L377)-N(M377))</f>
        <v/>
      </c>
      <c r="P377" s="24" t="n"/>
      <c r="Q377" s="23">
        <f>IF($C377="","",N(M377)+N(N377))</f>
        <v/>
      </c>
      <c r="R377" s="23">
        <f>IF($C377="","",N(J377)+N(Q377))</f>
        <v/>
      </c>
      <c r="S377" s="25">
        <f>IF(OR($C377="",N($G377)=0),"",R377/$G377)</f>
        <v/>
      </c>
      <c r="T377" s="23">
        <f>IF($C377="","",N($G377)-N(R377))</f>
        <v/>
      </c>
      <c r="U377" s="24" t="n"/>
      <c r="V377" s="22" t="n"/>
    </row>
    <row r="378">
      <c r="B378" s="13">
        <f>IF($C378="","",COUNTA($C$9:$C378))</f>
        <v/>
      </c>
      <c r="C378" s="21" t="n"/>
      <c r="D378" s="14" t="n"/>
      <c r="E378" s="14" t="n"/>
      <c r="F378" s="14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3">
        <f>IF($C378="","",N(L378)-N(M378))</f>
        <v/>
      </c>
      <c r="P378" s="24" t="n"/>
      <c r="Q378" s="23">
        <f>IF($C378="","",N(M378)+N(N378))</f>
        <v/>
      </c>
      <c r="R378" s="23">
        <f>IF($C378="","",N(J378)+N(Q378))</f>
        <v/>
      </c>
      <c r="S378" s="25">
        <f>IF(OR($C378="",N($G378)=0),"",R378/$G378)</f>
        <v/>
      </c>
      <c r="T378" s="23">
        <f>IF($C378="","",N($G378)-N(R378))</f>
        <v/>
      </c>
      <c r="U378" s="24" t="n"/>
      <c r="V378" s="22" t="n"/>
    </row>
    <row r="379">
      <c r="B379" s="13">
        <f>IF($C379="","",COUNTA($C$9:$C379))</f>
        <v/>
      </c>
      <c r="C379" s="21" t="n"/>
      <c r="D379" s="14" t="n"/>
      <c r="E379" s="14" t="n"/>
      <c r="F379" s="14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3">
        <f>IF($C379="","",N(L379)-N(M379))</f>
        <v/>
      </c>
      <c r="P379" s="24" t="n"/>
      <c r="Q379" s="23">
        <f>IF($C379="","",N(M379)+N(N379))</f>
        <v/>
      </c>
      <c r="R379" s="23">
        <f>IF($C379="","",N(J379)+N(Q379))</f>
        <v/>
      </c>
      <c r="S379" s="25">
        <f>IF(OR($C379="",N($G379)=0),"",R379/$G379)</f>
        <v/>
      </c>
      <c r="T379" s="23">
        <f>IF($C379="","",N($G379)-N(R379))</f>
        <v/>
      </c>
      <c r="U379" s="24" t="n"/>
      <c r="V379" s="22" t="n"/>
    </row>
    <row r="380">
      <c r="B380" s="13">
        <f>IF($C380="","",COUNTA($C$9:$C380))</f>
        <v/>
      </c>
      <c r="C380" s="21" t="n"/>
      <c r="D380" s="14" t="n"/>
      <c r="E380" s="14" t="n"/>
      <c r="F380" s="14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3">
        <f>IF($C380="","",N(L380)-N(M380))</f>
        <v/>
      </c>
      <c r="P380" s="24" t="n"/>
      <c r="Q380" s="23">
        <f>IF($C380="","",N(M380)+N(N380))</f>
        <v/>
      </c>
      <c r="R380" s="23">
        <f>IF($C380="","",N(J380)+N(Q380))</f>
        <v/>
      </c>
      <c r="S380" s="25">
        <f>IF(OR($C380="",N($G380)=0),"",R380/$G380)</f>
        <v/>
      </c>
      <c r="T380" s="23">
        <f>IF($C380="","",N($G380)-N(R380))</f>
        <v/>
      </c>
      <c r="U380" s="24" t="n"/>
      <c r="V380" s="22" t="n"/>
    </row>
    <row r="381">
      <c r="B381" s="13">
        <f>IF($C381="","",COUNTA($C$9:$C381))</f>
        <v/>
      </c>
      <c r="C381" s="21" t="n"/>
      <c r="D381" s="14" t="n"/>
      <c r="E381" s="14" t="n"/>
      <c r="F381" s="14" t="n"/>
      <c r="G381" s="22" t="n"/>
      <c r="H381" s="22" t="n"/>
      <c r="I381" s="22" t="n"/>
      <c r="J381" s="22" t="n"/>
      <c r="K381" s="22" t="n"/>
      <c r="L381" s="22" t="n"/>
      <c r="M381" s="22" t="n"/>
      <c r="N381" s="22" t="n"/>
      <c r="O381" s="23">
        <f>IF($C381="","",N(L381)-N(M381))</f>
        <v/>
      </c>
      <c r="P381" s="24" t="n"/>
      <c r="Q381" s="23">
        <f>IF($C381="","",N(M381)+N(N381))</f>
        <v/>
      </c>
      <c r="R381" s="23">
        <f>IF($C381="","",N(J381)+N(Q381))</f>
        <v/>
      </c>
      <c r="S381" s="25">
        <f>IF(OR($C381="",N($G381)=0),"",R381/$G381)</f>
        <v/>
      </c>
      <c r="T381" s="23">
        <f>IF($C381="","",N($G381)-N(R381))</f>
        <v/>
      </c>
      <c r="U381" s="24" t="n"/>
      <c r="V381" s="22" t="n"/>
    </row>
    <row r="382">
      <c r="B382" s="13">
        <f>IF($C382="","",COUNTA($C$9:$C382))</f>
        <v/>
      </c>
      <c r="C382" s="21" t="n"/>
      <c r="D382" s="14" t="n"/>
      <c r="E382" s="14" t="n"/>
      <c r="F382" s="14" t="n"/>
      <c r="G382" s="22" t="n"/>
      <c r="H382" s="22" t="n"/>
      <c r="I382" s="22" t="n"/>
      <c r="J382" s="22" t="n"/>
      <c r="K382" s="22" t="n"/>
      <c r="L382" s="22" t="n"/>
      <c r="M382" s="22" t="n"/>
      <c r="N382" s="22" t="n"/>
      <c r="O382" s="23">
        <f>IF($C382="","",N(L382)-N(M382))</f>
        <v/>
      </c>
      <c r="P382" s="24" t="n"/>
      <c r="Q382" s="23">
        <f>IF($C382="","",N(M382)+N(N382))</f>
        <v/>
      </c>
      <c r="R382" s="23">
        <f>IF($C382="","",N(J382)+N(Q382))</f>
        <v/>
      </c>
      <c r="S382" s="25">
        <f>IF(OR($C382="",N($G382)=0),"",R382/$G382)</f>
        <v/>
      </c>
      <c r="T382" s="23">
        <f>IF($C382="","",N($G382)-N(R382))</f>
        <v/>
      </c>
      <c r="U382" s="24" t="n"/>
      <c r="V382" s="22" t="n"/>
    </row>
    <row r="383">
      <c r="B383" s="13">
        <f>IF($C383="","",COUNTA($C$9:$C383))</f>
        <v/>
      </c>
      <c r="C383" s="21" t="n"/>
      <c r="D383" s="14" t="n"/>
      <c r="E383" s="14" t="n"/>
      <c r="F383" s="14" t="n"/>
      <c r="G383" s="22" t="n"/>
      <c r="H383" s="22" t="n"/>
      <c r="I383" s="22" t="n"/>
      <c r="J383" s="22" t="n"/>
      <c r="K383" s="22" t="n"/>
      <c r="L383" s="22" t="n"/>
      <c r="M383" s="22" t="n"/>
      <c r="N383" s="22" t="n"/>
      <c r="O383" s="23">
        <f>IF($C383="","",N(L383)-N(M383))</f>
        <v/>
      </c>
      <c r="P383" s="24" t="n"/>
      <c r="Q383" s="23">
        <f>IF($C383="","",N(M383)+N(N383))</f>
        <v/>
      </c>
      <c r="R383" s="23">
        <f>IF($C383="","",N(J383)+N(Q383))</f>
        <v/>
      </c>
      <c r="S383" s="25">
        <f>IF(OR($C383="",N($G383)=0),"",R383/$G383)</f>
        <v/>
      </c>
      <c r="T383" s="23">
        <f>IF($C383="","",N($G383)-N(R383))</f>
        <v/>
      </c>
      <c r="U383" s="24" t="n"/>
      <c r="V383" s="22" t="n"/>
    </row>
    <row r="384">
      <c r="B384" s="13">
        <f>IF($C384="","",COUNTA($C$9:$C384))</f>
        <v/>
      </c>
      <c r="C384" s="21" t="n"/>
      <c r="D384" s="14" t="n"/>
      <c r="E384" s="14" t="n"/>
      <c r="F384" s="14" t="n"/>
      <c r="G384" s="22" t="n"/>
      <c r="H384" s="22" t="n"/>
      <c r="I384" s="22" t="n"/>
      <c r="J384" s="22" t="n"/>
      <c r="K384" s="22" t="n"/>
      <c r="L384" s="22" t="n"/>
      <c r="M384" s="22" t="n"/>
      <c r="N384" s="22" t="n"/>
      <c r="O384" s="23">
        <f>IF($C384="","",N(L384)-N(M384))</f>
        <v/>
      </c>
      <c r="P384" s="24" t="n"/>
      <c r="Q384" s="23">
        <f>IF($C384="","",N(M384)+N(N384))</f>
        <v/>
      </c>
      <c r="R384" s="23">
        <f>IF($C384="","",N(J384)+N(Q384))</f>
        <v/>
      </c>
      <c r="S384" s="25">
        <f>IF(OR($C384="",N($G384)=0),"",R384/$G384)</f>
        <v/>
      </c>
      <c r="T384" s="23">
        <f>IF($C384="","",N($G384)-N(R384))</f>
        <v/>
      </c>
      <c r="U384" s="24" t="n"/>
      <c r="V384" s="22" t="n"/>
    </row>
    <row r="385">
      <c r="B385" s="13">
        <f>IF($C385="","",COUNTA($C$9:$C385))</f>
        <v/>
      </c>
      <c r="C385" s="21" t="n"/>
      <c r="D385" s="14" t="n"/>
      <c r="E385" s="14" t="n"/>
      <c r="F385" s="14" t="n"/>
      <c r="G385" s="22" t="n"/>
      <c r="H385" s="22" t="n"/>
      <c r="I385" s="22" t="n"/>
      <c r="J385" s="22" t="n"/>
      <c r="K385" s="22" t="n"/>
      <c r="L385" s="22" t="n"/>
      <c r="M385" s="22" t="n"/>
      <c r="N385" s="22" t="n"/>
      <c r="O385" s="23">
        <f>IF($C385="","",N(L385)-N(M385))</f>
        <v/>
      </c>
      <c r="P385" s="24" t="n"/>
      <c r="Q385" s="23">
        <f>IF($C385="","",N(M385)+N(N385))</f>
        <v/>
      </c>
      <c r="R385" s="23">
        <f>IF($C385="","",N(J385)+N(Q385))</f>
        <v/>
      </c>
      <c r="S385" s="25">
        <f>IF(OR($C385="",N($G385)=0),"",R385/$G385)</f>
        <v/>
      </c>
      <c r="T385" s="23">
        <f>IF($C385="","",N($G385)-N(R385))</f>
        <v/>
      </c>
      <c r="U385" s="24" t="n"/>
      <c r="V385" s="22" t="n"/>
    </row>
    <row r="386">
      <c r="B386" s="13">
        <f>IF($C386="","",COUNTA($C$9:$C386))</f>
        <v/>
      </c>
      <c r="C386" s="21" t="n"/>
      <c r="D386" s="14" t="n"/>
      <c r="E386" s="14" t="n"/>
      <c r="F386" s="14" t="n"/>
      <c r="G386" s="22" t="n"/>
      <c r="H386" s="22" t="n"/>
      <c r="I386" s="22" t="n"/>
      <c r="J386" s="22" t="n"/>
      <c r="K386" s="22" t="n"/>
      <c r="L386" s="22" t="n"/>
      <c r="M386" s="22" t="n"/>
      <c r="N386" s="22" t="n"/>
      <c r="O386" s="23">
        <f>IF($C386="","",N(L386)-N(M386))</f>
        <v/>
      </c>
      <c r="P386" s="24" t="n"/>
      <c r="Q386" s="23">
        <f>IF($C386="","",N(M386)+N(N386))</f>
        <v/>
      </c>
      <c r="R386" s="23">
        <f>IF($C386="","",N(J386)+N(Q386))</f>
        <v/>
      </c>
      <c r="S386" s="25">
        <f>IF(OR($C386="",N($G386)=0),"",R386/$G386)</f>
        <v/>
      </c>
      <c r="T386" s="23">
        <f>IF($C386="","",N($G386)-N(R386))</f>
        <v/>
      </c>
      <c r="U386" s="24" t="n"/>
      <c r="V386" s="22" t="n"/>
    </row>
    <row r="387">
      <c r="B387" s="13">
        <f>IF($C387="","",COUNTA($C$9:$C387))</f>
        <v/>
      </c>
      <c r="C387" s="21" t="n"/>
      <c r="D387" s="14" t="n"/>
      <c r="E387" s="14" t="n"/>
      <c r="F387" s="14" t="n"/>
      <c r="G387" s="22" t="n"/>
      <c r="H387" s="22" t="n"/>
      <c r="I387" s="22" t="n"/>
      <c r="J387" s="22" t="n"/>
      <c r="K387" s="22" t="n"/>
      <c r="L387" s="22" t="n"/>
      <c r="M387" s="22" t="n"/>
      <c r="N387" s="22" t="n"/>
      <c r="O387" s="23">
        <f>IF($C387="","",N(L387)-N(M387))</f>
        <v/>
      </c>
      <c r="P387" s="24" t="n"/>
      <c r="Q387" s="23">
        <f>IF($C387="","",N(M387)+N(N387))</f>
        <v/>
      </c>
      <c r="R387" s="23">
        <f>IF($C387="","",N(J387)+N(Q387))</f>
        <v/>
      </c>
      <c r="S387" s="25">
        <f>IF(OR($C387="",N($G387)=0),"",R387/$G387)</f>
        <v/>
      </c>
      <c r="T387" s="23">
        <f>IF($C387="","",N($G387)-N(R387))</f>
        <v/>
      </c>
      <c r="U387" s="24" t="n"/>
      <c r="V387" s="22" t="n"/>
    </row>
    <row r="388">
      <c r="B388" s="13">
        <f>IF($C388="","",COUNTA($C$9:$C388))</f>
        <v/>
      </c>
      <c r="C388" s="21" t="n"/>
      <c r="D388" s="14" t="n"/>
      <c r="E388" s="14" t="n"/>
      <c r="F388" s="14" t="n"/>
      <c r="G388" s="22" t="n"/>
      <c r="H388" s="22" t="n"/>
      <c r="I388" s="22" t="n"/>
      <c r="J388" s="22" t="n"/>
      <c r="K388" s="22" t="n"/>
      <c r="L388" s="22" t="n"/>
      <c r="M388" s="22" t="n"/>
      <c r="N388" s="22" t="n"/>
      <c r="O388" s="23">
        <f>IF($C388="","",N(L388)-N(M388))</f>
        <v/>
      </c>
      <c r="P388" s="24" t="n"/>
      <c r="Q388" s="23">
        <f>IF($C388="","",N(M388)+N(N388))</f>
        <v/>
      </c>
      <c r="R388" s="23">
        <f>IF($C388="","",N(J388)+N(Q388))</f>
        <v/>
      </c>
      <c r="S388" s="25">
        <f>IF(OR($C388="",N($G388)=0),"",R388/$G388)</f>
        <v/>
      </c>
      <c r="T388" s="23">
        <f>IF($C388="","",N($G388)-N(R388))</f>
        <v/>
      </c>
      <c r="U388" s="24" t="n"/>
      <c r="V388" s="22" t="n"/>
    </row>
    <row r="389">
      <c r="B389" s="13">
        <f>IF($C389="","",COUNTA($C$9:$C389))</f>
        <v/>
      </c>
      <c r="C389" s="21" t="n"/>
      <c r="D389" s="14" t="n"/>
      <c r="E389" s="14" t="n"/>
      <c r="F389" s="14" t="n"/>
      <c r="G389" s="22" t="n"/>
      <c r="H389" s="22" t="n"/>
      <c r="I389" s="22" t="n"/>
      <c r="J389" s="22" t="n"/>
      <c r="K389" s="22" t="n"/>
      <c r="L389" s="22" t="n"/>
      <c r="M389" s="22" t="n"/>
      <c r="N389" s="22" t="n"/>
      <c r="O389" s="23">
        <f>IF($C389="","",N(L389)-N(M389))</f>
        <v/>
      </c>
      <c r="P389" s="24" t="n"/>
      <c r="Q389" s="23">
        <f>IF($C389="","",N(M389)+N(N389))</f>
        <v/>
      </c>
      <c r="R389" s="23">
        <f>IF($C389="","",N(J389)+N(Q389))</f>
        <v/>
      </c>
      <c r="S389" s="25">
        <f>IF(OR($C389="",N($G389)=0),"",R389/$G389)</f>
        <v/>
      </c>
      <c r="T389" s="23">
        <f>IF($C389="","",N($G389)-N(R389))</f>
        <v/>
      </c>
      <c r="U389" s="24" t="n"/>
      <c r="V389" s="22" t="n"/>
    </row>
    <row r="390">
      <c r="B390" s="13">
        <f>IF($C390="","",COUNTA($C$9:$C390))</f>
        <v/>
      </c>
      <c r="C390" s="21" t="n"/>
      <c r="D390" s="14" t="n"/>
      <c r="E390" s="14" t="n"/>
      <c r="F390" s="14" t="n"/>
      <c r="G390" s="22" t="n"/>
      <c r="H390" s="22" t="n"/>
      <c r="I390" s="22" t="n"/>
      <c r="J390" s="22" t="n"/>
      <c r="K390" s="22" t="n"/>
      <c r="L390" s="22" t="n"/>
      <c r="M390" s="22" t="n"/>
      <c r="N390" s="22" t="n"/>
      <c r="O390" s="23">
        <f>IF($C390="","",N(L390)-N(M390))</f>
        <v/>
      </c>
      <c r="P390" s="24" t="n"/>
      <c r="Q390" s="23">
        <f>IF($C390="","",N(M390)+N(N390))</f>
        <v/>
      </c>
      <c r="R390" s="23">
        <f>IF($C390="","",N(J390)+N(Q390))</f>
        <v/>
      </c>
      <c r="S390" s="25">
        <f>IF(OR($C390="",N($G390)=0),"",R390/$G390)</f>
        <v/>
      </c>
      <c r="T390" s="23">
        <f>IF($C390="","",N($G390)-N(R390))</f>
        <v/>
      </c>
      <c r="U390" s="24" t="n"/>
      <c r="V390" s="22" t="n"/>
    </row>
    <row r="391">
      <c r="B391" s="13">
        <f>IF($C391="","",COUNTA($C$9:$C391))</f>
        <v/>
      </c>
      <c r="C391" s="21" t="n"/>
      <c r="D391" s="14" t="n"/>
      <c r="E391" s="14" t="n"/>
      <c r="F391" s="14" t="n"/>
      <c r="G391" s="22" t="n"/>
      <c r="H391" s="22" t="n"/>
      <c r="I391" s="22" t="n"/>
      <c r="J391" s="22" t="n"/>
      <c r="K391" s="22" t="n"/>
      <c r="L391" s="22" t="n"/>
      <c r="M391" s="22" t="n"/>
      <c r="N391" s="22" t="n"/>
      <c r="O391" s="23">
        <f>IF($C391="","",N(L391)-N(M391))</f>
        <v/>
      </c>
      <c r="P391" s="24" t="n"/>
      <c r="Q391" s="23">
        <f>IF($C391="","",N(M391)+N(N391))</f>
        <v/>
      </c>
      <c r="R391" s="23">
        <f>IF($C391="","",N(J391)+N(Q391))</f>
        <v/>
      </c>
      <c r="S391" s="25">
        <f>IF(OR($C391="",N($G391)=0),"",R391/$G391)</f>
        <v/>
      </c>
      <c r="T391" s="23">
        <f>IF($C391="","",N($G391)-N(R391))</f>
        <v/>
      </c>
      <c r="U391" s="24" t="n"/>
      <c r="V391" s="22" t="n"/>
    </row>
    <row r="392">
      <c r="B392" s="13">
        <f>IF($C392="","",COUNTA($C$9:$C392))</f>
        <v/>
      </c>
      <c r="C392" s="21" t="n"/>
      <c r="D392" s="14" t="n"/>
      <c r="E392" s="14" t="n"/>
      <c r="F392" s="14" t="n"/>
      <c r="G392" s="22" t="n"/>
      <c r="H392" s="22" t="n"/>
      <c r="I392" s="22" t="n"/>
      <c r="J392" s="22" t="n"/>
      <c r="K392" s="22" t="n"/>
      <c r="L392" s="22" t="n"/>
      <c r="M392" s="22" t="n"/>
      <c r="N392" s="22" t="n"/>
      <c r="O392" s="23">
        <f>IF($C392="","",N(L392)-N(M392))</f>
        <v/>
      </c>
      <c r="P392" s="24" t="n"/>
      <c r="Q392" s="23">
        <f>IF($C392="","",N(M392)+N(N392))</f>
        <v/>
      </c>
      <c r="R392" s="23">
        <f>IF($C392="","",N(J392)+N(Q392))</f>
        <v/>
      </c>
      <c r="S392" s="25">
        <f>IF(OR($C392="",N($G392)=0),"",R392/$G392)</f>
        <v/>
      </c>
      <c r="T392" s="23">
        <f>IF($C392="","",N($G392)-N(R392))</f>
        <v/>
      </c>
      <c r="U392" s="24" t="n"/>
      <c r="V392" s="22" t="n"/>
    </row>
    <row r="393">
      <c r="B393" s="13">
        <f>IF($C393="","",COUNTA($C$9:$C393))</f>
        <v/>
      </c>
      <c r="C393" s="21" t="n"/>
      <c r="D393" s="14" t="n"/>
      <c r="E393" s="14" t="n"/>
      <c r="F393" s="14" t="n"/>
      <c r="G393" s="22" t="n"/>
      <c r="H393" s="22" t="n"/>
      <c r="I393" s="22" t="n"/>
      <c r="J393" s="22" t="n"/>
      <c r="K393" s="22" t="n"/>
      <c r="L393" s="22" t="n"/>
      <c r="M393" s="22" t="n"/>
      <c r="N393" s="22" t="n"/>
      <c r="O393" s="23">
        <f>IF($C393="","",N(L393)-N(M393))</f>
        <v/>
      </c>
      <c r="P393" s="24" t="n"/>
      <c r="Q393" s="23">
        <f>IF($C393="","",N(M393)+N(N393))</f>
        <v/>
      </c>
      <c r="R393" s="23">
        <f>IF($C393="","",N(J393)+N(Q393))</f>
        <v/>
      </c>
      <c r="S393" s="25">
        <f>IF(OR($C393="",N($G393)=0),"",R393/$G393)</f>
        <v/>
      </c>
      <c r="T393" s="23">
        <f>IF($C393="","",N($G393)-N(R393))</f>
        <v/>
      </c>
      <c r="U393" s="24" t="n"/>
      <c r="V393" s="22" t="n"/>
    </row>
    <row r="394">
      <c r="B394" s="13">
        <f>IF($C394="","",COUNTA($C$9:$C394))</f>
        <v/>
      </c>
      <c r="C394" s="21" t="n"/>
      <c r="D394" s="14" t="n"/>
      <c r="E394" s="14" t="n"/>
      <c r="F394" s="14" t="n"/>
      <c r="G394" s="22" t="n"/>
      <c r="H394" s="22" t="n"/>
      <c r="I394" s="22" t="n"/>
      <c r="J394" s="22" t="n"/>
      <c r="K394" s="22" t="n"/>
      <c r="L394" s="22" t="n"/>
      <c r="M394" s="22" t="n"/>
      <c r="N394" s="22" t="n"/>
      <c r="O394" s="23">
        <f>IF($C394="","",N(L394)-N(M394))</f>
        <v/>
      </c>
      <c r="P394" s="24" t="n"/>
      <c r="Q394" s="23">
        <f>IF($C394="","",N(M394)+N(N394))</f>
        <v/>
      </c>
      <c r="R394" s="23">
        <f>IF($C394="","",N(J394)+N(Q394))</f>
        <v/>
      </c>
      <c r="S394" s="25">
        <f>IF(OR($C394="",N($G394)=0),"",R394/$G394)</f>
        <v/>
      </c>
      <c r="T394" s="23">
        <f>IF($C394="","",N($G394)-N(R394))</f>
        <v/>
      </c>
      <c r="U394" s="24" t="n"/>
      <c r="V394" s="22" t="n"/>
    </row>
    <row r="395">
      <c r="B395" s="13">
        <f>IF($C395="","",COUNTA($C$9:$C395))</f>
        <v/>
      </c>
      <c r="C395" s="21" t="n"/>
      <c r="D395" s="14" t="n"/>
      <c r="E395" s="14" t="n"/>
      <c r="F395" s="14" t="n"/>
      <c r="G395" s="22" t="n"/>
      <c r="H395" s="22" t="n"/>
      <c r="I395" s="22" t="n"/>
      <c r="J395" s="22" t="n"/>
      <c r="K395" s="22" t="n"/>
      <c r="L395" s="22" t="n"/>
      <c r="M395" s="22" t="n"/>
      <c r="N395" s="22" t="n"/>
      <c r="O395" s="23">
        <f>IF($C395="","",N(L395)-N(M395))</f>
        <v/>
      </c>
      <c r="P395" s="24" t="n"/>
      <c r="Q395" s="23">
        <f>IF($C395="","",N(M395)+N(N395))</f>
        <v/>
      </c>
      <c r="R395" s="23">
        <f>IF($C395="","",N(J395)+N(Q395))</f>
        <v/>
      </c>
      <c r="S395" s="25">
        <f>IF(OR($C395="",N($G395)=0),"",R395/$G395)</f>
        <v/>
      </c>
      <c r="T395" s="23">
        <f>IF($C395="","",N($G395)-N(R395))</f>
        <v/>
      </c>
      <c r="U395" s="24" t="n"/>
      <c r="V395" s="22" t="n"/>
    </row>
    <row r="396">
      <c r="B396" s="13">
        <f>IF($C396="","",COUNTA($C$9:$C396))</f>
        <v/>
      </c>
      <c r="C396" s="21" t="n"/>
      <c r="D396" s="14" t="n"/>
      <c r="E396" s="14" t="n"/>
      <c r="F396" s="14" t="n"/>
      <c r="G396" s="22" t="n"/>
      <c r="H396" s="22" t="n"/>
      <c r="I396" s="22" t="n"/>
      <c r="J396" s="22" t="n"/>
      <c r="K396" s="22" t="n"/>
      <c r="L396" s="22" t="n"/>
      <c r="M396" s="22" t="n"/>
      <c r="N396" s="22" t="n"/>
      <c r="O396" s="23">
        <f>IF($C396="","",N(L396)-N(M396))</f>
        <v/>
      </c>
      <c r="P396" s="24" t="n"/>
      <c r="Q396" s="23">
        <f>IF($C396="","",N(M396)+N(N396))</f>
        <v/>
      </c>
      <c r="R396" s="23">
        <f>IF($C396="","",N(J396)+N(Q396))</f>
        <v/>
      </c>
      <c r="S396" s="25">
        <f>IF(OR($C396="",N($G396)=0),"",R396/$G396)</f>
        <v/>
      </c>
      <c r="T396" s="23">
        <f>IF($C396="","",N($G396)-N(R396))</f>
        <v/>
      </c>
      <c r="U396" s="24" t="n"/>
      <c r="V396" s="22" t="n"/>
    </row>
    <row r="397">
      <c r="B397" s="13">
        <f>IF($C397="","",COUNTA($C$9:$C397))</f>
        <v/>
      </c>
      <c r="C397" s="21" t="n"/>
      <c r="D397" s="14" t="n"/>
      <c r="E397" s="14" t="n"/>
      <c r="F397" s="14" t="n"/>
      <c r="G397" s="22" t="n"/>
      <c r="H397" s="22" t="n"/>
      <c r="I397" s="22" t="n"/>
      <c r="J397" s="22" t="n"/>
      <c r="K397" s="22" t="n"/>
      <c r="L397" s="22" t="n"/>
      <c r="M397" s="22" t="n"/>
      <c r="N397" s="22" t="n"/>
      <c r="O397" s="23">
        <f>IF($C397="","",N(L397)-N(M397))</f>
        <v/>
      </c>
      <c r="P397" s="24" t="n"/>
      <c r="Q397" s="23">
        <f>IF($C397="","",N(M397)+N(N397))</f>
        <v/>
      </c>
      <c r="R397" s="23">
        <f>IF($C397="","",N(J397)+N(Q397))</f>
        <v/>
      </c>
      <c r="S397" s="25">
        <f>IF(OR($C397="",N($G397)=0),"",R397/$G397)</f>
        <v/>
      </c>
      <c r="T397" s="23">
        <f>IF($C397="","",N($G397)-N(R397))</f>
        <v/>
      </c>
      <c r="U397" s="24" t="n"/>
      <c r="V397" s="22" t="n"/>
    </row>
    <row r="398">
      <c r="B398" s="13">
        <f>IF($C398="","",COUNTA($C$9:$C398))</f>
        <v/>
      </c>
      <c r="C398" s="21" t="n"/>
      <c r="D398" s="14" t="n"/>
      <c r="E398" s="14" t="n"/>
      <c r="F398" s="14" t="n"/>
      <c r="G398" s="22" t="n"/>
      <c r="H398" s="22" t="n"/>
      <c r="I398" s="22" t="n"/>
      <c r="J398" s="22" t="n"/>
      <c r="K398" s="22" t="n"/>
      <c r="L398" s="22" t="n"/>
      <c r="M398" s="22" t="n"/>
      <c r="N398" s="22" t="n"/>
      <c r="O398" s="23">
        <f>IF($C398="","",N(L398)-N(M398))</f>
        <v/>
      </c>
      <c r="P398" s="24" t="n"/>
      <c r="Q398" s="23">
        <f>IF($C398="","",N(M398)+N(N398))</f>
        <v/>
      </c>
      <c r="R398" s="23">
        <f>IF($C398="","",N(J398)+N(Q398))</f>
        <v/>
      </c>
      <c r="S398" s="25">
        <f>IF(OR($C398="",N($G398)=0),"",R398/$G398)</f>
        <v/>
      </c>
      <c r="T398" s="23">
        <f>IF($C398="","",N($G398)-N(R398))</f>
        <v/>
      </c>
      <c r="U398" s="24" t="n"/>
      <c r="V398" s="22" t="n"/>
    </row>
    <row r="399">
      <c r="B399" s="13">
        <f>IF($C399="","",COUNTA($C$9:$C399))</f>
        <v/>
      </c>
      <c r="C399" s="21" t="n"/>
      <c r="D399" s="14" t="n"/>
      <c r="E399" s="14" t="n"/>
      <c r="F399" s="14" t="n"/>
      <c r="G399" s="22" t="n"/>
      <c r="H399" s="22" t="n"/>
      <c r="I399" s="22" t="n"/>
      <c r="J399" s="22" t="n"/>
      <c r="K399" s="22" t="n"/>
      <c r="L399" s="22" t="n"/>
      <c r="M399" s="22" t="n"/>
      <c r="N399" s="22" t="n"/>
      <c r="O399" s="23">
        <f>IF($C399="","",N(L399)-N(M399))</f>
        <v/>
      </c>
      <c r="P399" s="24" t="n"/>
      <c r="Q399" s="23">
        <f>IF($C399="","",N(M399)+N(N399))</f>
        <v/>
      </c>
      <c r="R399" s="23">
        <f>IF($C399="","",N(J399)+N(Q399))</f>
        <v/>
      </c>
      <c r="S399" s="25">
        <f>IF(OR($C399="",N($G399)=0),"",R399/$G399)</f>
        <v/>
      </c>
      <c r="T399" s="23">
        <f>IF($C399="","",N($G399)-N(R399))</f>
        <v/>
      </c>
      <c r="U399" s="24" t="n"/>
      <c r="V399" s="22" t="n"/>
    </row>
    <row r="400">
      <c r="B400" s="13">
        <f>IF($C400="","",COUNTA($C$9:$C400))</f>
        <v/>
      </c>
      <c r="C400" s="21" t="n"/>
      <c r="D400" s="14" t="n"/>
      <c r="E400" s="14" t="n"/>
      <c r="F400" s="14" t="n"/>
      <c r="G400" s="22" t="n"/>
      <c r="H400" s="22" t="n"/>
      <c r="I400" s="22" t="n"/>
      <c r="J400" s="22" t="n"/>
      <c r="K400" s="22" t="n"/>
      <c r="L400" s="22" t="n"/>
      <c r="M400" s="22" t="n"/>
      <c r="N400" s="22" t="n"/>
      <c r="O400" s="23">
        <f>IF($C400="","",N(L400)-N(M400))</f>
        <v/>
      </c>
      <c r="P400" s="24" t="n"/>
      <c r="Q400" s="23">
        <f>IF($C400="","",N(M400)+N(N400))</f>
        <v/>
      </c>
      <c r="R400" s="23">
        <f>IF($C400="","",N(J400)+N(Q400))</f>
        <v/>
      </c>
      <c r="S400" s="25">
        <f>IF(OR($C400="",N($G400)=0),"",R400/$G400)</f>
        <v/>
      </c>
      <c r="T400" s="23">
        <f>IF($C400="","",N($G400)-N(R400))</f>
        <v/>
      </c>
      <c r="U400" s="24" t="n"/>
      <c r="V400" s="22" t="n"/>
    </row>
    <row r="401">
      <c r="B401" s="13">
        <f>IF($C401="","",COUNTA($C$9:$C401))</f>
        <v/>
      </c>
      <c r="C401" s="21" t="n"/>
      <c r="D401" s="14" t="n"/>
      <c r="E401" s="14" t="n"/>
      <c r="F401" s="14" t="n"/>
      <c r="G401" s="22" t="n"/>
      <c r="H401" s="22" t="n"/>
      <c r="I401" s="22" t="n"/>
      <c r="J401" s="22" t="n"/>
      <c r="K401" s="22" t="n"/>
      <c r="L401" s="22" t="n"/>
      <c r="M401" s="22" t="n"/>
      <c r="N401" s="22" t="n"/>
      <c r="O401" s="23">
        <f>IF($C401="","",N(L401)-N(M401))</f>
        <v/>
      </c>
      <c r="P401" s="24" t="n"/>
      <c r="Q401" s="23">
        <f>IF($C401="","",N(M401)+N(N401))</f>
        <v/>
      </c>
      <c r="R401" s="23">
        <f>IF($C401="","",N(J401)+N(Q401))</f>
        <v/>
      </c>
      <c r="S401" s="25">
        <f>IF(OR($C401="",N($G401)=0),"",R401/$G401)</f>
        <v/>
      </c>
      <c r="T401" s="23">
        <f>IF($C401="","",N($G401)-N(R401))</f>
        <v/>
      </c>
      <c r="U401" s="24" t="n"/>
      <c r="V401" s="22" t="n"/>
    </row>
    <row r="402">
      <c r="B402" s="13">
        <f>IF($C402="","",COUNTA($C$9:$C402))</f>
        <v/>
      </c>
      <c r="C402" s="21" t="n"/>
      <c r="D402" s="14" t="n"/>
      <c r="E402" s="14" t="n"/>
      <c r="F402" s="14" t="n"/>
      <c r="G402" s="22" t="n"/>
      <c r="H402" s="22" t="n"/>
      <c r="I402" s="22" t="n"/>
      <c r="J402" s="22" t="n"/>
      <c r="K402" s="22" t="n"/>
      <c r="L402" s="22" t="n"/>
      <c r="M402" s="22" t="n"/>
      <c r="N402" s="22" t="n"/>
      <c r="O402" s="23">
        <f>IF($C402="","",N(L402)-N(M402))</f>
        <v/>
      </c>
      <c r="P402" s="24" t="n"/>
      <c r="Q402" s="23">
        <f>IF($C402="","",N(M402)+N(N402))</f>
        <v/>
      </c>
      <c r="R402" s="23">
        <f>IF($C402="","",N(J402)+N(Q402))</f>
        <v/>
      </c>
      <c r="S402" s="25">
        <f>IF(OR($C402="",N($G402)=0),"",R402/$G402)</f>
        <v/>
      </c>
      <c r="T402" s="23">
        <f>IF($C402="","",N($G402)-N(R402))</f>
        <v/>
      </c>
      <c r="U402" s="24" t="n"/>
      <c r="V402" s="22" t="n"/>
    </row>
    <row r="403">
      <c r="B403" s="13">
        <f>IF($C403="","",COUNTA($C$9:$C403))</f>
        <v/>
      </c>
      <c r="C403" s="21" t="n"/>
      <c r="D403" s="14" t="n"/>
      <c r="E403" s="14" t="n"/>
      <c r="F403" s="14" t="n"/>
      <c r="G403" s="22" t="n"/>
      <c r="H403" s="22" t="n"/>
      <c r="I403" s="22" t="n"/>
      <c r="J403" s="22" t="n"/>
      <c r="K403" s="22" t="n"/>
      <c r="L403" s="22" t="n"/>
      <c r="M403" s="22" t="n"/>
      <c r="N403" s="22" t="n"/>
      <c r="O403" s="23">
        <f>IF($C403="","",N(L403)-N(M403))</f>
        <v/>
      </c>
      <c r="P403" s="24" t="n"/>
      <c r="Q403" s="23">
        <f>IF($C403="","",N(M403)+N(N403))</f>
        <v/>
      </c>
      <c r="R403" s="23">
        <f>IF($C403="","",N(J403)+N(Q403))</f>
        <v/>
      </c>
      <c r="S403" s="25">
        <f>IF(OR($C403="",N($G403)=0),"",R403/$G403)</f>
        <v/>
      </c>
      <c r="T403" s="23">
        <f>IF($C403="","",N($G403)-N(R403))</f>
        <v/>
      </c>
      <c r="U403" s="24" t="n"/>
      <c r="V403" s="22" t="n"/>
    </row>
    <row r="404">
      <c r="B404" s="13">
        <f>IF($C404="","",COUNTA($C$9:$C404))</f>
        <v/>
      </c>
      <c r="C404" s="21" t="n"/>
      <c r="D404" s="14" t="n"/>
      <c r="E404" s="14" t="n"/>
      <c r="F404" s="14" t="n"/>
      <c r="G404" s="22" t="n"/>
      <c r="H404" s="22" t="n"/>
      <c r="I404" s="22" t="n"/>
      <c r="J404" s="22" t="n"/>
      <c r="K404" s="22" t="n"/>
      <c r="L404" s="22" t="n"/>
      <c r="M404" s="22" t="n"/>
      <c r="N404" s="22" t="n"/>
      <c r="O404" s="23">
        <f>IF($C404="","",N(L404)-N(M404))</f>
        <v/>
      </c>
      <c r="P404" s="24" t="n"/>
      <c r="Q404" s="23">
        <f>IF($C404="","",N(M404)+N(N404))</f>
        <v/>
      </c>
      <c r="R404" s="23">
        <f>IF($C404="","",N(J404)+N(Q404))</f>
        <v/>
      </c>
      <c r="S404" s="25">
        <f>IF(OR($C404="",N($G404)=0),"",R404/$G404)</f>
        <v/>
      </c>
      <c r="T404" s="23">
        <f>IF($C404="","",N($G404)-N(R404))</f>
        <v/>
      </c>
      <c r="U404" s="24" t="n"/>
      <c r="V404" s="22" t="n"/>
    </row>
    <row r="405">
      <c r="B405" s="13">
        <f>IF($C405="","",COUNTA($C$9:$C405))</f>
        <v/>
      </c>
      <c r="C405" s="21" t="n"/>
      <c r="D405" s="14" t="n"/>
      <c r="E405" s="14" t="n"/>
      <c r="F405" s="14" t="n"/>
      <c r="G405" s="22" t="n"/>
      <c r="H405" s="22" t="n"/>
      <c r="I405" s="22" t="n"/>
      <c r="J405" s="22" t="n"/>
      <c r="K405" s="22" t="n"/>
      <c r="L405" s="22" t="n"/>
      <c r="M405" s="22" t="n"/>
      <c r="N405" s="22" t="n"/>
      <c r="O405" s="23">
        <f>IF($C405="","",N(L405)-N(M405))</f>
        <v/>
      </c>
      <c r="P405" s="24" t="n"/>
      <c r="Q405" s="23">
        <f>IF($C405="","",N(M405)+N(N405))</f>
        <v/>
      </c>
      <c r="R405" s="23">
        <f>IF($C405="","",N(J405)+N(Q405))</f>
        <v/>
      </c>
      <c r="S405" s="25">
        <f>IF(OR($C405="",N($G405)=0),"",R405/$G405)</f>
        <v/>
      </c>
      <c r="T405" s="23">
        <f>IF($C405="","",N($G405)-N(R405))</f>
        <v/>
      </c>
      <c r="U405" s="24" t="n"/>
      <c r="V405" s="22" t="n"/>
    </row>
    <row r="406">
      <c r="B406" s="13">
        <f>IF($C406="","",COUNTA($C$9:$C406))</f>
        <v/>
      </c>
      <c r="C406" s="21" t="n"/>
      <c r="D406" s="14" t="n"/>
      <c r="E406" s="14" t="n"/>
      <c r="F406" s="14" t="n"/>
      <c r="G406" s="22" t="n"/>
      <c r="H406" s="22" t="n"/>
      <c r="I406" s="22" t="n"/>
      <c r="J406" s="22" t="n"/>
      <c r="K406" s="22" t="n"/>
      <c r="L406" s="22" t="n"/>
      <c r="M406" s="22" t="n"/>
      <c r="N406" s="22" t="n"/>
      <c r="O406" s="23">
        <f>IF($C406="","",N(L406)-N(M406))</f>
        <v/>
      </c>
      <c r="P406" s="24" t="n"/>
      <c r="Q406" s="23">
        <f>IF($C406="","",N(M406)+N(N406))</f>
        <v/>
      </c>
      <c r="R406" s="23">
        <f>IF($C406="","",N(J406)+N(Q406))</f>
        <v/>
      </c>
      <c r="S406" s="25">
        <f>IF(OR($C406="",N($G406)=0),"",R406/$G406)</f>
        <v/>
      </c>
      <c r="T406" s="23">
        <f>IF($C406="","",N($G406)-N(R406))</f>
        <v/>
      </c>
      <c r="U406" s="24" t="n"/>
      <c r="V406" s="22" t="n"/>
    </row>
    <row r="407">
      <c r="B407" s="13">
        <f>IF($C407="","",COUNTA($C$9:$C407))</f>
        <v/>
      </c>
      <c r="C407" s="21" t="n"/>
      <c r="D407" s="14" t="n"/>
      <c r="E407" s="14" t="n"/>
      <c r="F407" s="14" t="n"/>
      <c r="G407" s="22" t="n"/>
      <c r="H407" s="22" t="n"/>
      <c r="I407" s="22" t="n"/>
      <c r="J407" s="22" t="n"/>
      <c r="K407" s="22" t="n"/>
      <c r="L407" s="22" t="n"/>
      <c r="M407" s="22" t="n"/>
      <c r="N407" s="22" t="n"/>
      <c r="O407" s="23">
        <f>IF($C407="","",N(L407)-N(M407))</f>
        <v/>
      </c>
      <c r="P407" s="24" t="n"/>
      <c r="Q407" s="23">
        <f>IF($C407="","",N(M407)+N(N407))</f>
        <v/>
      </c>
      <c r="R407" s="23">
        <f>IF($C407="","",N(J407)+N(Q407))</f>
        <v/>
      </c>
      <c r="S407" s="25">
        <f>IF(OR($C407="",N($G407)=0),"",R407/$G407)</f>
        <v/>
      </c>
      <c r="T407" s="23">
        <f>IF($C407="","",N($G407)-N(R407))</f>
        <v/>
      </c>
      <c r="U407" s="24" t="n"/>
      <c r="V407" s="22" t="n"/>
    </row>
    <row r="408">
      <c r="B408" s="13">
        <f>IF($C408="","",COUNTA($C$9:$C408))</f>
        <v/>
      </c>
      <c r="C408" s="21" t="n"/>
      <c r="D408" s="14" t="n"/>
      <c r="E408" s="14" t="n"/>
      <c r="F408" s="14" t="n"/>
      <c r="G408" s="22" t="n"/>
      <c r="H408" s="22" t="n"/>
      <c r="I408" s="22" t="n"/>
      <c r="J408" s="22" t="n"/>
      <c r="K408" s="22" t="n"/>
      <c r="L408" s="22" t="n"/>
      <c r="M408" s="22" t="n"/>
      <c r="N408" s="22" t="n"/>
      <c r="O408" s="23">
        <f>IF($C408="","",N(L408)-N(M408))</f>
        <v/>
      </c>
      <c r="P408" s="24" t="n"/>
      <c r="Q408" s="23">
        <f>IF($C408="","",N(M408)+N(N408))</f>
        <v/>
      </c>
      <c r="R408" s="23">
        <f>IF($C408="","",N(J408)+N(Q408))</f>
        <v/>
      </c>
      <c r="S408" s="25">
        <f>IF(OR($C408="",N($G408)=0),"",R408/$G408)</f>
        <v/>
      </c>
      <c r="T408" s="23">
        <f>IF($C408="","",N($G408)-N(R408))</f>
        <v/>
      </c>
      <c r="U408" s="24" t="n"/>
      <c r="V408" s="22" t="n"/>
    </row>
  </sheetData>
  <autoFilter ref="B7:V408"/>
  <mergeCells count="2">
    <mergeCell ref="C4:V4"/>
    <mergeCell ref="C3:V3"/>
  </mergeCells>
  <conditionalFormatting sqref="O9:O408">
    <cfRule type="cellIs" priority="1" operator="greaterThan" dxfId="0">
      <formula>0</formula>
    </cfRule>
  </conditionalFormatting>
  <conditionalFormatting sqref="S9:S408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dataValidations count="3">
    <dataValidation sqref="D9:D408" showDropDown="0" showInputMessage="0" showErrorMessage="0" allowBlank="1" type="list">
      <formula1>=Areas</formula1>
    </dataValidation>
    <dataValidation sqref="E9:E408" showDropDown="0" showInputMessage="0" showErrorMessage="0" allowBlank="1" type="list">
      <formula1>=Activities</formula1>
    </dataValidation>
    <dataValidation sqref="F9:F408" showDropDown="0" showInputMessage="0" showErrorMessage="0" allowBlank="1" type="list">
      <formula1>=Agencies</formula1>
    </dataValidation>
  </dataValidation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B1:V408"/>
  <sheetViews>
    <sheetView zoomScale="85" workbookViewId="0">
      <pane xSplit="6" ySplit="8" topLeftCell="G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6" customWidth="1" min="2" max="2"/>
    <col width="38" customWidth="1" min="3" max="3"/>
    <col width="22" customWidth="1" min="4" max="4"/>
    <col width="24" customWidth="1" min="5" max="5"/>
    <col width="22" customWidth="1" min="6" max="6"/>
    <col width="11" customWidth="1" min="7" max="7"/>
    <col width="12" customWidth="1" min="8" max="8"/>
    <col width="12" customWidth="1" min="9" max="9"/>
    <col width="13" customWidth="1" min="10" max="10"/>
    <col width="11" customWidth="1" min="11" max="11"/>
    <col width="11" customWidth="1" min="12" max="12"/>
    <col width="11" customWidth="1" min="13" max="13"/>
    <col width="13" customWidth="1" min="14" max="14"/>
    <col width="12" customWidth="1" min="15" max="15"/>
    <col width="26" customWidth="1" min="16" max="16"/>
    <col width="13" customWidth="1" min="17" max="17"/>
    <col width="13" customWidth="1" min="18" max="18"/>
    <col width="10" customWidth="1" min="19" max="19"/>
    <col width="11" customWidth="1" min="20" max="20"/>
    <col width="30" customWidth="1" min="21" max="21"/>
    <col width="11" customWidth="1" min="22" max="22"/>
  </cols>
  <sheetData>
    <row r="1" ht="15" customHeight="1"/>
    <row r="2" ht="15" customHeight="1">
      <c r="B2" s="5" t="inlineStr">
        <is>
          <t>JSW</t>
        </is>
      </c>
    </row>
    <row r="3" ht="15" customHeight="1">
      <c r="C3" s="18" t="inlineStr">
        <is>
          <t>Structural Supply  —  Backup Sheet   (UOM: MT)</t>
        </is>
      </c>
    </row>
    <row r="4" ht="15" customHeight="1">
      <c r="C4" s="19">
        <f>Config!$C$4</f>
        <v/>
      </c>
    </row>
    <row r="5" ht="15" customHeight="1">
      <c r="S5" s="8" t="inlineStr">
        <is>
          <t>Data date:</t>
        </is>
      </c>
      <c r="T5" s="9">
        <f>Config!$C$6</f>
        <v/>
      </c>
    </row>
    <row r="6" ht="15" customHeight="1">
      <c r="S6" s="8" t="inlineStr">
        <is>
          <t>Reporting date:</t>
        </is>
      </c>
      <c r="T6" s="9">
        <f>Config!$C$7</f>
        <v/>
      </c>
    </row>
    <row r="7" ht="34" customHeight="1">
      <c r="B7" s="20" t="inlineStr">
        <is>
          <t>SL.</t>
        </is>
      </c>
      <c r="C7" s="20" t="inlineStr">
        <is>
          <t>Name of the Structures</t>
        </is>
      </c>
      <c r="D7" s="20" t="inlineStr">
        <is>
          <t>Area</t>
        </is>
      </c>
      <c r="E7" s="20" t="inlineStr">
        <is>
          <t>Activity</t>
        </is>
      </c>
      <c r="F7" s="20" t="inlineStr">
        <is>
          <t>Agency / Contractor</t>
        </is>
      </c>
      <c r="G7" s="20" t="inlineStr">
        <is>
          <t>Scope</t>
        </is>
      </c>
      <c r="H7" s="20" t="inlineStr">
        <is>
          <t>Drawing Released</t>
        </is>
      </c>
      <c r="I7" s="20" t="inlineStr">
        <is>
          <t>Cum Front Available</t>
        </is>
      </c>
      <c r="J7" s="20" t="inlineStr">
        <is>
          <t>Achieved till last month</t>
        </is>
      </c>
      <c r="K7" s="20" t="inlineStr">
        <is>
          <t>Plan FTM</t>
        </is>
      </c>
      <c r="L7" s="20" t="inlineStr">
        <is>
          <t>Plan FTD</t>
        </is>
      </c>
      <c r="M7" s="20" t="inlineStr">
        <is>
          <t>Achieved FTD</t>
        </is>
      </c>
      <c r="N7" s="20" t="inlineStr">
        <is>
          <t>Achieved FTM till previous date</t>
        </is>
      </c>
      <c r="O7" s="20" t="inlineStr">
        <is>
          <t>Variance for the Day</t>
        </is>
      </c>
      <c r="P7" s="20" t="inlineStr">
        <is>
          <t>Reason(s) for Variance</t>
        </is>
      </c>
      <c r="Q7" s="20" t="inlineStr">
        <is>
          <t>Achieved FTM till date</t>
        </is>
      </c>
      <c r="R7" s="20" t="inlineStr">
        <is>
          <t>Workdone Till Date</t>
        </is>
      </c>
      <c r="S7" s="20" t="inlineStr">
        <is>
          <t>% Complete</t>
        </is>
      </c>
      <c r="T7" s="20" t="inlineStr">
        <is>
          <t>Balance</t>
        </is>
      </c>
      <c r="U7" s="20" t="inlineStr">
        <is>
          <t>Remarks</t>
        </is>
      </c>
      <c r="V7" s="20" t="inlineStr">
        <is>
          <t>Available Manpower</t>
        </is>
      </c>
    </row>
    <row r="8" ht="15" customHeight="1">
      <c r="B8" s="12" t="inlineStr">
        <is>
          <t>a</t>
        </is>
      </c>
      <c r="C8" s="12" t="inlineStr">
        <is>
          <t>b</t>
        </is>
      </c>
      <c r="D8" s="12" t="inlineStr">
        <is>
          <t>c</t>
        </is>
      </c>
      <c r="E8" s="12" t="inlineStr">
        <is>
          <t>d</t>
        </is>
      </c>
      <c r="F8" s="12" t="inlineStr">
        <is>
          <t>e</t>
        </is>
      </c>
      <c r="G8" s="12" t="inlineStr">
        <is>
          <t>f</t>
        </is>
      </c>
      <c r="H8" s="12" t="inlineStr">
        <is>
          <t>g</t>
        </is>
      </c>
      <c r="I8" s="12" t="inlineStr">
        <is>
          <t>h</t>
        </is>
      </c>
      <c r="J8" s="12" t="inlineStr">
        <is>
          <t>i</t>
        </is>
      </c>
      <c r="K8" s="12" t="inlineStr">
        <is>
          <t>j</t>
        </is>
      </c>
      <c r="L8" s="12" t="inlineStr">
        <is>
          <t>k</t>
        </is>
      </c>
      <c r="M8" s="12" t="inlineStr">
        <is>
          <t>l</t>
        </is>
      </c>
      <c r="N8" s="12" t="inlineStr">
        <is>
          <t>m</t>
        </is>
      </c>
      <c r="O8" s="12" t="inlineStr">
        <is>
          <t>n = k-l</t>
        </is>
      </c>
      <c r="P8" s="12" t="inlineStr">
        <is>
          <t>o</t>
        </is>
      </c>
      <c r="Q8" s="12" t="inlineStr">
        <is>
          <t>p = l+m</t>
        </is>
      </c>
      <c r="R8" s="12" t="inlineStr">
        <is>
          <t>q = i+p</t>
        </is>
      </c>
      <c r="S8" s="12" t="inlineStr">
        <is>
          <t>r = (q/f)x100</t>
        </is>
      </c>
      <c r="T8" s="12" t="inlineStr">
        <is>
          <t>s = f-q</t>
        </is>
      </c>
      <c r="U8" s="12" t="inlineStr">
        <is>
          <t>t</t>
        </is>
      </c>
      <c r="V8" s="12" t="inlineStr">
        <is>
          <t>u</t>
        </is>
      </c>
    </row>
    <row r="9">
      <c r="B9" s="13">
        <f>IF($C9="","",COUNTA($C$9:$C9))</f>
        <v/>
      </c>
      <c r="C9" s="21" t="n"/>
      <c r="D9" s="14" t="n"/>
      <c r="E9" s="14" t="n"/>
      <c r="F9" s="14" t="n"/>
      <c r="G9" s="22" t="n"/>
      <c r="H9" s="22" t="n"/>
      <c r="I9" s="22" t="n"/>
      <c r="J9" s="22" t="n"/>
      <c r="K9" s="22" t="n"/>
      <c r="L9" s="22" t="n"/>
      <c r="M9" s="22" t="n"/>
      <c r="N9" s="22" t="n"/>
      <c r="O9" s="23">
        <f>IF($C9="","",N(L9)-N(M9))</f>
        <v/>
      </c>
      <c r="P9" s="24" t="n"/>
      <c r="Q9" s="23">
        <f>IF($C9="","",N(M9)+N(N9))</f>
        <v/>
      </c>
      <c r="R9" s="23">
        <f>IF($C9="","",N(J9)+N(Q9))</f>
        <v/>
      </c>
      <c r="S9" s="25">
        <f>IF(OR($C9="",N($G9)=0),"",R9/$G9)</f>
        <v/>
      </c>
      <c r="T9" s="23">
        <f>IF($C9="","",N($G9)-N(R9))</f>
        <v/>
      </c>
      <c r="U9" s="24" t="n"/>
      <c r="V9" s="22" t="n"/>
    </row>
    <row r="10">
      <c r="B10" s="13">
        <f>IF($C10="","",COUNTA($C$9:$C10))</f>
        <v/>
      </c>
      <c r="C10" s="21" t="n"/>
      <c r="D10" s="14" t="n"/>
      <c r="E10" s="14" t="n"/>
      <c r="F10" s="14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3">
        <f>IF($C10="","",N(L10)-N(M10))</f>
        <v/>
      </c>
      <c r="P10" s="24" t="n"/>
      <c r="Q10" s="23">
        <f>IF($C10="","",N(M10)+N(N10))</f>
        <v/>
      </c>
      <c r="R10" s="23">
        <f>IF($C10="","",N(J10)+N(Q10))</f>
        <v/>
      </c>
      <c r="S10" s="25">
        <f>IF(OR($C10="",N($G10)=0),"",R10/$G10)</f>
        <v/>
      </c>
      <c r="T10" s="23">
        <f>IF($C10="","",N($G10)-N(R10))</f>
        <v/>
      </c>
      <c r="U10" s="24" t="n"/>
      <c r="V10" s="22" t="n"/>
    </row>
    <row r="11">
      <c r="B11" s="13">
        <f>IF($C11="","",COUNTA($C$9:$C11))</f>
        <v/>
      </c>
      <c r="C11" s="21" t="n"/>
      <c r="D11" s="14" t="n"/>
      <c r="E11" s="14" t="n"/>
      <c r="F11" s="14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3">
        <f>IF($C11="","",N(L11)-N(M11))</f>
        <v/>
      </c>
      <c r="P11" s="24" t="n"/>
      <c r="Q11" s="23">
        <f>IF($C11="","",N(M11)+N(N11))</f>
        <v/>
      </c>
      <c r="R11" s="23">
        <f>IF($C11="","",N(J11)+N(Q11))</f>
        <v/>
      </c>
      <c r="S11" s="25">
        <f>IF(OR($C11="",N($G11)=0),"",R11/$G11)</f>
        <v/>
      </c>
      <c r="T11" s="23">
        <f>IF($C11="","",N($G11)-N(R11))</f>
        <v/>
      </c>
      <c r="U11" s="24" t="n"/>
      <c r="V11" s="22" t="n"/>
    </row>
    <row r="12">
      <c r="B12" s="13">
        <f>IF($C12="","",COUNTA($C$9:$C12))</f>
        <v/>
      </c>
      <c r="C12" s="21" t="n"/>
      <c r="D12" s="14" t="n"/>
      <c r="E12" s="14" t="n"/>
      <c r="F12" s="14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3">
        <f>IF($C12="","",N(L12)-N(M12))</f>
        <v/>
      </c>
      <c r="P12" s="24" t="n"/>
      <c r="Q12" s="23">
        <f>IF($C12="","",N(M12)+N(N12))</f>
        <v/>
      </c>
      <c r="R12" s="23">
        <f>IF($C12="","",N(J12)+N(Q12))</f>
        <v/>
      </c>
      <c r="S12" s="25">
        <f>IF(OR($C12="",N($G12)=0),"",R12/$G12)</f>
        <v/>
      </c>
      <c r="T12" s="23">
        <f>IF($C12="","",N($G12)-N(R12))</f>
        <v/>
      </c>
      <c r="U12" s="24" t="n"/>
      <c r="V12" s="22" t="n"/>
    </row>
    <row r="13">
      <c r="B13" s="13">
        <f>IF($C13="","",COUNTA($C$9:$C13))</f>
        <v/>
      </c>
      <c r="C13" s="21" t="n"/>
      <c r="D13" s="14" t="n"/>
      <c r="E13" s="14" t="n"/>
      <c r="F13" s="14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3">
        <f>IF($C13="","",N(L13)-N(M13))</f>
        <v/>
      </c>
      <c r="P13" s="24" t="n"/>
      <c r="Q13" s="23">
        <f>IF($C13="","",N(M13)+N(N13))</f>
        <v/>
      </c>
      <c r="R13" s="23">
        <f>IF($C13="","",N(J13)+N(Q13))</f>
        <v/>
      </c>
      <c r="S13" s="25">
        <f>IF(OR($C13="",N($G13)=0),"",R13/$G13)</f>
        <v/>
      </c>
      <c r="T13" s="23">
        <f>IF($C13="","",N($G13)-N(R13))</f>
        <v/>
      </c>
      <c r="U13" s="24" t="n"/>
      <c r="V13" s="22" t="n"/>
    </row>
    <row r="14">
      <c r="B14" s="13">
        <f>IF($C14="","",COUNTA($C$9:$C14))</f>
        <v/>
      </c>
      <c r="C14" s="21" t="n"/>
      <c r="D14" s="14" t="n"/>
      <c r="E14" s="14" t="n"/>
      <c r="F14" s="14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3">
        <f>IF($C14="","",N(L14)-N(M14))</f>
        <v/>
      </c>
      <c r="P14" s="24" t="n"/>
      <c r="Q14" s="23">
        <f>IF($C14="","",N(M14)+N(N14))</f>
        <v/>
      </c>
      <c r="R14" s="23">
        <f>IF($C14="","",N(J14)+N(Q14))</f>
        <v/>
      </c>
      <c r="S14" s="25">
        <f>IF(OR($C14="",N($G14)=0),"",R14/$G14)</f>
        <v/>
      </c>
      <c r="T14" s="23">
        <f>IF($C14="","",N($G14)-N(R14))</f>
        <v/>
      </c>
      <c r="U14" s="24" t="n"/>
      <c r="V14" s="22" t="n"/>
    </row>
    <row r="15">
      <c r="B15" s="13">
        <f>IF($C15="","",COUNTA($C$9:$C15))</f>
        <v/>
      </c>
      <c r="C15" s="21" t="n"/>
      <c r="D15" s="14" t="n"/>
      <c r="E15" s="14" t="n"/>
      <c r="F15" s="14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3">
        <f>IF($C15="","",N(L15)-N(M15))</f>
        <v/>
      </c>
      <c r="P15" s="24" t="n"/>
      <c r="Q15" s="23">
        <f>IF($C15="","",N(M15)+N(N15))</f>
        <v/>
      </c>
      <c r="R15" s="23">
        <f>IF($C15="","",N(J15)+N(Q15))</f>
        <v/>
      </c>
      <c r="S15" s="25">
        <f>IF(OR($C15="",N($G15)=0),"",R15/$G15)</f>
        <v/>
      </c>
      <c r="T15" s="23">
        <f>IF($C15="","",N($G15)-N(R15))</f>
        <v/>
      </c>
      <c r="U15" s="24" t="n"/>
      <c r="V15" s="22" t="n"/>
    </row>
    <row r="16">
      <c r="B16" s="13">
        <f>IF($C16="","",COUNTA($C$9:$C16))</f>
        <v/>
      </c>
      <c r="C16" s="21" t="n"/>
      <c r="D16" s="14" t="n"/>
      <c r="E16" s="14" t="n"/>
      <c r="F16" s="14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3">
        <f>IF($C16="","",N(L16)-N(M16))</f>
        <v/>
      </c>
      <c r="P16" s="24" t="n"/>
      <c r="Q16" s="23">
        <f>IF($C16="","",N(M16)+N(N16))</f>
        <v/>
      </c>
      <c r="R16" s="23">
        <f>IF($C16="","",N(J16)+N(Q16))</f>
        <v/>
      </c>
      <c r="S16" s="25">
        <f>IF(OR($C16="",N($G16)=0),"",R16/$G16)</f>
        <v/>
      </c>
      <c r="T16" s="23">
        <f>IF($C16="","",N($G16)-N(R16))</f>
        <v/>
      </c>
      <c r="U16" s="24" t="n"/>
      <c r="V16" s="22" t="n"/>
    </row>
    <row r="17">
      <c r="B17" s="13">
        <f>IF($C17="","",COUNTA($C$9:$C17))</f>
        <v/>
      </c>
      <c r="C17" s="21" t="n"/>
      <c r="D17" s="14" t="n"/>
      <c r="E17" s="14" t="n"/>
      <c r="F17" s="14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3">
        <f>IF($C17="","",N(L17)-N(M17))</f>
        <v/>
      </c>
      <c r="P17" s="24" t="n"/>
      <c r="Q17" s="23">
        <f>IF($C17="","",N(M17)+N(N17))</f>
        <v/>
      </c>
      <c r="R17" s="23">
        <f>IF($C17="","",N(J17)+N(Q17))</f>
        <v/>
      </c>
      <c r="S17" s="25">
        <f>IF(OR($C17="",N($G17)=0),"",R17/$G17)</f>
        <v/>
      </c>
      <c r="T17" s="23">
        <f>IF($C17="","",N($G17)-N(R17))</f>
        <v/>
      </c>
      <c r="U17" s="24" t="n"/>
      <c r="V17" s="22" t="n"/>
    </row>
    <row r="18">
      <c r="B18" s="13">
        <f>IF($C18="","",COUNTA($C$9:$C18))</f>
        <v/>
      </c>
      <c r="C18" s="21" t="n"/>
      <c r="D18" s="14" t="n"/>
      <c r="E18" s="14" t="n"/>
      <c r="F18" s="14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3">
        <f>IF($C18="","",N(L18)-N(M18))</f>
        <v/>
      </c>
      <c r="P18" s="24" t="n"/>
      <c r="Q18" s="23">
        <f>IF($C18="","",N(M18)+N(N18))</f>
        <v/>
      </c>
      <c r="R18" s="23">
        <f>IF($C18="","",N(J18)+N(Q18))</f>
        <v/>
      </c>
      <c r="S18" s="25">
        <f>IF(OR($C18="",N($G18)=0),"",R18/$G18)</f>
        <v/>
      </c>
      <c r="T18" s="23">
        <f>IF($C18="","",N($G18)-N(R18))</f>
        <v/>
      </c>
      <c r="U18" s="24" t="n"/>
      <c r="V18" s="22" t="n"/>
    </row>
    <row r="19">
      <c r="B19" s="13">
        <f>IF($C19="","",COUNTA($C$9:$C19))</f>
        <v/>
      </c>
      <c r="C19" s="21" t="n"/>
      <c r="D19" s="14" t="n"/>
      <c r="E19" s="14" t="n"/>
      <c r="F19" s="14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3">
        <f>IF($C19="","",N(L19)-N(M19))</f>
        <v/>
      </c>
      <c r="P19" s="24" t="n"/>
      <c r="Q19" s="23">
        <f>IF($C19="","",N(M19)+N(N19))</f>
        <v/>
      </c>
      <c r="R19" s="23">
        <f>IF($C19="","",N(J19)+N(Q19))</f>
        <v/>
      </c>
      <c r="S19" s="25">
        <f>IF(OR($C19="",N($G19)=0),"",R19/$G19)</f>
        <v/>
      </c>
      <c r="T19" s="23">
        <f>IF($C19="","",N($G19)-N(R19))</f>
        <v/>
      </c>
      <c r="U19" s="24" t="n"/>
      <c r="V19" s="22" t="n"/>
    </row>
    <row r="20">
      <c r="B20" s="13">
        <f>IF($C20="","",COUNTA($C$9:$C20))</f>
        <v/>
      </c>
      <c r="C20" s="21" t="n"/>
      <c r="D20" s="14" t="n"/>
      <c r="E20" s="14" t="n"/>
      <c r="F20" s="14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3">
        <f>IF($C20="","",N(L20)-N(M20))</f>
        <v/>
      </c>
      <c r="P20" s="24" t="n"/>
      <c r="Q20" s="23">
        <f>IF($C20="","",N(M20)+N(N20))</f>
        <v/>
      </c>
      <c r="R20" s="23">
        <f>IF($C20="","",N(J20)+N(Q20))</f>
        <v/>
      </c>
      <c r="S20" s="25">
        <f>IF(OR($C20="",N($G20)=0),"",R20/$G20)</f>
        <v/>
      </c>
      <c r="T20" s="23">
        <f>IF($C20="","",N($G20)-N(R20))</f>
        <v/>
      </c>
      <c r="U20" s="24" t="n"/>
      <c r="V20" s="22" t="n"/>
    </row>
    <row r="21">
      <c r="B21" s="13">
        <f>IF($C21="","",COUNTA($C$9:$C21))</f>
        <v/>
      </c>
      <c r="C21" s="21" t="n"/>
      <c r="D21" s="14" t="n"/>
      <c r="E21" s="14" t="n"/>
      <c r="F21" s="14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3">
        <f>IF($C21="","",N(L21)-N(M21))</f>
        <v/>
      </c>
      <c r="P21" s="24" t="n"/>
      <c r="Q21" s="23">
        <f>IF($C21="","",N(M21)+N(N21))</f>
        <v/>
      </c>
      <c r="R21" s="23">
        <f>IF($C21="","",N(J21)+N(Q21))</f>
        <v/>
      </c>
      <c r="S21" s="25">
        <f>IF(OR($C21="",N($G21)=0),"",R21/$G21)</f>
        <v/>
      </c>
      <c r="T21" s="23">
        <f>IF($C21="","",N($G21)-N(R21))</f>
        <v/>
      </c>
      <c r="U21" s="24" t="n"/>
      <c r="V21" s="22" t="n"/>
    </row>
    <row r="22">
      <c r="B22" s="13">
        <f>IF($C22="","",COUNTA($C$9:$C22))</f>
        <v/>
      </c>
      <c r="C22" s="21" t="n"/>
      <c r="D22" s="14" t="n"/>
      <c r="E22" s="14" t="n"/>
      <c r="F22" s="14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3">
        <f>IF($C22="","",N(L22)-N(M22))</f>
        <v/>
      </c>
      <c r="P22" s="24" t="n"/>
      <c r="Q22" s="23">
        <f>IF($C22="","",N(M22)+N(N22))</f>
        <v/>
      </c>
      <c r="R22" s="23">
        <f>IF($C22="","",N(J22)+N(Q22))</f>
        <v/>
      </c>
      <c r="S22" s="25">
        <f>IF(OR($C22="",N($G22)=0),"",R22/$G22)</f>
        <v/>
      </c>
      <c r="T22" s="23">
        <f>IF($C22="","",N($G22)-N(R22))</f>
        <v/>
      </c>
      <c r="U22" s="24" t="n"/>
      <c r="V22" s="22" t="n"/>
    </row>
    <row r="23">
      <c r="B23" s="13">
        <f>IF($C23="","",COUNTA($C$9:$C23))</f>
        <v/>
      </c>
      <c r="C23" s="21" t="n"/>
      <c r="D23" s="14" t="n"/>
      <c r="E23" s="14" t="n"/>
      <c r="F23" s="14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3">
        <f>IF($C23="","",N(L23)-N(M23))</f>
        <v/>
      </c>
      <c r="P23" s="24" t="n"/>
      <c r="Q23" s="23">
        <f>IF($C23="","",N(M23)+N(N23))</f>
        <v/>
      </c>
      <c r="R23" s="23">
        <f>IF($C23="","",N(J23)+N(Q23))</f>
        <v/>
      </c>
      <c r="S23" s="25">
        <f>IF(OR($C23="",N($G23)=0),"",R23/$G23)</f>
        <v/>
      </c>
      <c r="T23" s="23">
        <f>IF($C23="","",N($G23)-N(R23))</f>
        <v/>
      </c>
      <c r="U23" s="24" t="n"/>
      <c r="V23" s="22" t="n"/>
    </row>
    <row r="24">
      <c r="B24" s="13">
        <f>IF($C24="","",COUNTA($C$9:$C24))</f>
        <v/>
      </c>
      <c r="C24" s="21" t="n"/>
      <c r="D24" s="14" t="n"/>
      <c r="E24" s="14" t="n"/>
      <c r="F24" s="14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3">
        <f>IF($C24="","",N(L24)-N(M24))</f>
        <v/>
      </c>
      <c r="P24" s="24" t="n"/>
      <c r="Q24" s="23">
        <f>IF($C24="","",N(M24)+N(N24))</f>
        <v/>
      </c>
      <c r="R24" s="23">
        <f>IF($C24="","",N(J24)+N(Q24))</f>
        <v/>
      </c>
      <c r="S24" s="25">
        <f>IF(OR($C24="",N($G24)=0),"",R24/$G24)</f>
        <v/>
      </c>
      <c r="T24" s="23">
        <f>IF($C24="","",N($G24)-N(R24))</f>
        <v/>
      </c>
      <c r="U24" s="24" t="n"/>
      <c r="V24" s="22" t="n"/>
    </row>
    <row r="25">
      <c r="B25" s="13">
        <f>IF($C25="","",COUNTA($C$9:$C25))</f>
        <v/>
      </c>
      <c r="C25" s="21" t="n"/>
      <c r="D25" s="14" t="n"/>
      <c r="E25" s="14" t="n"/>
      <c r="F25" s="14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3">
        <f>IF($C25="","",N(L25)-N(M25))</f>
        <v/>
      </c>
      <c r="P25" s="24" t="n"/>
      <c r="Q25" s="23">
        <f>IF($C25="","",N(M25)+N(N25))</f>
        <v/>
      </c>
      <c r="R25" s="23">
        <f>IF($C25="","",N(J25)+N(Q25))</f>
        <v/>
      </c>
      <c r="S25" s="25">
        <f>IF(OR($C25="",N($G25)=0),"",R25/$G25)</f>
        <v/>
      </c>
      <c r="T25" s="23">
        <f>IF($C25="","",N($G25)-N(R25))</f>
        <v/>
      </c>
      <c r="U25" s="24" t="n"/>
      <c r="V25" s="22" t="n"/>
    </row>
    <row r="26">
      <c r="B26" s="13">
        <f>IF($C26="","",COUNTA($C$9:$C26))</f>
        <v/>
      </c>
      <c r="C26" s="21" t="n"/>
      <c r="D26" s="14" t="n"/>
      <c r="E26" s="14" t="n"/>
      <c r="F26" s="14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3">
        <f>IF($C26="","",N(L26)-N(M26))</f>
        <v/>
      </c>
      <c r="P26" s="24" t="n"/>
      <c r="Q26" s="23">
        <f>IF($C26="","",N(M26)+N(N26))</f>
        <v/>
      </c>
      <c r="R26" s="23">
        <f>IF($C26="","",N(J26)+N(Q26))</f>
        <v/>
      </c>
      <c r="S26" s="25">
        <f>IF(OR($C26="",N($G26)=0),"",R26/$G26)</f>
        <v/>
      </c>
      <c r="T26" s="23">
        <f>IF($C26="","",N($G26)-N(R26))</f>
        <v/>
      </c>
      <c r="U26" s="24" t="n"/>
      <c r="V26" s="22" t="n"/>
    </row>
    <row r="27">
      <c r="B27" s="13">
        <f>IF($C27="","",COUNTA($C$9:$C27))</f>
        <v/>
      </c>
      <c r="C27" s="21" t="n"/>
      <c r="D27" s="14" t="n"/>
      <c r="E27" s="14" t="n"/>
      <c r="F27" s="14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3">
        <f>IF($C27="","",N(L27)-N(M27))</f>
        <v/>
      </c>
      <c r="P27" s="24" t="n"/>
      <c r="Q27" s="23">
        <f>IF($C27="","",N(M27)+N(N27))</f>
        <v/>
      </c>
      <c r="R27" s="23">
        <f>IF($C27="","",N(J27)+N(Q27))</f>
        <v/>
      </c>
      <c r="S27" s="25">
        <f>IF(OR($C27="",N($G27)=0),"",R27/$G27)</f>
        <v/>
      </c>
      <c r="T27" s="23">
        <f>IF($C27="","",N($G27)-N(R27))</f>
        <v/>
      </c>
      <c r="U27" s="24" t="n"/>
      <c r="V27" s="22" t="n"/>
    </row>
    <row r="28">
      <c r="B28" s="13">
        <f>IF($C28="","",COUNTA($C$9:$C28))</f>
        <v/>
      </c>
      <c r="C28" s="21" t="n"/>
      <c r="D28" s="14" t="n"/>
      <c r="E28" s="14" t="n"/>
      <c r="F28" s="14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3">
        <f>IF($C28="","",N(L28)-N(M28))</f>
        <v/>
      </c>
      <c r="P28" s="24" t="n"/>
      <c r="Q28" s="23">
        <f>IF($C28="","",N(M28)+N(N28))</f>
        <v/>
      </c>
      <c r="R28" s="23">
        <f>IF($C28="","",N(J28)+N(Q28))</f>
        <v/>
      </c>
      <c r="S28" s="25">
        <f>IF(OR($C28="",N($G28)=0),"",R28/$G28)</f>
        <v/>
      </c>
      <c r="T28" s="23">
        <f>IF($C28="","",N($G28)-N(R28))</f>
        <v/>
      </c>
      <c r="U28" s="24" t="n"/>
      <c r="V28" s="22" t="n"/>
    </row>
    <row r="29">
      <c r="B29" s="13">
        <f>IF($C29="","",COUNTA($C$9:$C29))</f>
        <v/>
      </c>
      <c r="C29" s="21" t="n"/>
      <c r="D29" s="14" t="n"/>
      <c r="E29" s="14" t="n"/>
      <c r="F29" s="14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3">
        <f>IF($C29="","",N(L29)-N(M29))</f>
        <v/>
      </c>
      <c r="P29" s="24" t="n"/>
      <c r="Q29" s="23">
        <f>IF($C29="","",N(M29)+N(N29))</f>
        <v/>
      </c>
      <c r="R29" s="23">
        <f>IF($C29="","",N(J29)+N(Q29))</f>
        <v/>
      </c>
      <c r="S29" s="25">
        <f>IF(OR($C29="",N($G29)=0),"",R29/$G29)</f>
        <v/>
      </c>
      <c r="T29" s="23">
        <f>IF($C29="","",N($G29)-N(R29))</f>
        <v/>
      </c>
      <c r="U29" s="24" t="n"/>
      <c r="V29" s="22" t="n"/>
    </row>
    <row r="30">
      <c r="B30" s="13">
        <f>IF($C30="","",COUNTA($C$9:$C30))</f>
        <v/>
      </c>
      <c r="C30" s="21" t="n"/>
      <c r="D30" s="14" t="n"/>
      <c r="E30" s="14" t="n"/>
      <c r="F30" s="14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3">
        <f>IF($C30="","",N(L30)-N(M30))</f>
        <v/>
      </c>
      <c r="P30" s="24" t="n"/>
      <c r="Q30" s="23">
        <f>IF($C30="","",N(M30)+N(N30))</f>
        <v/>
      </c>
      <c r="R30" s="23">
        <f>IF($C30="","",N(J30)+N(Q30))</f>
        <v/>
      </c>
      <c r="S30" s="25">
        <f>IF(OR($C30="",N($G30)=0),"",R30/$G30)</f>
        <v/>
      </c>
      <c r="T30" s="23">
        <f>IF($C30="","",N($G30)-N(R30))</f>
        <v/>
      </c>
      <c r="U30" s="24" t="n"/>
      <c r="V30" s="22" t="n"/>
    </row>
    <row r="31">
      <c r="B31" s="13">
        <f>IF($C31="","",COUNTA($C$9:$C31))</f>
        <v/>
      </c>
      <c r="C31" s="21" t="n"/>
      <c r="D31" s="14" t="n"/>
      <c r="E31" s="14" t="n"/>
      <c r="F31" s="14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3">
        <f>IF($C31="","",N(L31)-N(M31))</f>
        <v/>
      </c>
      <c r="P31" s="24" t="n"/>
      <c r="Q31" s="23">
        <f>IF($C31="","",N(M31)+N(N31))</f>
        <v/>
      </c>
      <c r="R31" s="23">
        <f>IF($C31="","",N(J31)+N(Q31))</f>
        <v/>
      </c>
      <c r="S31" s="25">
        <f>IF(OR($C31="",N($G31)=0),"",R31/$G31)</f>
        <v/>
      </c>
      <c r="T31" s="23">
        <f>IF($C31="","",N($G31)-N(R31))</f>
        <v/>
      </c>
      <c r="U31" s="24" t="n"/>
      <c r="V31" s="22" t="n"/>
    </row>
    <row r="32">
      <c r="B32" s="13">
        <f>IF($C32="","",COUNTA($C$9:$C32))</f>
        <v/>
      </c>
      <c r="C32" s="21" t="n"/>
      <c r="D32" s="14" t="n"/>
      <c r="E32" s="14" t="n"/>
      <c r="F32" s="14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3">
        <f>IF($C32="","",N(L32)-N(M32))</f>
        <v/>
      </c>
      <c r="P32" s="24" t="n"/>
      <c r="Q32" s="23">
        <f>IF($C32="","",N(M32)+N(N32))</f>
        <v/>
      </c>
      <c r="R32" s="23">
        <f>IF($C32="","",N(J32)+N(Q32))</f>
        <v/>
      </c>
      <c r="S32" s="25">
        <f>IF(OR($C32="",N($G32)=0),"",R32/$G32)</f>
        <v/>
      </c>
      <c r="T32" s="23">
        <f>IF($C32="","",N($G32)-N(R32))</f>
        <v/>
      </c>
      <c r="U32" s="24" t="n"/>
      <c r="V32" s="22" t="n"/>
    </row>
    <row r="33">
      <c r="B33" s="13">
        <f>IF($C33="","",COUNTA($C$9:$C33))</f>
        <v/>
      </c>
      <c r="C33" s="21" t="n"/>
      <c r="D33" s="14" t="n"/>
      <c r="E33" s="14" t="n"/>
      <c r="F33" s="14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3">
        <f>IF($C33="","",N(L33)-N(M33))</f>
        <v/>
      </c>
      <c r="P33" s="24" t="n"/>
      <c r="Q33" s="23">
        <f>IF($C33="","",N(M33)+N(N33))</f>
        <v/>
      </c>
      <c r="R33" s="23">
        <f>IF($C33="","",N(J33)+N(Q33))</f>
        <v/>
      </c>
      <c r="S33" s="25">
        <f>IF(OR($C33="",N($G33)=0),"",R33/$G33)</f>
        <v/>
      </c>
      <c r="T33" s="23">
        <f>IF($C33="","",N($G33)-N(R33))</f>
        <v/>
      </c>
      <c r="U33" s="24" t="n"/>
      <c r="V33" s="22" t="n"/>
    </row>
    <row r="34">
      <c r="B34" s="13">
        <f>IF($C34="","",COUNTA($C$9:$C34))</f>
        <v/>
      </c>
      <c r="C34" s="21" t="n"/>
      <c r="D34" s="14" t="n"/>
      <c r="E34" s="14" t="n"/>
      <c r="F34" s="14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3">
        <f>IF($C34="","",N(L34)-N(M34))</f>
        <v/>
      </c>
      <c r="P34" s="24" t="n"/>
      <c r="Q34" s="23">
        <f>IF($C34="","",N(M34)+N(N34))</f>
        <v/>
      </c>
      <c r="R34" s="23">
        <f>IF($C34="","",N(J34)+N(Q34))</f>
        <v/>
      </c>
      <c r="S34" s="25">
        <f>IF(OR($C34="",N($G34)=0),"",R34/$G34)</f>
        <v/>
      </c>
      <c r="T34" s="23">
        <f>IF($C34="","",N($G34)-N(R34))</f>
        <v/>
      </c>
      <c r="U34" s="24" t="n"/>
      <c r="V34" s="22" t="n"/>
    </row>
    <row r="35">
      <c r="B35" s="13">
        <f>IF($C35="","",COUNTA($C$9:$C35))</f>
        <v/>
      </c>
      <c r="C35" s="21" t="n"/>
      <c r="D35" s="14" t="n"/>
      <c r="E35" s="14" t="n"/>
      <c r="F35" s="14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3">
        <f>IF($C35="","",N(L35)-N(M35))</f>
        <v/>
      </c>
      <c r="P35" s="24" t="n"/>
      <c r="Q35" s="23">
        <f>IF($C35="","",N(M35)+N(N35))</f>
        <v/>
      </c>
      <c r="R35" s="23">
        <f>IF($C35="","",N(J35)+N(Q35))</f>
        <v/>
      </c>
      <c r="S35" s="25">
        <f>IF(OR($C35="",N($G35)=0),"",R35/$G35)</f>
        <v/>
      </c>
      <c r="T35" s="23">
        <f>IF($C35="","",N($G35)-N(R35))</f>
        <v/>
      </c>
      <c r="U35" s="24" t="n"/>
      <c r="V35" s="22" t="n"/>
    </row>
    <row r="36">
      <c r="B36" s="13">
        <f>IF($C36="","",COUNTA($C$9:$C36))</f>
        <v/>
      </c>
      <c r="C36" s="21" t="n"/>
      <c r="D36" s="14" t="n"/>
      <c r="E36" s="14" t="n"/>
      <c r="F36" s="14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3">
        <f>IF($C36="","",N(L36)-N(M36))</f>
        <v/>
      </c>
      <c r="P36" s="24" t="n"/>
      <c r="Q36" s="23">
        <f>IF($C36="","",N(M36)+N(N36))</f>
        <v/>
      </c>
      <c r="R36" s="23">
        <f>IF($C36="","",N(J36)+N(Q36))</f>
        <v/>
      </c>
      <c r="S36" s="25">
        <f>IF(OR($C36="",N($G36)=0),"",R36/$G36)</f>
        <v/>
      </c>
      <c r="T36" s="23">
        <f>IF($C36="","",N($G36)-N(R36))</f>
        <v/>
      </c>
      <c r="U36" s="24" t="n"/>
      <c r="V36" s="22" t="n"/>
    </row>
    <row r="37">
      <c r="B37" s="13">
        <f>IF($C37="","",COUNTA($C$9:$C37))</f>
        <v/>
      </c>
      <c r="C37" s="21" t="n"/>
      <c r="D37" s="14" t="n"/>
      <c r="E37" s="14" t="n"/>
      <c r="F37" s="14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3">
        <f>IF($C37="","",N(L37)-N(M37))</f>
        <v/>
      </c>
      <c r="P37" s="24" t="n"/>
      <c r="Q37" s="23">
        <f>IF($C37="","",N(M37)+N(N37))</f>
        <v/>
      </c>
      <c r="R37" s="23">
        <f>IF($C37="","",N(J37)+N(Q37))</f>
        <v/>
      </c>
      <c r="S37" s="25">
        <f>IF(OR($C37="",N($G37)=0),"",R37/$G37)</f>
        <v/>
      </c>
      <c r="T37" s="23">
        <f>IF($C37="","",N($G37)-N(R37))</f>
        <v/>
      </c>
      <c r="U37" s="24" t="n"/>
      <c r="V37" s="22" t="n"/>
    </row>
    <row r="38">
      <c r="B38" s="13">
        <f>IF($C38="","",COUNTA($C$9:$C38))</f>
        <v/>
      </c>
      <c r="C38" s="21" t="n"/>
      <c r="D38" s="14" t="n"/>
      <c r="E38" s="14" t="n"/>
      <c r="F38" s="14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3">
        <f>IF($C38="","",N(L38)-N(M38))</f>
        <v/>
      </c>
      <c r="P38" s="24" t="n"/>
      <c r="Q38" s="23">
        <f>IF($C38="","",N(M38)+N(N38))</f>
        <v/>
      </c>
      <c r="R38" s="23">
        <f>IF($C38="","",N(J38)+N(Q38))</f>
        <v/>
      </c>
      <c r="S38" s="25">
        <f>IF(OR($C38="",N($G38)=0),"",R38/$G38)</f>
        <v/>
      </c>
      <c r="T38" s="23">
        <f>IF($C38="","",N($G38)-N(R38))</f>
        <v/>
      </c>
      <c r="U38" s="24" t="n"/>
      <c r="V38" s="22" t="n"/>
    </row>
    <row r="39">
      <c r="B39" s="13">
        <f>IF($C39="","",COUNTA($C$9:$C39))</f>
        <v/>
      </c>
      <c r="C39" s="21" t="n"/>
      <c r="D39" s="14" t="n"/>
      <c r="E39" s="14" t="n"/>
      <c r="F39" s="14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3">
        <f>IF($C39="","",N(L39)-N(M39))</f>
        <v/>
      </c>
      <c r="P39" s="24" t="n"/>
      <c r="Q39" s="23">
        <f>IF($C39="","",N(M39)+N(N39))</f>
        <v/>
      </c>
      <c r="R39" s="23">
        <f>IF($C39="","",N(J39)+N(Q39))</f>
        <v/>
      </c>
      <c r="S39" s="25">
        <f>IF(OR($C39="",N($G39)=0),"",R39/$G39)</f>
        <v/>
      </c>
      <c r="T39" s="23">
        <f>IF($C39="","",N($G39)-N(R39))</f>
        <v/>
      </c>
      <c r="U39" s="24" t="n"/>
      <c r="V39" s="22" t="n"/>
    </row>
    <row r="40">
      <c r="B40" s="13">
        <f>IF($C40="","",COUNTA($C$9:$C40))</f>
        <v/>
      </c>
      <c r="C40" s="21" t="n"/>
      <c r="D40" s="14" t="n"/>
      <c r="E40" s="14" t="n"/>
      <c r="F40" s="14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3">
        <f>IF($C40="","",N(L40)-N(M40))</f>
        <v/>
      </c>
      <c r="P40" s="24" t="n"/>
      <c r="Q40" s="23">
        <f>IF($C40="","",N(M40)+N(N40))</f>
        <v/>
      </c>
      <c r="R40" s="23">
        <f>IF($C40="","",N(J40)+N(Q40))</f>
        <v/>
      </c>
      <c r="S40" s="25">
        <f>IF(OR($C40="",N($G40)=0),"",R40/$G40)</f>
        <v/>
      </c>
      <c r="T40" s="23">
        <f>IF($C40="","",N($G40)-N(R40))</f>
        <v/>
      </c>
      <c r="U40" s="24" t="n"/>
      <c r="V40" s="22" t="n"/>
    </row>
    <row r="41">
      <c r="B41" s="13">
        <f>IF($C41="","",COUNTA($C$9:$C41))</f>
        <v/>
      </c>
      <c r="C41" s="21" t="n"/>
      <c r="D41" s="14" t="n"/>
      <c r="E41" s="14" t="n"/>
      <c r="F41" s="14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3">
        <f>IF($C41="","",N(L41)-N(M41))</f>
        <v/>
      </c>
      <c r="P41" s="24" t="n"/>
      <c r="Q41" s="23">
        <f>IF($C41="","",N(M41)+N(N41))</f>
        <v/>
      </c>
      <c r="R41" s="23">
        <f>IF($C41="","",N(J41)+N(Q41))</f>
        <v/>
      </c>
      <c r="S41" s="25">
        <f>IF(OR($C41="",N($G41)=0),"",R41/$G41)</f>
        <v/>
      </c>
      <c r="T41" s="23">
        <f>IF($C41="","",N($G41)-N(R41))</f>
        <v/>
      </c>
      <c r="U41" s="24" t="n"/>
      <c r="V41" s="22" t="n"/>
    </row>
    <row r="42">
      <c r="B42" s="13">
        <f>IF($C42="","",COUNTA($C$9:$C42))</f>
        <v/>
      </c>
      <c r="C42" s="21" t="n"/>
      <c r="D42" s="14" t="n"/>
      <c r="E42" s="14" t="n"/>
      <c r="F42" s="14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3">
        <f>IF($C42="","",N(L42)-N(M42))</f>
        <v/>
      </c>
      <c r="P42" s="24" t="n"/>
      <c r="Q42" s="23">
        <f>IF($C42="","",N(M42)+N(N42))</f>
        <v/>
      </c>
      <c r="R42" s="23">
        <f>IF($C42="","",N(J42)+N(Q42))</f>
        <v/>
      </c>
      <c r="S42" s="25">
        <f>IF(OR($C42="",N($G42)=0),"",R42/$G42)</f>
        <v/>
      </c>
      <c r="T42" s="23">
        <f>IF($C42="","",N($G42)-N(R42))</f>
        <v/>
      </c>
      <c r="U42" s="24" t="n"/>
      <c r="V42" s="22" t="n"/>
    </row>
    <row r="43">
      <c r="B43" s="13">
        <f>IF($C43="","",COUNTA($C$9:$C43))</f>
        <v/>
      </c>
      <c r="C43" s="21" t="n"/>
      <c r="D43" s="14" t="n"/>
      <c r="E43" s="14" t="n"/>
      <c r="F43" s="14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3">
        <f>IF($C43="","",N(L43)-N(M43))</f>
        <v/>
      </c>
      <c r="P43" s="24" t="n"/>
      <c r="Q43" s="23">
        <f>IF($C43="","",N(M43)+N(N43))</f>
        <v/>
      </c>
      <c r="R43" s="23">
        <f>IF($C43="","",N(J43)+N(Q43))</f>
        <v/>
      </c>
      <c r="S43" s="25">
        <f>IF(OR($C43="",N($G43)=0),"",R43/$G43)</f>
        <v/>
      </c>
      <c r="T43" s="23">
        <f>IF($C43="","",N($G43)-N(R43))</f>
        <v/>
      </c>
      <c r="U43" s="24" t="n"/>
      <c r="V43" s="22" t="n"/>
    </row>
    <row r="44">
      <c r="B44" s="13">
        <f>IF($C44="","",COUNTA($C$9:$C44))</f>
        <v/>
      </c>
      <c r="C44" s="21" t="n"/>
      <c r="D44" s="14" t="n"/>
      <c r="E44" s="14" t="n"/>
      <c r="F44" s="14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3">
        <f>IF($C44="","",N(L44)-N(M44))</f>
        <v/>
      </c>
      <c r="P44" s="24" t="n"/>
      <c r="Q44" s="23">
        <f>IF($C44="","",N(M44)+N(N44))</f>
        <v/>
      </c>
      <c r="R44" s="23">
        <f>IF($C44="","",N(J44)+N(Q44))</f>
        <v/>
      </c>
      <c r="S44" s="25">
        <f>IF(OR($C44="",N($G44)=0),"",R44/$G44)</f>
        <v/>
      </c>
      <c r="T44" s="23">
        <f>IF($C44="","",N($G44)-N(R44))</f>
        <v/>
      </c>
      <c r="U44" s="24" t="n"/>
      <c r="V44" s="22" t="n"/>
    </row>
    <row r="45">
      <c r="B45" s="13">
        <f>IF($C45="","",COUNTA($C$9:$C45))</f>
        <v/>
      </c>
      <c r="C45" s="21" t="n"/>
      <c r="D45" s="14" t="n"/>
      <c r="E45" s="14" t="n"/>
      <c r="F45" s="14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3">
        <f>IF($C45="","",N(L45)-N(M45))</f>
        <v/>
      </c>
      <c r="P45" s="24" t="n"/>
      <c r="Q45" s="23">
        <f>IF($C45="","",N(M45)+N(N45))</f>
        <v/>
      </c>
      <c r="R45" s="23">
        <f>IF($C45="","",N(J45)+N(Q45))</f>
        <v/>
      </c>
      <c r="S45" s="25">
        <f>IF(OR($C45="",N($G45)=0),"",R45/$G45)</f>
        <v/>
      </c>
      <c r="T45" s="23">
        <f>IF($C45="","",N($G45)-N(R45))</f>
        <v/>
      </c>
      <c r="U45" s="24" t="n"/>
      <c r="V45" s="22" t="n"/>
    </row>
    <row r="46">
      <c r="B46" s="13">
        <f>IF($C46="","",COUNTA($C$9:$C46))</f>
        <v/>
      </c>
      <c r="C46" s="21" t="n"/>
      <c r="D46" s="14" t="n"/>
      <c r="E46" s="14" t="n"/>
      <c r="F46" s="14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3">
        <f>IF($C46="","",N(L46)-N(M46))</f>
        <v/>
      </c>
      <c r="P46" s="24" t="n"/>
      <c r="Q46" s="23">
        <f>IF($C46="","",N(M46)+N(N46))</f>
        <v/>
      </c>
      <c r="R46" s="23">
        <f>IF($C46="","",N(J46)+N(Q46))</f>
        <v/>
      </c>
      <c r="S46" s="25">
        <f>IF(OR($C46="",N($G46)=0),"",R46/$G46)</f>
        <v/>
      </c>
      <c r="T46" s="23">
        <f>IF($C46="","",N($G46)-N(R46))</f>
        <v/>
      </c>
      <c r="U46" s="24" t="n"/>
      <c r="V46" s="22" t="n"/>
    </row>
    <row r="47">
      <c r="B47" s="13">
        <f>IF($C47="","",COUNTA($C$9:$C47))</f>
        <v/>
      </c>
      <c r="C47" s="21" t="n"/>
      <c r="D47" s="14" t="n"/>
      <c r="E47" s="14" t="n"/>
      <c r="F47" s="14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3">
        <f>IF($C47="","",N(L47)-N(M47))</f>
        <v/>
      </c>
      <c r="P47" s="24" t="n"/>
      <c r="Q47" s="23">
        <f>IF($C47="","",N(M47)+N(N47))</f>
        <v/>
      </c>
      <c r="R47" s="23">
        <f>IF($C47="","",N(J47)+N(Q47))</f>
        <v/>
      </c>
      <c r="S47" s="25">
        <f>IF(OR($C47="",N($G47)=0),"",R47/$G47)</f>
        <v/>
      </c>
      <c r="T47" s="23">
        <f>IF($C47="","",N($G47)-N(R47))</f>
        <v/>
      </c>
      <c r="U47" s="24" t="n"/>
      <c r="V47" s="22" t="n"/>
    </row>
    <row r="48">
      <c r="B48" s="13">
        <f>IF($C48="","",COUNTA($C$9:$C48))</f>
        <v/>
      </c>
      <c r="C48" s="21" t="n"/>
      <c r="D48" s="14" t="n"/>
      <c r="E48" s="14" t="n"/>
      <c r="F48" s="14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3">
        <f>IF($C48="","",N(L48)-N(M48))</f>
        <v/>
      </c>
      <c r="P48" s="24" t="n"/>
      <c r="Q48" s="23">
        <f>IF($C48="","",N(M48)+N(N48))</f>
        <v/>
      </c>
      <c r="R48" s="23">
        <f>IF($C48="","",N(J48)+N(Q48))</f>
        <v/>
      </c>
      <c r="S48" s="25">
        <f>IF(OR($C48="",N($G48)=0),"",R48/$G48)</f>
        <v/>
      </c>
      <c r="T48" s="23">
        <f>IF($C48="","",N($G48)-N(R48))</f>
        <v/>
      </c>
      <c r="U48" s="24" t="n"/>
      <c r="V48" s="22" t="n"/>
    </row>
    <row r="49">
      <c r="B49" s="13">
        <f>IF($C49="","",COUNTA($C$9:$C49))</f>
        <v/>
      </c>
      <c r="C49" s="21" t="n"/>
      <c r="D49" s="14" t="n"/>
      <c r="E49" s="14" t="n"/>
      <c r="F49" s="14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3">
        <f>IF($C49="","",N(L49)-N(M49))</f>
        <v/>
      </c>
      <c r="P49" s="24" t="n"/>
      <c r="Q49" s="23">
        <f>IF($C49="","",N(M49)+N(N49))</f>
        <v/>
      </c>
      <c r="R49" s="23">
        <f>IF($C49="","",N(J49)+N(Q49))</f>
        <v/>
      </c>
      <c r="S49" s="25">
        <f>IF(OR($C49="",N($G49)=0),"",R49/$G49)</f>
        <v/>
      </c>
      <c r="T49" s="23">
        <f>IF($C49="","",N($G49)-N(R49))</f>
        <v/>
      </c>
      <c r="U49" s="24" t="n"/>
      <c r="V49" s="22" t="n"/>
    </row>
    <row r="50">
      <c r="B50" s="13">
        <f>IF($C50="","",COUNTA($C$9:$C50))</f>
        <v/>
      </c>
      <c r="C50" s="21" t="n"/>
      <c r="D50" s="14" t="n"/>
      <c r="E50" s="14" t="n"/>
      <c r="F50" s="14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3">
        <f>IF($C50="","",N(L50)-N(M50))</f>
        <v/>
      </c>
      <c r="P50" s="24" t="n"/>
      <c r="Q50" s="23">
        <f>IF($C50="","",N(M50)+N(N50))</f>
        <v/>
      </c>
      <c r="R50" s="23">
        <f>IF($C50="","",N(J50)+N(Q50))</f>
        <v/>
      </c>
      <c r="S50" s="25">
        <f>IF(OR($C50="",N($G50)=0),"",R50/$G50)</f>
        <v/>
      </c>
      <c r="T50" s="23">
        <f>IF($C50="","",N($G50)-N(R50))</f>
        <v/>
      </c>
      <c r="U50" s="24" t="n"/>
      <c r="V50" s="22" t="n"/>
    </row>
    <row r="51">
      <c r="B51" s="13">
        <f>IF($C51="","",COUNTA($C$9:$C51))</f>
        <v/>
      </c>
      <c r="C51" s="21" t="n"/>
      <c r="D51" s="14" t="n"/>
      <c r="E51" s="14" t="n"/>
      <c r="F51" s="14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3">
        <f>IF($C51="","",N(L51)-N(M51))</f>
        <v/>
      </c>
      <c r="P51" s="24" t="n"/>
      <c r="Q51" s="23">
        <f>IF($C51="","",N(M51)+N(N51))</f>
        <v/>
      </c>
      <c r="R51" s="23">
        <f>IF($C51="","",N(J51)+N(Q51))</f>
        <v/>
      </c>
      <c r="S51" s="25">
        <f>IF(OR($C51="",N($G51)=0),"",R51/$G51)</f>
        <v/>
      </c>
      <c r="T51" s="23">
        <f>IF($C51="","",N($G51)-N(R51))</f>
        <v/>
      </c>
      <c r="U51" s="24" t="n"/>
      <c r="V51" s="22" t="n"/>
    </row>
    <row r="52">
      <c r="B52" s="13">
        <f>IF($C52="","",COUNTA($C$9:$C52))</f>
        <v/>
      </c>
      <c r="C52" s="21" t="n"/>
      <c r="D52" s="14" t="n"/>
      <c r="E52" s="14" t="n"/>
      <c r="F52" s="14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3">
        <f>IF($C52="","",N(L52)-N(M52))</f>
        <v/>
      </c>
      <c r="P52" s="24" t="n"/>
      <c r="Q52" s="23">
        <f>IF($C52="","",N(M52)+N(N52))</f>
        <v/>
      </c>
      <c r="R52" s="23">
        <f>IF($C52="","",N(J52)+N(Q52))</f>
        <v/>
      </c>
      <c r="S52" s="25">
        <f>IF(OR($C52="",N($G52)=0),"",R52/$G52)</f>
        <v/>
      </c>
      <c r="T52" s="23">
        <f>IF($C52="","",N($G52)-N(R52))</f>
        <v/>
      </c>
      <c r="U52" s="24" t="n"/>
      <c r="V52" s="22" t="n"/>
    </row>
    <row r="53">
      <c r="B53" s="13">
        <f>IF($C53="","",COUNTA($C$9:$C53))</f>
        <v/>
      </c>
      <c r="C53" s="21" t="n"/>
      <c r="D53" s="14" t="n"/>
      <c r="E53" s="14" t="n"/>
      <c r="F53" s="14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3">
        <f>IF($C53="","",N(L53)-N(M53))</f>
        <v/>
      </c>
      <c r="P53" s="24" t="n"/>
      <c r="Q53" s="23">
        <f>IF($C53="","",N(M53)+N(N53))</f>
        <v/>
      </c>
      <c r="R53" s="23">
        <f>IF($C53="","",N(J53)+N(Q53))</f>
        <v/>
      </c>
      <c r="S53" s="25">
        <f>IF(OR($C53="",N($G53)=0),"",R53/$G53)</f>
        <v/>
      </c>
      <c r="T53" s="23">
        <f>IF($C53="","",N($G53)-N(R53))</f>
        <v/>
      </c>
      <c r="U53" s="24" t="n"/>
      <c r="V53" s="22" t="n"/>
    </row>
    <row r="54">
      <c r="B54" s="13">
        <f>IF($C54="","",COUNTA($C$9:$C54))</f>
        <v/>
      </c>
      <c r="C54" s="21" t="n"/>
      <c r="D54" s="14" t="n"/>
      <c r="E54" s="14" t="n"/>
      <c r="F54" s="14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3">
        <f>IF($C54="","",N(L54)-N(M54))</f>
        <v/>
      </c>
      <c r="P54" s="24" t="n"/>
      <c r="Q54" s="23">
        <f>IF($C54="","",N(M54)+N(N54))</f>
        <v/>
      </c>
      <c r="R54" s="23">
        <f>IF($C54="","",N(J54)+N(Q54))</f>
        <v/>
      </c>
      <c r="S54" s="25">
        <f>IF(OR($C54="",N($G54)=0),"",R54/$G54)</f>
        <v/>
      </c>
      <c r="T54" s="23">
        <f>IF($C54="","",N($G54)-N(R54))</f>
        <v/>
      </c>
      <c r="U54" s="24" t="n"/>
      <c r="V54" s="22" t="n"/>
    </row>
    <row r="55">
      <c r="B55" s="13">
        <f>IF($C55="","",COUNTA($C$9:$C55))</f>
        <v/>
      </c>
      <c r="C55" s="21" t="n"/>
      <c r="D55" s="14" t="n"/>
      <c r="E55" s="14" t="n"/>
      <c r="F55" s="14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3">
        <f>IF($C55="","",N(L55)-N(M55))</f>
        <v/>
      </c>
      <c r="P55" s="24" t="n"/>
      <c r="Q55" s="23">
        <f>IF($C55="","",N(M55)+N(N55))</f>
        <v/>
      </c>
      <c r="R55" s="23">
        <f>IF($C55="","",N(J55)+N(Q55))</f>
        <v/>
      </c>
      <c r="S55" s="25">
        <f>IF(OR($C55="",N($G55)=0),"",R55/$G55)</f>
        <v/>
      </c>
      <c r="T55" s="23">
        <f>IF($C55="","",N($G55)-N(R55))</f>
        <v/>
      </c>
      <c r="U55" s="24" t="n"/>
      <c r="V55" s="22" t="n"/>
    </row>
    <row r="56">
      <c r="B56" s="13">
        <f>IF($C56="","",COUNTA($C$9:$C56))</f>
        <v/>
      </c>
      <c r="C56" s="21" t="n"/>
      <c r="D56" s="14" t="n"/>
      <c r="E56" s="14" t="n"/>
      <c r="F56" s="14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3">
        <f>IF($C56="","",N(L56)-N(M56))</f>
        <v/>
      </c>
      <c r="P56" s="24" t="n"/>
      <c r="Q56" s="23">
        <f>IF($C56="","",N(M56)+N(N56))</f>
        <v/>
      </c>
      <c r="R56" s="23">
        <f>IF($C56="","",N(J56)+N(Q56))</f>
        <v/>
      </c>
      <c r="S56" s="25">
        <f>IF(OR($C56="",N($G56)=0),"",R56/$G56)</f>
        <v/>
      </c>
      <c r="T56" s="23">
        <f>IF($C56="","",N($G56)-N(R56))</f>
        <v/>
      </c>
      <c r="U56" s="24" t="n"/>
      <c r="V56" s="22" t="n"/>
    </row>
    <row r="57">
      <c r="B57" s="13">
        <f>IF($C57="","",COUNTA($C$9:$C57))</f>
        <v/>
      </c>
      <c r="C57" s="21" t="n"/>
      <c r="D57" s="14" t="n"/>
      <c r="E57" s="14" t="n"/>
      <c r="F57" s="14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3">
        <f>IF($C57="","",N(L57)-N(M57))</f>
        <v/>
      </c>
      <c r="P57" s="24" t="n"/>
      <c r="Q57" s="23">
        <f>IF($C57="","",N(M57)+N(N57))</f>
        <v/>
      </c>
      <c r="R57" s="23">
        <f>IF($C57="","",N(J57)+N(Q57))</f>
        <v/>
      </c>
      <c r="S57" s="25">
        <f>IF(OR($C57="",N($G57)=0),"",R57/$G57)</f>
        <v/>
      </c>
      <c r="T57" s="23">
        <f>IF($C57="","",N($G57)-N(R57))</f>
        <v/>
      </c>
      <c r="U57" s="24" t="n"/>
      <c r="V57" s="22" t="n"/>
    </row>
    <row r="58">
      <c r="B58" s="13">
        <f>IF($C58="","",COUNTA($C$9:$C58))</f>
        <v/>
      </c>
      <c r="C58" s="21" t="n"/>
      <c r="D58" s="14" t="n"/>
      <c r="E58" s="14" t="n"/>
      <c r="F58" s="14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3">
        <f>IF($C58="","",N(L58)-N(M58))</f>
        <v/>
      </c>
      <c r="P58" s="24" t="n"/>
      <c r="Q58" s="23">
        <f>IF($C58="","",N(M58)+N(N58))</f>
        <v/>
      </c>
      <c r="R58" s="23">
        <f>IF($C58="","",N(J58)+N(Q58))</f>
        <v/>
      </c>
      <c r="S58" s="25">
        <f>IF(OR($C58="",N($G58)=0),"",R58/$G58)</f>
        <v/>
      </c>
      <c r="T58" s="23">
        <f>IF($C58="","",N($G58)-N(R58))</f>
        <v/>
      </c>
      <c r="U58" s="24" t="n"/>
      <c r="V58" s="22" t="n"/>
    </row>
    <row r="59">
      <c r="B59" s="13">
        <f>IF($C59="","",COUNTA($C$9:$C59))</f>
        <v/>
      </c>
      <c r="C59" s="21" t="n"/>
      <c r="D59" s="14" t="n"/>
      <c r="E59" s="14" t="n"/>
      <c r="F59" s="14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3">
        <f>IF($C59="","",N(L59)-N(M59))</f>
        <v/>
      </c>
      <c r="P59" s="24" t="n"/>
      <c r="Q59" s="23">
        <f>IF($C59="","",N(M59)+N(N59))</f>
        <v/>
      </c>
      <c r="R59" s="23">
        <f>IF($C59="","",N(J59)+N(Q59))</f>
        <v/>
      </c>
      <c r="S59" s="25">
        <f>IF(OR($C59="",N($G59)=0),"",R59/$G59)</f>
        <v/>
      </c>
      <c r="T59" s="23">
        <f>IF($C59="","",N($G59)-N(R59))</f>
        <v/>
      </c>
      <c r="U59" s="24" t="n"/>
      <c r="V59" s="22" t="n"/>
    </row>
    <row r="60">
      <c r="B60" s="13">
        <f>IF($C60="","",COUNTA($C$9:$C60))</f>
        <v/>
      </c>
      <c r="C60" s="21" t="n"/>
      <c r="D60" s="14" t="n"/>
      <c r="E60" s="14" t="n"/>
      <c r="F60" s="14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3">
        <f>IF($C60="","",N(L60)-N(M60))</f>
        <v/>
      </c>
      <c r="P60" s="24" t="n"/>
      <c r="Q60" s="23">
        <f>IF($C60="","",N(M60)+N(N60))</f>
        <v/>
      </c>
      <c r="R60" s="23">
        <f>IF($C60="","",N(J60)+N(Q60))</f>
        <v/>
      </c>
      <c r="S60" s="25">
        <f>IF(OR($C60="",N($G60)=0),"",R60/$G60)</f>
        <v/>
      </c>
      <c r="T60" s="23">
        <f>IF($C60="","",N($G60)-N(R60))</f>
        <v/>
      </c>
      <c r="U60" s="24" t="n"/>
      <c r="V60" s="22" t="n"/>
    </row>
    <row r="61">
      <c r="B61" s="13">
        <f>IF($C61="","",COUNTA($C$9:$C61))</f>
        <v/>
      </c>
      <c r="C61" s="21" t="n"/>
      <c r="D61" s="14" t="n"/>
      <c r="E61" s="14" t="n"/>
      <c r="F61" s="14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3">
        <f>IF($C61="","",N(L61)-N(M61))</f>
        <v/>
      </c>
      <c r="P61" s="24" t="n"/>
      <c r="Q61" s="23">
        <f>IF($C61="","",N(M61)+N(N61))</f>
        <v/>
      </c>
      <c r="R61" s="23">
        <f>IF($C61="","",N(J61)+N(Q61))</f>
        <v/>
      </c>
      <c r="S61" s="25">
        <f>IF(OR($C61="",N($G61)=0),"",R61/$G61)</f>
        <v/>
      </c>
      <c r="T61" s="23">
        <f>IF($C61="","",N($G61)-N(R61))</f>
        <v/>
      </c>
      <c r="U61" s="24" t="n"/>
      <c r="V61" s="22" t="n"/>
    </row>
    <row r="62">
      <c r="B62" s="13">
        <f>IF($C62="","",COUNTA($C$9:$C62))</f>
        <v/>
      </c>
      <c r="C62" s="21" t="n"/>
      <c r="D62" s="14" t="n"/>
      <c r="E62" s="14" t="n"/>
      <c r="F62" s="14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3">
        <f>IF($C62="","",N(L62)-N(M62))</f>
        <v/>
      </c>
      <c r="P62" s="24" t="n"/>
      <c r="Q62" s="23">
        <f>IF($C62="","",N(M62)+N(N62))</f>
        <v/>
      </c>
      <c r="R62" s="23">
        <f>IF($C62="","",N(J62)+N(Q62))</f>
        <v/>
      </c>
      <c r="S62" s="25">
        <f>IF(OR($C62="",N($G62)=0),"",R62/$G62)</f>
        <v/>
      </c>
      <c r="T62" s="23">
        <f>IF($C62="","",N($G62)-N(R62))</f>
        <v/>
      </c>
      <c r="U62" s="24" t="n"/>
      <c r="V62" s="22" t="n"/>
    </row>
    <row r="63">
      <c r="B63" s="13">
        <f>IF($C63="","",COUNTA($C$9:$C63))</f>
        <v/>
      </c>
      <c r="C63" s="21" t="n"/>
      <c r="D63" s="14" t="n"/>
      <c r="E63" s="14" t="n"/>
      <c r="F63" s="14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3">
        <f>IF($C63="","",N(L63)-N(M63))</f>
        <v/>
      </c>
      <c r="P63" s="24" t="n"/>
      <c r="Q63" s="23">
        <f>IF($C63="","",N(M63)+N(N63))</f>
        <v/>
      </c>
      <c r="R63" s="23">
        <f>IF($C63="","",N(J63)+N(Q63))</f>
        <v/>
      </c>
      <c r="S63" s="25">
        <f>IF(OR($C63="",N($G63)=0),"",R63/$G63)</f>
        <v/>
      </c>
      <c r="T63" s="23">
        <f>IF($C63="","",N($G63)-N(R63))</f>
        <v/>
      </c>
      <c r="U63" s="24" t="n"/>
      <c r="V63" s="22" t="n"/>
    </row>
    <row r="64">
      <c r="B64" s="13">
        <f>IF($C64="","",COUNTA($C$9:$C64))</f>
        <v/>
      </c>
      <c r="C64" s="21" t="n"/>
      <c r="D64" s="14" t="n"/>
      <c r="E64" s="14" t="n"/>
      <c r="F64" s="14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3">
        <f>IF($C64="","",N(L64)-N(M64))</f>
        <v/>
      </c>
      <c r="P64" s="24" t="n"/>
      <c r="Q64" s="23">
        <f>IF($C64="","",N(M64)+N(N64))</f>
        <v/>
      </c>
      <c r="R64" s="23">
        <f>IF($C64="","",N(J64)+N(Q64))</f>
        <v/>
      </c>
      <c r="S64" s="25">
        <f>IF(OR($C64="",N($G64)=0),"",R64/$G64)</f>
        <v/>
      </c>
      <c r="T64" s="23">
        <f>IF($C64="","",N($G64)-N(R64))</f>
        <v/>
      </c>
      <c r="U64" s="24" t="n"/>
      <c r="V64" s="22" t="n"/>
    </row>
    <row r="65">
      <c r="B65" s="13">
        <f>IF($C65="","",COUNTA($C$9:$C65))</f>
        <v/>
      </c>
      <c r="C65" s="21" t="n"/>
      <c r="D65" s="14" t="n"/>
      <c r="E65" s="14" t="n"/>
      <c r="F65" s="14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3">
        <f>IF($C65="","",N(L65)-N(M65))</f>
        <v/>
      </c>
      <c r="P65" s="24" t="n"/>
      <c r="Q65" s="23">
        <f>IF($C65="","",N(M65)+N(N65))</f>
        <v/>
      </c>
      <c r="R65" s="23">
        <f>IF($C65="","",N(J65)+N(Q65))</f>
        <v/>
      </c>
      <c r="S65" s="25">
        <f>IF(OR($C65="",N($G65)=0),"",R65/$G65)</f>
        <v/>
      </c>
      <c r="T65" s="23">
        <f>IF($C65="","",N($G65)-N(R65))</f>
        <v/>
      </c>
      <c r="U65" s="24" t="n"/>
      <c r="V65" s="22" t="n"/>
    </row>
    <row r="66">
      <c r="B66" s="13">
        <f>IF($C66="","",COUNTA($C$9:$C66))</f>
        <v/>
      </c>
      <c r="C66" s="21" t="n"/>
      <c r="D66" s="14" t="n"/>
      <c r="E66" s="14" t="n"/>
      <c r="F66" s="14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3">
        <f>IF($C66="","",N(L66)-N(M66))</f>
        <v/>
      </c>
      <c r="P66" s="24" t="n"/>
      <c r="Q66" s="23">
        <f>IF($C66="","",N(M66)+N(N66))</f>
        <v/>
      </c>
      <c r="R66" s="23">
        <f>IF($C66="","",N(J66)+N(Q66))</f>
        <v/>
      </c>
      <c r="S66" s="25">
        <f>IF(OR($C66="",N($G66)=0),"",R66/$G66)</f>
        <v/>
      </c>
      <c r="T66" s="23">
        <f>IF($C66="","",N($G66)-N(R66))</f>
        <v/>
      </c>
      <c r="U66" s="24" t="n"/>
      <c r="V66" s="22" t="n"/>
    </row>
    <row r="67">
      <c r="B67" s="13">
        <f>IF($C67="","",COUNTA($C$9:$C67))</f>
        <v/>
      </c>
      <c r="C67" s="21" t="n"/>
      <c r="D67" s="14" t="n"/>
      <c r="E67" s="14" t="n"/>
      <c r="F67" s="14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3">
        <f>IF($C67="","",N(L67)-N(M67))</f>
        <v/>
      </c>
      <c r="P67" s="24" t="n"/>
      <c r="Q67" s="23">
        <f>IF($C67="","",N(M67)+N(N67))</f>
        <v/>
      </c>
      <c r="R67" s="23">
        <f>IF($C67="","",N(J67)+N(Q67))</f>
        <v/>
      </c>
      <c r="S67" s="25">
        <f>IF(OR($C67="",N($G67)=0),"",R67/$G67)</f>
        <v/>
      </c>
      <c r="T67" s="23">
        <f>IF($C67="","",N($G67)-N(R67))</f>
        <v/>
      </c>
      <c r="U67" s="24" t="n"/>
      <c r="V67" s="22" t="n"/>
    </row>
    <row r="68">
      <c r="B68" s="13">
        <f>IF($C68="","",COUNTA($C$9:$C68))</f>
        <v/>
      </c>
      <c r="C68" s="21" t="n"/>
      <c r="D68" s="14" t="n"/>
      <c r="E68" s="14" t="n"/>
      <c r="F68" s="14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3">
        <f>IF($C68="","",N(L68)-N(M68))</f>
        <v/>
      </c>
      <c r="P68" s="24" t="n"/>
      <c r="Q68" s="23">
        <f>IF($C68="","",N(M68)+N(N68))</f>
        <v/>
      </c>
      <c r="R68" s="23">
        <f>IF($C68="","",N(J68)+N(Q68))</f>
        <v/>
      </c>
      <c r="S68" s="25">
        <f>IF(OR($C68="",N($G68)=0),"",R68/$G68)</f>
        <v/>
      </c>
      <c r="T68" s="23">
        <f>IF($C68="","",N($G68)-N(R68))</f>
        <v/>
      </c>
      <c r="U68" s="24" t="n"/>
      <c r="V68" s="22" t="n"/>
    </row>
    <row r="69">
      <c r="B69" s="13">
        <f>IF($C69="","",COUNTA($C$9:$C69))</f>
        <v/>
      </c>
      <c r="C69" s="21" t="n"/>
      <c r="D69" s="14" t="n"/>
      <c r="E69" s="14" t="n"/>
      <c r="F69" s="14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3">
        <f>IF($C69="","",N(L69)-N(M69))</f>
        <v/>
      </c>
      <c r="P69" s="24" t="n"/>
      <c r="Q69" s="23">
        <f>IF($C69="","",N(M69)+N(N69))</f>
        <v/>
      </c>
      <c r="R69" s="23">
        <f>IF($C69="","",N(J69)+N(Q69))</f>
        <v/>
      </c>
      <c r="S69" s="25">
        <f>IF(OR($C69="",N($G69)=0),"",R69/$G69)</f>
        <v/>
      </c>
      <c r="T69" s="23">
        <f>IF($C69="","",N($G69)-N(R69))</f>
        <v/>
      </c>
      <c r="U69" s="24" t="n"/>
      <c r="V69" s="22" t="n"/>
    </row>
    <row r="70">
      <c r="B70" s="13">
        <f>IF($C70="","",COUNTA($C$9:$C70))</f>
        <v/>
      </c>
      <c r="C70" s="21" t="n"/>
      <c r="D70" s="14" t="n"/>
      <c r="E70" s="14" t="n"/>
      <c r="F70" s="14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3">
        <f>IF($C70="","",N(L70)-N(M70))</f>
        <v/>
      </c>
      <c r="P70" s="24" t="n"/>
      <c r="Q70" s="23">
        <f>IF($C70="","",N(M70)+N(N70))</f>
        <v/>
      </c>
      <c r="R70" s="23">
        <f>IF($C70="","",N(J70)+N(Q70))</f>
        <v/>
      </c>
      <c r="S70" s="25">
        <f>IF(OR($C70="",N($G70)=0),"",R70/$G70)</f>
        <v/>
      </c>
      <c r="T70" s="23">
        <f>IF($C70="","",N($G70)-N(R70))</f>
        <v/>
      </c>
      <c r="U70" s="24" t="n"/>
      <c r="V70" s="22" t="n"/>
    </row>
    <row r="71">
      <c r="B71" s="13">
        <f>IF($C71="","",COUNTA($C$9:$C71))</f>
        <v/>
      </c>
      <c r="C71" s="21" t="n"/>
      <c r="D71" s="14" t="n"/>
      <c r="E71" s="14" t="n"/>
      <c r="F71" s="14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3">
        <f>IF($C71="","",N(L71)-N(M71))</f>
        <v/>
      </c>
      <c r="P71" s="24" t="n"/>
      <c r="Q71" s="23">
        <f>IF($C71="","",N(M71)+N(N71))</f>
        <v/>
      </c>
      <c r="R71" s="23">
        <f>IF($C71="","",N(J71)+N(Q71))</f>
        <v/>
      </c>
      <c r="S71" s="25">
        <f>IF(OR($C71="",N($G71)=0),"",R71/$G71)</f>
        <v/>
      </c>
      <c r="T71" s="23">
        <f>IF($C71="","",N($G71)-N(R71))</f>
        <v/>
      </c>
      <c r="U71" s="24" t="n"/>
      <c r="V71" s="22" t="n"/>
    </row>
    <row r="72">
      <c r="B72" s="13">
        <f>IF($C72="","",COUNTA($C$9:$C72))</f>
        <v/>
      </c>
      <c r="C72" s="21" t="n"/>
      <c r="D72" s="14" t="n"/>
      <c r="E72" s="14" t="n"/>
      <c r="F72" s="14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3">
        <f>IF($C72="","",N(L72)-N(M72))</f>
        <v/>
      </c>
      <c r="P72" s="24" t="n"/>
      <c r="Q72" s="23">
        <f>IF($C72="","",N(M72)+N(N72))</f>
        <v/>
      </c>
      <c r="R72" s="23">
        <f>IF($C72="","",N(J72)+N(Q72))</f>
        <v/>
      </c>
      <c r="S72" s="25">
        <f>IF(OR($C72="",N($G72)=0),"",R72/$G72)</f>
        <v/>
      </c>
      <c r="T72" s="23">
        <f>IF($C72="","",N($G72)-N(R72))</f>
        <v/>
      </c>
      <c r="U72" s="24" t="n"/>
      <c r="V72" s="22" t="n"/>
    </row>
    <row r="73">
      <c r="B73" s="13">
        <f>IF($C73="","",COUNTA($C$9:$C73))</f>
        <v/>
      </c>
      <c r="C73" s="21" t="n"/>
      <c r="D73" s="14" t="n"/>
      <c r="E73" s="14" t="n"/>
      <c r="F73" s="14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3">
        <f>IF($C73="","",N(L73)-N(M73))</f>
        <v/>
      </c>
      <c r="P73" s="24" t="n"/>
      <c r="Q73" s="23">
        <f>IF($C73="","",N(M73)+N(N73))</f>
        <v/>
      </c>
      <c r="R73" s="23">
        <f>IF($C73="","",N(J73)+N(Q73))</f>
        <v/>
      </c>
      <c r="S73" s="25">
        <f>IF(OR($C73="",N($G73)=0),"",R73/$G73)</f>
        <v/>
      </c>
      <c r="T73" s="23">
        <f>IF($C73="","",N($G73)-N(R73))</f>
        <v/>
      </c>
      <c r="U73" s="24" t="n"/>
      <c r="V73" s="22" t="n"/>
    </row>
    <row r="74">
      <c r="B74" s="13">
        <f>IF($C74="","",COUNTA($C$9:$C74))</f>
        <v/>
      </c>
      <c r="C74" s="21" t="n"/>
      <c r="D74" s="14" t="n"/>
      <c r="E74" s="14" t="n"/>
      <c r="F74" s="14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3">
        <f>IF($C74="","",N(L74)-N(M74))</f>
        <v/>
      </c>
      <c r="P74" s="24" t="n"/>
      <c r="Q74" s="23">
        <f>IF($C74="","",N(M74)+N(N74))</f>
        <v/>
      </c>
      <c r="R74" s="23">
        <f>IF($C74="","",N(J74)+N(Q74))</f>
        <v/>
      </c>
      <c r="S74" s="25">
        <f>IF(OR($C74="",N($G74)=0),"",R74/$G74)</f>
        <v/>
      </c>
      <c r="T74" s="23">
        <f>IF($C74="","",N($G74)-N(R74))</f>
        <v/>
      </c>
      <c r="U74" s="24" t="n"/>
      <c r="V74" s="22" t="n"/>
    </row>
    <row r="75">
      <c r="B75" s="13">
        <f>IF($C75="","",COUNTA($C$9:$C75))</f>
        <v/>
      </c>
      <c r="C75" s="21" t="n"/>
      <c r="D75" s="14" t="n"/>
      <c r="E75" s="14" t="n"/>
      <c r="F75" s="14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3">
        <f>IF($C75="","",N(L75)-N(M75))</f>
        <v/>
      </c>
      <c r="P75" s="24" t="n"/>
      <c r="Q75" s="23">
        <f>IF($C75="","",N(M75)+N(N75))</f>
        <v/>
      </c>
      <c r="R75" s="23">
        <f>IF($C75="","",N(J75)+N(Q75))</f>
        <v/>
      </c>
      <c r="S75" s="25">
        <f>IF(OR($C75="",N($G75)=0),"",R75/$G75)</f>
        <v/>
      </c>
      <c r="T75" s="23">
        <f>IF($C75="","",N($G75)-N(R75))</f>
        <v/>
      </c>
      <c r="U75" s="24" t="n"/>
      <c r="V75" s="22" t="n"/>
    </row>
    <row r="76">
      <c r="B76" s="13">
        <f>IF($C76="","",COUNTA($C$9:$C76))</f>
        <v/>
      </c>
      <c r="C76" s="21" t="n"/>
      <c r="D76" s="14" t="n"/>
      <c r="E76" s="14" t="n"/>
      <c r="F76" s="14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3">
        <f>IF($C76="","",N(L76)-N(M76))</f>
        <v/>
      </c>
      <c r="P76" s="24" t="n"/>
      <c r="Q76" s="23">
        <f>IF($C76="","",N(M76)+N(N76))</f>
        <v/>
      </c>
      <c r="R76" s="23">
        <f>IF($C76="","",N(J76)+N(Q76))</f>
        <v/>
      </c>
      <c r="S76" s="25">
        <f>IF(OR($C76="",N($G76)=0),"",R76/$G76)</f>
        <v/>
      </c>
      <c r="T76" s="23">
        <f>IF($C76="","",N($G76)-N(R76))</f>
        <v/>
      </c>
      <c r="U76" s="24" t="n"/>
      <c r="V76" s="22" t="n"/>
    </row>
    <row r="77">
      <c r="B77" s="13">
        <f>IF($C77="","",COUNTA($C$9:$C77))</f>
        <v/>
      </c>
      <c r="C77" s="21" t="n"/>
      <c r="D77" s="14" t="n"/>
      <c r="E77" s="14" t="n"/>
      <c r="F77" s="14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3">
        <f>IF($C77="","",N(L77)-N(M77))</f>
        <v/>
      </c>
      <c r="P77" s="24" t="n"/>
      <c r="Q77" s="23">
        <f>IF($C77="","",N(M77)+N(N77))</f>
        <v/>
      </c>
      <c r="R77" s="23">
        <f>IF($C77="","",N(J77)+N(Q77))</f>
        <v/>
      </c>
      <c r="S77" s="25">
        <f>IF(OR($C77="",N($G77)=0),"",R77/$G77)</f>
        <v/>
      </c>
      <c r="T77" s="23">
        <f>IF($C77="","",N($G77)-N(R77))</f>
        <v/>
      </c>
      <c r="U77" s="24" t="n"/>
      <c r="V77" s="22" t="n"/>
    </row>
    <row r="78">
      <c r="B78" s="13">
        <f>IF($C78="","",COUNTA($C$9:$C78))</f>
        <v/>
      </c>
      <c r="C78" s="21" t="n"/>
      <c r="D78" s="14" t="n"/>
      <c r="E78" s="14" t="n"/>
      <c r="F78" s="14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3">
        <f>IF($C78="","",N(L78)-N(M78))</f>
        <v/>
      </c>
      <c r="P78" s="24" t="n"/>
      <c r="Q78" s="23">
        <f>IF($C78="","",N(M78)+N(N78))</f>
        <v/>
      </c>
      <c r="R78" s="23">
        <f>IF($C78="","",N(J78)+N(Q78))</f>
        <v/>
      </c>
      <c r="S78" s="25">
        <f>IF(OR($C78="",N($G78)=0),"",R78/$G78)</f>
        <v/>
      </c>
      <c r="T78" s="23">
        <f>IF($C78="","",N($G78)-N(R78))</f>
        <v/>
      </c>
      <c r="U78" s="24" t="n"/>
      <c r="V78" s="22" t="n"/>
    </row>
    <row r="79">
      <c r="B79" s="13">
        <f>IF($C79="","",COUNTA($C$9:$C79))</f>
        <v/>
      </c>
      <c r="C79" s="21" t="n"/>
      <c r="D79" s="14" t="n"/>
      <c r="E79" s="14" t="n"/>
      <c r="F79" s="14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3">
        <f>IF($C79="","",N(L79)-N(M79))</f>
        <v/>
      </c>
      <c r="P79" s="24" t="n"/>
      <c r="Q79" s="23">
        <f>IF($C79="","",N(M79)+N(N79))</f>
        <v/>
      </c>
      <c r="R79" s="23">
        <f>IF($C79="","",N(J79)+N(Q79))</f>
        <v/>
      </c>
      <c r="S79" s="25">
        <f>IF(OR($C79="",N($G79)=0),"",R79/$G79)</f>
        <v/>
      </c>
      <c r="T79" s="23">
        <f>IF($C79="","",N($G79)-N(R79))</f>
        <v/>
      </c>
      <c r="U79" s="24" t="n"/>
      <c r="V79" s="22" t="n"/>
    </row>
    <row r="80">
      <c r="B80" s="13">
        <f>IF($C80="","",COUNTA($C$9:$C80))</f>
        <v/>
      </c>
      <c r="C80" s="21" t="n"/>
      <c r="D80" s="14" t="n"/>
      <c r="E80" s="14" t="n"/>
      <c r="F80" s="14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3">
        <f>IF($C80="","",N(L80)-N(M80))</f>
        <v/>
      </c>
      <c r="P80" s="24" t="n"/>
      <c r="Q80" s="23">
        <f>IF($C80="","",N(M80)+N(N80))</f>
        <v/>
      </c>
      <c r="R80" s="23">
        <f>IF($C80="","",N(J80)+N(Q80))</f>
        <v/>
      </c>
      <c r="S80" s="25">
        <f>IF(OR($C80="",N($G80)=0),"",R80/$G80)</f>
        <v/>
      </c>
      <c r="T80" s="23">
        <f>IF($C80="","",N($G80)-N(R80))</f>
        <v/>
      </c>
      <c r="U80" s="24" t="n"/>
      <c r="V80" s="22" t="n"/>
    </row>
    <row r="81">
      <c r="B81" s="13">
        <f>IF($C81="","",COUNTA($C$9:$C81))</f>
        <v/>
      </c>
      <c r="C81" s="21" t="n"/>
      <c r="D81" s="14" t="n"/>
      <c r="E81" s="14" t="n"/>
      <c r="F81" s="14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3">
        <f>IF($C81="","",N(L81)-N(M81))</f>
        <v/>
      </c>
      <c r="P81" s="24" t="n"/>
      <c r="Q81" s="23">
        <f>IF($C81="","",N(M81)+N(N81))</f>
        <v/>
      </c>
      <c r="R81" s="23">
        <f>IF($C81="","",N(J81)+N(Q81))</f>
        <v/>
      </c>
      <c r="S81" s="25">
        <f>IF(OR($C81="",N($G81)=0),"",R81/$G81)</f>
        <v/>
      </c>
      <c r="T81" s="23">
        <f>IF($C81="","",N($G81)-N(R81))</f>
        <v/>
      </c>
      <c r="U81" s="24" t="n"/>
      <c r="V81" s="22" t="n"/>
    </row>
    <row r="82">
      <c r="B82" s="13">
        <f>IF($C82="","",COUNTA($C$9:$C82))</f>
        <v/>
      </c>
      <c r="C82" s="21" t="n"/>
      <c r="D82" s="14" t="n"/>
      <c r="E82" s="14" t="n"/>
      <c r="F82" s="14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3">
        <f>IF($C82="","",N(L82)-N(M82))</f>
        <v/>
      </c>
      <c r="P82" s="24" t="n"/>
      <c r="Q82" s="23">
        <f>IF($C82="","",N(M82)+N(N82))</f>
        <v/>
      </c>
      <c r="R82" s="23">
        <f>IF($C82="","",N(J82)+N(Q82))</f>
        <v/>
      </c>
      <c r="S82" s="25">
        <f>IF(OR($C82="",N($G82)=0),"",R82/$G82)</f>
        <v/>
      </c>
      <c r="T82" s="23">
        <f>IF($C82="","",N($G82)-N(R82))</f>
        <v/>
      </c>
      <c r="U82" s="24" t="n"/>
      <c r="V82" s="22" t="n"/>
    </row>
    <row r="83">
      <c r="B83" s="13">
        <f>IF($C83="","",COUNTA($C$9:$C83))</f>
        <v/>
      </c>
      <c r="C83" s="21" t="n"/>
      <c r="D83" s="14" t="n"/>
      <c r="E83" s="14" t="n"/>
      <c r="F83" s="14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3">
        <f>IF($C83="","",N(L83)-N(M83))</f>
        <v/>
      </c>
      <c r="P83" s="24" t="n"/>
      <c r="Q83" s="23">
        <f>IF($C83="","",N(M83)+N(N83))</f>
        <v/>
      </c>
      <c r="R83" s="23">
        <f>IF($C83="","",N(J83)+N(Q83))</f>
        <v/>
      </c>
      <c r="S83" s="25">
        <f>IF(OR($C83="",N($G83)=0),"",R83/$G83)</f>
        <v/>
      </c>
      <c r="T83" s="23">
        <f>IF($C83="","",N($G83)-N(R83))</f>
        <v/>
      </c>
      <c r="U83" s="24" t="n"/>
      <c r="V83" s="22" t="n"/>
    </row>
    <row r="84">
      <c r="B84" s="13">
        <f>IF($C84="","",COUNTA($C$9:$C84))</f>
        <v/>
      </c>
      <c r="C84" s="21" t="n"/>
      <c r="D84" s="14" t="n"/>
      <c r="E84" s="14" t="n"/>
      <c r="F84" s="14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3">
        <f>IF($C84="","",N(L84)-N(M84))</f>
        <v/>
      </c>
      <c r="P84" s="24" t="n"/>
      <c r="Q84" s="23">
        <f>IF($C84="","",N(M84)+N(N84))</f>
        <v/>
      </c>
      <c r="R84" s="23">
        <f>IF($C84="","",N(J84)+N(Q84))</f>
        <v/>
      </c>
      <c r="S84" s="25">
        <f>IF(OR($C84="",N($G84)=0),"",R84/$G84)</f>
        <v/>
      </c>
      <c r="T84" s="23">
        <f>IF($C84="","",N($G84)-N(R84))</f>
        <v/>
      </c>
      <c r="U84" s="24" t="n"/>
      <c r="V84" s="22" t="n"/>
    </row>
    <row r="85">
      <c r="B85" s="13">
        <f>IF($C85="","",COUNTA($C$9:$C85))</f>
        <v/>
      </c>
      <c r="C85" s="21" t="n"/>
      <c r="D85" s="14" t="n"/>
      <c r="E85" s="14" t="n"/>
      <c r="F85" s="14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3">
        <f>IF($C85="","",N(L85)-N(M85))</f>
        <v/>
      </c>
      <c r="P85" s="24" t="n"/>
      <c r="Q85" s="23">
        <f>IF($C85="","",N(M85)+N(N85))</f>
        <v/>
      </c>
      <c r="R85" s="23">
        <f>IF($C85="","",N(J85)+N(Q85))</f>
        <v/>
      </c>
      <c r="S85" s="25">
        <f>IF(OR($C85="",N($G85)=0),"",R85/$G85)</f>
        <v/>
      </c>
      <c r="T85" s="23">
        <f>IF($C85="","",N($G85)-N(R85))</f>
        <v/>
      </c>
      <c r="U85" s="24" t="n"/>
      <c r="V85" s="22" t="n"/>
    </row>
    <row r="86">
      <c r="B86" s="13">
        <f>IF($C86="","",COUNTA($C$9:$C86))</f>
        <v/>
      </c>
      <c r="C86" s="21" t="n"/>
      <c r="D86" s="14" t="n"/>
      <c r="E86" s="14" t="n"/>
      <c r="F86" s="14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3">
        <f>IF($C86="","",N(L86)-N(M86))</f>
        <v/>
      </c>
      <c r="P86" s="24" t="n"/>
      <c r="Q86" s="23">
        <f>IF($C86="","",N(M86)+N(N86))</f>
        <v/>
      </c>
      <c r="R86" s="23">
        <f>IF($C86="","",N(J86)+N(Q86))</f>
        <v/>
      </c>
      <c r="S86" s="25">
        <f>IF(OR($C86="",N($G86)=0),"",R86/$G86)</f>
        <v/>
      </c>
      <c r="T86" s="23">
        <f>IF($C86="","",N($G86)-N(R86))</f>
        <v/>
      </c>
      <c r="U86" s="24" t="n"/>
      <c r="V86" s="22" t="n"/>
    </row>
    <row r="87">
      <c r="B87" s="13">
        <f>IF($C87="","",COUNTA($C$9:$C87))</f>
        <v/>
      </c>
      <c r="C87" s="21" t="n"/>
      <c r="D87" s="14" t="n"/>
      <c r="E87" s="14" t="n"/>
      <c r="F87" s="14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3">
        <f>IF($C87="","",N(L87)-N(M87))</f>
        <v/>
      </c>
      <c r="P87" s="24" t="n"/>
      <c r="Q87" s="23">
        <f>IF($C87="","",N(M87)+N(N87))</f>
        <v/>
      </c>
      <c r="R87" s="23">
        <f>IF($C87="","",N(J87)+N(Q87))</f>
        <v/>
      </c>
      <c r="S87" s="25">
        <f>IF(OR($C87="",N($G87)=0),"",R87/$G87)</f>
        <v/>
      </c>
      <c r="T87" s="23">
        <f>IF($C87="","",N($G87)-N(R87))</f>
        <v/>
      </c>
      <c r="U87" s="24" t="n"/>
      <c r="V87" s="22" t="n"/>
    </row>
    <row r="88">
      <c r="B88" s="13">
        <f>IF($C88="","",COUNTA($C$9:$C88))</f>
        <v/>
      </c>
      <c r="C88" s="21" t="n"/>
      <c r="D88" s="14" t="n"/>
      <c r="E88" s="14" t="n"/>
      <c r="F88" s="14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3">
        <f>IF($C88="","",N(L88)-N(M88))</f>
        <v/>
      </c>
      <c r="P88" s="24" t="n"/>
      <c r="Q88" s="23">
        <f>IF($C88="","",N(M88)+N(N88))</f>
        <v/>
      </c>
      <c r="R88" s="23">
        <f>IF($C88="","",N(J88)+N(Q88))</f>
        <v/>
      </c>
      <c r="S88" s="25">
        <f>IF(OR($C88="",N($G88)=0),"",R88/$G88)</f>
        <v/>
      </c>
      <c r="T88" s="23">
        <f>IF($C88="","",N($G88)-N(R88))</f>
        <v/>
      </c>
      <c r="U88" s="24" t="n"/>
      <c r="V88" s="22" t="n"/>
    </row>
    <row r="89">
      <c r="B89" s="13">
        <f>IF($C89="","",COUNTA($C$9:$C89))</f>
        <v/>
      </c>
      <c r="C89" s="21" t="n"/>
      <c r="D89" s="14" t="n"/>
      <c r="E89" s="14" t="n"/>
      <c r="F89" s="14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3">
        <f>IF($C89="","",N(L89)-N(M89))</f>
        <v/>
      </c>
      <c r="P89" s="24" t="n"/>
      <c r="Q89" s="23">
        <f>IF($C89="","",N(M89)+N(N89))</f>
        <v/>
      </c>
      <c r="R89" s="23">
        <f>IF($C89="","",N(J89)+N(Q89))</f>
        <v/>
      </c>
      <c r="S89" s="25">
        <f>IF(OR($C89="",N($G89)=0),"",R89/$G89)</f>
        <v/>
      </c>
      <c r="T89" s="23">
        <f>IF($C89="","",N($G89)-N(R89))</f>
        <v/>
      </c>
      <c r="U89" s="24" t="n"/>
      <c r="V89" s="22" t="n"/>
    </row>
    <row r="90">
      <c r="B90" s="13">
        <f>IF($C90="","",COUNTA($C$9:$C90))</f>
        <v/>
      </c>
      <c r="C90" s="21" t="n"/>
      <c r="D90" s="14" t="n"/>
      <c r="E90" s="14" t="n"/>
      <c r="F90" s="14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3">
        <f>IF($C90="","",N(L90)-N(M90))</f>
        <v/>
      </c>
      <c r="P90" s="24" t="n"/>
      <c r="Q90" s="23">
        <f>IF($C90="","",N(M90)+N(N90))</f>
        <v/>
      </c>
      <c r="R90" s="23">
        <f>IF($C90="","",N(J90)+N(Q90))</f>
        <v/>
      </c>
      <c r="S90" s="25">
        <f>IF(OR($C90="",N($G90)=0),"",R90/$G90)</f>
        <v/>
      </c>
      <c r="T90" s="23">
        <f>IF($C90="","",N($G90)-N(R90))</f>
        <v/>
      </c>
      <c r="U90" s="24" t="n"/>
      <c r="V90" s="22" t="n"/>
    </row>
    <row r="91">
      <c r="B91" s="13">
        <f>IF($C91="","",COUNTA($C$9:$C91))</f>
        <v/>
      </c>
      <c r="C91" s="21" t="n"/>
      <c r="D91" s="14" t="n"/>
      <c r="E91" s="14" t="n"/>
      <c r="F91" s="14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3">
        <f>IF($C91="","",N(L91)-N(M91))</f>
        <v/>
      </c>
      <c r="P91" s="24" t="n"/>
      <c r="Q91" s="23">
        <f>IF($C91="","",N(M91)+N(N91))</f>
        <v/>
      </c>
      <c r="R91" s="23">
        <f>IF($C91="","",N(J91)+N(Q91))</f>
        <v/>
      </c>
      <c r="S91" s="25">
        <f>IF(OR($C91="",N($G91)=0),"",R91/$G91)</f>
        <v/>
      </c>
      <c r="T91" s="23">
        <f>IF($C91="","",N($G91)-N(R91))</f>
        <v/>
      </c>
      <c r="U91" s="24" t="n"/>
      <c r="V91" s="22" t="n"/>
    </row>
    <row r="92">
      <c r="B92" s="13">
        <f>IF($C92="","",COUNTA($C$9:$C92))</f>
        <v/>
      </c>
      <c r="C92" s="21" t="n"/>
      <c r="D92" s="14" t="n"/>
      <c r="E92" s="14" t="n"/>
      <c r="F92" s="14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3">
        <f>IF($C92="","",N(L92)-N(M92))</f>
        <v/>
      </c>
      <c r="P92" s="24" t="n"/>
      <c r="Q92" s="23">
        <f>IF($C92="","",N(M92)+N(N92))</f>
        <v/>
      </c>
      <c r="R92" s="23">
        <f>IF($C92="","",N(J92)+N(Q92))</f>
        <v/>
      </c>
      <c r="S92" s="25">
        <f>IF(OR($C92="",N($G92)=0),"",R92/$G92)</f>
        <v/>
      </c>
      <c r="T92" s="23">
        <f>IF($C92="","",N($G92)-N(R92))</f>
        <v/>
      </c>
      <c r="U92" s="24" t="n"/>
      <c r="V92" s="22" t="n"/>
    </row>
    <row r="93">
      <c r="B93" s="13">
        <f>IF($C93="","",COUNTA($C$9:$C93))</f>
        <v/>
      </c>
      <c r="C93" s="21" t="n"/>
      <c r="D93" s="14" t="n"/>
      <c r="E93" s="14" t="n"/>
      <c r="F93" s="14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3">
        <f>IF($C93="","",N(L93)-N(M93))</f>
        <v/>
      </c>
      <c r="P93" s="24" t="n"/>
      <c r="Q93" s="23">
        <f>IF($C93="","",N(M93)+N(N93))</f>
        <v/>
      </c>
      <c r="R93" s="23">
        <f>IF($C93="","",N(J93)+N(Q93))</f>
        <v/>
      </c>
      <c r="S93" s="25">
        <f>IF(OR($C93="",N($G93)=0),"",R93/$G93)</f>
        <v/>
      </c>
      <c r="T93" s="23">
        <f>IF($C93="","",N($G93)-N(R93))</f>
        <v/>
      </c>
      <c r="U93" s="24" t="n"/>
      <c r="V93" s="22" t="n"/>
    </row>
    <row r="94">
      <c r="B94" s="13">
        <f>IF($C94="","",COUNTA($C$9:$C94))</f>
        <v/>
      </c>
      <c r="C94" s="21" t="n"/>
      <c r="D94" s="14" t="n"/>
      <c r="E94" s="14" t="n"/>
      <c r="F94" s="14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3">
        <f>IF($C94="","",N(L94)-N(M94))</f>
        <v/>
      </c>
      <c r="P94" s="24" t="n"/>
      <c r="Q94" s="23">
        <f>IF($C94="","",N(M94)+N(N94))</f>
        <v/>
      </c>
      <c r="R94" s="23">
        <f>IF($C94="","",N(J94)+N(Q94))</f>
        <v/>
      </c>
      <c r="S94" s="25">
        <f>IF(OR($C94="",N($G94)=0),"",R94/$G94)</f>
        <v/>
      </c>
      <c r="T94" s="23">
        <f>IF($C94="","",N($G94)-N(R94))</f>
        <v/>
      </c>
      <c r="U94" s="24" t="n"/>
      <c r="V94" s="22" t="n"/>
    </row>
    <row r="95">
      <c r="B95" s="13">
        <f>IF($C95="","",COUNTA($C$9:$C95))</f>
        <v/>
      </c>
      <c r="C95" s="21" t="n"/>
      <c r="D95" s="14" t="n"/>
      <c r="E95" s="14" t="n"/>
      <c r="F95" s="14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3">
        <f>IF($C95="","",N(L95)-N(M95))</f>
        <v/>
      </c>
      <c r="P95" s="24" t="n"/>
      <c r="Q95" s="23">
        <f>IF($C95="","",N(M95)+N(N95))</f>
        <v/>
      </c>
      <c r="R95" s="23">
        <f>IF($C95="","",N(J95)+N(Q95))</f>
        <v/>
      </c>
      <c r="S95" s="25">
        <f>IF(OR($C95="",N($G95)=0),"",R95/$G95)</f>
        <v/>
      </c>
      <c r="T95" s="23">
        <f>IF($C95="","",N($G95)-N(R95))</f>
        <v/>
      </c>
      <c r="U95" s="24" t="n"/>
      <c r="V95" s="22" t="n"/>
    </row>
    <row r="96">
      <c r="B96" s="13">
        <f>IF($C96="","",COUNTA($C$9:$C96))</f>
        <v/>
      </c>
      <c r="C96" s="21" t="n"/>
      <c r="D96" s="14" t="n"/>
      <c r="E96" s="14" t="n"/>
      <c r="F96" s="14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3">
        <f>IF($C96="","",N(L96)-N(M96))</f>
        <v/>
      </c>
      <c r="P96" s="24" t="n"/>
      <c r="Q96" s="23">
        <f>IF($C96="","",N(M96)+N(N96))</f>
        <v/>
      </c>
      <c r="R96" s="23">
        <f>IF($C96="","",N(J96)+N(Q96))</f>
        <v/>
      </c>
      <c r="S96" s="25">
        <f>IF(OR($C96="",N($G96)=0),"",R96/$G96)</f>
        <v/>
      </c>
      <c r="T96" s="23">
        <f>IF($C96="","",N($G96)-N(R96))</f>
        <v/>
      </c>
      <c r="U96" s="24" t="n"/>
      <c r="V96" s="22" t="n"/>
    </row>
    <row r="97">
      <c r="B97" s="13">
        <f>IF($C97="","",COUNTA($C$9:$C97))</f>
        <v/>
      </c>
      <c r="C97" s="21" t="n"/>
      <c r="D97" s="14" t="n"/>
      <c r="E97" s="14" t="n"/>
      <c r="F97" s="14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3">
        <f>IF($C97="","",N(L97)-N(M97))</f>
        <v/>
      </c>
      <c r="P97" s="24" t="n"/>
      <c r="Q97" s="23">
        <f>IF($C97="","",N(M97)+N(N97))</f>
        <v/>
      </c>
      <c r="R97" s="23">
        <f>IF($C97="","",N(J97)+N(Q97))</f>
        <v/>
      </c>
      <c r="S97" s="25">
        <f>IF(OR($C97="",N($G97)=0),"",R97/$G97)</f>
        <v/>
      </c>
      <c r="T97" s="23">
        <f>IF($C97="","",N($G97)-N(R97))</f>
        <v/>
      </c>
      <c r="U97" s="24" t="n"/>
      <c r="V97" s="22" t="n"/>
    </row>
    <row r="98">
      <c r="B98" s="13">
        <f>IF($C98="","",COUNTA($C$9:$C98))</f>
        <v/>
      </c>
      <c r="C98" s="21" t="n"/>
      <c r="D98" s="14" t="n"/>
      <c r="E98" s="14" t="n"/>
      <c r="F98" s="14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3">
        <f>IF($C98="","",N(L98)-N(M98))</f>
        <v/>
      </c>
      <c r="P98" s="24" t="n"/>
      <c r="Q98" s="23">
        <f>IF($C98="","",N(M98)+N(N98))</f>
        <v/>
      </c>
      <c r="R98" s="23">
        <f>IF($C98="","",N(J98)+N(Q98))</f>
        <v/>
      </c>
      <c r="S98" s="25">
        <f>IF(OR($C98="",N($G98)=0),"",R98/$G98)</f>
        <v/>
      </c>
      <c r="T98" s="23">
        <f>IF($C98="","",N($G98)-N(R98))</f>
        <v/>
      </c>
      <c r="U98" s="24" t="n"/>
      <c r="V98" s="22" t="n"/>
    </row>
    <row r="99">
      <c r="B99" s="13">
        <f>IF($C99="","",COUNTA($C$9:$C99))</f>
        <v/>
      </c>
      <c r="C99" s="21" t="n"/>
      <c r="D99" s="14" t="n"/>
      <c r="E99" s="14" t="n"/>
      <c r="F99" s="14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3">
        <f>IF($C99="","",N(L99)-N(M99))</f>
        <v/>
      </c>
      <c r="P99" s="24" t="n"/>
      <c r="Q99" s="23">
        <f>IF($C99="","",N(M99)+N(N99))</f>
        <v/>
      </c>
      <c r="R99" s="23">
        <f>IF($C99="","",N(J99)+N(Q99))</f>
        <v/>
      </c>
      <c r="S99" s="25">
        <f>IF(OR($C99="",N($G99)=0),"",R99/$G99)</f>
        <v/>
      </c>
      <c r="T99" s="23">
        <f>IF($C99="","",N($G99)-N(R99))</f>
        <v/>
      </c>
      <c r="U99" s="24" t="n"/>
      <c r="V99" s="22" t="n"/>
    </row>
    <row r="100">
      <c r="B100" s="13">
        <f>IF($C100="","",COUNTA($C$9:$C100))</f>
        <v/>
      </c>
      <c r="C100" s="21" t="n"/>
      <c r="D100" s="14" t="n"/>
      <c r="E100" s="14" t="n"/>
      <c r="F100" s="14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3">
        <f>IF($C100="","",N(L100)-N(M100))</f>
        <v/>
      </c>
      <c r="P100" s="24" t="n"/>
      <c r="Q100" s="23">
        <f>IF($C100="","",N(M100)+N(N100))</f>
        <v/>
      </c>
      <c r="R100" s="23">
        <f>IF($C100="","",N(J100)+N(Q100))</f>
        <v/>
      </c>
      <c r="S100" s="25">
        <f>IF(OR($C100="",N($G100)=0),"",R100/$G100)</f>
        <v/>
      </c>
      <c r="T100" s="23">
        <f>IF($C100="","",N($G100)-N(R100))</f>
        <v/>
      </c>
      <c r="U100" s="24" t="n"/>
      <c r="V100" s="22" t="n"/>
    </row>
    <row r="101">
      <c r="B101" s="13">
        <f>IF($C101="","",COUNTA($C$9:$C101))</f>
        <v/>
      </c>
      <c r="C101" s="21" t="n"/>
      <c r="D101" s="14" t="n"/>
      <c r="E101" s="14" t="n"/>
      <c r="F101" s="14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3">
        <f>IF($C101="","",N(L101)-N(M101))</f>
        <v/>
      </c>
      <c r="P101" s="24" t="n"/>
      <c r="Q101" s="23">
        <f>IF($C101="","",N(M101)+N(N101))</f>
        <v/>
      </c>
      <c r="R101" s="23">
        <f>IF($C101="","",N(J101)+N(Q101))</f>
        <v/>
      </c>
      <c r="S101" s="25">
        <f>IF(OR($C101="",N($G101)=0),"",R101/$G101)</f>
        <v/>
      </c>
      <c r="T101" s="23">
        <f>IF($C101="","",N($G101)-N(R101))</f>
        <v/>
      </c>
      <c r="U101" s="24" t="n"/>
      <c r="V101" s="22" t="n"/>
    </row>
    <row r="102">
      <c r="B102" s="13">
        <f>IF($C102="","",COUNTA($C$9:$C102))</f>
        <v/>
      </c>
      <c r="C102" s="21" t="n"/>
      <c r="D102" s="14" t="n"/>
      <c r="E102" s="14" t="n"/>
      <c r="F102" s="14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3">
        <f>IF($C102="","",N(L102)-N(M102))</f>
        <v/>
      </c>
      <c r="P102" s="24" t="n"/>
      <c r="Q102" s="23">
        <f>IF($C102="","",N(M102)+N(N102))</f>
        <v/>
      </c>
      <c r="R102" s="23">
        <f>IF($C102="","",N(J102)+N(Q102))</f>
        <v/>
      </c>
      <c r="S102" s="25">
        <f>IF(OR($C102="",N($G102)=0),"",R102/$G102)</f>
        <v/>
      </c>
      <c r="T102" s="23">
        <f>IF($C102="","",N($G102)-N(R102))</f>
        <v/>
      </c>
      <c r="U102" s="24" t="n"/>
      <c r="V102" s="22" t="n"/>
    </row>
    <row r="103">
      <c r="B103" s="13">
        <f>IF($C103="","",COUNTA($C$9:$C103))</f>
        <v/>
      </c>
      <c r="C103" s="21" t="n"/>
      <c r="D103" s="14" t="n"/>
      <c r="E103" s="14" t="n"/>
      <c r="F103" s="14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3">
        <f>IF($C103="","",N(L103)-N(M103))</f>
        <v/>
      </c>
      <c r="P103" s="24" t="n"/>
      <c r="Q103" s="23">
        <f>IF($C103="","",N(M103)+N(N103))</f>
        <v/>
      </c>
      <c r="R103" s="23">
        <f>IF($C103="","",N(J103)+N(Q103))</f>
        <v/>
      </c>
      <c r="S103" s="25">
        <f>IF(OR($C103="",N($G103)=0),"",R103/$G103)</f>
        <v/>
      </c>
      <c r="T103" s="23">
        <f>IF($C103="","",N($G103)-N(R103))</f>
        <v/>
      </c>
      <c r="U103" s="24" t="n"/>
      <c r="V103" s="22" t="n"/>
    </row>
    <row r="104">
      <c r="B104" s="13">
        <f>IF($C104="","",COUNTA($C$9:$C104))</f>
        <v/>
      </c>
      <c r="C104" s="21" t="n"/>
      <c r="D104" s="14" t="n"/>
      <c r="E104" s="14" t="n"/>
      <c r="F104" s="14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3">
        <f>IF($C104="","",N(L104)-N(M104))</f>
        <v/>
      </c>
      <c r="P104" s="24" t="n"/>
      <c r="Q104" s="23">
        <f>IF($C104="","",N(M104)+N(N104))</f>
        <v/>
      </c>
      <c r="R104" s="23">
        <f>IF($C104="","",N(J104)+N(Q104))</f>
        <v/>
      </c>
      <c r="S104" s="25">
        <f>IF(OR($C104="",N($G104)=0),"",R104/$G104)</f>
        <v/>
      </c>
      <c r="T104" s="23">
        <f>IF($C104="","",N($G104)-N(R104))</f>
        <v/>
      </c>
      <c r="U104" s="24" t="n"/>
      <c r="V104" s="22" t="n"/>
    </row>
    <row r="105">
      <c r="B105" s="13">
        <f>IF($C105="","",COUNTA($C$9:$C105))</f>
        <v/>
      </c>
      <c r="C105" s="21" t="n"/>
      <c r="D105" s="14" t="n"/>
      <c r="E105" s="14" t="n"/>
      <c r="F105" s="14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3">
        <f>IF($C105="","",N(L105)-N(M105))</f>
        <v/>
      </c>
      <c r="P105" s="24" t="n"/>
      <c r="Q105" s="23">
        <f>IF($C105="","",N(M105)+N(N105))</f>
        <v/>
      </c>
      <c r="R105" s="23">
        <f>IF($C105="","",N(J105)+N(Q105))</f>
        <v/>
      </c>
      <c r="S105" s="25">
        <f>IF(OR($C105="",N($G105)=0),"",R105/$G105)</f>
        <v/>
      </c>
      <c r="T105" s="23">
        <f>IF($C105="","",N($G105)-N(R105))</f>
        <v/>
      </c>
      <c r="U105" s="24" t="n"/>
      <c r="V105" s="22" t="n"/>
    </row>
    <row r="106">
      <c r="B106" s="13">
        <f>IF($C106="","",COUNTA($C$9:$C106))</f>
        <v/>
      </c>
      <c r="C106" s="21" t="n"/>
      <c r="D106" s="14" t="n"/>
      <c r="E106" s="14" t="n"/>
      <c r="F106" s="14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3">
        <f>IF($C106="","",N(L106)-N(M106))</f>
        <v/>
      </c>
      <c r="P106" s="24" t="n"/>
      <c r="Q106" s="23">
        <f>IF($C106="","",N(M106)+N(N106))</f>
        <v/>
      </c>
      <c r="R106" s="23">
        <f>IF($C106="","",N(J106)+N(Q106))</f>
        <v/>
      </c>
      <c r="S106" s="25">
        <f>IF(OR($C106="",N($G106)=0),"",R106/$G106)</f>
        <v/>
      </c>
      <c r="T106" s="23">
        <f>IF($C106="","",N($G106)-N(R106))</f>
        <v/>
      </c>
      <c r="U106" s="24" t="n"/>
      <c r="V106" s="22" t="n"/>
    </row>
    <row r="107">
      <c r="B107" s="13">
        <f>IF($C107="","",COUNTA($C$9:$C107))</f>
        <v/>
      </c>
      <c r="C107" s="21" t="n"/>
      <c r="D107" s="14" t="n"/>
      <c r="E107" s="14" t="n"/>
      <c r="F107" s="14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3">
        <f>IF($C107="","",N(L107)-N(M107))</f>
        <v/>
      </c>
      <c r="P107" s="24" t="n"/>
      <c r="Q107" s="23">
        <f>IF($C107="","",N(M107)+N(N107))</f>
        <v/>
      </c>
      <c r="R107" s="23">
        <f>IF($C107="","",N(J107)+N(Q107))</f>
        <v/>
      </c>
      <c r="S107" s="25">
        <f>IF(OR($C107="",N($G107)=0),"",R107/$G107)</f>
        <v/>
      </c>
      <c r="T107" s="23">
        <f>IF($C107="","",N($G107)-N(R107))</f>
        <v/>
      </c>
      <c r="U107" s="24" t="n"/>
      <c r="V107" s="22" t="n"/>
    </row>
    <row r="108">
      <c r="B108" s="13">
        <f>IF($C108="","",COUNTA($C$9:$C108))</f>
        <v/>
      </c>
      <c r="C108" s="21" t="n"/>
      <c r="D108" s="14" t="n"/>
      <c r="E108" s="14" t="n"/>
      <c r="F108" s="14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3">
        <f>IF($C108="","",N(L108)-N(M108))</f>
        <v/>
      </c>
      <c r="P108" s="24" t="n"/>
      <c r="Q108" s="23">
        <f>IF($C108="","",N(M108)+N(N108))</f>
        <v/>
      </c>
      <c r="R108" s="23">
        <f>IF($C108="","",N(J108)+N(Q108))</f>
        <v/>
      </c>
      <c r="S108" s="25">
        <f>IF(OR($C108="",N($G108)=0),"",R108/$G108)</f>
        <v/>
      </c>
      <c r="T108" s="23">
        <f>IF($C108="","",N($G108)-N(R108))</f>
        <v/>
      </c>
      <c r="U108" s="24" t="n"/>
      <c r="V108" s="22" t="n"/>
    </row>
    <row r="109">
      <c r="B109" s="13">
        <f>IF($C109="","",COUNTA($C$9:$C109))</f>
        <v/>
      </c>
      <c r="C109" s="21" t="n"/>
      <c r="D109" s="14" t="n"/>
      <c r="E109" s="14" t="n"/>
      <c r="F109" s="14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3">
        <f>IF($C109="","",N(L109)-N(M109))</f>
        <v/>
      </c>
      <c r="P109" s="24" t="n"/>
      <c r="Q109" s="23">
        <f>IF($C109="","",N(M109)+N(N109))</f>
        <v/>
      </c>
      <c r="R109" s="23">
        <f>IF($C109="","",N(J109)+N(Q109))</f>
        <v/>
      </c>
      <c r="S109" s="25">
        <f>IF(OR($C109="",N($G109)=0),"",R109/$G109)</f>
        <v/>
      </c>
      <c r="T109" s="23">
        <f>IF($C109="","",N($G109)-N(R109))</f>
        <v/>
      </c>
      <c r="U109" s="24" t="n"/>
      <c r="V109" s="22" t="n"/>
    </row>
    <row r="110">
      <c r="B110" s="13">
        <f>IF($C110="","",COUNTA($C$9:$C110))</f>
        <v/>
      </c>
      <c r="C110" s="21" t="n"/>
      <c r="D110" s="14" t="n"/>
      <c r="E110" s="14" t="n"/>
      <c r="F110" s="14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3">
        <f>IF($C110="","",N(L110)-N(M110))</f>
        <v/>
      </c>
      <c r="P110" s="24" t="n"/>
      <c r="Q110" s="23">
        <f>IF($C110="","",N(M110)+N(N110))</f>
        <v/>
      </c>
      <c r="R110" s="23">
        <f>IF($C110="","",N(J110)+N(Q110))</f>
        <v/>
      </c>
      <c r="S110" s="25">
        <f>IF(OR($C110="",N($G110)=0),"",R110/$G110)</f>
        <v/>
      </c>
      <c r="T110" s="23">
        <f>IF($C110="","",N($G110)-N(R110))</f>
        <v/>
      </c>
      <c r="U110" s="24" t="n"/>
      <c r="V110" s="22" t="n"/>
    </row>
    <row r="111">
      <c r="B111" s="13">
        <f>IF($C111="","",COUNTA($C$9:$C111))</f>
        <v/>
      </c>
      <c r="C111" s="21" t="n"/>
      <c r="D111" s="14" t="n"/>
      <c r="E111" s="14" t="n"/>
      <c r="F111" s="14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3">
        <f>IF($C111="","",N(L111)-N(M111))</f>
        <v/>
      </c>
      <c r="P111" s="24" t="n"/>
      <c r="Q111" s="23">
        <f>IF($C111="","",N(M111)+N(N111))</f>
        <v/>
      </c>
      <c r="R111" s="23">
        <f>IF($C111="","",N(J111)+N(Q111))</f>
        <v/>
      </c>
      <c r="S111" s="25">
        <f>IF(OR($C111="",N($G111)=0),"",R111/$G111)</f>
        <v/>
      </c>
      <c r="T111" s="23">
        <f>IF($C111="","",N($G111)-N(R111))</f>
        <v/>
      </c>
      <c r="U111" s="24" t="n"/>
      <c r="V111" s="22" t="n"/>
    </row>
    <row r="112">
      <c r="B112" s="13">
        <f>IF($C112="","",COUNTA($C$9:$C112))</f>
        <v/>
      </c>
      <c r="C112" s="21" t="n"/>
      <c r="D112" s="14" t="n"/>
      <c r="E112" s="14" t="n"/>
      <c r="F112" s="14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3">
        <f>IF($C112="","",N(L112)-N(M112))</f>
        <v/>
      </c>
      <c r="P112" s="24" t="n"/>
      <c r="Q112" s="23">
        <f>IF($C112="","",N(M112)+N(N112))</f>
        <v/>
      </c>
      <c r="R112" s="23">
        <f>IF($C112="","",N(J112)+N(Q112))</f>
        <v/>
      </c>
      <c r="S112" s="25">
        <f>IF(OR($C112="",N($G112)=0),"",R112/$G112)</f>
        <v/>
      </c>
      <c r="T112" s="23">
        <f>IF($C112="","",N($G112)-N(R112))</f>
        <v/>
      </c>
      <c r="U112" s="24" t="n"/>
      <c r="V112" s="22" t="n"/>
    </row>
    <row r="113">
      <c r="B113" s="13">
        <f>IF($C113="","",COUNTA($C$9:$C113))</f>
        <v/>
      </c>
      <c r="C113" s="21" t="n"/>
      <c r="D113" s="14" t="n"/>
      <c r="E113" s="14" t="n"/>
      <c r="F113" s="14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3">
        <f>IF($C113="","",N(L113)-N(M113))</f>
        <v/>
      </c>
      <c r="P113" s="24" t="n"/>
      <c r="Q113" s="23">
        <f>IF($C113="","",N(M113)+N(N113))</f>
        <v/>
      </c>
      <c r="R113" s="23">
        <f>IF($C113="","",N(J113)+N(Q113))</f>
        <v/>
      </c>
      <c r="S113" s="25">
        <f>IF(OR($C113="",N($G113)=0),"",R113/$G113)</f>
        <v/>
      </c>
      <c r="T113" s="23">
        <f>IF($C113="","",N($G113)-N(R113))</f>
        <v/>
      </c>
      <c r="U113" s="24" t="n"/>
      <c r="V113" s="22" t="n"/>
    </row>
    <row r="114">
      <c r="B114" s="13">
        <f>IF($C114="","",COUNTA($C$9:$C114))</f>
        <v/>
      </c>
      <c r="C114" s="21" t="n"/>
      <c r="D114" s="14" t="n"/>
      <c r="E114" s="14" t="n"/>
      <c r="F114" s="14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3">
        <f>IF($C114="","",N(L114)-N(M114))</f>
        <v/>
      </c>
      <c r="P114" s="24" t="n"/>
      <c r="Q114" s="23">
        <f>IF($C114="","",N(M114)+N(N114))</f>
        <v/>
      </c>
      <c r="R114" s="23">
        <f>IF($C114="","",N(J114)+N(Q114))</f>
        <v/>
      </c>
      <c r="S114" s="25">
        <f>IF(OR($C114="",N($G114)=0),"",R114/$G114)</f>
        <v/>
      </c>
      <c r="T114" s="23">
        <f>IF($C114="","",N($G114)-N(R114))</f>
        <v/>
      </c>
      <c r="U114" s="24" t="n"/>
      <c r="V114" s="22" t="n"/>
    </row>
    <row r="115">
      <c r="B115" s="13">
        <f>IF($C115="","",COUNTA($C$9:$C115))</f>
        <v/>
      </c>
      <c r="C115" s="21" t="n"/>
      <c r="D115" s="14" t="n"/>
      <c r="E115" s="14" t="n"/>
      <c r="F115" s="14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3">
        <f>IF($C115="","",N(L115)-N(M115))</f>
        <v/>
      </c>
      <c r="P115" s="24" t="n"/>
      <c r="Q115" s="23">
        <f>IF($C115="","",N(M115)+N(N115))</f>
        <v/>
      </c>
      <c r="R115" s="23">
        <f>IF($C115="","",N(J115)+N(Q115))</f>
        <v/>
      </c>
      <c r="S115" s="25">
        <f>IF(OR($C115="",N($G115)=0),"",R115/$G115)</f>
        <v/>
      </c>
      <c r="T115" s="23">
        <f>IF($C115="","",N($G115)-N(R115))</f>
        <v/>
      </c>
      <c r="U115" s="24" t="n"/>
      <c r="V115" s="22" t="n"/>
    </row>
    <row r="116">
      <c r="B116" s="13">
        <f>IF($C116="","",COUNTA($C$9:$C116))</f>
        <v/>
      </c>
      <c r="C116" s="21" t="n"/>
      <c r="D116" s="14" t="n"/>
      <c r="E116" s="14" t="n"/>
      <c r="F116" s="14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3">
        <f>IF($C116="","",N(L116)-N(M116))</f>
        <v/>
      </c>
      <c r="P116" s="24" t="n"/>
      <c r="Q116" s="23">
        <f>IF($C116="","",N(M116)+N(N116))</f>
        <v/>
      </c>
      <c r="R116" s="23">
        <f>IF($C116="","",N(J116)+N(Q116))</f>
        <v/>
      </c>
      <c r="S116" s="25">
        <f>IF(OR($C116="",N($G116)=0),"",R116/$G116)</f>
        <v/>
      </c>
      <c r="T116" s="23">
        <f>IF($C116="","",N($G116)-N(R116))</f>
        <v/>
      </c>
      <c r="U116" s="24" t="n"/>
      <c r="V116" s="22" t="n"/>
    </row>
    <row r="117">
      <c r="B117" s="13">
        <f>IF($C117="","",COUNTA($C$9:$C117))</f>
        <v/>
      </c>
      <c r="C117" s="21" t="n"/>
      <c r="D117" s="14" t="n"/>
      <c r="E117" s="14" t="n"/>
      <c r="F117" s="14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3">
        <f>IF($C117="","",N(L117)-N(M117))</f>
        <v/>
      </c>
      <c r="P117" s="24" t="n"/>
      <c r="Q117" s="23">
        <f>IF($C117="","",N(M117)+N(N117))</f>
        <v/>
      </c>
      <c r="R117" s="23">
        <f>IF($C117="","",N(J117)+N(Q117))</f>
        <v/>
      </c>
      <c r="S117" s="25">
        <f>IF(OR($C117="",N($G117)=0),"",R117/$G117)</f>
        <v/>
      </c>
      <c r="T117" s="23">
        <f>IF($C117="","",N($G117)-N(R117))</f>
        <v/>
      </c>
      <c r="U117" s="24" t="n"/>
      <c r="V117" s="22" t="n"/>
    </row>
    <row r="118">
      <c r="B118" s="13">
        <f>IF($C118="","",COUNTA($C$9:$C118))</f>
        <v/>
      </c>
      <c r="C118" s="21" t="n"/>
      <c r="D118" s="14" t="n"/>
      <c r="E118" s="14" t="n"/>
      <c r="F118" s="14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3">
        <f>IF($C118="","",N(L118)-N(M118))</f>
        <v/>
      </c>
      <c r="P118" s="24" t="n"/>
      <c r="Q118" s="23">
        <f>IF($C118="","",N(M118)+N(N118))</f>
        <v/>
      </c>
      <c r="R118" s="23">
        <f>IF($C118="","",N(J118)+N(Q118))</f>
        <v/>
      </c>
      <c r="S118" s="25">
        <f>IF(OR($C118="",N($G118)=0),"",R118/$G118)</f>
        <v/>
      </c>
      <c r="T118" s="23">
        <f>IF($C118="","",N($G118)-N(R118))</f>
        <v/>
      </c>
      <c r="U118" s="24" t="n"/>
      <c r="V118" s="22" t="n"/>
    </row>
    <row r="119">
      <c r="B119" s="13">
        <f>IF($C119="","",COUNTA($C$9:$C119))</f>
        <v/>
      </c>
      <c r="C119" s="21" t="n"/>
      <c r="D119" s="14" t="n"/>
      <c r="E119" s="14" t="n"/>
      <c r="F119" s="14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3">
        <f>IF($C119="","",N(L119)-N(M119))</f>
        <v/>
      </c>
      <c r="P119" s="24" t="n"/>
      <c r="Q119" s="23">
        <f>IF($C119="","",N(M119)+N(N119))</f>
        <v/>
      </c>
      <c r="R119" s="23">
        <f>IF($C119="","",N(J119)+N(Q119))</f>
        <v/>
      </c>
      <c r="S119" s="25">
        <f>IF(OR($C119="",N($G119)=0),"",R119/$G119)</f>
        <v/>
      </c>
      <c r="T119" s="23">
        <f>IF($C119="","",N($G119)-N(R119))</f>
        <v/>
      </c>
      <c r="U119" s="24" t="n"/>
      <c r="V119" s="22" t="n"/>
    </row>
    <row r="120">
      <c r="B120" s="13">
        <f>IF($C120="","",COUNTA($C$9:$C120))</f>
        <v/>
      </c>
      <c r="C120" s="21" t="n"/>
      <c r="D120" s="14" t="n"/>
      <c r="E120" s="14" t="n"/>
      <c r="F120" s="14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3">
        <f>IF($C120="","",N(L120)-N(M120))</f>
        <v/>
      </c>
      <c r="P120" s="24" t="n"/>
      <c r="Q120" s="23">
        <f>IF($C120="","",N(M120)+N(N120))</f>
        <v/>
      </c>
      <c r="R120" s="23">
        <f>IF($C120="","",N(J120)+N(Q120))</f>
        <v/>
      </c>
      <c r="S120" s="25">
        <f>IF(OR($C120="",N($G120)=0),"",R120/$G120)</f>
        <v/>
      </c>
      <c r="T120" s="23">
        <f>IF($C120="","",N($G120)-N(R120))</f>
        <v/>
      </c>
      <c r="U120" s="24" t="n"/>
      <c r="V120" s="22" t="n"/>
    </row>
    <row r="121">
      <c r="B121" s="13">
        <f>IF($C121="","",COUNTA($C$9:$C121))</f>
        <v/>
      </c>
      <c r="C121" s="21" t="n"/>
      <c r="D121" s="14" t="n"/>
      <c r="E121" s="14" t="n"/>
      <c r="F121" s="14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3">
        <f>IF($C121="","",N(L121)-N(M121))</f>
        <v/>
      </c>
      <c r="P121" s="24" t="n"/>
      <c r="Q121" s="23">
        <f>IF($C121="","",N(M121)+N(N121))</f>
        <v/>
      </c>
      <c r="R121" s="23">
        <f>IF($C121="","",N(J121)+N(Q121))</f>
        <v/>
      </c>
      <c r="S121" s="25">
        <f>IF(OR($C121="",N($G121)=0),"",R121/$G121)</f>
        <v/>
      </c>
      <c r="T121" s="23">
        <f>IF($C121="","",N($G121)-N(R121))</f>
        <v/>
      </c>
      <c r="U121" s="24" t="n"/>
      <c r="V121" s="22" t="n"/>
    </row>
    <row r="122">
      <c r="B122" s="13">
        <f>IF($C122="","",COUNTA($C$9:$C122))</f>
        <v/>
      </c>
      <c r="C122" s="21" t="n"/>
      <c r="D122" s="14" t="n"/>
      <c r="E122" s="14" t="n"/>
      <c r="F122" s="14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3">
        <f>IF($C122="","",N(L122)-N(M122))</f>
        <v/>
      </c>
      <c r="P122" s="24" t="n"/>
      <c r="Q122" s="23">
        <f>IF($C122="","",N(M122)+N(N122))</f>
        <v/>
      </c>
      <c r="R122" s="23">
        <f>IF($C122="","",N(J122)+N(Q122))</f>
        <v/>
      </c>
      <c r="S122" s="25">
        <f>IF(OR($C122="",N($G122)=0),"",R122/$G122)</f>
        <v/>
      </c>
      <c r="T122" s="23">
        <f>IF($C122="","",N($G122)-N(R122))</f>
        <v/>
      </c>
      <c r="U122" s="24" t="n"/>
      <c r="V122" s="22" t="n"/>
    </row>
    <row r="123">
      <c r="B123" s="13">
        <f>IF($C123="","",COUNTA($C$9:$C123))</f>
        <v/>
      </c>
      <c r="C123" s="21" t="n"/>
      <c r="D123" s="14" t="n"/>
      <c r="E123" s="14" t="n"/>
      <c r="F123" s="14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3">
        <f>IF($C123="","",N(L123)-N(M123))</f>
        <v/>
      </c>
      <c r="P123" s="24" t="n"/>
      <c r="Q123" s="23">
        <f>IF($C123="","",N(M123)+N(N123))</f>
        <v/>
      </c>
      <c r="R123" s="23">
        <f>IF($C123="","",N(J123)+N(Q123))</f>
        <v/>
      </c>
      <c r="S123" s="25">
        <f>IF(OR($C123="",N($G123)=0),"",R123/$G123)</f>
        <v/>
      </c>
      <c r="T123" s="23">
        <f>IF($C123="","",N($G123)-N(R123))</f>
        <v/>
      </c>
      <c r="U123" s="24" t="n"/>
      <c r="V123" s="22" t="n"/>
    </row>
    <row r="124">
      <c r="B124" s="13">
        <f>IF($C124="","",COUNTA($C$9:$C124))</f>
        <v/>
      </c>
      <c r="C124" s="21" t="n"/>
      <c r="D124" s="14" t="n"/>
      <c r="E124" s="14" t="n"/>
      <c r="F124" s="14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3">
        <f>IF($C124="","",N(L124)-N(M124))</f>
        <v/>
      </c>
      <c r="P124" s="24" t="n"/>
      <c r="Q124" s="23">
        <f>IF($C124="","",N(M124)+N(N124))</f>
        <v/>
      </c>
      <c r="R124" s="23">
        <f>IF($C124="","",N(J124)+N(Q124))</f>
        <v/>
      </c>
      <c r="S124" s="25">
        <f>IF(OR($C124="",N($G124)=0),"",R124/$G124)</f>
        <v/>
      </c>
      <c r="T124" s="23">
        <f>IF($C124="","",N($G124)-N(R124))</f>
        <v/>
      </c>
      <c r="U124" s="24" t="n"/>
      <c r="V124" s="22" t="n"/>
    </row>
    <row r="125">
      <c r="B125" s="13">
        <f>IF($C125="","",COUNTA($C$9:$C125))</f>
        <v/>
      </c>
      <c r="C125" s="21" t="n"/>
      <c r="D125" s="14" t="n"/>
      <c r="E125" s="14" t="n"/>
      <c r="F125" s="14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3">
        <f>IF($C125="","",N(L125)-N(M125))</f>
        <v/>
      </c>
      <c r="P125" s="24" t="n"/>
      <c r="Q125" s="23">
        <f>IF($C125="","",N(M125)+N(N125))</f>
        <v/>
      </c>
      <c r="R125" s="23">
        <f>IF($C125="","",N(J125)+N(Q125))</f>
        <v/>
      </c>
      <c r="S125" s="25">
        <f>IF(OR($C125="",N($G125)=0),"",R125/$G125)</f>
        <v/>
      </c>
      <c r="T125" s="23">
        <f>IF($C125="","",N($G125)-N(R125))</f>
        <v/>
      </c>
      <c r="U125" s="24" t="n"/>
      <c r="V125" s="22" t="n"/>
    </row>
    <row r="126">
      <c r="B126" s="13">
        <f>IF($C126="","",COUNTA($C$9:$C126))</f>
        <v/>
      </c>
      <c r="C126" s="21" t="n"/>
      <c r="D126" s="14" t="n"/>
      <c r="E126" s="14" t="n"/>
      <c r="F126" s="14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3">
        <f>IF($C126="","",N(L126)-N(M126))</f>
        <v/>
      </c>
      <c r="P126" s="24" t="n"/>
      <c r="Q126" s="23">
        <f>IF($C126="","",N(M126)+N(N126))</f>
        <v/>
      </c>
      <c r="R126" s="23">
        <f>IF($C126="","",N(J126)+N(Q126))</f>
        <v/>
      </c>
      <c r="S126" s="25">
        <f>IF(OR($C126="",N($G126)=0),"",R126/$G126)</f>
        <v/>
      </c>
      <c r="T126" s="23">
        <f>IF($C126="","",N($G126)-N(R126))</f>
        <v/>
      </c>
      <c r="U126" s="24" t="n"/>
      <c r="V126" s="22" t="n"/>
    </row>
    <row r="127">
      <c r="B127" s="13">
        <f>IF($C127="","",COUNTA($C$9:$C127))</f>
        <v/>
      </c>
      <c r="C127" s="21" t="n"/>
      <c r="D127" s="14" t="n"/>
      <c r="E127" s="14" t="n"/>
      <c r="F127" s="14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3">
        <f>IF($C127="","",N(L127)-N(M127))</f>
        <v/>
      </c>
      <c r="P127" s="24" t="n"/>
      <c r="Q127" s="23">
        <f>IF($C127="","",N(M127)+N(N127))</f>
        <v/>
      </c>
      <c r="R127" s="23">
        <f>IF($C127="","",N(J127)+N(Q127))</f>
        <v/>
      </c>
      <c r="S127" s="25">
        <f>IF(OR($C127="",N($G127)=0),"",R127/$G127)</f>
        <v/>
      </c>
      <c r="T127" s="23">
        <f>IF($C127="","",N($G127)-N(R127))</f>
        <v/>
      </c>
      <c r="U127" s="24" t="n"/>
      <c r="V127" s="22" t="n"/>
    </row>
    <row r="128">
      <c r="B128" s="13">
        <f>IF($C128="","",COUNTA($C$9:$C128))</f>
        <v/>
      </c>
      <c r="C128" s="21" t="n"/>
      <c r="D128" s="14" t="n"/>
      <c r="E128" s="14" t="n"/>
      <c r="F128" s="14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3">
        <f>IF($C128="","",N(L128)-N(M128))</f>
        <v/>
      </c>
      <c r="P128" s="24" t="n"/>
      <c r="Q128" s="23">
        <f>IF($C128="","",N(M128)+N(N128))</f>
        <v/>
      </c>
      <c r="R128" s="23">
        <f>IF($C128="","",N(J128)+N(Q128))</f>
        <v/>
      </c>
      <c r="S128" s="25">
        <f>IF(OR($C128="",N($G128)=0),"",R128/$G128)</f>
        <v/>
      </c>
      <c r="T128" s="23">
        <f>IF($C128="","",N($G128)-N(R128))</f>
        <v/>
      </c>
      <c r="U128" s="24" t="n"/>
      <c r="V128" s="22" t="n"/>
    </row>
    <row r="129">
      <c r="B129" s="13">
        <f>IF($C129="","",COUNTA($C$9:$C129))</f>
        <v/>
      </c>
      <c r="C129" s="21" t="n"/>
      <c r="D129" s="14" t="n"/>
      <c r="E129" s="14" t="n"/>
      <c r="F129" s="14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3">
        <f>IF($C129="","",N(L129)-N(M129))</f>
        <v/>
      </c>
      <c r="P129" s="24" t="n"/>
      <c r="Q129" s="23">
        <f>IF($C129="","",N(M129)+N(N129))</f>
        <v/>
      </c>
      <c r="R129" s="23">
        <f>IF($C129="","",N(J129)+N(Q129))</f>
        <v/>
      </c>
      <c r="S129" s="25">
        <f>IF(OR($C129="",N($G129)=0),"",R129/$G129)</f>
        <v/>
      </c>
      <c r="T129" s="23">
        <f>IF($C129="","",N($G129)-N(R129))</f>
        <v/>
      </c>
      <c r="U129" s="24" t="n"/>
      <c r="V129" s="22" t="n"/>
    </row>
    <row r="130">
      <c r="B130" s="13">
        <f>IF($C130="","",COUNTA($C$9:$C130))</f>
        <v/>
      </c>
      <c r="C130" s="21" t="n"/>
      <c r="D130" s="14" t="n"/>
      <c r="E130" s="14" t="n"/>
      <c r="F130" s="14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3">
        <f>IF($C130="","",N(L130)-N(M130))</f>
        <v/>
      </c>
      <c r="P130" s="24" t="n"/>
      <c r="Q130" s="23">
        <f>IF($C130="","",N(M130)+N(N130))</f>
        <v/>
      </c>
      <c r="R130" s="23">
        <f>IF($C130="","",N(J130)+N(Q130))</f>
        <v/>
      </c>
      <c r="S130" s="25">
        <f>IF(OR($C130="",N($G130)=0),"",R130/$G130)</f>
        <v/>
      </c>
      <c r="T130" s="23">
        <f>IF($C130="","",N($G130)-N(R130))</f>
        <v/>
      </c>
      <c r="U130" s="24" t="n"/>
      <c r="V130" s="22" t="n"/>
    </row>
    <row r="131">
      <c r="B131" s="13">
        <f>IF($C131="","",COUNTA($C$9:$C131))</f>
        <v/>
      </c>
      <c r="C131" s="21" t="n"/>
      <c r="D131" s="14" t="n"/>
      <c r="E131" s="14" t="n"/>
      <c r="F131" s="14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3">
        <f>IF($C131="","",N(L131)-N(M131))</f>
        <v/>
      </c>
      <c r="P131" s="24" t="n"/>
      <c r="Q131" s="23">
        <f>IF($C131="","",N(M131)+N(N131))</f>
        <v/>
      </c>
      <c r="R131" s="23">
        <f>IF($C131="","",N(J131)+N(Q131))</f>
        <v/>
      </c>
      <c r="S131" s="25">
        <f>IF(OR($C131="",N($G131)=0),"",R131/$G131)</f>
        <v/>
      </c>
      <c r="T131" s="23">
        <f>IF($C131="","",N($G131)-N(R131))</f>
        <v/>
      </c>
      <c r="U131" s="24" t="n"/>
      <c r="V131" s="22" t="n"/>
    </row>
    <row r="132">
      <c r="B132" s="13">
        <f>IF($C132="","",COUNTA($C$9:$C132))</f>
        <v/>
      </c>
      <c r="C132" s="21" t="n"/>
      <c r="D132" s="14" t="n"/>
      <c r="E132" s="14" t="n"/>
      <c r="F132" s="14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3">
        <f>IF($C132="","",N(L132)-N(M132))</f>
        <v/>
      </c>
      <c r="P132" s="24" t="n"/>
      <c r="Q132" s="23">
        <f>IF($C132="","",N(M132)+N(N132))</f>
        <v/>
      </c>
      <c r="R132" s="23">
        <f>IF($C132="","",N(J132)+N(Q132))</f>
        <v/>
      </c>
      <c r="S132" s="25">
        <f>IF(OR($C132="",N($G132)=0),"",R132/$G132)</f>
        <v/>
      </c>
      <c r="T132" s="23">
        <f>IF($C132="","",N($G132)-N(R132))</f>
        <v/>
      </c>
      <c r="U132" s="24" t="n"/>
      <c r="V132" s="22" t="n"/>
    </row>
    <row r="133">
      <c r="B133" s="13">
        <f>IF($C133="","",COUNTA($C$9:$C133))</f>
        <v/>
      </c>
      <c r="C133" s="21" t="n"/>
      <c r="D133" s="14" t="n"/>
      <c r="E133" s="14" t="n"/>
      <c r="F133" s="14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3">
        <f>IF($C133="","",N(L133)-N(M133))</f>
        <v/>
      </c>
      <c r="P133" s="24" t="n"/>
      <c r="Q133" s="23">
        <f>IF($C133="","",N(M133)+N(N133))</f>
        <v/>
      </c>
      <c r="R133" s="23">
        <f>IF($C133="","",N(J133)+N(Q133))</f>
        <v/>
      </c>
      <c r="S133" s="25">
        <f>IF(OR($C133="",N($G133)=0),"",R133/$G133)</f>
        <v/>
      </c>
      <c r="T133" s="23">
        <f>IF($C133="","",N($G133)-N(R133))</f>
        <v/>
      </c>
      <c r="U133" s="24" t="n"/>
      <c r="V133" s="22" t="n"/>
    </row>
    <row r="134">
      <c r="B134" s="13">
        <f>IF($C134="","",COUNTA($C$9:$C134))</f>
        <v/>
      </c>
      <c r="C134" s="21" t="n"/>
      <c r="D134" s="14" t="n"/>
      <c r="E134" s="14" t="n"/>
      <c r="F134" s="14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3">
        <f>IF($C134="","",N(L134)-N(M134))</f>
        <v/>
      </c>
      <c r="P134" s="24" t="n"/>
      <c r="Q134" s="23">
        <f>IF($C134="","",N(M134)+N(N134))</f>
        <v/>
      </c>
      <c r="R134" s="23">
        <f>IF($C134="","",N(J134)+N(Q134))</f>
        <v/>
      </c>
      <c r="S134" s="25">
        <f>IF(OR($C134="",N($G134)=0),"",R134/$G134)</f>
        <v/>
      </c>
      <c r="T134" s="23">
        <f>IF($C134="","",N($G134)-N(R134))</f>
        <v/>
      </c>
      <c r="U134" s="24" t="n"/>
      <c r="V134" s="22" t="n"/>
    </row>
    <row r="135">
      <c r="B135" s="13">
        <f>IF($C135="","",COUNTA($C$9:$C135))</f>
        <v/>
      </c>
      <c r="C135" s="21" t="n"/>
      <c r="D135" s="14" t="n"/>
      <c r="E135" s="14" t="n"/>
      <c r="F135" s="14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3">
        <f>IF($C135="","",N(L135)-N(M135))</f>
        <v/>
      </c>
      <c r="P135" s="24" t="n"/>
      <c r="Q135" s="23">
        <f>IF($C135="","",N(M135)+N(N135))</f>
        <v/>
      </c>
      <c r="R135" s="23">
        <f>IF($C135="","",N(J135)+N(Q135))</f>
        <v/>
      </c>
      <c r="S135" s="25">
        <f>IF(OR($C135="",N($G135)=0),"",R135/$G135)</f>
        <v/>
      </c>
      <c r="T135" s="23">
        <f>IF($C135="","",N($G135)-N(R135))</f>
        <v/>
      </c>
      <c r="U135" s="24" t="n"/>
      <c r="V135" s="22" t="n"/>
    </row>
    <row r="136">
      <c r="B136" s="13">
        <f>IF($C136="","",COUNTA($C$9:$C136))</f>
        <v/>
      </c>
      <c r="C136" s="21" t="n"/>
      <c r="D136" s="14" t="n"/>
      <c r="E136" s="14" t="n"/>
      <c r="F136" s="14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3">
        <f>IF($C136="","",N(L136)-N(M136))</f>
        <v/>
      </c>
      <c r="P136" s="24" t="n"/>
      <c r="Q136" s="23">
        <f>IF($C136="","",N(M136)+N(N136))</f>
        <v/>
      </c>
      <c r="R136" s="23">
        <f>IF($C136="","",N(J136)+N(Q136))</f>
        <v/>
      </c>
      <c r="S136" s="25">
        <f>IF(OR($C136="",N($G136)=0),"",R136/$G136)</f>
        <v/>
      </c>
      <c r="T136" s="23">
        <f>IF($C136="","",N($G136)-N(R136))</f>
        <v/>
      </c>
      <c r="U136" s="24" t="n"/>
      <c r="V136" s="22" t="n"/>
    </row>
    <row r="137">
      <c r="B137" s="13">
        <f>IF($C137="","",COUNTA($C$9:$C137))</f>
        <v/>
      </c>
      <c r="C137" s="21" t="n"/>
      <c r="D137" s="14" t="n"/>
      <c r="E137" s="14" t="n"/>
      <c r="F137" s="14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3">
        <f>IF($C137="","",N(L137)-N(M137))</f>
        <v/>
      </c>
      <c r="P137" s="24" t="n"/>
      <c r="Q137" s="23">
        <f>IF($C137="","",N(M137)+N(N137))</f>
        <v/>
      </c>
      <c r="R137" s="23">
        <f>IF($C137="","",N(J137)+N(Q137))</f>
        <v/>
      </c>
      <c r="S137" s="25">
        <f>IF(OR($C137="",N($G137)=0),"",R137/$G137)</f>
        <v/>
      </c>
      <c r="T137" s="23">
        <f>IF($C137="","",N($G137)-N(R137))</f>
        <v/>
      </c>
      <c r="U137" s="24" t="n"/>
      <c r="V137" s="22" t="n"/>
    </row>
    <row r="138">
      <c r="B138" s="13">
        <f>IF($C138="","",COUNTA($C$9:$C138))</f>
        <v/>
      </c>
      <c r="C138" s="21" t="n"/>
      <c r="D138" s="14" t="n"/>
      <c r="E138" s="14" t="n"/>
      <c r="F138" s="14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3">
        <f>IF($C138="","",N(L138)-N(M138))</f>
        <v/>
      </c>
      <c r="P138" s="24" t="n"/>
      <c r="Q138" s="23">
        <f>IF($C138="","",N(M138)+N(N138))</f>
        <v/>
      </c>
      <c r="R138" s="23">
        <f>IF($C138="","",N(J138)+N(Q138))</f>
        <v/>
      </c>
      <c r="S138" s="25">
        <f>IF(OR($C138="",N($G138)=0),"",R138/$G138)</f>
        <v/>
      </c>
      <c r="T138" s="23">
        <f>IF($C138="","",N($G138)-N(R138))</f>
        <v/>
      </c>
      <c r="U138" s="24" t="n"/>
      <c r="V138" s="22" t="n"/>
    </row>
    <row r="139">
      <c r="B139" s="13">
        <f>IF($C139="","",COUNTA($C$9:$C139))</f>
        <v/>
      </c>
      <c r="C139" s="21" t="n"/>
      <c r="D139" s="14" t="n"/>
      <c r="E139" s="14" t="n"/>
      <c r="F139" s="14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3">
        <f>IF($C139="","",N(L139)-N(M139))</f>
        <v/>
      </c>
      <c r="P139" s="24" t="n"/>
      <c r="Q139" s="23">
        <f>IF($C139="","",N(M139)+N(N139))</f>
        <v/>
      </c>
      <c r="R139" s="23">
        <f>IF($C139="","",N(J139)+N(Q139))</f>
        <v/>
      </c>
      <c r="S139" s="25">
        <f>IF(OR($C139="",N($G139)=0),"",R139/$G139)</f>
        <v/>
      </c>
      <c r="T139" s="23">
        <f>IF($C139="","",N($G139)-N(R139))</f>
        <v/>
      </c>
      <c r="U139" s="24" t="n"/>
      <c r="V139" s="22" t="n"/>
    </row>
    <row r="140">
      <c r="B140" s="13">
        <f>IF($C140="","",COUNTA($C$9:$C140))</f>
        <v/>
      </c>
      <c r="C140" s="21" t="n"/>
      <c r="D140" s="14" t="n"/>
      <c r="E140" s="14" t="n"/>
      <c r="F140" s="14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3">
        <f>IF($C140="","",N(L140)-N(M140))</f>
        <v/>
      </c>
      <c r="P140" s="24" t="n"/>
      <c r="Q140" s="23">
        <f>IF($C140="","",N(M140)+N(N140))</f>
        <v/>
      </c>
      <c r="R140" s="23">
        <f>IF($C140="","",N(J140)+N(Q140))</f>
        <v/>
      </c>
      <c r="S140" s="25">
        <f>IF(OR($C140="",N($G140)=0),"",R140/$G140)</f>
        <v/>
      </c>
      <c r="T140" s="23">
        <f>IF($C140="","",N($G140)-N(R140))</f>
        <v/>
      </c>
      <c r="U140" s="24" t="n"/>
      <c r="V140" s="22" t="n"/>
    </row>
    <row r="141">
      <c r="B141" s="13">
        <f>IF($C141="","",COUNTA($C$9:$C141))</f>
        <v/>
      </c>
      <c r="C141" s="21" t="n"/>
      <c r="D141" s="14" t="n"/>
      <c r="E141" s="14" t="n"/>
      <c r="F141" s="14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3">
        <f>IF($C141="","",N(L141)-N(M141))</f>
        <v/>
      </c>
      <c r="P141" s="24" t="n"/>
      <c r="Q141" s="23">
        <f>IF($C141="","",N(M141)+N(N141))</f>
        <v/>
      </c>
      <c r="R141" s="23">
        <f>IF($C141="","",N(J141)+N(Q141))</f>
        <v/>
      </c>
      <c r="S141" s="25">
        <f>IF(OR($C141="",N($G141)=0),"",R141/$G141)</f>
        <v/>
      </c>
      <c r="T141" s="23">
        <f>IF($C141="","",N($G141)-N(R141))</f>
        <v/>
      </c>
      <c r="U141" s="24" t="n"/>
      <c r="V141" s="22" t="n"/>
    </row>
    <row r="142">
      <c r="B142" s="13">
        <f>IF($C142="","",COUNTA($C$9:$C142))</f>
        <v/>
      </c>
      <c r="C142" s="21" t="n"/>
      <c r="D142" s="14" t="n"/>
      <c r="E142" s="14" t="n"/>
      <c r="F142" s="14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3">
        <f>IF($C142="","",N(L142)-N(M142))</f>
        <v/>
      </c>
      <c r="P142" s="24" t="n"/>
      <c r="Q142" s="23">
        <f>IF($C142="","",N(M142)+N(N142))</f>
        <v/>
      </c>
      <c r="R142" s="23">
        <f>IF($C142="","",N(J142)+N(Q142))</f>
        <v/>
      </c>
      <c r="S142" s="25">
        <f>IF(OR($C142="",N($G142)=0),"",R142/$G142)</f>
        <v/>
      </c>
      <c r="T142" s="23">
        <f>IF($C142="","",N($G142)-N(R142))</f>
        <v/>
      </c>
      <c r="U142" s="24" t="n"/>
      <c r="V142" s="22" t="n"/>
    </row>
    <row r="143">
      <c r="B143" s="13">
        <f>IF($C143="","",COUNTA($C$9:$C143))</f>
        <v/>
      </c>
      <c r="C143" s="21" t="n"/>
      <c r="D143" s="14" t="n"/>
      <c r="E143" s="14" t="n"/>
      <c r="F143" s="14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3">
        <f>IF($C143="","",N(L143)-N(M143))</f>
        <v/>
      </c>
      <c r="P143" s="24" t="n"/>
      <c r="Q143" s="23">
        <f>IF($C143="","",N(M143)+N(N143))</f>
        <v/>
      </c>
      <c r="R143" s="23">
        <f>IF($C143="","",N(J143)+N(Q143))</f>
        <v/>
      </c>
      <c r="S143" s="25">
        <f>IF(OR($C143="",N($G143)=0),"",R143/$G143)</f>
        <v/>
      </c>
      <c r="T143" s="23">
        <f>IF($C143="","",N($G143)-N(R143))</f>
        <v/>
      </c>
      <c r="U143" s="24" t="n"/>
      <c r="V143" s="22" t="n"/>
    </row>
    <row r="144">
      <c r="B144" s="13">
        <f>IF($C144="","",COUNTA($C$9:$C144))</f>
        <v/>
      </c>
      <c r="C144" s="21" t="n"/>
      <c r="D144" s="14" t="n"/>
      <c r="E144" s="14" t="n"/>
      <c r="F144" s="14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3">
        <f>IF($C144="","",N(L144)-N(M144))</f>
        <v/>
      </c>
      <c r="P144" s="24" t="n"/>
      <c r="Q144" s="23">
        <f>IF($C144="","",N(M144)+N(N144))</f>
        <v/>
      </c>
      <c r="R144" s="23">
        <f>IF($C144="","",N(J144)+N(Q144))</f>
        <v/>
      </c>
      <c r="S144" s="25">
        <f>IF(OR($C144="",N($G144)=0),"",R144/$G144)</f>
        <v/>
      </c>
      <c r="T144" s="23">
        <f>IF($C144="","",N($G144)-N(R144))</f>
        <v/>
      </c>
      <c r="U144" s="24" t="n"/>
      <c r="V144" s="22" t="n"/>
    </row>
    <row r="145">
      <c r="B145" s="13">
        <f>IF($C145="","",COUNTA($C$9:$C145))</f>
        <v/>
      </c>
      <c r="C145" s="21" t="n"/>
      <c r="D145" s="14" t="n"/>
      <c r="E145" s="14" t="n"/>
      <c r="F145" s="14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3">
        <f>IF($C145="","",N(L145)-N(M145))</f>
        <v/>
      </c>
      <c r="P145" s="24" t="n"/>
      <c r="Q145" s="23">
        <f>IF($C145="","",N(M145)+N(N145))</f>
        <v/>
      </c>
      <c r="R145" s="23">
        <f>IF($C145="","",N(J145)+N(Q145))</f>
        <v/>
      </c>
      <c r="S145" s="25">
        <f>IF(OR($C145="",N($G145)=0),"",R145/$G145)</f>
        <v/>
      </c>
      <c r="T145" s="23">
        <f>IF($C145="","",N($G145)-N(R145))</f>
        <v/>
      </c>
      <c r="U145" s="24" t="n"/>
      <c r="V145" s="22" t="n"/>
    </row>
    <row r="146">
      <c r="B146" s="13">
        <f>IF($C146="","",COUNTA($C$9:$C146))</f>
        <v/>
      </c>
      <c r="C146" s="21" t="n"/>
      <c r="D146" s="14" t="n"/>
      <c r="E146" s="14" t="n"/>
      <c r="F146" s="14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3">
        <f>IF($C146="","",N(L146)-N(M146))</f>
        <v/>
      </c>
      <c r="P146" s="24" t="n"/>
      <c r="Q146" s="23">
        <f>IF($C146="","",N(M146)+N(N146))</f>
        <v/>
      </c>
      <c r="R146" s="23">
        <f>IF($C146="","",N(J146)+N(Q146))</f>
        <v/>
      </c>
      <c r="S146" s="25">
        <f>IF(OR($C146="",N($G146)=0),"",R146/$G146)</f>
        <v/>
      </c>
      <c r="T146" s="23">
        <f>IF($C146="","",N($G146)-N(R146))</f>
        <v/>
      </c>
      <c r="U146" s="24" t="n"/>
      <c r="V146" s="22" t="n"/>
    </row>
    <row r="147">
      <c r="B147" s="13">
        <f>IF($C147="","",COUNTA($C$9:$C147))</f>
        <v/>
      </c>
      <c r="C147" s="21" t="n"/>
      <c r="D147" s="14" t="n"/>
      <c r="E147" s="14" t="n"/>
      <c r="F147" s="14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3">
        <f>IF($C147="","",N(L147)-N(M147))</f>
        <v/>
      </c>
      <c r="P147" s="24" t="n"/>
      <c r="Q147" s="23">
        <f>IF($C147="","",N(M147)+N(N147))</f>
        <v/>
      </c>
      <c r="R147" s="23">
        <f>IF($C147="","",N(J147)+N(Q147))</f>
        <v/>
      </c>
      <c r="S147" s="25">
        <f>IF(OR($C147="",N($G147)=0),"",R147/$G147)</f>
        <v/>
      </c>
      <c r="T147" s="23">
        <f>IF($C147="","",N($G147)-N(R147))</f>
        <v/>
      </c>
      <c r="U147" s="24" t="n"/>
      <c r="V147" s="22" t="n"/>
    </row>
    <row r="148">
      <c r="B148" s="13">
        <f>IF($C148="","",COUNTA($C$9:$C148))</f>
        <v/>
      </c>
      <c r="C148" s="21" t="n"/>
      <c r="D148" s="14" t="n"/>
      <c r="E148" s="14" t="n"/>
      <c r="F148" s="14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3">
        <f>IF($C148="","",N(L148)-N(M148))</f>
        <v/>
      </c>
      <c r="P148" s="24" t="n"/>
      <c r="Q148" s="23">
        <f>IF($C148="","",N(M148)+N(N148))</f>
        <v/>
      </c>
      <c r="R148" s="23">
        <f>IF($C148="","",N(J148)+N(Q148))</f>
        <v/>
      </c>
      <c r="S148" s="25">
        <f>IF(OR($C148="",N($G148)=0),"",R148/$G148)</f>
        <v/>
      </c>
      <c r="T148" s="23">
        <f>IF($C148="","",N($G148)-N(R148))</f>
        <v/>
      </c>
      <c r="U148" s="24" t="n"/>
      <c r="V148" s="22" t="n"/>
    </row>
    <row r="149">
      <c r="B149" s="13">
        <f>IF($C149="","",COUNTA($C$9:$C149))</f>
        <v/>
      </c>
      <c r="C149" s="21" t="n"/>
      <c r="D149" s="14" t="n"/>
      <c r="E149" s="14" t="n"/>
      <c r="F149" s="14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3">
        <f>IF($C149="","",N(L149)-N(M149))</f>
        <v/>
      </c>
      <c r="P149" s="24" t="n"/>
      <c r="Q149" s="23">
        <f>IF($C149="","",N(M149)+N(N149))</f>
        <v/>
      </c>
      <c r="R149" s="23">
        <f>IF($C149="","",N(J149)+N(Q149))</f>
        <v/>
      </c>
      <c r="S149" s="25">
        <f>IF(OR($C149="",N($G149)=0),"",R149/$G149)</f>
        <v/>
      </c>
      <c r="T149" s="23">
        <f>IF($C149="","",N($G149)-N(R149))</f>
        <v/>
      </c>
      <c r="U149" s="24" t="n"/>
      <c r="V149" s="22" t="n"/>
    </row>
    <row r="150">
      <c r="B150" s="13">
        <f>IF($C150="","",COUNTA($C$9:$C150))</f>
        <v/>
      </c>
      <c r="C150" s="21" t="n"/>
      <c r="D150" s="14" t="n"/>
      <c r="E150" s="14" t="n"/>
      <c r="F150" s="14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3">
        <f>IF($C150="","",N(L150)-N(M150))</f>
        <v/>
      </c>
      <c r="P150" s="24" t="n"/>
      <c r="Q150" s="23">
        <f>IF($C150="","",N(M150)+N(N150))</f>
        <v/>
      </c>
      <c r="R150" s="23">
        <f>IF($C150="","",N(J150)+N(Q150))</f>
        <v/>
      </c>
      <c r="S150" s="25">
        <f>IF(OR($C150="",N($G150)=0),"",R150/$G150)</f>
        <v/>
      </c>
      <c r="T150" s="23">
        <f>IF($C150="","",N($G150)-N(R150))</f>
        <v/>
      </c>
      <c r="U150" s="24" t="n"/>
      <c r="V150" s="22" t="n"/>
    </row>
    <row r="151">
      <c r="B151" s="13">
        <f>IF($C151="","",COUNTA($C$9:$C151))</f>
        <v/>
      </c>
      <c r="C151" s="21" t="n"/>
      <c r="D151" s="14" t="n"/>
      <c r="E151" s="14" t="n"/>
      <c r="F151" s="14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3">
        <f>IF($C151="","",N(L151)-N(M151))</f>
        <v/>
      </c>
      <c r="P151" s="24" t="n"/>
      <c r="Q151" s="23">
        <f>IF($C151="","",N(M151)+N(N151))</f>
        <v/>
      </c>
      <c r="R151" s="23">
        <f>IF($C151="","",N(J151)+N(Q151))</f>
        <v/>
      </c>
      <c r="S151" s="25">
        <f>IF(OR($C151="",N($G151)=0),"",R151/$G151)</f>
        <v/>
      </c>
      <c r="T151" s="23">
        <f>IF($C151="","",N($G151)-N(R151))</f>
        <v/>
      </c>
      <c r="U151" s="24" t="n"/>
      <c r="V151" s="22" t="n"/>
    </row>
    <row r="152">
      <c r="B152" s="13">
        <f>IF($C152="","",COUNTA($C$9:$C152))</f>
        <v/>
      </c>
      <c r="C152" s="21" t="n"/>
      <c r="D152" s="14" t="n"/>
      <c r="E152" s="14" t="n"/>
      <c r="F152" s="14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3">
        <f>IF($C152="","",N(L152)-N(M152))</f>
        <v/>
      </c>
      <c r="P152" s="24" t="n"/>
      <c r="Q152" s="23">
        <f>IF($C152="","",N(M152)+N(N152))</f>
        <v/>
      </c>
      <c r="R152" s="23">
        <f>IF($C152="","",N(J152)+N(Q152))</f>
        <v/>
      </c>
      <c r="S152" s="25">
        <f>IF(OR($C152="",N($G152)=0),"",R152/$G152)</f>
        <v/>
      </c>
      <c r="T152" s="23">
        <f>IF($C152="","",N($G152)-N(R152))</f>
        <v/>
      </c>
      <c r="U152" s="24" t="n"/>
      <c r="V152" s="22" t="n"/>
    </row>
    <row r="153">
      <c r="B153" s="13">
        <f>IF($C153="","",COUNTA($C$9:$C153))</f>
        <v/>
      </c>
      <c r="C153" s="21" t="n"/>
      <c r="D153" s="14" t="n"/>
      <c r="E153" s="14" t="n"/>
      <c r="F153" s="14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3">
        <f>IF($C153="","",N(L153)-N(M153))</f>
        <v/>
      </c>
      <c r="P153" s="24" t="n"/>
      <c r="Q153" s="23">
        <f>IF($C153="","",N(M153)+N(N153))</f>
        <v/>
      </c>
      <c r="R153" s="23">
        <f>IF($C153="","",N(J153)+N(Q153))</f>
        <v/>
      </c>
      <c r="S153" s="25">
        <f>IF(OR($C153="",N($G153)=0),"",R153/$G153)</f>
        <v/>
      </c>
      <c r="T153" s="23">
        <f>IF($C153="","",N($G153)-N(R153))</f>
        <v/>
      </c>
      <c r="U153" s="24" t="n"/>
      <c r="V153" s="22" t="n"/>
    </row>
    <row r="154">
      <c r="B154" s="13">
        <f>IF($C154="","",COUNTA($C$9:$C154))</f>
        <v/>
      </c>
      <c r="C154" s="21" t="n"/>
      <c r="D154" s="14" t="n"/>
      <c r="E154" s="14" t="n"/>
      <c r="F154" s="14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3">
        <f>IF($C154="","",N(L154)-N(M154))</f>
        <v/>
      </c>
      <c r="P154" s="24" t="n"/>
      <c r="Q154" s="23">
        <f>IF($C154="","",N(M154)+N(N154))</f>
        <v/>
      </c>
      <c r="R154" s="23">
        <f>IF($C154="","",N(J154)+N(Q154))</f>
        <v/>
      </c>
      <c r="S154" s="25">
        <f>IF(OR($C154="",N($G154)=0),"",R154/$G154)</f>
        <v/>
      </c>
      <c r="T154" s="23">
        <f>IF($C154="","",N($G154)-N(R154))</f>
        <v/>
      </c>
      <c r="U154" s="24" t="n"/>
      <c r="V154" s="22" t="n"/>
    </row>
    <row r="155">
      <c r="B155" s="13">
        <f>IF($C155="","",COUNTA($C$9:$C155))</f>
        <v/>
      </c>
      <c r="C155" s="21" t="n"/>
      <c r="D155" s="14" t="n"/>
      <c r="E155" s="14" t="n"/>
      <c r="F155" s="14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3">
        <f>IF($C155="","",N(L155)-N(M155))</f>
        <v/>
      </c>
      <c r="P155" s="24" t="n"/>
      <c r="Q155" s="23">
        <f>IF($C155="","",N(M155)+N(N155))</f>
        <v/>
      </c>
      <c r="R155" s="23">
        <f>IF($C155="","",N(J155)+N(Q155))</f>
        <v/>
      </c>
      <c r="S155" s="25">
        <f>IF(OR($C155="",N($G155)=0),"",R155/$G155)</f>
        <v/>
      </c>
      <c r="T155" s="23">
        <f>IF($C155="","",N($G155)-N(R155))</f>
        <v/>
      </c>
      <c r="U155" s="24" t="n"/>
      <c r="V155" s="22" t="n"/>
    </row>
    <row r="156">
      <c r="B156" s="13">
        <f>IF($C156="","",COUNTA($C$9:$C156))</f>
        <v/>
      </c>
      <c r="C156" s="21" t="n"/>
      <c r="D156" s="14" t="n"/>
      <c r="E156" s="14" t="n"/>
      <c r="F156" s="14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3">
        <f>IF($C156="","",N(L156)-N(M156))</f>
        <v/>
      </c>
      <c r="P156" s="24" t="n"/>
      <c r="Q156" s="23">
        <f>IF($C156="","",N(M156)+N(N156))</f>
        <v/>
      </c>
      <c r="R156" s="23">
        <f>IF($C156="","",N(J156)+N(Q156))</f>
        <v/>
      </c>
      <c r="S156" s="25">
        <f>IF(OR($C156="",N($G156)=0),"",R156/$G156)</f>
        <v/>
      </c>
      <c r="T156" s="23">
        <f>IF($C156="","",N($G156)-N(R156))</f>
        <v/>
      </c>
      <c r="U156" s="24" t="n"/>
      <c r="V156" s="22" t="n"/>
    </row>
    <row r="157">
      <c r="B157" s="13">
        <f>IF($C157="","",COUNTA($C$9:$C157))</f>
        <v/>
      </c>
      <c r="C157" s="21" t="n"/>
      <c r="D157" s="14" t="n"/>
      <c r="E157" s="14" t="n"/>
      <c r="F157" s="14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3">
        <f>IF($C157="","",N(L157)-N(M157))</f>
        <v/>
      </c>
      <c r="P157" s="24" t="n"/>
      <c r="Q157" s="23">
        <f>IF($C157="","",N(M157)+N(N157))</f>
        <v/>
      </c>
      <c r="R157" s="23">
        <f>IF($C157="","",N(J157)+N(Q157))</f>
        <v/>
      </c>
      <c r="S157" s="25">
        <f>IF(OR($C157="",N($G157)=0),"",R157/$G157)</f>
        <v/>
      </c>
      <c r="T157" s="23">
        <f>IF($C157="","",N($G157)-N(R157))</f>
        <v/>
      </c>
      <c r="U157" s="24" t="n"/>
      <c r="V157" s="22" t="n"/>
    </row>
    <row r="158">
      <c r="B158" s="13">
        <f>IF($C158="","",COUNTA($C$9:$C158))</f>
        <v/>
      </c>
      <c r="C158" s="21" t="n"/>
      <c r="D158" s="14" t="n"/>
      <c r="E158" s="14" t="n"/>
      <c r="F158" s="14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3">
        <f>IF($C158="","",N(L158)-N(M158))</f>
        <v/>
      </c>
      <c r="P158" s="24" t="n"/>
      <c r="Q158" s="23">
        <f>IF($C158="","",N(M158)+N(N158))</f>
        <v/>
      </c>
      <c r="R158" s="23">
        <f>IF($C158="","",N(J158)+N(Q158))</f>
        <v/>
      </c>
      <c r="S158" s="25">
        <f>IF(OR($C158="",N($G158)=0),"",R158/$G158)</f>
        <v/>
      </c>
      <c r="T158" s="23">
        <f>IF($C158="","",N($G158)-N(R158))</f>
        <v/>
      </c>
      <c r="U158" s="24" t="n"/>
      <c r="V158" s="22" t="n"/>
    </row>
    <row r="159">
      <c r="B159" s="13">
        <f>IF($C159="","",COUNTA($C$9:$C159))</f>
        <v/>
      </c>
      <c r="C159" s="21" t="n"/>
      <c r="D159" s="14" t="n"/>
      <c r="E159" s="14" t="n"/>
      <c r="F159" s="14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3">
        <f>IF($C159="","",N(L159)-N(M159))</f>
        <v/>
      </c>
      <c r="P159" s="24" t="n"/>
      <c r="Q159" s="23">
        <f>IF($C159="","",N(M159)+N(N159))</f>
        <v/>
      </c>
      <c r="R159" s="23">
        <f>IF($C159="","",N(J159)+N(Q159))</f>
        <v/>
      </c>
      <c r="S159" s="25">
        <f>IF(OR($C159="",N($G159)=0),"",R159/$G159)</f>
        <v/>
      </c>
      <c r="T159" s="23">
        <f>IF($C159="","",N($G159)-N(R159))</f>
        <v/>
      </c>
      <c r="U159" s="24" t="n"/>
      <c r="V159" s="22" t="n"/>
    </row>
    <row r="160">
      <c r="B160" s="13">
        <f>IF($C160="","",COUNTA($C$9:$C160))</f>
        <v/>
      </c>
      <c r="C160" s="21" t="n"/>
      <c r="D160" s="14" t="n"/>
      <c r="E160" s="14" t="n"/>
      <c r="F160" s="14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3">
        <f>IF($C160="","",N(L160)-N(M160))</f>
        <v/>
      </c>
      <c r="P160" s="24" t="n"/>
      <c r="Q160" s="23">
        <f>IF($C160="","",N(M160)+N(N160))</f>
        <v/>
      </c>
      <c r="R160" s="23">
        <f>IF($C160="","",N(J160)+N(Q160))</f>
        <v/>
      </c>
      <c r="S160" s="25">
        <f>IF(OR($C160="",N($G160)=0),"",R160/$G160)</f>
        <v/>
      </c>
      <c r="T160" s="23">
        <f>IF($C160="","",N($G160)-N(R160))</f>
        <v/>
      </c>
      <c r="U160" s="24" t="n"/>
      <c r="V160" s="22" t="n"/>
    </row>
    <row r="161">
      <c r="B161" s="13">
        <f>IF($C161="","",COUNTA($C$9:$C161))</f>
        <v/>
      </c>
      <c r="C161" s="21" t="n"/>
      <c r="D161" s="14" t="n"/>
      <c r="E161" s="14" t="n"/>
      <c r="F161" s="14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3">
        <f>IF($C161="","",N(L161)-N(M161))</f>
        <v/>
      </c>
      <c r="P161" s="24" t="n"/>
      <c r="Q161" s="23">
        <f>IF($C161="","",N(M161)+N(N161))</f>
        <v/>
      </c>
      <c r="R161" s="23">
        <f>IF($C161="","",N(J161)+N(Q161))</f>
        <v/>
      </c>
      <c r="S161" s="25">
        <f>IF(OR($C161="",N($G161)=0),"",R161/$G161)</f>
        <v/>
      </c>
      <c r="T161" s="23">
        <f>IF($C161="","",N($G161)-N(R161))</f>
        <v/>
      </c>
      <c r="U161" s="24" t="n"/>
      <c r="V161" s="22" t="n"/>
    </row>
    <row r="162">
      <c r="B162" s="13">
        <f>IF($C162="","",COUNTA($C$9:$C162))</f>
        <v/>
      </c>
      <c r="C162" s="21" t="n"/>
      <c r="D162" s="14" t="n"/>
      <c r="E162" s="14" t="n"/>
      <c r="F162" s="14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3">
        <f>IF($C162="","",N(L162)-N(M162))</f>
        <v/>
      </c>
      <c r="P162" s="24" t="n"/>
      <c r="Q162" s="23">
        <f>IF($C162="","",N(M162)+N(N162))</f>
        <v/>
      </c>
      <c r="R162" s="23">
        <f>IF($C162="","",N(J162)+N(Q162))</f>
        <v/>
      </c>
      <c r="S162" s="25">
        <f>IF(OR($C162="",N($G162)=0),"",R162/$G162)</f>
        <v/>
      </c>
      <c r="T162" s="23">
        <f>IF($C162="","",N($G162)-N(R162))</f>
        <v/>
      </c>
      <c r="U162" s="24" t="n"/>
      <c r="V162" s="22" t="n"/>
    </row>
    <row r="163">
      <c r="B163" s="13">
        <f>IF($C163="","",COUNTA($C$9:$C163))</f>
        <v/>
      </c>
      <c r="C163" s="21" t="n"/>
      <c r="D163" s="14" t="n"/>
      <c r="E163" s="14" t="n"/>
      <c r="F163" s="14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3">
        <f>IF($C163="","",N(L163)-N(M163))</f>
        <v/>
      </c>
      <c r="P163" s="24" t="n"/>
      <c r="Q163" s="23">
        <f>IF($C163="","",N(M163)+N(N163))</f>
        <v/>
      </c>
      <c r="R163" s="23">
        <f>IF($C163="","",N(J163)+N(Q163))</f>
        <v/>
      </c>
      <c r="S163" s="25">
        <f>IF(OR($C163="",N($G163)=0),"",R163/$G163)</f>
        <v/>
      </c>
      <c r="T163" s="23">
        <f>IF($C163="","",N($G163)-N(R163))</f>
        <v/>
      </c>
      <c r="U163" s="24" t="n"/>
      <c r="V163" s="22" t="n"/>
    </row>
    <row r="164">
      <c r="B164" s="13">
        <f>IF($C164="","",COUNTA($C$9:$C164))</f>
        <v/>
      </c>
      <c r="C164" s="21" t="n"/>
      <c r="D164" s="14" t="n"/>
      <c r="E164" s="14" t="n"/>
      <c r="F164" s="14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3">
        <f>IF($C164="","",N(L164)-N(M164))</f>
        <v/>
      </c>
      <c r="P164" s="24" t="n"/>
      <c r="Q164" s="23">
        <f>IF($C164="","",N(M164)+N(N164))</f>
        <v/>
      </c>
      <c r="R164" s="23">
        <f>IF($C164="","",N(J164)+N(Q164))</f>
        <v/>
      </c>
      <c r="S164" s="25">
        <f>IF(OR($C164="",N($G164)=0),"",R164/$G164)</f>
        <v/>
      </c>
      <c r="T164" s="23">
        <f>IF($C164="","",N($G164)-N(R164))</f>
        <v/>
      </c>
      <c r="U164" s="24" t="n"/>
      <c r="V164" s="22" t="n"/>
    </row>
    <row r="165">
      <c r="B165" s="13">
        <f>IF($C165="","",COUNTA($C$9:$C165))</f>
        <v/>
      </c>
      <c r="C165" s="21" t="n"/>
      <c r="D165" s="14" t="n"/>
      <c r="E165" s="14" t="n"/>
      <c r="F165" s="14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3">
        <f>IF($C165="","",N(L165)-N(M165))</f>
        <v/>
      </c>
      <c r="P165" s="24" t="n"/>
      <c r="Q165" s="23">
        <f>IF($C165="","",N(M165)+N(N165))</f>
        <v/>
      </c>
      <c r="R165" s="23">
        <f>IF($C165="","",N(J165)+N(Q165))</f>
        <v/>
      </c>
      <c r="S165" s="25">
        <f>IF(OR($C165="",N($G165)=0),"",R165/$G165)</f>
        <v/>
      </c>
      <c r="T165" s="23">
        <f>IF($C165="","",N($G165)-N(R165))</f>
        <v/>
      </c>
      <c r="U165" s="24" t="n"/>
      <c r="V165" s="22" t="n"/>
    </row>
    <row r="166">
      <c r="B166" s="13">
        <f>IF($C166="","",COUNTA($C$9:$C166))</f>
        <v/>
      </c>
      <c r="C166" s="21" t="n"/>
      <c r="D166" s="14" t="n"/>
      <c r="E166" s="14" t="n"/>
      <c r="F166" s="14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3">
        <f>IF($C166="","",N(L166)-N(M166))</f>
        <v/>
      </c>
      <c r="P166" s="24" t="n"/>
      <c r="Q166" s="23">
        <f>IF($C166="","",N(M166)+N(N166))</f>
        <v/>
      </c>
      <c r="R166" s="23">
        <f>IF($C166="","",N(J166)+N(Q166))</f>
        <v/>
      </c>
      <c r="S166" s="25">
        <f>IF(OR($C166="",N($G166)=0),"",R166/$G166)</f>
        <v/>
      </c>
      <c r="T166" s="23">
        <f>IF($C166="","",N($G166)-N(R166))</f>
        <v/>
      </c>
      <c r="U166" s="24" t="n"/>
      <c r="V166" s="22" t="n"/>
    </row>
    <row r="167">
      <c r="B167" s="13">
        <f>IF($C167="","",COUNTA($C$9:$C167))</f>
        <v/>
      </c>
      <c r="C167" s="21" t="n"/>
      <c r="D167" s="14" t="n"/>
      <c r="E167" s="14" t="n"/>
      <c r="F167" s="14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3">
        <f>IF($C167="","",N(L167)-N(M167))</f>
        <v/>
      </c>
      <c r="P167" s="24" t="n"/>
      <c r="Q167" s="23">
        <f>IF($C167="","",N(M167)+N(N167))</f>
        <v/>
      </c>
      <c r="R167" s="23">
        <f>IF($C167="","",N(J167)+N(Q167))</f>
        <v/>
      </c>
      <c r="S167" s="25">
        <f>IF(OR($C167="",N($G167)=0),"",R167/$G167)</f>
        <v/>
      </c>
      <c r="T167" s="23">
        <f>IF($C167="","",N($G167)-N(R167))</f>
        <v/>
      </c>
      <c r="U167" s="24" t="n"/>
      <c r="V167" s="22" t="n"/>
    </row>
    <row r="168">
      <c r="B168" s="13">
        <f>IF($C168="","",COUNTA($C$9:$C168))</f>
        <v/>
      </c>
      <c r="C168" s="21" t="n"/>
      <c r="D168" s="14" t="n"/>
      <c r="E168" s="14" t="n"/>
      <c r="F168" s="14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3">
        <f>IF($C168="","",N(L168)-N(M168))</f>
        <v/>
      </c>
      <c r="P168" s="24" t="n"/>
      <c r="Q168" s="23">
        <f>IF($C168="","",N(M168)+N(N168))</f>
        <v/>
      </c>
      <c r="R168" s="23">
        <f>IF($C168="","",N(J168)+N(Q168))</f>
        <v/>
      </c>
      <c r="S168" s="25">
        <f>IF(OR($C168="",N($G168)=0),"",R168/$G168)</f>
        <v/>
      </c>
      <c r="T168" s="23">
        <f>IF($C168="","",N($G168)-N(R168))</f>
        <v/>
      </c>
      <c r="U168" s="24" t="n"/>
      <c r="V168" s="22" t="n"/>
    </row>
    <row r="169">
      <c r="B169" s="13">
        <f>IF($C169="","",COUNTA($C$9:$C169))</f>
        <v/>
      </c>
      <c r="C169" s="21" t="n"/>
      <c r="D169" s="14" t="n"/>
      <c r="E169" s="14" t="n"/>
      <c r="F169" s="14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3">
        <f>IF($C169="","",N(L169)-N(M169))</f>
        <v/>
      </c>
      <c r="P169" s="24" t="n"/>
      <c r="Q169" s="23">
        <f>IF($C169="","",N(M169)+N(N169))</f>
        <v/>
      </c>
      <c r="R169" s="23">
        <f>IF($C169="","",N(J169)+N(Q169))</f>
        <v/>
      </c>
      <c r="S169" s="25">
        <f>IF(OR($C169="",N($G169)=0),"",R169/$G169)</f>
        <v/>
      </c>
      <c r="T169" s="23">
        <f>IF($C169="","",N($G169)-N(R169))</f>
        <v/>
      </c>
      <c r="U169" s="24" t="n"/>
      <c r="V169" s="22" t="n"/>
    </row>
    <row r="170">
      <c r="B170" s="13">
        <f>IF($C170="","",COUNTA($C$9:$C170))</f>
        <v/>
      </c>
      <c r="C170" s="21" t="n"/>
      <c r="D170" s="14" t="n"/>
      <c r="E170" s="14" t="n"/>
      <c r="F170" s="14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3">
        <f>IF($C170="","",N(L170)-N(M170))</f>
        <v/>
      </c>
      <c r="P170" s="24" t="n"/>
      <c r="Q170" s="23">
        <f>IF($C170="","",N(M170)+N(N170))</f>
        <v/>
      </c>
      <c r="R170" s="23">
        <f>IF($C170="","",N(J170)+N(Q170))</f>
        <v/>
      </c>
      <c r="S170" s="25">
        <f>IF(OR($C170="",N($G170)=0),"",R170/$G170)</f>
        <v/>
      </c>
      <c r="T170" s="23">
        <f>IF($C170="","",N($G170)-N(R170))</f>
        <v/>
      </c>
      <c r="U170" s="24" t="n"/>
      <c r="V170" s="22" t="n"/>
    </row>
    <row r="171">
      <c r="B171" s="13">
        <f>IF($C171="","",COUNTA($C$9:$C171))</f>
        <v/>
      </c>
      <c r="C171" s="21" t="n"/>
      <c r="D171" s="14" t="n"/>
      <c r="E171" s="14" t="n"/>
      <c r="F171" s="14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3">
        <f>IF($C171="","",N(L171)-N(M171))</f>
        <v/>
      </c>
      <c r="P171" s="24" t="n"/>
      <c r="Q171" s="23">
        <f>IF($C171="","",N(M171)+N(N171))</f>
        <v/>
      </c>
      <c r="R171" s="23">
        <f>IF($C171="","",N(J171)+N(Q171))</f>
        <v/>
      </c>
      <c r="S171" s="25">
        <f>IF(OR($C171="",N($G171)=0),"",R171/$G171)</f>
        <v/>
      </c>
      <c r="T171" s="23">
        <f>IF($C171="","",N($G171)-N(R171))</f>
        <v/>
      </c>
      <c r="U171" s="24" t="n"/>
      <c r="V171" s="22" t="n"/>
    </row>
    <row r="172">
      <c r="B172" s="13">
        <f>IF($C172="","",COUNTA($C$9:$C172))</f>
        <v/>
      </c>
      <c r="C172" s="21" t="n"/>
      <c r="D172" s="14" t="n"/>
      <c r="E172" s="14" t="n"/>
      <c r="F172" s="14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3">
        <f>IF($C172="","",N(L172)-N(M172))</f>
        <v/>
      </c>
      <c r="P172" s="24" t="n"/>
      <c r="Q172" s="23">
        <f>IF($C172="","",N(M172)+N(N172))</f>
        <v/>
      </c>
      <c r="R172" s="23">
        <f>IF($C172="","",N(J172)+N(Q172))</f>
        <v/>
      </c>
      <c r="S172" s="25">
        <f>IF(OR($C172="",N($G172)=0),"",R172/$G172)</f>
        <v/>
      </c>
      <c r="T172" s="23">
        <f>IF($C172="","",N($G172)-N(R172))</f>
        <v/>
      </c>
      <c r="U172" s="24" t="n"/>
      <c r="V172" s="22" t="n"/>
    </row>
    <row r="173">
      <c r="B173" s="13">
        <f>IF($C173="","",COUNTA($C$9:$C173))</f>
        <v/>
      </c>
      <c r="C173" s="21" t="n"/>
      <c r="D173" s="14" t="n"/>
      <c r="E173" s="14" t="n"/>
      <c r="F173" s="14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3">
        <f>IF($C173="","",N(L173)-N(M173))</f>
        <v/>
      </c>
      <c r="P173" s="24" t="n"/>
      <c r="Q173" s="23">
        <f>IF($C173="","",N(M173)+N(N173))</f>
        <v/>
      </c>
      <c r="R173" s="23">
        <f>IF($C173="","",N(J173)+N(Q173))</f>
        <v/>
      </c>
      <c r="S173" s="25">
        <f>IF(OR($C173="",N($G173)=0),"",R173/$G173)</f>
        <v/>
      </c>
      <c r="T173" s="23">
        <f>IF($C173="","",N($G173)-N(R173))</f>
        <v/>
      </c>
      <c r="U173" s="24" t="n"/>
      <c r="V173" s="22" t="n"/>
    </row>
    <row r="174">
      <c r="B174" s="13">
        <f>IF($C174="","",COUNTA($C$9:$C174))</f>
        <v/>
      </c>
      <c r="C174" s="21" t="n"/>
      <c r="D174" s="14" t="n"/>
      <c r="E174" s="14" t="n"/>
      <c r="F174" s="14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3">
        <f>IF($C174="","",N(L174)-N(M174))</f>
        <v/>
      </c>
      <c r="P174" s="24" t="n"/>
      <c r="Q174" s="23">
        <f>IF($C174="","",N(M174)+N(N174))</f>
        <v/>
      </c>
      <c r="R174" s="23">
        <f>IF($C174="","",N(J174)+N(Q174))</f>
        <v/>
      </c>
      <c r="S174" s="25">
        <f>IF(OR($C174="",N($G174)=0),"",R174/$G174)</f>
        <v/>
      </c>
      <c r="T174" s="23">
        <f>IF($C174="","",N($G174)-N(R174))</f>
        <v/>
      </c>
      <c r="U174" s="24" t="n"/>
      <c r="V174" s="22" t="n"/>
    </row>
    <row r="175">
      <c r="B175" s="13">
        <f>IF($C175="","",COUNTA($C$9:$C175))</f>
        <v/>
      </c>
      <c r="C175" s="21" t="n"/>
      <c r="D175" s="14" t="n"/>
      <c r="E175" s="14" t="n"/>
      <c r="F175" s="14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3">
        <f>IF($C175="","",N(L175)-N(M175))</f>
        <v/>
      </c>
      <c r="P175" s="24" t="n"/>
      <c r="Q175" s="23">
        <f>IF($C175="","",N(M175)+N(N175))</f>
        <v/>
      </c>
      <c r="R175" s="23">
        <f>IF($C175="","",N(J175)+N(Q175))</f>
        <v/>
      </c>
      <c r="S175" s="25">
        <f>IF(OR($C175="",N($G175)=0),"",R175/$G175)</f>
        <v/>
      </c>
      <c r="T175" s="23">
        <f>IF($C175="","",N($G175)-N(R175))</f>
        <v/>
      </c>
      <c r="U175" s="24" t="n"/>
      <c r="V175" s="22" t="n"/>
    </row>
    <row r="176">
      <c r="B176" s="13">
        <f>IF($C176="","",COUNTA($C$9:$C176))</f>
        <v/>
      </c>
      <c r="C176" s="21" t="n"/>
      <c r="D176" s="14" t="n"/>
      <c r="E176" s="14" t="n"/>
      <c r="F176" s="14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3">
        <f>IF($C176="","",N(L176)-N(M176))</f>
        <v/>
      </c>
      <c r="P176" s="24" t="n"/>
      <c r="Q176" s="23">
        <f>IF($C176="","",N(M176)+N(N176))</f>
        <v/>
      </c>
      <c r="R176" s="23">
        <f>IF($C176="","",N(J176)+N(Q176))</f>
        <v/>
      </c>
      <c r="S176" s="25">
        <f>IF(OR($C176="",N($G176)=0),"",R176/$G176)</f>
        <v/>
      </c>
      <c r="T176" s="23">
        <f>IF($C176="","",N($G176)-N(R176))</f>
        <v/>
      </c>
      <c r="U176" s="24" t="n"/>
      <c r="V176" s="22" t="n"/>
    </row>
    <row r="177">
      <c r="B177" s="13">
        <f>IF($C177="","",COUNTA($C$9:$C177))</f>
        <v/>
      </c>
      <c r="C177" s="21" t="n"/>
      <c r="D177" s="14" t="n"/>
      <c r="E177" s="14" t="n"/>
      <c r="F177" s="14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3">
        <f>IF($C177="","",N(L177)-N(M177))</f>
        <v/>
      </c>
      <c r="P177" s="24" t="n"/>
      <c r="Q177" s="23">
        <f>IF($C177="","",N(M177)+N(N177))</f>
        <v/>
      </c>
      <c r="R177" s="23">
        <f>IF($C177="","",N(J177)+N(Q177))</f>
        <v/>
      </c>
      <c r="S177" s="25">
        <f>IF(OR($C177="",N($G177)=0),"",R177/$G177)</f>
        <v/>
      </c>
      <c r="T177" s="23">
        <f>IF($C177="","",N($G177)-N(R177))</f>
        <v/>
      </c>
      <c r="U177" s="24" t="n"/>
      <c r="V177" s="22" t="n"/>
    </row>
    <row r="178">
      <c r="B178" s="13">
        <f>IF($C178="","",COUNTA($C$9:$C178))</f>
        <v/>
      </c>
      <c r="C178" s="21" t="n"/>
      <c r="D178" s="14" t="n"/>
      <c r="E178" s="14" t="n"/>
      <c r="F178" s="14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3">
        <f>IF($C178="","",N(L178)-N(M178))</f>
        <v/>
      </c>
      <c r="P178" s="24" t="n"/>
      <c r="Q178" s="23">
        <f>IF($C178="","",N(M178)+N(N178))</f>
        <v/>
      </c>
      <c r="R178" s="23">
        <f>IF($C178="","",N(J178)+N(Q178))</f>
        <v/>
      </c>
      <c r="S178" s="25">
        <f>IF(OR($C178="",N($G178)=0),"",R178/$G178)</f>
        <v/>
      </c>
      <c r="T178" s="23">
        <f>IF($C178="","",N($G178)-N(R178))</f>
        <v/>
      </c>
      <c r="U178" s="24" t="n"/>
      <c r="V178" s="22" t="n"/>
    </row>
    <row r="179">
      <c r="B179" s="13">
        <f>IF($C179="","",COUNTA($C$9:$C179))</f>
        <v/>
      </c>
      <c r="C179" s="21" t="n"/>
      <c r="D179" s="14" t="n"/>
      <c r="E179" s="14" t="n"/>
      <c r="F179" s="14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3">
        <f>IF($C179="","",N(L179)-N(M179))</f>
        <v/>
      </c>
      <c r="P179" s="24" t="n"/>
      <c r="Q179" s="23">
        <f>IF($C179="","",N(M179)+N(N179))</f>
        <v/>
      </c>
      <c r="R179" s="23">
        <f>IF($C179="","",N(J179)+N(Q179))</f>
        <v/>
      </c>
      <c r="S179" s="25">
        <f>IF(OR($C179="",N($G179)=0),"",R179/$G179)</f>
        <v/>
      </c>
      <c r="T179" s="23">
        <f>IF($C179="","",N($G179)-N(R179))</f>
        <v/>
      </c>
      <c r="U179" s="24" t="n"/>
      <c r="V179" s="22" t="n"/>
    </row>
    <row r="180">
      <c r="B180" s="13">
        <f>IF($C180="","",COUNTA($C$9:$C180))</f>
        <v/>
      </c>
      <c r="C180" s="21" t="n"/>
      <c r="D180" s="14" t="n"/>
      <c r="E180" s="14" t="n"/>
      <c r="F180" s="14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3">
        <f>IF($C180="","",N(L180)-N(M180))</f>
        <v/>
      </c>
      <c r="P180" s="24" t="n"/>
      <c r="Q180" s="23">
        <f>IF($C180="","",N(M180)+N(N180))</f>
        <v/>
      </c>
      <c r="R180" s="23">
        <f>IF($C180="","",N(J180)+N(Q180))</f>
        <v/>
      </c>
      <c r="S180" s="25">
        <f>IF(OR($C180="",N($G180)=0),"",R180/$G180)</f>
        <v/>
      </c>
      <c r="T180" s="23">
        <f>IF($C180="","",N($G180)-N(R180))</f>
        <v/>
      </c>
      <c r="U180" s="24" t="n"/>
      <c r="V180" s="22" t="n"/>
    </row>
    <row r="181">
      <c r="B181" s="13">
        <f>IF($C181="","",COUNTA($C$9:$C181))</f>
        <v/>
      </c>
      <c r="C181" s="21" t="n"/>
      <c r="D181" s="14" t="n"/>
      <c r="E181" s="14" t="n"/>
      <c r="F181" s="14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3">
        <f>IF($C181="","",N(L181)-N(M181))</f>
        <v/>
      </c>
      <c r="P181" s="24" t="n"/>
      <c r="Q181" s="23">
        <f>IF($C181="","",N(M181)+N(N181))</f>
        <v/>
      </c>
      <c r="R181" s="23">
        <f>IF($C181="","",N(J181)+N(Q181))</f>
        <v/>
      </c>
      <c r="S181" s="25">
        <f>IF(OR($C181="",N($G181)=0),"",R181/$G181)</f>
        <v/>
      </c>
      <c r="T181" s="23">
        <f>IF($C181="","",N($G181)-N(R181))</f>
        <v/>
      </c>
      <c r="U181" s="24" t="n"/>
      <c r="V181" s="22" t="n"/>
    </row>
    <row r="182">
      <c r="B182" s="13">
        <f>IF($C182="","",COUNTA($C$9:$C182))</f>
        <v/>
      </c>
      <c r="C182" s="21" t="n"/>
      <c r="D182" s="14" t="n"/>
      <c r="E182" s="14" t="n"/>
      <c r="F182" s="14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3">
        <f>IF($C182="","",N(L182)-N(M182))</f>
        <v/>
      </c>
      <c r="P182" s="24" t="n"/>
      <c r="Q182" s="23">
        <f>IF($C182="","",N(M182)+N(N182))</f>
        <v/>
      </c>
      <c r="R182" s="23">
        <f>IF($C182="","",N(J182)+N(Q182))</f>
        <v/>
      </c>
      <c r="S182" s="25">
        <f>IF(OR($C182="",N($G182)=0),"",R182/$G182)</f>
        <v/>
      </c>
      <c r="T182" s="23">
        <f>IF($C182="","",N($G182)-N(R182))</f>
        <v/>
      </c>
      <c r="U182" s="24" t="n"/>
      <c r="V182" s="22" t="n"/>
    </row>
    <row r="183">
      <c r="B183" s="13">
        <f>IF($C183="","",COUNTA($C$9:$C183))</f>
        <v/>
      </c>
      <c r="C183" s="21" t="n"/>
      <c r="D183" s="14" t="n"/>
      <c r="E183" s="14" t="n"/>
      <c r="F183" s="14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3">
        <f>IF($C183="","",N(L183)-N(M183))</f>
        <v/>
      </c>
      <c r="P183" s="24" t="n"/>
      <c r="Q183" s="23">
        <f>IF($C183="","",N(M183)+N(N183))</f>
        <v/>
      </c>
      <c r="R183" s="23">
        <f>IF($C183="","",N(J183)+N(Q183))</f>
        <v/>
      </c>
      <c r="S183" s="25">
        <f>IF(OR($C183="",N($G183)=0),"",R183/$G183)</f>
        <v/>
      </c>
      <c r="T183" s="23">
        <f>IF($C183="","",N($G183)-N(R183))</f>
        <v/>
      </c>
      <c r="U183" s="24" t="n"/>
      <c r="V183" s="22" t="n"/>
    </row>
    <row r="184">
      <c r="B184" s="13">
        <f>IF($C184="","",COUNTA($C$9:$C184))</f>
        <v/>
      </c>
      <c r="C184" s="21" t="n"/>
      <c r="D184" s="14" t="n"/>
      <c r="E184" s="14" t="n"/>
      <c r="F184" s="14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3">
        <f>IF($C184="","",N(L184)-N(M184))</f>
        <v/>
      </c>
      <c r="P184" s="24" t="n"/>
      <c r="Q184" s="23">
        <f>IF($C184="","",N(M184)+N(N184))</f>
        <v/>
      </c>
      <c r="R184" s="23">
        <f>IF($C184="","",N(J184)+N(Q184))</f>
        <v/>
      </c>
      <c r="S184" s="25">
        <f>IF(OR($C184="",N($G184)=0),"",R184/$G184)</f>
        <v/>
      </c>
      <c r="T184" s="23">
        <f>IF($C184="","",N($G184)-N(R184))</f>
        <v/>
      </c>
      <c r="U184" s="24" t="n"/>
      <c r="V184" s="22" t="n"/>
    </row>
    <row r="185">
      <c r="B185" s="13">
        <f>IF($C185="","",COUNTA($C$9:$C185))</f>
        <v/>
      </c>
      <c r="C185" s="21" t="n"/>
      <c r="D185" s="14" t="n"/>
      <c r="E185" s="14" t="n"/>
      <c r="F185" s="14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3">
        <f>IF($C185="","",N(L185)-N(M185))</f>
        <v/>
      </c>
      <c r="P185" s="24" t="n"/>
      <c r="Q185" s="23">
        <f>IF($C185="","",N(M185)+N(N185))</f>
        <v/>
      </c>
      <c r="R185" s="23">
        <f>IF($C185="","",N(J185)+N(Q185))</f>
        <v/>
      </c>
      <c r="S185" s="25">
        <f>IF(OR($C185="",N($G185)=0),"",R185/$G185)</f>
        <v/>
      </c>
      <c r="T185" s="23">
        <f>IF($C185="","",N($G185)-N(R185))</f>
        <v/>
      </c>
      <c r="U185" s="24" t="n"/>
      <c r="V185" s="22" t="n"/>
    </row>
    <row r="186">
      <c r="B186" s="13">
        <f>IF($C186="","",COUNTA($C$9:$C186))</f>
        <v/>
      </c>
      <c r="C186" s="21" t="n"/>
      <c r="D186" s="14" t="n"/>
      <c r="E186" s="14" t="n"/>
      <c r="F186" s="14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3">
        <f>IF($C186="","",N(L186)-N(M186))</f>
        <v/>
      </c>
      <c r="P186" s="24" t="n"/>
      <c r="Q186" s="23">
        <f>IF($C186="","",N(M186)+N(N186))</f>
        <v/>
      </c>
      <c r="R186" s="23">
        <f>IF($C186="","",N(J186)+N(Q186))</f>
        <v/>
      </c>
      <c r="S186" s="25">
        <f>IF(OR($C186="",N($G186)=0),"",R186/$G186)</f>
        <v/>
      </c>
      <c r="T186" s="23">
        <f>IF($C186="","",N($G186)-N(R186))</f>
        <v/>
      </c>
      <c r="U186" s="24" t="n"/>
      <c r="V186" s="22" t="n"/>
    </row>
    <row r="187">
      <c r="B187" s="13">
        <f>IF($C187="","",COUNTA($C$9:$C187))</f>
        <v/>
      </c>
      <c r="C187" s="21" t="n"/>
      <c r="D187" s="14" t="n"/>
      <c r="E187" s="14" t="n"/>
      <c r="F187" s="14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3">
        <f>IF($C187="","",N(L187)-N(M187))</f>
        <v/>
      </c>
      <c r="P187" s="24" t="n"/>
      <c r="Q187" s="23">
        <f>IF($C187="","",N(M187)+N(N187))</f>
        <v/>
      </c>
      <c r="R187" s="23">
        <f>IF($C187="","",N(J187)+N(Q187))</f>
        <v/>
      </c>
      <c r="S187" s="25">
        <f>IF(OR($C187="",N($G187)=0),"",R187/$G187)</f>
        <v/>
      </c>
      <c r="T187" s="23">
        <f>IF($C187="","",N($G187)-N(R187))</f>
        <v/>
      </c>
      <c r="U187" s="24" t="n"/>
      <c r="V187" s="22" t="n"/>
    </row>
    <row r="188">
      <c r="B188" s="13">
        <f>IF($C188="","",COUNTA($C$9:$C188))</f>
        <v/>
      </c>
      <c r="C188" s="21" t="n"/>
      <c r="D188" s="14" t="n"/>
      <c r="E188" s="14" t="n"/>
      <c r="F188" s="14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3">
        <f>IF($C188="","",N(L188)-N(M188))</f>
        <v/>
      </c>
      <c r="P188" s="24" t="n"/>
      <c r="Q188" s="23">
        <f>IF($C188="","",N(M188)+N(N188))</f>
        <v/>
      </c>
      <c r="R188" s="23">
        <f>IF($C188="","",N(J188)+N(Q188))</f>
        <v/>
      </c>
      <c r="S188" s="25">
        <f>IF(OR($C188="",N($G188)=0),"",R188/$G188)</f>
        <v/>
      </c>
      <c r="T188" s="23">
        <f>IF($C188="","",N($G188)-N(R188))</f>
        <v/>
      </c>
      <c r="U188" s="24" t="n"/>
      <c r="V188" s="22" t="n"/>
    </row>
    <row r="189">
      <c r="B189" s="13">
        <f>IF($C189="","",COUNTA($C$9:$C189))</f>
        <v/>
      </c>
      <c r="C189" s="21" t="n"/>
      <c r="D189" s="14" t="n"/>
      <c r="E189" s="14" t="n"/>
      <c r="F189" s="14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3">
        <f>IF($C189="","",N(L189)-N(M189))</f>
        <v/>
      </c>
      <c r="P189" s="24" t="n"/>
      <c r="Q189" s="23">
        <f>IF($C189="","",N(M189)+N(N189))</f>
        <v/>
      </c>
      <c r="R189" s="23">
        <f>IF($C189="","",N(J189)+N(Q189))</f>
        <v/>
      </c>
      <c r="S189" s="25">
        <f>IF(OR($C189="",N($G189)=0),"",R189/$G189)</f>
        <v/>
      </c>
      <c r="T189" s="23">
        <f>IF($C189="","",N($G189)-N(R189))</f>
        <v/>
      </c>
      <c r="U189" s="24" t="n"/>
      <c r="V189" s="22" t="n"/>
    </row>
    <row r="190">
      <c r="B190" s="13">
        <f>IF($C190="","",COUNTA($C$9:$C190))</f>
        <v/>
      </c>
      <c r="C190" s="21" t="n"/>
      <c r="D190" s="14" t="n"/>
      <c r="E190" s="14" t="n"/>
      <c r="F190" s="14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3">
        <f>IF($C190="","",N(L190)-N(M190))</f>
        <v/>
      </c>
      <c r="P190" s="24" t="n"/>
      <c r="Q190" s="23">
        <f>IF($C190="","",N(M190)+N(N190))</f>
        <v/>
      </c>
      <c r="R190" s="23">
        <f>IF($C190="","",N(J190)+N(Q190))</f>
        <v/>
      </c>
      <c r="S190" s="25">
        <f>IF(OR($C190="",N($G190)=0),"",R190/$G190)</f>
        <v/>
      </c>
      <c r="T190" s="23">
        <f>IF($C190="","",N($G190)-N(R190))</f>
        <v/>
      </c>
      <c r="U190" s="24" t="n"/>
      <c r="V190" s="22" t="n"/>
    </row>
    <row r="191">
      <c r="B191" s="13">
        <f>IF($C191="","",COUNTA($C$9:$C191))</f>
        <v/>
      </c>
      <c r="C191" s="21" t="n"/>
      <c r="D191" s="14" t="n"/>
      <c r="E191" s="14" t="n"/>
      <c r="F191" s="14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3">
        <f>IF($C191="","",N(L191)-N(M191))</f>
        <v/>
      </c>
      <c r="P191" s="24" t="n"/>
      <c r="Q191" s="23">
        <f>IF($C191="","",N(M191)+N(N191))</f>
        <v/>
      </c>
      <c r="R191" s="23">
        <f>IF($C191="","",N(J191)+N(Q191))</f>
        <v/>
      </c>
      <c r="S191" s="25">
        <f>IF(OR($C191="",N($G191)=0),"",R191/$G191)</f>
        <v/>
      </c>
      <c r="T191" s="23">
        <f>IF($C191="","",N($G191)-N(R191))</f>
        <v/>
      </c>
      <c r="U191" s="24" t="n"/>
      <c r="V191" s="22" t="n"/>
    </row>
    <row r="192">
      <c r="B192" s="13">
        <f>IF($C192="","",COUNTA($C$9:$C192))</f>
        <v/>
      </c>
      <c r="C192" s="21" t="n"/>
      <c r="D192" s="14" t="n"/>
      <c r="E192" s="14" t="n"/>
      <c r="F192" s="14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3">
        <f>IF($C192="","",N(L192)-N(M192))</f>
        <v/>
      </c>
      <c r="P192" s="24" t="n"/>
      <c r="Q192" s="23">
        <f>IF($C192="","",N(M192)+N(N192))</f>
        <v/>
      </c>
      <c r="R192" s="23">
        <f>IF($C192="","",N(J192)+N(Q192))</f>
        <v/>
      </c>
      <c r="S192" s="25">
        <f>IF(OR($C192="",N($G192)=0),"",R192/$G192)</f>
        <v/>
      </c>
      <c r="T192" s="23">
        <f>IF($C192="","",N($G192)-N(R192))</f>
        <v/>
      </c>
      <c r="U192" s="24" t="n"/>
      <c r="V192" s="22" t="n"/>
    </row>
    <row r="193">
      <c r="B193" s="13">
        <f>IF($C193="","",COUNTA($C$9:$C193))</f>
        <v/>
      </c>
      <c r="C193" s="21" t="n"/>
      <c r="D193" s="14" t="n"/>
      <c r="E193" s="14" t="n"/>
      <c r="F193" s="14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3">
        <f>IF($C193="","",N(L193)-N(M193))</f>
        <v/>
      </c>
      <c r="P193" s="24" t="n"/>
      <c r="Q193" s="23">
        <f>IF($C193="","",N(M193)+N(N193))</f>
        <v/>
      </c>
      <c r="R193" s="23">
        <f>IF($C193="","",N(J193)+N(Q193))</f>
        <v/>
      </c>
      <c r="S193" s="25">
        <f>IF(OR($C193="",N($G193)=0),"",R193/$G193)</f>
        <v/>
      </c>
      <c r="T193" s="23">
        <f>IF($C193="","",N($G193)-N(R193))</f>
        <v/>
      </c>
      <c r="U193" s="24" t="n"/>
      <c r="V193" s="22" t="n"/>
    </row>
    <row r="194">
      <c r="B194" s="13">
        <f>IF($C194="","",COUNTA($C$9:$C194))</f>
        <v/>
      </c>
      <c r="C194" s="21" t="n"/>
      <c r="D194" s="14" t="n"/>
      <c r="E194" s="14" t="n"/>
      <c r="F194" s="14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3">
        <f>IF($C194="","",N(L194)-N(M194))</f>
        <v/>
      </c>
      <c r="P194" s="24" t="n"/>
      <c r="Q194" s="23">
        <f>IF($C194="","",N(M194)+N(N194))</f>
        <v/>
      </c>
      <c r="R194" s="23">
        <f>IF($C194="","",N(J194)+N(Q194))</f>
        <v/>
      </c>
      <c r="S194" s="25">
        <f>IF(OR($C194="",N($G194)=0),"",R194/$G194)</f>
        <v/>
      </c>
      <c r="T194" s="23">
        <f>IF($C194="","",N($G194)-N(R194))</f>
        <v/>
      </c>
      <c r="U194" s="24" t="n"/>
      <c r="V194" s="22" t="n"/>
    </row>
    <row r="195">
      <c r="B195" s="13">
        <f>IF($C195="","",COUNTA($C$9:$C195))</f>
        <v/>
      </c>
      <c r="C195" s="21" t="n"/>
      <c r="D195" s="14" t="n"/>
      <c r="E195" s="14" t="n"/>
      <c r="F195" s="14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3">
        <f>IF($C195="","",N(L195)-N(M195))</f>
        <v/>
      </c>
      <c r="P195" s="24" t="n"/>
      <c r="Q195" s="23">
        <f>IF($C195="","",N(M195)+N(N195))</f>
        <v/>
      </c>
      <c r="R195" s="23">
        <f>IF($C195="","",N(J195)+N(Q195))</f>
        <v/>
      </c>
      <c r="S195" s="25">
        <f>IF(OR($C195="",N($G195)=0),"",R195/$G195)</f>
        <v/>
      </c>
      <c r="T195" s="23">
        <f>IF($C195="","",N($G195)-N(R195))</f>
        <v/>
      </c>
      <c r="U195" s="24" t="n"/>
      <c r="V195" s="22" t="n"/>
    </row>
    <row r="196">
      <c r="B196" s="13">
        <f>IF($C196="","",COUNTA($C$9:$C196))</f>
        <v/>
      </c>
      <c r="C196" s="21" t="n"/>
      <c r="D196" s="14" t="n"/>
      <c r="E196" s="14" t="n"/>
      <c r="F196" s="14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3">
        <f>IF($C196="","",N(L196)-N(M196))</f>
        <v/>
      </c>
      <c r="P196" s="24" t="n"/>
      <c r="Q196" s="23">
        <f>IF($C196="","",N(M196)+N(N196))</f>
        <v/>
      </c>
      <c r="R196" s="23">
        <f>IF($C196="","",N(J196)+N(Q196))</f>
        <v/>
      </c>
      <c r="S196" s="25">
        <f>IF(OR($C196="",N($G196)=0),"",R196/$G196)</f>
        <v/>
      </c>
      <c r="T196" s="23">
        <f>IF($C196="","",N($G196)-N(R196))</f>
        <v/>
      </c>
      <c r="U196" s="24" t="n"/>
      <c r="V196" s="22" t="n"/>
    </row>
    <row r="197">
      <c r="B197" s="13">
        <f>IF($C197="","",COUNTA($C$9:$C197))</f>
        <v/>
      </c>
      <c r="C197" s="21" t="n"/>
      <c r="D197" s="14" t="n"/>
      <c r="E197" s="14" t="n"/>
      <c r="F197" s="14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3">
        <f>IF($C197="","",N(L197)-N(M197))</f>
        <v/>
      </c>
      <c r="P197" s="24" t="n"/>
      <c r="Q197" s="23">
        <f>IF($C197="","",N(M197)+N(N197))</f>
        <v/>
      </c>
      <c r="R197" s="23">
        <f>IF($C197="","",N(J197)+N(Q197))</f>
        <v/>
      </c>
      <c r="S197" s="25">
        <f>IF(OR($C197="",N($G197)=0),"",R197/$G197)</f>
        <v/>
      </c>
      <c r="T197" s="23">
        <f>IF($C197="","",N($G197)-N(R197))</f>
        <v/>
      </c>
      <c r="U197" s="24" t="n"/>
      <c r="V197" s="22" t="n"/>
    </row>
    <row r="198">
      <c r="B198" s="13">
        <f>IF($C198="","",COUNTA($C$9:$C198))</f>
        <v/>
      </c>
      <c r="C198" s="21" t="n"/>
      <c r="D198" s="14" t="n"/>
      <c r="E198" s="14" t="n"/>
      <c r="F198" s="14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3">
        <f>IF($C198="","",N(L198)-N(M198))</f>
        <v/>
      </c>
      <c r="P198" s="24" t="n"/>
      <c r="Q198" s="23">
        <f>IF($C198="","",N(M198)+N(N198))</f>
        <v/>
      </c>
      <c r="R198" s="23">
        <f>IF($C198="","",N(J198)+N(Q198))</f>
        <v/>
      </c>
      <c r="S198" s="25">
        <f>IF(OR($C198="",N($G198)=0),"",R198/$G198)</f>
        <v/>
      </c>
      <c r="T198" s="23">
        <f>IF($C198="","",N($G198)-N(R198))</f>
        <v/>
      </c>
      <c r="U198" s="24" t="n"/>
      <c r="V198" s="22" t="n"/>
    </row>
    <row r="199">
      <c r="B199" s="13">
        <f>IF($C199="","",COUNTA($C$9:$C199))</f>
        <v/>
      </c>
      <c r="C199" s="21" t="n"/>
      <c r="D199" s="14" t="n"/>
      <c r="E199" s="14" t="n"/>
      <c r="F199" s="14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3">
        <f>IF($C199="","",N(L199)-N(M199))</f>
        <v/>
      </c>
      <c r="P199" s="24" t="n"/>
      <c r="Q199" s="23">
        <f>IF($C199="","",N(M199)+N(N199))</f>
        <v/>
      </c>
      <c r="R199" s="23">
        <f>IF($C199="","",N(J199)+N(Q199))</f>
        <v/>
      </c>
      <c r="S199" s="25">
        <f>IF(OR($C199="",N($G199)=0),"",R199/$G199)</f>
        <v/>
      </c>
      <c r="T199" s="23">
        <f>IF($C199="","",N($G199)-N(R199))</f>
        <v/>
      </c>
      <c r="U199" s="24" t="n"/>
      <c r="V199" s="22" t="n"/>
    </row>
    <row r="200">
      <c r="B200" s="13">
        <f>IF($C200="","",COUNTA($C$9:$C200))</f>
        <v/>
      </c>
      <c r="C200" s="21" t="n"/>
      <c r="D200" s="14" t="n"/>
      <c r="E200" s="14" t="n"/>
      <c r="F200" s="14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3">
        <f>IF($C200="","",N(L200)-N(M200))</f>
        <v/>
      </c>
      <c r="P200" s="24" t="n"/>
      <c r="Q200" s="23">
        <f>IF($C200="","",N(M200)+N(N200))</f>
        <v/>
      </c>
      <c r="R200" s="23">
        <f>IF($C200="","",N(J200)+N(Q200))</f>
        <v/>
      </c>
      <c r="S200" s="25">
        <f>IF(OR($C200="",N($G200)=0),"",R200/$G200)</f>
        <v/>
      </c>
      <c r="T200" s="23">
        <f>IF($C200="","",N($G200)-N(R200))</f>
        <v/>
      </c>
      <c r="U200" s="24" t="n"/>
      <c r="V200" s="22" t="n"/>
    </row>
    <row r="201">
      <c r="B201" s="13">
        <f>IF($C201="","",COUNTA($C$9:$C201))</f>
        <v/>
      </c>
      <c r="C201" s="21" t="n"/>
      <c r="D201" s="14" t="n"/>
      <c r="E201" s="14" t="n"/>
      <c r="F201" s="14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3">
        <f>IF($C201="","",N(L201)-N(M201))</f>
        <v/>
      </c>
      <c r="P201" s="24" t="n"/>
      <c r="Q201" s="23">
        <f>IF($C201="","",N(M201)+N(N201))</f>
        <v/>
      </c>
      <c r="R201" s="23">
        <f>IF($C201="","",N(J201)+N(Q201))</f>
        <v/>
      </c>
      <c r="S201" s="25">
        <f>IF(OR($C201="",N($G201)=0),"",R201/$G201)</f>
        <v/>
      </c>
      <c r="T201" s="23">
        <f>IF($C201="","",N($G201)-N(R201))</f>
        <v/>
      </c>
      <c r="U201" s="24" t="n"/>
      <c r="V201" s="22" t="n"/>
    </row>
    <row r="202">
      <c r="B202" s="13">
        <f>IF($C202="","",COUNTA($C$9:$C202))</f>
        <v/>
      </c>
      <c r="C202" s="21" t="n"/>
      <c r="D202" s="14" t="n"/>
      <c r="E202" s="14" t="n"/>
      <c r="F202" s="14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3">
        <f>IF($C202="","",N(L202)-N(M202))</f>
        <v/>
      </c>
      <c r="P202" s="24" t="n"/>
      <c r="Q202" s="23">
        <f>IF($C202="","",N(M202)+N(N202))</f>
        <v/>
      </c>
      <c r="R202" s="23">
        <f>IF($C202="","",N(J202)+N(Q202))</f>
        <v/>
      </c>
      <c r="S202" s="25">
        <f>IF(OR($C202="",N($G202)=0),"",R202/$G202)</f>
        <v/>
      </c>
      <c r="T202" s="23">
        <f>IF($C202="","",N($G202)-N(R202))</f>
        <v/>
      </c>
      <c r="U202" s="24" t="n"/>
      <c r="V202" s="22" t="n"/>
    </row>
    <row r="203">
      <c r="B203" s="13">
        <f>IF($C203="","",COUNTA($C$9:$C203))</f>
        <v/>
      </c>
      <c r="C203" s="21" t="n"/>
      <c r="D203" s="14" t="n"/>
      <c r="E203" s="14" t="n"/>
      <c r="F203" s="14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3">
        <f>IF($C203="","",N(L203)-N(M203))</f>
        <v/>
      </c>
      <c r="P203" s="24" t="n"/>
      <c r="Q203" s="23">
        <f>IF($C203="","",N(M203)+N(N203))</f>
        <v/>
      </c>
      <c r="R203" s="23">
        <f>IF($C203="","",N(J203)+N(Q203))</f>
        <v/>
      </c>
      <c r="S203" s="25">
        <f>IF(OR($C203="",N($G203)=0),"",R203/$G203)</f>
        <v/>
      </c>
      <c r="T203" s="23">
        <f>IF($C203="","",N($G203)-N(R203))</f>
        <v/>
      </c>
      <c r="U203" s="24" t="n"/>
      <c r="V203" s="22" t="n"/>
    </row>
    <row r="204">
      <c r="B204" s="13">
        <f>IF($C204="","",COUNTA($C$9:$C204))</f>
        <v/>
      </c>
      <c r="C204" s="21" t="n"/>
      <c r="D204" s="14" t="n"/>
      <c r="E204" s="14" t="n"/>
      <c r="F204" s="14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3">
        <f>IF($C204="","",N(L204)-N(M204))</f>
        <v/>
      </c>
      <c r="P204" s="24" t="n"/>
      <c r="Q204" s="23">
        <f>IF($C204="","",N(M204)+N(N204))</f>
        <v/>
      </c>
      <c r="R204" s="23">
        <f>IF($C204="","",N(J204)+N(Q204))</f>
        <v/>
      </c>
      <c r="S204" s="25">
        <f>IF(OR($C204="",N($G204)=0),"",R204/$G204)</f>
        <v/>
      </c>
      <c r="T204" s="23">
        <f>IF($C204="","",N($G204)-N(R204))</f>
        <v/>
      </c>
      <c r="U204" s="24" t="n"/>
      <c r="V204" s="22" t="n"/>
    </row>
    <row r="205">
      <c r="B205" s="13">
        <f>IF($C205="","",COUNTA($C$9:$C205))</f>
        <v/>
      </c>
      <c r="C205" s="21" t="n"/>
      <c r="D205" s="14" t="n"/>
      <c r="E205" s="14" t="n"/>
      <c r="F205" s="14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3">
        <f>IF($C205="","",N(L205)-N(M205))</f>
        <v/>
      </c>
      <c r="P205" s="24" t="n"/>
      <c r="Q205" s="23">
        <f>IF($C205="","",N(M205)+N(N205))</f>
        <v/>
      </c>
      <c r="R205" s="23">
        <f>IF($C205="","",N(J205)+N(Q205))</f>
        <v/>
      </c>
      <c r="S205" s="25">
        <f>IF(OR($C205="",N($G205)=0),"",R205/$G205)</f>
        <v/>
      </c>
      <c r="T205" s="23">
        <f>IF($C205="","",N($G205)-N(R205))</f>
        <v/>
      </c>
      <c r="U205" s="24" t="n"/>
      <c r="V205" s="22" t="n"/>
    </row>
    <row r="206">
      <c r="B206" s="13">
        <f>IF($C206="","",COUNTA($C$9:$C206))</f>
        <v/>
      </c>
      <c r="C206" s="21" t="n"/>
      <c r="D206" s="14" t="n"/>
      <c r="E206" s="14" t="n"/>
      <c r="F206" s="14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3">
        <f>IF($C206="","",N(L206)-N(M206))</f>
        <v/>
      </c>
      <c r="P206" s="24" t="n"/>
      <c r="Q206" s="23">
        <f>IF($C206="","",N(M206)+N(N206))</f>
        <v/>
      </c>
      <c r="R206" s="23">
        <f>IF($C206="","",N(J206)+N(Q206))</f>
        <v/>
      </c>
      <c r="S206" s="25">
        <f>IF(OR($C206="",N($G206)=0),"",R206/$G206)</f>
        <v/>
      </c>
      <c r="T206" s="23">
        <f>IF($C206="","",N($G206)-N(R206))</f>
        <v/>
      </c>
      <c r="U206" s="24" t="n"/>
      <c r="V206" s="22" t="n"/>
    </row>
    <row r="207">
      <c r="B207" s="13">
        <f>IF($C207="","",COUNTA($C$9:$C207))</f>
        <v/>
      </c>
      <c r="C207" s="21" t="n"/>
      <c r="D207" s="14" t="n"/>
      <c r="E207" s="14" t="n"/>
      <c r="F207" s="14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3">
        <f>IF($C207="","",N(L207)-N(M207))</f>
        <v/>
      </c>
      <c r="P207" s="24" t="n"/>
      <c r="Q207" s="23">
        <f>IF($C207="","",N(M207)+N(N207))</f>
        <v/>
      </c>
      <c r="R207" s="23">
        <f>IF($C207="","",N(J207)+N(Q207))</f>
        <v/>
      </c>
      <c r="S207" s="25">
        <f>IF(OR($C207="",N($G207)=0),"",R207/$G207)</f>
        <v/>
      </c>
      <c r="T207" s="23">
        <f>IF($C207="","",N($G207)-N(R207))</f>
        <v/>
      </c>
      <c r="U207" s="24" t="n"/>
      <c r="V207" s="22" t="n"/>
    </row>
    <row r="208">
      <c r="B208" s="13">
        <f>IF($C208="","",COUNTA($C$9:$C208))</f>
        <v/>
      </c>
      <c r="C208" s="21" t="n"/>
      <c r="D208" s="14" t="n"/>
      <c r="E208" s="14" t="n"/>
      <c r="F208" s="14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3">
        <f>IF($C208="","",N(L208)-N(M208))</f>
        <v/>
      </c>
      <c r="P208" s="24" t="n"/>
      <c r="Q208" s="23">
        <f>IF($C208="","",N(M208)+N(N208))</f>
        <v/>
      </c>
      <c r="R208" s="23">
        <f>IF($C208="","",N(J208)+N(Q208))</f>
        <v/>
      </c>
      <c r="S208" s="25">
        <f>IF(OR($C208="",N($G208)=0),"",R208/$G208)</f>
        <v/>
      </c>
      <c r="T208" s="23">
        <f>IF($C208="","",N($G208)-N(R208))</f>
        <v/>
      </c>
      <c r="U208" s="24" t="n"/>
      <c r="V208" s="22" t="n"/>
    </row>
    <row r="209">
      <c r="B209" s="13">
        <f>IF($C209="","",COUNTA($C$9:$C209))</f>
        <v/>
      </c>
      <c r="C209" s="21" t="n"/>
      <c r="D209" s="14" t="n"/>
      <c r="E209" s="14" t="n"/>
      <c r="F209" s="14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3">
        <f>IF($C209="","",N(L209)-N(M209))</f>
        <v/>
      </c>
      <c r="P209" s="24" t="n"/>
      <c r="Q209" s="23">
        <f>IF($C209="","",N(M209)+N(N209))</f>
        <v/>
      </c>
      <c r="R209" s="23">
        <f>IF($C209="","",N(J209)+N(Q209))</f>
        <v/>
      </c>
      <c r="S209" s="25">
        <f>IF(OR($C209="",N($G209)=0),"",R209/$G209)</f>
        <v/>
      </c>
      <c r="T209" s="23">
        <f>IF($C209="","",N($G209)-N(R209))</f>
        <v/>
      </c>
      <c r="U209" s="24" t="n"/>
      <c r="V209" s="22" t="n"/>
    </row>
    <row r="210">
      <c r="B210" s="13">
        <f>IF($C210="","",COUNTA($C$9:$C210))</f>
        <v/>
      </c>
      <c r="C210" s="21" t="n"/>
      <c r="D210" s="14" t="n"/>
      <c r="E210" s="14" t="n"/>
      <c r="F210" s="14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3">
        <f>IF($C210="","",N(L210)-N(M210))</f>
        <v/>
      </c>
      <c r="P210" s="24" t="n"/>
      <c r="Q210" s="23">
        <f>IF($C210="","",N(M210)+N(N210))</f>
        <v/>
      </c>
      <c r="R210" s="23">
        <f>IF($C210="","",N(J210)+N(Q210))</f>
        <v/>
      </c>
      <c r="S210" s="25">
        <f>IF(OR($C210="",N($G210)=0),"",R210/$G210)</f>
        <v/>
      </c>
      <c r="T210" s="23">
        <f>IF($C210="","",N($G210)-N(R210))</f>
        <v/>
      </c>
      <c r="U210" s="24" t="n"/>
      <c r="V210" s="22" t="n"/>
    </row>
    <row r="211">
      <c r="B211" s="13">
        <f>IF($C211="","",COUNTA($C$9:$C211))</f>
        <v/>
      </c>
      <c r="C211" s="21" t="n"/>
      <c r="D211" s="14" t="n"/>
      <c r="E211" s="14" t="n"/>
      <c r="F211" s="14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3">
        <f>IF($C211="","",N(L211)-N(M211))</f>
        <v/>
      </c>
      <c r="P211" s="24" t="n"/>
      <c r="Q211" s="23">
        <f>IF($C211="","",N(M211)+N(N211))</f>
        <v/>
      </c>
      <c r="R211" s="23">
        <f>IF($C211="","",N(J211)+N(Q211))</f>
        <v/>
      </c>
      <c r="S211" s="25">
        <f>IF(OR($C211="",N($G211)=0),"",R211/$G211)</f>
        <v/>
      </c>
      <c r="T211" s="23">
        <f>IF($C211="","",N($G211)-N(R211))</f>
        <v/>
      </c>
      <c r="U211" s="24" t="n"/>
      <c r="V211" s="22" t="n"/>
    </row>
    <row r="212">
      <c r="B212" s="13">
        <f>IF($C212="","",COUNTA($C$9:$C212))</f>
        <v/>
      </c>
      <c r="C212" s="21" t="n"/>
      <c r="D212" s="14" t="n"/>
      <c r="E212" s="14" t="n"/>
      <c r="F212" s="14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3">
        <f>IF($C212="","",N(L212)-N(M212))</f>
        <v/>
      </c>
      <c r="P212" s="24" t="n"/>
      <c r="Q212" s="23">
        <f>IF($C212="","",N(M212)+N(N212))</f>
        <v/>
      </c>
      <c r="R212" s="23">
        <f>IF($C212="","",N(J212)+N(Q212))</f>
        <v/>
      </c>
      <c r="S212" s="25">
        <f>IF(OR($C212="",N($G212)=0),"",R212/$G212)</f>
        <v/>
      </c>
      <c r="T212" s="23">
        <f>IF($C212="","",N($G212)-N(R212))</f>
        <v/>
      </c>
      <c r="U212" s="24" t="n"/>
      <c r="V212" s="22" t="n"/>
    </row>
    <row r="213">
      <c r="B213" s="13">
        <f>IF($C213="","",COUNTA($C$9:$C213))</f>
        <v/>
      </c>
      <c r="C213" s="21" t="n"/>
      <c r="D213" s="14" t="n"/>
      <c r="E213" s="14" t="n"/>
      <c r="F213" s="14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3">
        <f>IF($C213="","",N(L213)-N(M213))</f>
        <v/>
      </c>
      <c r="P213" s="24" t="n"/>
      <c r="Q213" s="23">
        <f>IF($C213="","",N(M213)+N(N213))</f>
        <v/>
      </c>
      <c r="R213" s="23">
        <f>IF($C213="","",N(J213)+N(Q213))</f>
        <v/>
      </c>
      <c r="S213" s="25">
        <f>IF(OR($C213="",N($G213)=0),"",R213/$G213)</f>
        <v/>
      </c>
      <c r="T213" s="23">
        <f>IF($C213="","",N($G213)-N(R213))</f>
        <v/>
      </c>
      <c r="U213" s="24" t="n"/>
      <c r="V213" s="22" t="n"/>
    </row>
    <row r="214">
      <c r="B214" s="13">
        <f>IF($C214="","",COUNTA($C$9:$C214))</f>
        <v/>
      </c>
      <c r="C214" s="21" t="n"/>
      <c r="D214" s="14" t="n"/>
      <c r="E214" s="14" t="n"/>
      <c r="F214" s="14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3">
        <f>IF($C214="","",N(L214)-N(M214))</f>
        <v/>
      </c>
      <c r="P214" s="24" t="n"/>
      <c r="Q214" s="23">
        <f>IF($C214="","",N(M214)+N(N214))</f>
        <v/>
      </c>
      <c r="R214" s="23">
        <f>IF($C214="","",N(J214)+N(Q214))</f>
        <v/>
      </c>
      <c r="S214" s="25">
        <f>IF(OR($C214="",N($G214)=0),"",R214/$G214)</f>
        <v/>
      </c>
      <c r="T214" s="23">
        <f>IF($C214="","",N($G214)-N(R214))</f>
        <v/>
      </c>
      <c r="U214" s="24" t="n"/>
      <c r="V214" s="22" t="n"/>
    </row>
    <row r="215">
      <c r="B215" s="13">
        <f>IF($C215="","",COUNTA($C$9:$C215))</f>
        <v/>
      </c>
      <c r="C215" s="21" t="n"/>
      <c r="D215" s="14" t="n"/>
      <c r="E215" s="14" t="n"/>
      <c r="F215" s="14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3">
        <f>IF($C215="","",N(L215)-N(M215))</f>
        <v/>
      </c>
      <c r="P215" s="24" t="n"/>
      <c r="Q215" s="23">
        <f>IF($C215="","",N(M215)+N(N215))</f>
        <v/>
      </c>
      <c r="R215" s="23">
        <f>IF($C215="","",N(J215)+N(Q215))</f>
        <v/>
      </c>
      <c r="S215" s="25">
        <f>IF(OR($C215="",N($G215)=0),"",R215/$G215)</f>
        <v/>
      </c>
      <c r="T215" s="23">
        <f>IF($C215="","",N($G215)-N(R215))</f>
        <v/>
      </c>
      <c r="U215" s="24" t="n"/>
      <c r="V215" s="22" t="n"/>
    </row>
    <row r="216">
      <c r="B216" s="13">
        <f>IF($C216="","",COUNTA($C$9:$C216))</f>
        <v/>
      </c>
      <c r="C216" s="21" t="n"/>
      <c r="D216" s="14" t="n"/>
      <c r="E216" s="14" t="n"/>
      <c r="F216" s="14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3">
        <f>IF($C216="","",N(L216)-N(M216))</f>
        <v/>
      </c>
      <c r="P216" s="24" t="n"/>
      <c r="Q216" s="23">
        <f>IF($C216="","",N(M216)+N(N216))</f>
        <v/>
      </c>
      <c r="R216" s="23">
        <f>IF($C216="","",N(J216)+N(Q216))</f>
        <v/>
      </c>
      <c r="S216" s="25">
        <f>IF(OR($C216="",N($G216)=0),"",R216/$G216)</f>
        <v/>
      </c>
      <c r="T216" s="23">
        <f>IF($C216="","",N($G216)-N(R216))</f>
        <v/>
      </c>
      <c r="U216" s="24" t="n"/>
      <c r="V216" s="22" t="n"/>
    </row>
    <row r="217">
      <c r="B217" s="13">
        <f>IF($C217="","",COUNTA($C$9:$C217))</f>
        <v/>
      </c>
      <c r="C217" s="21" t="n"/>
      <c r="D217" s="14" t="n"/>
      <c r="E217" s="14" t="n"/>
      <c r="F217" s="14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3">
        <f>IF($C217="","",N(L217)-N(M217))</f>
        <v/>
      </c>
      <c r="P217" s="24" t="n"/>
      <c r="Q217" s="23">
        <f>IF($C217="","",N(M217)+N(N217))</f>
        <v/>
      </c>
      <c r="R217" s="23">
        <f>IF($C217="","",N(J217)+N(Q217))</f>
        <v/>
      </c>
      <c r="S217" s="25">
        <f>IF(OR($C217="",N($G217)=0),"",R217/$G217)</f>
        <v/>
      </c>
      <c r="T217" s="23">
        <f>IF($C217="","",N($G217)-N(R217))</f>
        <v/>
      </c>
      <c r="U217" s="24" t="n"/>
      <c r="V217" s="22" t="n"/>
    </row>
    <row r="218">
      <c r="B218" s="13">
        <f>IF($C218="","",COUNTA($C$9:$C218))</f>
        <v/>
      </c>
      <c r="C218" s="21" t="n"/>
      <c r="D218" s="14" t="n"/>
      <c r="E218" s="14" t="n"/>
      <c r="F218" s="14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3">
        <f>IF($C218="","",N(L218)-N(M218))</f>
        <v/>
      </c>
      <c r="P218" s="24" t="n"/>
      <c r="Q218" s="23">
        <f>IF($C218="","",N(M218)+N(N218))</f>
        <v/>
      </c>
      <c r="R218" s="23">
        <f>IF($C218="","",N(J218)+N(Q218))</f>
        <v/>
      </c>
      <c r="S218" s="25">
        <f>IF(OR($C218="",N($G218)=0),"",R218/$G218)</f>
        <v/>
      </c>
      <c r="T218" s="23">
        <f>IF($C218="","",N($G218)-N(R218))</f>
        <v/>
      </c>
      <c r="U218" s="24" t="n"/>
      <c r="V218" s="22" t="n"/>
    </row>
    <row r="219">
      <c r="B219" s="13">
        <f>IF($C219="","",COUNTA($C$9:$C219))</f>
        <v/>
      </c>
      <c r="C219" s="21" t="n"/>
      <c r="D219" s="14" t="n"/>
      <c r="E219" s="14" t="n"/>
      <c r="F219" s="14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3">
        <f>IF($C219="","",N(L219)-N(M219))</f>
        <v/>
      </c>
      <c r="P219" s="24" t="n"/>
      <c r="Q219" s="23">
        <f>IF($C219="","",N(M219)+N(N219))</f>
        <v/>
      </c>
      <c r="R219" s="23">
        <f>IF($C219="","",N(J219)+N(Q219))</f>
        <v/>
      </c>
      <c r="S219" s="25">
        <f>IF(OR($C219="",N($G219)=0),"",R219/$G219)</f>
        <v/>
      </c>
      <c r="T219" s="23">
        <f>IF($C219="","",N($G219)-N(R219))</f>
        <v/>
      </c>
      <c r="U219" s="24" t="n"/>
      <c r="V219" s="22" t="n"/>
    </row>
    <row r="220">
      <c r="B220" s="13">
        <f>IF($C220="","",COUNTA($C$9:$C220))</f>
        <v/>
      </c>
      <c r="C220" s="21" t="n"/>
      <c r="D220" s="14" t="n"/>
      <c r="E220" s="14" t="n"/>
      <c r="F220" s="14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3">
        <f>IF($C220="","",N(L220)-N(M220))</f>
        <v/>
      </c>
      <c r="P220" s="24" t="n"/>
      <c r="Q220" s="23">
        <f>IF($C220="","",N(M220)+N(N220))</f>
        <v/>
      </c>
      <c r="R220" s="23">
        <f>IF($C220="","",N(J220)+N(Q220))</f>
        <v/>
      </c>
      <c r="S220" s="25">
        <f>IF(OR($C220="",N($G220)=0),"",R220/$G220)</f>
        <v/>
      </c>
      <c r="T220" s="23">
        <f>IF($C220="","",N($G220)-N(R220))</f>
        <v/>
      </c>
      <c r="U220" s="24" t="n"/>
      <c r="V220" s="22" t="n"/>
    </row>
    <row r="221">
      <c r="B221" s="13">
        <f>IF($C221="","",COUNTA($C$9:$C221))</f>
        <v/>
      </c>
      <c r="C221" s="21" t="n"/>
      <c r="D221" s="14" t="n"/>
      <c r="E221" s="14" t="n"/>
      <c r="F221" s="14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3">
        <f>IF($C221="","",N(L221)-N(M221))</f>
        <v/>
      </c>
      <c r="P221" s="24" t="n"/>
      <c r="Q221" s="23">
        <f>IF($C221="","",N(M221)+N(N221))</f>
        <v/>
      </c>
      <c r="R221" s="23">
        <f>IF($C221="","",N(J221)+N(Q221))</f>
        <v/>
      </c>
      <c r="S221" s="25">
        <f>IF(OR($C221="",N($G221)=0),"",R221/$G221)</f>
        <v/>
      </c>
      <c r="T221" s="23">
        <f>IF($C221="","",N($G221)-N(R221))</f>
        <v/>
      </c>
      <c r="U221" s="24" t="n"/>
      <c r="V221" s="22" t="n"/>
    </row>
    <row r="222">
      <c r="B222" s="13">
        <f>IF($C222="","",COUNTA($C$9:$C222))</f>
        <v/>
      </c>
      <c r="C222" s="21" t="n"/>
      <c r="D222" s="14" t="n"/>
      <c r="E222" s="14" t="n"/>
      <c r="F222" s="14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3">
        <f>IF($C222="","",N(L222)-N(M222))</f>
        <v/>
      </c>
      <c r="P222" s="24" t="n"/>
      <c r="Q222" s="23">
        <f>IF($C222="","",N(M222)+N(N222))</f>
        <v/>
      </c>
      <c r="R222" s="23">
        <f>IF($C222="","",N(J222)+N(Q222))</f>
        <v/>
      </c>
      <c r="S222" s="25">
        <f>IF(OR($C222="",N($G222)=0),"",R222/$G222)</f>
        <v/>
      </c>
      <c r="T222" s="23">
        <f>IF($C222="","",N($G222)-N(R222))</f>
        <v/>
      </c>
      <c r="U222" s="24" t="n"/>
      <c r="V222" s="22" t="n"/>
    </row>
    <row r="223">
      <c r="B223" s="13">
        <f>IF($C223="","",COUNTA($C$9:$C223))</f>
        <v/>
      </c>
      <c r="C223" s="21" t="n"/>
      <c r="D223" s="14" t="n"/>
      <c r="E223" s="14" t="n"/>
      <c r="F223" s="14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3">
        <f>IF($C223="","",N(L223)-N(M223))</f>
        <v/>
      </c>
      <c r="P223" s="24" t="n"/>
      <c r="Q223" s="23">
        <f>IF($C223="","",N(M223)+N(N223))</f>
        <v/>
      </c>
      <c r="R223" s="23">
        <f>IF($C223="","",N(J223)+N(Q223))</f>
        <v/>
      </c>
      <c r="S223" s="25">
        <f>IF(OR($C223="",N($G223)=0),"",R223/$G223)</f>
        <v/>
      </c>
      <c r="T223" s="23">
        <f>IF($C223="","",N($G223)-N(R223))</f>
        <v/>
      </c>
      <c r="U223" s="24" t="n"/>
      <c r="V223" s="22" t="n"/>
    </row>
    <row r="224">
      <c r="B224" s="13">
        <f>IF($C224="","",COUNTA($C$9:$C224))</f>
        <v/>
      </c>
      <c r="C224" s="21" t="n"/>
      <c r="D224" s="14" t="n"/>
      <c r="E224" s="14" t="n"/>
      <c r="F224" s="14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3">
        <f>IF($C224="","",N(L224)-N(M224))</f>
        <v/>
      </c>
      <c r="P224" s="24" t="n"/>
      <c r="Q224" s="23">
        <f>IF($C224="","",N(M224)+N(N224))</f>
        <v/>
      </c>
      <c r="R224" s="23">
        <f>IF($C224="","",N(J224)+N(Q224))</f>
        <v/>
      </c>
      <c r="S224" s="25">
        <f>IF(OR($C224="",N($G224)=0),"",R224/$G224)</f>
        <v/>
      </c>
      <c r="T224" s="23">
        <f>IF($C224="","",N($G224)-N(R224))</f>
        <v/>
      </c>
      <c r="U224" s="24" t="n"/>
      <c r="V224" s="22" t="n"/>
    </row>
    <row r="225">
      <c r="B225" s="13">
        <f>IF($C225="","",COUNTA($C$9:$C225))</f>
        <v/>
      </c>
      <c r="C225" s="21" t="n"/>
      <c r="D225" s="14" t="n"/>
      <c r="E225" s="14" t="n"/>
      <c r="F225" s="14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3">
        <f>IF($C225="","",N(L225)-N(M225))</f>
        <v/>
      </c>
      <c r="P225" s="24" t="n"/>
      <c r="Q225" s="23">
        <f>IF($C225="","",N(M225)+N(N225))</f>
        <v/>
      </c>
      <c r="R225" s="23">
        <f>IF($C225="","",N(J225)+N(Q225))</f>
        <v/>
      </c>
      <c r="S225" s="25">
        <f>IF(OR($C225="",N($G225)=0),"",R225/$G225)</f>
        <v/>
      </c>
      <c r="T225" s="23">
        <f>IF($C225="","",N($G225)-N(R225))</f>
        <v/>
      </c>
      <c r="U225" s="24" t="n"/>
      <c r="V225" s="22" t="n"/>
    </row>
    <row r="226">
      <c r="B226" s="13">
        <f>IF($C226="","",COUNTA($C$9:$C226))</f>
        <v/>
      </c>
      <c r="C226" s="21" t="n"/>
      <c r="D226" s="14" t="n"/>
      <c r="E226" s="14" t="n"/>
      <c r="F226" s="14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3">
        <f>IF($C226="","",N(L226)-N(M226))</f>
        <v/>
      </c>
      <c r="P226" s="24" t="n"/>
      <c r="Q226" s="23">
        <f>IF($C226="","",N(M226)+N(N226))</f>
        <v/>
      </c>
      <c r="R226" s="23">
        <f>IF($C226="","",N(J226)+N(Q226))</f>
        <v/>
      </c>
      <c r="S226" s="25">
        <f>IF(OR($C226="",N($G226)=0),"",R226/$G226)</f>
        <v/>
      </c>
      <c r="T226" s="23">
        <f>IF($C226="","",N($G226)-N(R226))</f>
        <v/>
      </c>
      <c r="U226" s="24" t="n"/>
      <c r="V226" s="22" t="n"/>
    </row>
    <row r="227">
      <c r="B227" s="13">
        <f>IF($C227="","",COUNTA($C$9:$C227))</f>
        <v/>
      </c>
      <c r="C227" s="21" t="n"/>
      <c r="D227" s="14" t="n"/>
      <c r="E227" s="14" t="n"/>
      <c r="F227" s="14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3">
        <f>IF($C227="","",N(L227)-N(M227))</f>
        <v/>
      </c>
      <c r="P227" s="24" t="n"/>
      <c r="Q227" s="23">
        <f>IF($C227="","",N(M227)+N(N227))</f>
        <v/>
      </c>
      <c r="R227" s="23">
        <f>IF($C227="","",N(J227)+N(Q227))</f>
        <v/>
      </c>
      <c r="S227" s="25">
        <f>IF(OR($C227="",N($G227)=0),"",R227/$G227)</f>
        <v/>
      </c>
      <c r="T227" s="23">
        <f>IF($C227="","",N($G227)-N(R227))</f>
        <v/>
      </c>
      <c r="U227" s="24" t="n"/>
      <c r="V227" s="22" t="n"/>
    </row>
    <row r="228">
      <c r="B228" s="13">
        <f>IF($C228="","",COUNTA($C$9:$C228))</f>
        <v/>
      </c>
      <c r="C228" s="21" t="n"/>
      <c r="D228" s="14" t="n"/>
      <c r="E228" s="14" t="n"/>
      <c r="F228" s="14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3">
        <f>IF($C228="","",N(L228)-N(M228))</f>
        <v/>
      </c>
      <c r="P228" s="24" t="n"/>
      <c r="Q228" s="23">
        <f>IF($C228="","",N(M228)+N(N228))</f>
        <v/>
      </c>
      <c r="R228" s="23">
        <f>IF($C228="","",N(J228)+N(Q228))</f>
        <v/>
      </c>
      <c r="S228" s="25">
        <f>IF(OR($C228="",N($G228)=0),"",R228/$G228)</f>
        <v/>
      </c>
      <c r="T228" s="23">
        <f>IF($C228="","",N($G228)-N(R228))</f>
        <v/>
      </c>
      <c r="U228" s="24" t="n"/>
      <c r="V228" s="22" t="n"/>
    </row>
    <row r="229">
      <c r="B229" s="13">
        <f>IF($C229="","",COUNTA($C$9:$C229))</f>
        <v/>
      </c>
      <c r="C229" s="21" t="n"/>
      <c r="D229" s="14" t="n"/>
      <c r="E229" s="14" t="n"/>
      <c r="F229" s="14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3">
        <f>IF($C229="","",N(L229)-N(M229))</f>
        <v/>
      </c>
      <c r="P229" s="24" t="n"/>
      <c r="Q229" s="23">
        <f>IF($C229="","",N(M229)+N(N229))</f>
        <v/>
      </c>
      <c r="R229" s="23">
        <f>IF($C229="","",N(J229)+N(Q229))</f>
        <v/>
      </c>
      <c r="S229" s="25">
        <f>IF(OR($C229="",N($G229)=0),"",R229/$G229)</f>
        <v/>
      </c>
      <c r="T229" s="23">
        <f>IF($C229="","",N($G229)-N(R229))</f>
        <v/>
      </c>
      <c r="U229" s="24" t="n"/>
      <c r="V229" s="22" t="n"/>
    </row>
    <row r="230">
      <c r="B230" s="13">
        <f>IF($C230="","",COUNTA($C$9:$C230))</f>
        <v/>
      </c>
      <c r="C230" s="21" t="n"/>
      <c r="D230" s="14" t="n"/>
      <c r="E230" s="14" t="n"/>
      <c r="F230" s="14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3">
        <f>IF($C230="","",N(L230)-N(M230))</f>
        <v/>
      </c>
      <c r="P230" s="24" t="n"/>
      <c r="Q230" s="23">
        <f>IF($C230="","",N(M230)+N(N230))</f>
        <v/>
      </c>
      <c r="R230" s="23">
        <f>IF($C230="","",N(J230)+N(Q230))</f>
        <v/>
      </c>
      <c r="S230" s="25">
        <f>IF(OR($C230="",N($G230)=0),"",R230/$G230)</f>
        <v/>
      </c>
      <c r="T230" s="23">
        <f>IF($C230="","",N($G230)-N(R230))</f>
        <v/>
      </c>
      <c r="U230" s="24" t="n"/>
      <c r="V230" s="22" t="n"/>
    </row>
    <row r="231">
      <c r="B231" s="13">
        <f>IF($C231="","",COUNTA($C$9:$C231))</f>
        <v/>
      </c>
      <c r="C231" s="21" t="n"/>
      <c r="D231" s="14" t="n"/>
      <c r="E231" s="14" t="n"/>
      <c r="F231" s="14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3">
        <f>IF($C231="","",N(L231)-N(M231))</f>
        <v/>
      </c>
      <c r="P231" s="24" t="n"/>
      <c r="Q231" s="23">
        <f>IF($C231="","",N(M231)+N(N231))</f>
        <v/>
      </c>
      <c r="R231" s="23">
        <f>IF($C231="","",N(J231)+N(Q231))</f>
        <v/>
      </c>
      <c r="S231" s="25">
        <f>IF(OR($C231="",N($G231)=0),"",R231/$G231)</f>
        <v/>
      </c>
      <c r="T231" s="23">
        <f>IF($C231="","",N($G231)-N(R231))</f>
        <v/>
      </c>
      <c r="U231" s="24" t="n"/>
      <c r="V231" s="22" t="n"/>
    </row>
    <row r="232">
      <c r="B232" s="13">
        <f>IF($C232="","",COUNTA($C$9:$C232))</f>
        <v/>
      </c>
      <c r="C232" s="21" t="n"/>
      <c r="D232" s="14" t="n"/>
      <c r="E232" s="14" t="n"/>
      <c r="F232" s="14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3">
        <f>IF($C232="","",N(L232)-N(M232))</f>
        <v/>
      </c>
      <c r="P232" s="24" t="n"/>
      <c r="Q232" s="23">
        <f>IF($C232="","",N(M232)+N(N232))</f>
        <v/>
      </c>
      <c r="R232" s="23">
        <f>IF($C232="","",N(J232)+N(Q232))</f>
        <v/>
      </c>
      <c r="S232" s="25">
        <f>IF(OR($C232="",N($G232)=0),"",R232/$G232)</f>
        <v/>
      </c>
      <c r="T232" s="23">
        <f>IF($C232="","",N($G232)-N(R232))</f>
        <v/>
      </c>
      <c r="U232" s="24" t="n"/>
      <c r="V232" s="22" t="n"/>
    </row>
    <row r="233">
      <c r="B233" s="13">
        <f>IF($C233="","",COUNTA($C$9:$C233))</f>
        <v/>
      </c>
      <c r="C233" s="21" t="n"/>
      <c r="D233" s="14" t="n"/>
      <c r="E233" s="14" t="n"/>
      <c r="F233" s="14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3">
        <f>IF($C233="","",N(L233)-N(M233))</f>
        <v/>
      </c>
      <c r="P233" s="24" t="n"/>
      <c r="Q233" s="23">
        <f>IF($C233="","",N(M233)+N(N233))</f>
        <v/>
      </c>
      <c r="R233" s="23">
        <f>IF($C233="","",N(J233)+N(Q233))</f>
        <v/>
      </c>
      <c r="S233" s="25">
        <f>IF(OR($C233="",N($G233)=0),"",R233/$G233)</f>
        <v/>
      </c>
      <c r="T233" s="23">
        <f>IF($C233="","",N($G233)-N(R233))</f>
        <v/>
      </c>
      <c r="U233" s="24" t="n"/>
      <c r="V233" s="22" t="n"/>
    </row>
    <row r="234">
      <c r="B234" s="13">
        <f>IF($C234="","",COUNTA($C$9:$C234))</f>
        <v/>
      </c>
      <c r="C234" s="21" t="n"/>
      <c r="D234" s="14" t="n"/>
      <c r="E234" s="14" t="n"/>
      <c r="F234" s="14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3">
        <f>IF($C234="","",N(L234)-N(M234))</f>
        <v/>
      </c>
      <c r="P234" s="24" t="n"/>
      <c r="Q234" s="23">
        <f>IF($C234="","",N(M234)+N(N234))</f>
        <v/>
      </c>
      <c r="R234" s="23">
        <f>IF($C234="","",N(J234)+N(Q234))</f>
        <v/>
      </c>
      <c r="S234" s="25">
        <f>IF(OR($C234="",N($G234)=0),"",R234/$G234)</f>
        <v/>
      </c>
      <c r="T234" s="23">
        <f>IF($C234="","",N($G234)-N(R234))</f>
        <v/>
      </c>
      <c r="U234" s="24" t="n"/>
      <c r="V234" s="22" t="n"/>
    </row>
    <row r="235">
      <c r="B235" s="13">
        <f>IF($C235="","",COUNTA($C$9:$C235))</f>
        <v/>
      </c>
      <c r="C235" s="21" t="n"/>
      <c r="D235" s="14" t="n"/>
      <c r="E235" s="14" t="n"/>
      <c r="F235" s="14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3">
        <f>IF($C235="","",N(L235)-N(M235))</f>
        <v/>
      </c>
      <c r="P235" s="24" t="n"/>
      <c r="Q235" s="23">
        <f>IF($C235="","",N(M235)+N(N235))</f>
        <v/>
      </c>
      <c r="R235" s="23">
        <f>IF($C235="","",N(J235)+N(Q235))</f>
        <v/>
      </c>
      <c r="S235" s="25">
        <f>IF(OR($C235="",N($G235)=0),"",R235/$G235)</f>
        <v/>
      </c>
      <c r="T235" s="23">
        <f>IF($C235="","",N($G235)-N(R235))</f>
        <v/>
      </c>
      <c r="U235" s="24" t="n"/>
      <c r="V235" s="22" t="n"/>
    </row>
    <row r="236">
      <c r="B236" s="13">
        <f>IF($C236="","",COUNTA($C$9:$C236))</f>
        <v/>
      </c>
      <c r="C236" s="21" t="n"/>
      <c r="D236" s="14" t="n"/>
      <c r="E236" s="14" t="n"/>
      <c r="F236" s="14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3">
        <f>IF($C236="","",N(L236)-N(M236))</f>
        <v/>
      </c>
      <c r="P236" s="24" t="n"/>
      <c r="Q236" s="23">
        <f>IF($C236="","",N(M236)+N(N236))</f>
        <v/>
      </c>
      <c r="R236" s="23">
        <f>IF($C236="","",N(J236)+N(Q236))</f>
        <v/>
      </c>
      <c r="S236" s="25">
        <f>IF(OR($C236="",N($G236)=0),"",R236/$G236)</f>
        <v/>
      </c>
      <c r="T236" s="23">
        <f>IF($C236="","",N($G236)-N(R236))</f>
        <v/>
      </c>
      <c r="U236" s="24" t="n"/>
      <c r="V236" s="22" t="n"/>
    </row>
    <row r="237">
      <c r="B237" s="13">
        <f>IF($C237="","",COUNTA($C$9:$C237))</f>
        <v/>
      </c>
      <c r="C237" s="21" t="n"/>
      <c r="D237" s="14" t="n"/>
      <c r="E237" s="14" t="n"/>
      <c r="F237" s="14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3">
        <f>IF($C237="","",N(L237)-N(M237))</f>
        <v/>
      </c>
      <c r="P237" s="24" t="n"/>
      <c r="Q237" s="23">
        <f>IF($C237="","",N(M237)+N(N237))</f>
        <v/>
      </c>
      <c r="R237" s="23">
        <f>IF($C237="","",N(J237)+N(Q237))</f>
        <v/>
      </c>
      <c r="S237" s="25">
        <f>IF(OR($C237="",N($G237)=0),"",R237/$G237)</f>
        <v/>
      </c>
      <c r="T237" s="23">
        <f>IF($C237="","",N($G237)-N(R237))</f>
        <v/>
      </c>
      <c r="U237" s="24" t="n"/>
      <c r="V237" s="22" t="n"/>
    </row>
    <row r="238">
      <c r="B238" s="13">
        <f>IF($C238="","",COUNTA($C$9:$C238))</f>
        <v/>
      </c>
      <c r="C238" s="21" t="n"/>
      <c r="D238" s="14" t="n"/>
      <c r="E238" s="14" t="n"/>
      <c r="F238" s="14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3">
        <f>IF($C238="","",N(L238)-N(M238))</f>
        <v/>
      </c>
      <c r="P238" s="24" t="n"/>
      <c r="Q238" s="23">
        <f>IF($C238="","",N(M238)+N(N238))</f>
        <v/>
      </c>
      <c r="R238" s="23">
        <f>IF($C238="","",N(J238)+N(Q238))</f>
        <v/>
      </c>
      <c r="S238" s="25">
        <f>IF(OR($C238="",N($G238)=0),"",R238/$G238)</f>
        <v/>
      </c>
      <c r="T238" s="23">
        <f>IF($C238="","",N($G238)-N(R238))</f>
        <v/>
      </c>
      <c r="U238" s="24" t="n"/>
      <c r="V238" s="22" t="n"/>
    </row>
    <row r="239">
      <c r="B239" s="13">
        <f>IF($C239="","",COUNTA($C$9:$C239))</f>
        <v/>
      </c>
      <c r="C239" s="21" t="n"/>
      <c r="D239" s="14" t="n"/>
      <c r="E239" s="14" t="n"/>
      <c r="F239" s="14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3">
        <f>IF($C239="","",N(L239)-N(M239))</f>
        <v/>
      </c>
      <c r="P239" s="24" t="n"/>
      <c r="Q239" s="23">
        <f>IF($C239="","",N(M239)+N(N239))</f>
        <v/>
      </c>
      <c r="R239" s="23">
        <f>IF($C239="","",N(J239)+N(Q239))</f>
        <v/>
      </c>
      <c r="S239" s="25">
        <f>IF(OR($C239="",N($G239)=0),"",R239/$G239)</f>
        <v/>
      </c>
      <c r="T239" s="23">
        <f>IF($C239="","",N($G239)-N(R239))</f>
        <v/>
      </c>
      <c r="U239" s="24" t="n"/>
      <c r="V239" s="22" t="n"/>
    </row>
    <row r="240">
      <c r="B240" s="13">
        <f>IF($C240="","",COUNTA($C$9:$C240))</f>
        <v/>
      </c>
      <c r="C240" s="21" t="n"/>
      <c r="D240" s="14" t="n"/>
      <c r="E240" s="14" t="n"/>
      <c r="F240" s="14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3">
        <f>IF($C240="","",N(L240)-N(M240))</f>
        <v/>
      </c>
      <c r="P240" s="24" t="n"/>
      <c r="Q240" s="23">
        <f>IF($C240="","",N(M240)+N(N240))</f>
        <v/>
      </c>
      <c r="R240" s="23">
        <f>IF($C240="","",N(J240)+N(Q240))</f>
        <v/>
      </c>
      <c r="S240" s="25">
        <f>IF(OR($C240="",N($G240)=0),"",R240/$G240)</f>
        <v/>
      </c>
      <c r="T240" s="23">
        <f>IF($C240="","",N($G240)-N(R240))</f>
        <v/>
      </c>
      <c r="U240" s="24" t="n"/>
      <c r="V240" s="22" t="n"/>
    </row>
    <row r="241">
      <c r="B241" s="13">
        <f>IF($C241="","",COUNTA($C$9:$C241))</f>
        <v/>
      </c>
      <c r="C241" s="21" t="n"/>
      <c r="D241" s="14" t="n"/>
      <c r="E241" s="14" t="n"/>
      <c r="F241" s="14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3">
        <f>IF($C241="","",N(L241)-N(M241))</f>
        <v/>
      </c>
      <c r="P241" s="24" t="n"/>
      <c r="Q241" s="23">
        <f>IF($C241="","",N(M241)+N(N241))</f>
        <v/>
      </c>
      <c r="R241" s="23">
        <f>IF($C241="","",N(J241)+N(Q241))</f>
        <v/>
      </c>
      <c r="S241" s="25">
        <f>IF(OR($C241="",N($G241)=0),"",R241/$G241)</f>
        <v/>
      </c>
      <c r="T241" s="23">
        <f>IF($C241="","",N($G241)-N(R241))</f>
        <v/>
      </c>
      <c r="U241" s="24" t="n"/>
      <c r="V241" s="22" t="n"/>
    </row>
    <row r="242">
      <c r="B242" s="13">
        <f>IF($C242="","",COUNTA($C$9:$C242))</f>
        <v/>
      </c>
      <c r="C242" s="21" t="n"/>
      <c r="D242" s="14" t="n"/>
      <c r="E242" s="14" t="n"/>
      <c r="F242" s="14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3">
        <f>IF($C242="","",N(L242)-N(M242))</f>
        <v/>
      </c>
      <c r="P242" s="24" t="n"/>
      <c r="Q242" s="23">
        <f>IF($C242="","",N(M242)+N(N242))</f>
        <v/>
      </c>
      <c r="R242" s="23">
        <f>IF($C242="","",N(J242)+N(Q242))</f>
        <v/>
      </c>
      <c r="S242" s="25">
        <f>IF(OR($C242="",N($G242)=0),"",R242/$G242)</f>
        <v/>
      </c>
      <c r="T242" s="23">
        <f>IF($C242="","",N($G242)-N(R242))</f>
        <v/>
      </c>
      <c r="U242" s="24" t="n"/>
      <c r="V242" s="22" t="n"/>
    </row>
    <row r="243">
      <c r="B243" s="13">
        <f>IF($C243="","",COUNTA($C$9:$C243))</f>
        <v/>
      </c>
      <c r="C243" s="21" t="n"/>
      <c r="D243" s="14" t="n"/>
      <c r="E243" s="14" t="n"/>
      <c r="F243" s="14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3">
        <f>IF($C243="","",N(L243)-N(M243))</f>
        <v/>
      </c>
      <c r="P243" s="24" t="n"/>
      <c r="Q243" s="23">
        <f>IF($C243="","",N(M243)+N(N243))</f>
        <v/>
      </c>
      <c r="R243" s="23">
        <f>IF($C243="","",N(J243)+N(Q243))</f>
        <v/>
      </c>
      <c r="S243" s="25">
        <f>IF(OR($C243="",N($G243)=0),"",R243/$G243)</f>
        <v/>
      </c>
      <c r="T243" s="23">
        <f>IF($C243="","",N($G243)-N(R243))</f>
        <v/>
      </c>
      <c r="U243" s="24" t="n"/>
      <c r="V243" s="22" t="n"/>
    </row>
    <row r="244">
      <c r="B244" s="13">
        <f>IF($C244="","",COUNTA($C$9:$C244))</f>
        <v/>
      </c>
      <c r="C244" s="21" t="n"/>
      <c r="D244" s="14" t="n"/>
      <c r="E244" s="14" t="n"/>
      <c r="F244" s="14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3">
        <f>IF($C244="","",N(L244)-N(M244))</f>
        <v/>
      </c>
      <c r="P244" s="24" t="n"/>
      <c r="Q244" s="23">
        <f>IF($C244="","",N(M244)+N(N244))</f>
        <v/>
      </c>
      <c r="R244" s="23">
        <f>IF($C244="","",N(J244)+N(Q244))</f>
        <v/>
      </c>
      <c r="S244" s="25">
        <f>IF(OR($C244="",N($G244)=0),"",R244/$G244)</f>
        <v/>
      </c>
      <c r="T244" s="23">
        <f>IF($C244="","",N($G244)-N(R244))</f>
        <v/>
      </c>
      <c r="U244" s="24" t="n"/>
      <c r="V244" s="22" t="n"/>
    </row>
    <row r="245">
      <c r="B245" s="13">
        <f>IF($C245="","",COUNTA($C$9:$C245))</f>
        <v/>
      </c>
      <c r="C245" s="21" t="n"/>
      <c r="D245" s="14" t="n"/>
      <c r="E245" s="14" t="n"/>
      <c r="F245" s="14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3">
        <f>IF($C245="","",N(L245)-N(M245))</f>
        <v/>
      </c>
      <c r="P245" s="24" t="n"/>
      <c r="Q245" s="23">
        <f>IF($C245="","",N(M245)+N(N245))</f>
        <v/>
      </c>
      <c r="R245" s="23">
        <f>IF($C245="","",N(J245)+N(Q245))</f>
        <v/>
      </c>
      <c r="S245" s="25">
        <f>IF(OR($C245="",N($G245)=0),"",R245/$G245)</f>
        <v/>
      </c>
      <c r="T245" s="23">
        <f>IF($C245="","",N($G245)-N(R245))</f>
        <v/>
      </c>
      <c r="U245" s="24" t="n"/>
      <c r="V245" s="22" t="n"/>
    </row>
    <row r="246">
      <c r="B246" s="13">
        <f>IF($C246="","",COUNTA($C$9:$C246))</f>
        <v/>
      </c>
      <c r="C246" s="21" t="n"/>
      <c r="D246" s="14" t="n"/>
      <c r="E246" s="14" t="n"/>
      <c r="F246" s="14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3">
        <f>IF($C246="","",N(L246)-N(M246))</f>
        <v/>
      </c>
      <c r="P246" s="24" t="n"/>
      <c r="Q246" s="23">
        <f>IF($C246="","",N(M246)+N(N246))</f>
        <v/>
      </c>
      <c r="R246" s="23">
        <f>IF($C246="","",N(J246)+N(Q246))</f>
        <v/>
      </c>
      <c r="S246" s="25">
        <f>IF(OR($C246="",N($G246)=0),"",R246/$G246)</f>
        <v/>
      </c>
      <c r="T246" s="23">
        <f>IF($C246="","",N($G246)-N(R246))</f>
        <v/>
      </c>
      <c r="U246" s="24" t="n"/>
      <c r="V246" s="22" t="n"/>
    </row>
    <row r="247">
      <c r="B247" s="13">
        <f>IF($C247="","",COUNTA($C$9:$C247))</f>
        <v/>
      </c>
      <c r="C247" s="21" t="n"/>
      <c r="D247" s="14" t="n"/>
      <c r="E247" s="14" t="n"/>
      <c r="F247" s="14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3">
        <f>IF($C247="","",N(L247)-N(M247))</f>
        <v/>
      </c>
      <c r="P247" s="24" t="n"/>
      <c r="Q247" s="23">
        <f>IF($C247="","",N(M247)+N(N247))</f>
        <v/>
      </c>
      <c r="R247" s="23">
        <f>IF($C247="","",N(J247)+N(Q247))</f>
        <v/>
      </c>
      <c r="S247" s="25">
        <f>IF(OR($C247="",N($G247)=0),"",R247/$G247)</f>
        <v/>
      </c>
      <c r="T247" s="23">
        <f>IF($C247="","",N($G247)-N(R247))</f>
        <v/>
      </c>
      <c r="U247" s="24" t="n"/>
      <c r="V247" s="22" t="n"/>
    </row>
    <row r="248">
      <c r="B248" s="13">
        <f>IF($C248="","",COUNTA($C$9:$C248))</f>
        <v/>
      </c>
      <c r="C248" s="21" t="n"/>
      <c r="D248" s="14" t="n"/>
      <c r="E248" s="14" t="n"/>
      <c r="F248" s="14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3">
        <f>IF($C248="","",N(L248)-N(M248))</f>
        <v/>
      </c>
      <c r="P248" s="24" t="n"/>
      <c r="Q248" s="23">
        <f>IF($C248="","",N(M248)+N(N248))</f>
        <v/>
      </c>
      <c r="R248" s="23">
        <f>IF($C248="","",N(J248)+N(Q248))</f>
        <v/>
      </c>
      <c r="S248" s="25">
        <f>IF(OR($C248="",N($G248)=0),"",R248/$G248)</f>
        <v/>
      </c>
      <c r="T248" s="23">
        <f>IF($C248="","",N($G248)-N(R248))</f>
        <v/>
      </c>
      <c r="U248" s="24" t="n"/>
      <c r="V248" s="22" t="n"/>
    </row>
    <row r="249">
      <c r="B249" s="13">
        <f>IF($C249="","",COUNTA($C$9:$C249))</f>
        <v/>
      </c>
      <c r="C249" s="21" t="n"/>
      <c r="D249" s="14" t="n"/>
      <c r="E249" s="14" t="n"/>
      <c r="F249" s="14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3">
        <f>IF($C249="","",N(L249)-N(M249))</f>
        <v/>
      </c>
      <c r="P249" s="24" t="n"/>
      <c r="Q249" s="23">
        <f>IF($C249="","",N(M249)+N(N249))</f>
        <v/>
      </c>
      <c r="R249" s="23">
        <f>IF($C249="","",N(J249)+N(Q249))</f>
        <v/>
      </c>
      <c r="S249" s="25">
        <f>IF(OR($C249="",N($G249)=0),"",R249/$G249)</f>
        <v/>
      </c>
      <c r="T249" s="23">
        <f>IF($C249="","",N($G249)-N(R249))</f>
        <v/>
      </c>
      <c r="U249" s="24" t="n"/>
      <c r="V249" s="22" t="n"/>
    </row>
    <row r="250">
      <c r="B250" s="13">
        <f>IF($C250="","",COUNTA($C$9:$C250))</f>
        <v/>
      </c>
      <c r="C250" s="21" t="n"/>
      <c r="D250" s="14" t="n"/>
      <c r="E250" s="14" t="n"/>
      <c r="F250" s="14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3">
        <f>IF($C250="","",N(L250)-N(M250))</f>
        <v/>
      </c>
      <c r="P250" s="24" t="n"/>
      <c r="Q250" s="23">
        <f>IF($C250="","",N(M250)+N(N250))</f>
        <v/>
      </c>
      <c r="R250" s="23">
        <f>IF($C250="","",N(J250)+N(Q250))</f>
        <v/>
      </c>
      <c r="S250" s="25">
        <f>IF(OR($C250="",N($G250)=0),"",R250/$G250)</f>
        <v/>
      </c>
      <c r="T250" s="23">
        <f>IF($C250="","",N($G250)-N(R250))</f>
        <v/>
      </c>
      <c r="U250" s="24" t="n"/>
      <c r="V250" s="22" t="n"/>
    </row>
    <row r="251">
      <c r="B251" s="13">
        <f>IF($C251="","",COUNTA($C$9:$C251))</f>
        <v/>
      </c>
      <c r="C251" s="21" t="n"/>
      <c r="D251" s="14" t="n"/>
      <c r="E251" s="14" t="n"/>
      <c r="F251" s="14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3">
        <f>IF($C251="","",N(L251)-N(M251))</f>
        <v/>
      </c>
      <c r="P251" s="24" t="n"/>
      <c r="Q251" s="23">
        <f>IF($C251="","",N(M251)+N(N251))</f>
        <v/>
      </c>
      <c r="R251" s="23">
        <f>IF($C251="","",N(J251)+N(Q251))</f>
        <v/>
      </c>
      <c r="S251" s="25">
        <f>IF(OR($C251="",N($G251)=0),"",R251/$G251)</f>
        <v/>
      </c>
      <c r="T251" s="23">
        <f>IF($C251="","",N($G251)-N(R251))</f>
        <v/>
      </c>
      <c r="U251" s="24" t="n"/>
      <c r="V251" s="22" t="n"/>
    </row>
    <row r="252">
      <c r="B252" s="13">
        <f>IF($C252="","",COUNTA($C$9:$C252))</f>
        <v/>
      </c>
      <c r="C252" s="21" t="n"/>
      <c r="D252" s="14" t="n"/>
      <c r="E252" s="14" t="n"/>
      <c r="F252" s="14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3">
        <f>IF($C252="","",N(L252)-N(M252))</f>
        <v/>
      </c>
      <c r="P252" s="24" t="n"/>
      <c r="Q252" s="23">
        <f>IF($C252="","",N(M252)+N(N252))</f>
        <v/>
      </c>
      <c r="R252" s="23">
        <f>IF($C252="","",N(J252)+N(Q252))</f>
        <v/>
      </c>
      <c r="S252" s="25">
        <f>IF(OR($C252="",N($G252)=0),"",R252/$G252)</f>
        <v/>
      </c>
      <c r="T252" s="23">
        <f>IF($C252="","",N($G252)-N(R252))</f>
        <v/>
      </c>
      <c r="U252" s="24" t="n"/>
      <c r="V252" s="22" t="n"/>
    </row>
    <row r="253">
      <c r="B253" s="13">
        <f>IF($C253="","",COUNTA($C$9:$C253))</f>
        <v/>
      </c>
      <c r="C253" s="21" t="n"/>
      <c r="D253" s="14" t="n"/>
      <c r="E253" s="14" t="n"/>
      <c r="F253" s="14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3">
        <f>IF($C253="","",N(L253)-N(M253))</f>
        <v/>
      </c>
      <c r="P253" s="24" t="n"/>
      <c r="Q253" s="23">
        <f>IF($C253="","",N(M253)+N(N253))</f>
        <v/>
      </c>
      <c r="R253" s="23">
        <f>IF($C253="","",N(J253)+N(Q253))</f>
        <v/>
      </c>
      <c r="S253" s="25">
        <f>IF(OR($C253="",N($G253)=0),"",R253/$G253)</f>
        <v/>
      </c>
      <c r="T253" s="23">
        <f>IF($C253="","",N($G253)-N(R253))</f>
        <v/>
      </c>
      <c r="U253" s="24" t="n"/>
      <c r="V253" s="22" t="n"/>
    </row>
    <row r="254">
      <c r="B254" s="13">
        <f>IF($C254="","",COUNTA($C$9:$C254))</f>
        <v/>
      </c>
      <c r="C254" s="21" t="n"/>
      <c r="D254" s="14" t="n"/>
      <c r="E254" s="14" t="n"/>
      <c r="F254" s="14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3">
        <f>IF($C254="","",N(L254)-N(M254))</f>
        <v/>
      </c>
      <c r="P254" s="24" t="n"/>
      <c r="Q254" s="23">
        <f>IF($C254="","",N(M254)+N(N254))</f>
        <v/>
      </c>
      <c r="R254" s="23">
        <f>IF($C254="","",N(J254)+N(Q254))</f>
        <v/>
      </c>
      <c r="S254" s="25">
        <f>IF(OR($C254="",N($G254)=0),"",R254/$G254)</f>
        <v/>
      </c>
      <c r="T254" s="23">
        <f>IF($C254="","",N($G254)-N(R254))</f>
        <v/>
      </c>
      <c r="U254" s="24" t="n"/>
      <c r="V254" s="22" t="n"/>
    </row>
    <row r="255">
      <c r="B255" s="13">
        <f>IF($C255="","",COUNTA($C$9:$C255))</f>
        <v/>
      </c>
      <c r="C255" s="21" t="n"/>
      <c r="D255" s="14" t="n"/>
      <c r="E255" s="14" t="n"/>
      <c r="F255" s="14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3">
        <f>IF($C255="","",N(L255)-N(M255))</f>
        <v/>
      </c>
      <c r="P255" s="24" t="n"/>
      <c r="Q255" s="23">
        <f>IF($C255="","",N(M255)+N(N255))</f>
        <v/>
      </c>
      <c r="R255" s="23">
        <f>IF($C255="","",N(J255)+N(Q255))</f>
        <v/>
      </c>
      <c r="S255" s="25">
        <f>IF(OR($C255="",N($G255)=0),"",R255/$G255)</f>
        <v/>
      </c>
      <c r="T255" s="23">
        <f>IF($C255="","",N($G255)-N(R255))</f>
        <v/>
      </c>
      <c r="U255" s="24" t="n"/>
      <c r="V255" s="22" t="n"/>
    </row>
    <row r="256">
      <c r="B256" s="13">
        <f>IF($C256="","",COUNTA($C$9:$C256))</f>
        <v/>
      </c>
      <c r="C256" s="21" t="n"/>
      <c r="D256" s="14" t="n"/>
      <c r="E256" s="14" t="n"/>
      <c r="F256" s="14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3">
        <f>IF($C256="","",N(L256)-N(M256))</f>
        <v/>
      </c>
      <c r="P256" s="24" t="n"/>
      <c r="Q256" s="23">
        <f>IF($C256="","",N(M256)+N(N256))</f>
        <v/>
      </c>
      <c r="R256" s="23">
        <f>IF($C256="","",N(J256)+N(Q256))</f>
        <v/>
      </c>
      <c r="S256" s="25">
        <f>IF(OR($C256="",N($G256)=0),"",R256/$G256)</f>
        <v/>
      </c>
      <c r="T256" s="23">
        <f>IF($C256="","",N($G256)-N(R256))</f>
        <v/>
      </c>
      <c r="U256" s="24" t="n"/>
      <c r="V256" s="22" t="n"/>
    </row>
    <row r="257">
      <c r="B257" s="13">
        <f>IF($C257="","",COUNTA($C$9:$C257))</f>
        <v/>
      </c>
      <c r="C257" s="21" t="n"/>
      <c r="D257" s="14" t="n"/>
      <c r="E257" s="14" t="n"/>
      <c r="F257" s="14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3">
        <f>IF($C257="","",N(L257)-N(M257))</f>
        <v/>
      </c>
      <c r="P257" s="24" t="n"/>
      <c r="Q257" s="23">
        <f>IF($C257="","",N(M257)+N(N257))</f>
        <v/>
      </c>
      <c r="R257" s="23">
        <f>IF($C257="","",N(J257)+N(Q257))</f>
        <v/>
      </c>
      <c r="S257" s="25">
        <f>IF(OR($C257="",N($G257)=0),"",R257/$G257)</f>
        <v/>
      </c>
      <c r="T257" s="23">
        <f>IF($C257="","",N($G257)-N(R257))</f>
        <v/>
      </c>
      <c r="U257" s="24" t="n"/>
      <c r="V257" s="22" t="n"/>
    </row>
    <row r="258">
      <c r="B258" s="13">
        <f>IF($C258="","",COUNTA($C$9:$C258))</f>
        <v/>
      </c>
      <c r="C258" s="21" t="n"/>
      <c r="D258" s="14" t="n"/>
      <c r="E258" s="14" t="n"/>
      <c r="F258" s="14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3">
        <f>IF($C258="","",N(L258)-N(M258))</f>
        <v/>
      </c>
      <c r="P258" s="24" t="n"/>
      <c r="Q258" s="23">
        <f>IF($C258="","",N(M258)+N(N258))</f>
        <v/>
      </c>
      <c r="R258" s="23">
        <f>IF($C258="","",N(J258)+N(Q258))</f>
        <v/>
      </c>
      <c r="S258" s="25">
        <f>IF(OR($C258="",N($G258)=0),"",R258/$G258)</f>
        <v/>
      </c>
      <c r="T258" s="23">
        <f>IF($C258="","",N($G258)-N(R258))</f>
        <v/>
      </c>
      <c r="U258" s="24" t="n"/>
      <c r="V258" s="22" t="n"/>
    </row>
    <row r="259">
      <c r="B259" s="13">
        <f>IF($C259="","",COUNTA($C$9:$C259))</f>
        <v/>
      </c>
      <c r="C259" s="21" t="n"/>
      <c r="D259" s="14" t="n"/>
      <c r="E259" s="14" t="n"/>
      <c r="F259" s="14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3">
        <f>IF($C259="","",N(L259)-N(M259))</f>
        <v/>
      </c>
      <c r="P259" s="24" t="n"/>
      <c r="Q259" s="23">
        <f>IF($C259="","",N(M259)+N(N259))</f>
        <v/>
      </c>
      <c r="R259" s="23">
        <f>IF($C259="","",N(J259)+N(Q259))</f>
        <v/>
      </c>
      <c r="S259" s="25">
        <f>IF(OR($C259="",N($G259)=0),"",R259/$G259)</f>
        <v/>
      </c>
      <c r="T259" s="23">
        <f>IF($C259="","",N($G259)-N(R259))</f>
        <v/>
      </c>
      <c r="U259" s="24" t="n"/>
      <c r="V259" s="22" t="n"/>
    </row>
    <row r="260">
      <c r="B260" s="13">
        <f>IF($C260="","",COUNTA($C$9:$C260))</f>
        <v/>
      </c>
      <c r="C260" s="21" t="n"/>
      <c r="D260" s="14" t="n"/>
      <c r="E260" s="14" t="n"/>
      <c r="F260" s="14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3">
        <f>IF($C260="","",N(L260)-N(M260))</f>
        <v/>
      </c>
      <c r="P260" s="24" t="n"/>
      <c r="Q260" s="23">
        <f>IF($C260="","",N(M260)+N(N260))</f>
        <v/>
      </c>
      <c r="R260" s="23">
        <f>IF($C260="","",N(J260)+N(Q260))</f>
        <v/>
      </c>
      <c r="S260" s="25">
        <f>IF(OR($C260="",N($G260)=0),"",R260/$G260)</f>
        <v/>
      </c>
      <c r="T260" s="23">
        <f>IF($C260="","",N($G260)-N(R260))</f>
        <v/>
      </c>
      <c r="U260" s="24" t="n"/>
      <c r="V260" s="22" t="n"/>
    </row>
    <row r="261">
      <c r="B261" s="13">
        <f>IF($C261="","",COUNTA($C$9:$C261))</f>
        <v/>
      </c>
      <c r="C261" s="21" t="n"/>
      <c r="D261" s="14" t="n"/>
      <c r="E261" s="14" t="n"/>
      <c r="F261" s="14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3">
        <f>IF($C261="","",N(L261)-N(M261))</f>
        <v/>
      </c>
      <c r="P261" s="24" t="n"/>
      <c r="Q261" s="23">
        <f>IF($C261="","",N(M261)+N(N261))</f>
        <v/>
      </c>
      <c r="R261" s="23">
        <f>IF($C261="","",N(J261)+N(Q261))</f>
        <v/>
      </c>
      <c r="S261" s="25">
        <f>IF(OR($C261="",N($G261)=0),"",R261/$G261)</f>
        <v/>
      </c>
      <c r="T261" s="23">
        <f>IF($C261="","",N($G261)-N(R261))</f>
        <v/>
      </c>
      <c r="U261" s="24" t="n"/>
      <c r="V261" s="22" t="n"/>
    </row>
    <row r="262">
      <c r="B262" s="13">
        <f>IF($C262="","",COUNTA($C$9:$C262))</f>
        <v/>
      </c>
      <c r="C262" s="21" t="n"/>
      <c r="D262" s="14" t="n"/>
      <c r="E262" s="14" t="n"/>
      <c r="F262" s="14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3">
        <f>IF($C262="","",N(L262)-N(M262))</f>
        <v/>
      </c>
      <c r="P262" s="24" t="n"/>
      <c r="Q262" s="23">
        <f>IF($C262="","",N(M262)+N(N262))</f>
        <v/>
      </c>
      <c r="R262" s="23">
        <f>IF($C262="","",N(J262)+N(Q262))</f>
        <v/>
      </c>
      <c r="S262" s="25">
        <f>IF(OR($C262="",N($G262)=0),"",R262/$G262)</f>
        <v/>
      </c>
      <c r="T262" s="23">
        <f>IF($C262="","",N($G262)-N(R262))</f>
        <v/>
      </c>
      <c r="U262" s="24" t="n"/>
      <c r="V262" s="22" t="n"/>
    </row>
    <row r="263">
      <c r="B263" s="13">
        <f>IF($C263="","",COUNTA($C$9:$C263))</f>
        <v/>
      </c>
      <c r="C263" s="21" t="n"/>
      <c r="D263" s="14" t="n"/>
      <c r="E263" s="14" t="n"/>
      <c r="F263" s="14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3">
        <f>IF($C263="","",N(L263)-N(M263))</f>
        <v/>
      </c>
      <c r="P263" s="24" t="n"/>
      <c r="Q263" s="23">
        <f>IF($C263="","",N(M263)+N(N263))</f>
        <v/>
      </c>
      <c r="R263" s="23">
        <f>IF($C263="","",N(J263)+N(Q263))</f>
        <v/>
      </c>
      <c r="S263" s="25">
        <f>IF(OR($C263="",N($G263)=0),"",R263/$G263)</f>
        <v/>
      </c>
      <c r="T263" s="23">
        <f>IF($C263="","",N($G263)-N(R263))</f>
        <v/>
      </c>
      <c r="U263" s="24" t="n"/>
      <c r="V263" s="22" t="n"/>
    </row>
    <row r="264">
      <c r="B264" s="13">
        <f>IF($C264="","",COUNTA($C$9:$C264))</f>
        <v/>
      </c>
      <c r="C264" s="21" t="n"/>
      <c r="D264" s="14" t="n"/>
      <c r="E264" s="14" t="n"/>
      <c r="F264" s="14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3">
        <f>IF($C264="","",N(L264)-N(M264))</f>
        <v/>
      </c>
      <c r="P264" s="24" t="n"/>
      <c r="Q264" s="23">
        <f>IF($C264="","",N(M264)+N(N264))</f>
        <v/>
      </c>
      <c r="R264" s="23">
        <f>IF($C264="","",N(J264)+N(Q264))</f>
        <v/>
      </c>
      <c r="S264" s="25">
        <f>IF(OR($C264="",N($G264)=0),"",R264/$G264)</f>
        <v/>
      </c>
      <c r="T264" s="23">
        <f>IF($C264="","",N($G264)-N(R264))</f>
        <v/>
      </c>
      <c r="U264" s="24" t="n"/>
      <c r="V264" s="22" t="n"/>
    </row>
    <row r="265">
      <c r="B265" s="13">
        <f>IF($C265="","",COUNTA($C$9:$C265))</f>
        <v/>
      </c>
      <c r="C265" s="21" t="n"/>
      <c r="D265" s="14" t="n"/>
      <c r="E265" s="14" t="n"/>
      <c r="F265" s="14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3">
        <f>IF($C265="","",N(L265)-N(M265))</f>
        <v/>
      </c>
      <c r="P265" s="24" t="n"/>
      <c r="Q265" s="23">
        <f>IF($C265="","",N(M265)+N(N265))</f>
        <v/>
      </c>
      <c r="R265" s="23">
        <f>IF($C265="","",N(J265)+N(Q265))</f>
        <v/>
      </c>
      <c r="S265" s="25">
        <f>IF(OR($C265="",N($G265)=0),"",R265/$G265)</f>
        <v/>
      </c>
      <c r="T265" s="23">
        <f>IF($C265="","",N($G265)-N(R265))</f>
        <v/>
      </c>
      <c r="U265" s="24" t="n"/>
      <c r="V265" s="22" t="n"/>
    </row>
    <row r="266">
      <c r="B266" s="13">
        <f>IF($C266="","",COUNTA($C$9:$C266))</f>
        <v/>
      </c>
      <c r="C266" s="21" t="n"/>
      <c r="D266" s="14" t="n"/>
      <c r="E266" s="14" t="n"/>
      <c r="F266" s="14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3">
        <f>IF($C266="","",N(L266)-N(M266))</f>
        <v/>
      </c>
      <c r="P266" s="24" t="n"/>
      <c r="Q266" s="23">
        <f>IF($C266="","",N(M266)+N(N266))</f>
        <v/>
      </c>
      <c r="R266" s="23">
        <f>IF($C266="","",N(J266)+N(Q266))</f>
        <v/>
      </c>
      <c r="S266" s="25">
        <f>IF(OR($C266="",N($G266)=0),"",R266/$G266)</f>
        <v/>
      </c>
      <c r="T266" s="23">
        <f>IF($C266="","",N($G266)-N(R266))</f>
        <v/>
      </c>
      <c r="U266" s="24" t="n"/>
      <c r="V266" s="22" t="n"/>
    </row>
    <row r="267">
      <c r="B267" s="13">
        <f>IF($C267="","",COUNTA($C$9:$C267))</f>
        <v/>
      </c>
      <c r="C267" s="21" t="n"/>
      <c r="D267" s="14" t="n"/>
      <c r="E267" s="14" t="n"/>
      <c r="F267" s="14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3">
        <f>IF($C267="","",N(L267)-N(M267))</f>
        <v/>
      </c>
      <c r="P267" s="24" t="n"/>
      <c r="Q267" s="23">
        <f>IF($C267="","",N(M267)+N(N267))</f>
        <v/>
      </c>
      <c r="R267" s="23">
        <f>IF($C267="","",N(J267)+N(Q267))</f>
        <v/>
      </c>
      <c r="S267" s="25">
        <f>IF(OR($C267="",N($G267)=0),"",R267/$G267)</f>
        <v/>
      </c>
      <c r="T267" s="23">
        <f>IF($C267="","",N($G267)-N(R267))</f>
        <v/>
      </c>
      <c r="U267" s="24" t="n"/>
      <c r="V267" s="22" t="n"/>
    </row>
    <row r="268">
      <c r="B268" s="13">
        <f>IF($C268="","",COUNTA($C$9:$C268))</f>
        <v/>
      </c>
      <c r="C268" s="21" t="n"/>
      <c r="D268" s="14" t="n"/>
      <c r="E268" s="14" t="n"/>
      <c r="F268" s="14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3">
        <f>IF($C268="","",N(L268)-N(M268))</f>
        <v/>
      </c>
      <c r="P268" s="24" t="n"/>
      <c r="Q268" s="23">
        <f>IF($C268="","",N(M268)+N(N268))</f>
        <v/>
      </c>
      <c r="R268" s="23">
        <f>IF($C268="","",N(J268)+N(Q268))</f>
        <v/>
      </c>
      <c r="S268" s="25">
        <f>IF(OR($C268="",N($G268)=0),"",R268/$G268)</f>
        <v/>
      </c>
      <c r="T268" s="23">
        <f>IF($C268="","",N($G268)-N(R268))</f>
        <v/>
      </c>
      <c r="U268" s="24" t="n"/>
      <c r="V268" s="22" t="n"/>
    </row>
    <row r="269">
      <c r="B269" s="13">
        <f>IF($C269="","",COUNTA($C$9:$C269))</f>
        <v/>
      </c>
      <c r="C269" s="21" t="n"/>
      <c r="D269" s="14" t="n"/>
      <c r="E269" s="14" t="n"/>
      <c r="F269" s="14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3">
        <f>IF($C269="","",N(L269)-N(M269))</f>
        <v/>
      </c>
      <c r="P269" s="24" t="n"/>
      <c r="Q269" s="23">
        <f>IF($C269="","",N(M269)+N(N269))</f>
        <v/>
      </c>
      <c r="R269" s="23">
        <f>IF($C269="","",N(J269)+N(Q269))</f>
        <v/>
      </c>
      <c r="S269" s="25">
        <f>IF(OR($C269="",N($G269)=0),"",R269/$G269)</f>
        <v/>
      </c>
      <c r="T269" s="23">
        <f>IF($C269="","",N($G269)-N(R269))</f>
        <v/>
      </c>
      <c r="U269" s="24" t="n"/>
      <c r="V269" s="22" t="n"/>
    </row>
    <row r="270">
      <c r="B270" s="13">
        <f>IF($C270="","",COUNTA($C$9:$C270))</f>
        <v/>
      </c>
      <c r="C270" s="21" t="n"/>
      <c r="D270" s="14" t="n"/>
      <c r="E270" s="14" t="n"/>
      <c r="F270" s="14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3">
        <f>IF($C270="","",N(L270)-N(M270))</f>
        <v/>
      </c>
      <c r="P270" s="24" t="n"/>
      <c r="Q270" s="23">
        <f>IF($C270="","",N(M270)+N(N270))</f>
        <v/>
      </c>
      <c r="R270" s="23">
        <f>IF($C270="","",N(J270)+N(Q270))</f>
        <v/>
      </c>
      <c r="S270" s="25">
        <f>IF(OR($C270="",N($G270)=0),"",R270/$G270)</f>
        <v/>
      </c>
      <c r="T270" s="23">
        <f>IF($C270="","",N($G270)-N(R270))</f>
        <v/>
      </c>
      <c r="U270" s="24" t="n"/>
      <c r="V270" s="22" t="n"/>
    </row>
    <row r="271">
      <c r="B271" s="13">
        <f>IF($C271="","",COUNTA($C$9:$C271))</f>
        <v/>
      </c>
      <c r="C271" s="21" t="n"/>
      <c r="D271" s="14" t="n"/>
      <c r="E271" s="14" t="n"/>
      <c r="F271" s="14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3">
        <f>IF($C271="","",N(L271)-N(M271))</f>
        <v/>
      </c>
      <c r="P271" s="24" t="n"/>
      <c r="Q271" s="23">
        <f>IF($C271="","",N(M271)+N(N271))</f>
        <v/>
      </c>
      <c r="R271" s="23">
        <f>IF($C271="","",N(J271)+N(Q271))</f>
        <v/>
      </c>
      <c r="S271" s="25">
        <f>IF(OR($C271="",N($G271)=0),"",R271/$G271)</f>
        <v/>
      </c>
      <c r="T271" s="23">
        <f>IF($C271="","",N($G271)-N(R271))</f>
        <v/>
      </c>
      <c r="U271" s="24" t="n"/>
      <c r="V271" s="22" t="n"/>
    </row>
    <row r="272">
      <c r="B272" s="13">
        <f>IF($C272="","",COUNTA($C$9:$C272))</f>
        <v/>
      </c>
      <c r="C272" s="21" t="n"/>
      <c r="D272" s="14" t="n"/>
      <c r="E272" s="14" t="n"/>
      <c r="F272" s="14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3">
        <f>IF($C272="","",N(L272)-N(M272))</f>
        <v/>
      </c>
      <c r="P272" s="24" t="n"/>
      <c r="Q272" s="23">
        <f>IF($C272="","",N(M272)+N(N272))</f>
        <v/>
      </c>
      <c r="R272" s="23">
        <f>IF($C272="","",N(J272)+N(Q272))</f>
        <v/>
      </c>
      <c r="S272" s="25">
        <f>IF(OR($C272="",N($G272)=0),"",R272/$G272)</f>
        <v/>
      </c>
      <c r="T272" s="23">
        <f>IF($C272="","",N($G272)-N(R272))</f>
        <v/>
      </c>
      <c r="U272" s="24" t="n"/>
      <c r="V272" s="22" t="n"/>
    </row>
    <row r="273">
      <c r="B273" s="13">
        <f>IF($C273="","",COUNTA($C$9:$C273))</f>
        <v/>
      </c>
      <c r="C273" s="21" t="n"/>
      <c r="D273" s="14" t="n"/>
      <c r="E273" s="14" t="n"/>
      <c r="F273" s="14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3">
        <f>IF($C273="","",N(L273)-N(M273))</f>
        <v/>
      </c>
      <c r="P273" s="24" t="n"/>
      <c r="Q273" s="23">
        <f>IF($C273="","",N(M273)+N(N273))</f>
        <v/>
      </c>
      <c r="R273" s="23">
        <f>IF($C273="","",N(J273)+N(Q273))</f>
        <v/>
      </c>
      <c r="S273" s="25">
        <f>IF(OR($C273="",N($G273)=0),"",R273/$G273)</f>
        <v/>
      </c>
      <c r="T273" s="23">
        <f>IF($C273="","",N($G273)-N(R273))</f>
        <v/>
      </c>
      <c r="U273" s="24" t="n"/>
      <c r="V273" s="22" t="n"/>
    </row>
    <row r="274">
      <c r="B274" s="13">
        <f>IF($C274="","",COUNTA($C$9:$C274))</f>
        <v/>
      </c>
      <c r="C274" s="21" t="n"/>
      <c r="D274" s="14" t="n"/>
      <c r="E274" s="14" t="n"/>
      <c r="F274" s="14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3">
        <f>IF($C274="","",N(L274)-N(M274))</f>
        <v/>
      </c>
      <c r="P274" s="24" t="n"/>
      <c r="Q274" s="23">
        <f>IF($C274="","",N(M274)+N(N274))</f>
        <v/>
      </c>
      <c r="R274" s="23">
        <f>IF($C274="","",N(J274)+N(Q274))</f>
        <v/>
      </c>
      <c r="S274" s="25">
        <f>IF(OR($C274="",N($G274)=0),"",R274/$G274)</f>
        <v/>
      </c>
      <c r="T274" s="23">
        <f>IF($C274="","",N($G274)-N(R274))</f>
        <v/>
      </c>
      <c r="U274" s="24" t="n"/>
      <c r="V274" s="22" t="n"/>
    </row>
    <row r="275">
      <c r="B275" s="13">
        <f>IF($C275="","",COUNTA($C$9:$C275))</f>
        <v/>
      </c>
      <c r="C275" s="21" t="n"/>
      <c r="D275" s="14" t="n"/>
      <c r="E275" s="14" t="n"/>
      <c r="F275" s="14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3">
        <f>IF($C275="","",N(L275)-N(M275))</f>
        <v/>
      </c>
      <c r="P275" s="24" t="n"/>
      <c r="Q275" s="23">
        <f>IF($C275="","",N(M275)+N(N275))</f>
        <v/>
      </c>
      <c r="R275" s="23">
        <f>IF($C275="","",N(J275)+N(Q275))</f>
        <v/>
      </c>
      <c r="S275" s="25">
        <f>IF(OR($C275="",N($G275)=0),"",R275/$G275)</f>
        <v/>
      </c>
      <c r="T275" s="23">
        <f>IF($C275="","",N($G275)-N(R275))</f>
        <v/>
      </c>
      <c r="U275" s="24" t="n"/>
      <c r="V275" s="22" t="n"/>
    </row>
    <row r="276">
      <c r="B276" s="13">
        <f>IF($C276="","",COUNTA($C$9:$C276))</f>
        <v/>
      </c>
      <c r="C276" s="21" t="n"/>
      <c r="D276" s="14" t="n"/>
      <c r="E276" s="14" t="n"/>
      <c r="F276" s="14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3">
        <f>IF($C276="","",N(L276)-N(M276))</f>
        <v/>
      </c>
      <c r="P276" s="24" t="n"/>
      <c r="Q276" s="23">
        <f>IF($C276="","",N(M276)+N(N276))</f>
        <v/>
      </c>
      <c r="R276" s="23">
        <f>IF($C276="","",N(J276)+N(Q276))</f>
        <v/>
      </c>
      <c r="S276" s="25">
        <f>IF(OR($C276="",N($G276)=0),"",R276/$G276)</f>
        <v/>
      </c>
      <c r="T276" s="23">
        <f>IF($C276="","",N($G276)-N(R276))</f>
        <v/>
      </c>
      <c r="U276" s="24" t="n"/>
      <c r="V276" s="22" t="n"/>
    </row>
    <row r="277">
      <c r="B277" s="13">
        <f>IF($C277="","",COUNTA($C$9:$C277))</f>
        <v/>
      </c>
      <c r="C277" s="21" t="n"/>
      <c r="D277" s="14" t="n"/>
      <c r="E277" s="14" t="n"/>
      <c r="F277" s="14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3">
        <f>IF($C277="","",N(L277)-N(M277))</f>
        <v/>
      </c>
      <c r="P277" s="24" t="n"/>
      <c r="Q277" s="23">
        <f>IF($C277="","",N(M277)+N(N277))</f>
        <v/>
      </c>
      <c r="R277" s="23">
        <f>IF($C277="","",N(J277)+N(Q277))</f>
        <v/>
      </c>
      <c r="S277" s="25">
        <f>IF(OR($C277="",N($G277)=0),"",R277/$G277)</f>
        <v/>
      </c>
      <c r="T277" s="23">
        <f>IF($C277="","",N($G277)-N(R277))</f>
        <v/>
      </c>
      <c r="U277" s="24" t="n"/>
      <c r="V277" s="22" t="n"/>
    </row>
    <row r="278">
      <c r="B278" s="13">
        <f>IF($C278="","",COUNTA($C$9:$C278))</f>
        <v/>
      </c>
      <c r="C278" s="21" t="n"/>
      <c r="D278" s="14" t="n"/>
      <c r="E278" s="14" t="n"/>
      <c r="F278" s="14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3">
        <f>IF($C278="","",N(L278)-N(M278))</f>
        <v/>
      </c>
      <c r="P278" s="24" t="n"/>
      <c r="Q278" s="23">
        <f>IF($C278="","",N(M278)+N(N278))</f>
        <v/>
      </c>
      <c r="R278" s="23">
        <f>IF($C278="","",N(J278)+N(Q278))</f>
        <v/>
      </c>
      <c r="S278" s="25">
        <f>IF(OR($C278="",N($G278)=0),"",R278/$G278)</f>
        <v/>
      </c>
      <c r="T278" s="23">
        <f>IF($C278="","",N($G278)-N(R278))</f>
        <v/>
      </c>
      <c r="U278" s="24" t="n"/>
      <c r="V278" s="22" t="n"/>
    </row>
    <row r="279">
      <c r="B279" s="13">
        <f>IF($C279="","",COUNTA($C$9:$C279))</f>
        <v/>
      </c>
      <c r="C279" s="21" t="n"/>
      <c r="D279" s="14" t="n"/>
      <c r="E279" s="14" t="n"/>
      <c r="F279" s="14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3">
        <f>IF($C279="","",N(L279)-N(M279))</f>
        <v/>
      </c>
      <c r="P279" s="24" t="n"/>
      <c r="Q279" s="23">
        <f>IF($C279="","",N(M279)+N(N279))</f>
        <v/>
      </c>
      <c r="R279" s="23">
        <f>IF($C279="","",N(J279)+N(Q279))</f>
        <v/>
      </c>
      <c r="S279" s="25">
        <f>IF(OR($C279="",N($G279)=0),"",R279/$G279)</f>
        <v/>
      </c>
      <c r="T279" s="23">
        <f>IF($C279="","",N($G279)-N(R279))</f>
        <v/>
      </c>
      <c r="U279" s="24" t="n"/>
      <c r="V279" s="22" t="n"/>
    </row>
    <row r="280">
      <c r="B280" s="13">
        <f>IF($C280="","",COUNTA($C$9:$C280))</f>
        <v/>
      </c>
      <c r="C280" s="21" t="n"/>
      <c r="D280" s="14" t="n"/>
      <c r="E280" s="14" t="n"/>
      <c r="F280" s="14" t="n"/>
      <c r="G280" s="22" t="n"/>
      <c r="H280" s="22" t="n"/>
      <c r="I280" s="22" t="n"/>
      <c r="J280" s="22" t="n"/>
      <c r="K280" s="22" t="n"/>
      <c r="L280" s="22" t="n"/>
      <c r="M280" s="22" t="n"/>
      <c r="N280" s="22" t="n"/>
      <c r="O280" s="23">
        <f>IF($C280="","",N(L280)-N(M280))</f>
        <v/>
      </c>
      <c r="P280" s="24" t="n"/>
      <c r="Q280" s="23">
        <f>IF($C280="","",N(M280)+N(N280))</f>
        <v/>
      </c>
      <c r="R280" s="23">
        <f>IF($C280="","",N(J280)+N(Q280))</f>
        <v/>
      </c>
      <c r="S280" s="25">
        <f>IF(OR($C280="",N($G280)=0),"",R280/$G280)</f>
        <v/>
      </c>
      <c r="T280" s="23">
        <f>IF($C280="","",N($G280)-N(R280))</f>
        <v/>
      </c>
      <c r="U280" s="24" t="n"/>
      <c r="V280" s="22" t="n"/>
    </row>
    <row r="281">
      <c r="B281" s="13">
        <f>IF($C281="","",COUNTA($C$9:$C281))</f>
        <v/>
      </c>
      <c r="C281" s="21" t="n"/>
      <c r="D281" s="14" t="n"/>
      <c r="E281" s="14" t="n"/>
      <c r="F281" s="14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3">
        <f>IF($C281="","",N(L281)-N(M281))</f>
        <v/>
      </c>
      <c r="P281" s="24" t="n"/>
      <c r="Q281" s="23">
        <f>IF($C281="","",N(M281)+N(N281))</f>
        <v/>
      </c>
      <c r="R281" s="23">
        <f>IF($C281="","",N(J281)+N(Q281))</f>
        <v/>
      </c>
      <c r="S281" s="25">
        <f>IF(OR($C281="",N($G281)=0),"",R281/$G281)</f>
        <v/>
      </c>
      <c r="T281" s="23">
        <f>IF($C281="","",N($G281)-N(R281))</f>
        <v/>
      </c>
      <c r="U281" s="24" t="n"/>
      <c r="V281" s="22" t="n"/>
    </row>
    <row r="282">
      <c r="B282" s="13">
        <f>IF($C282="","",COUNTA($C$9:$C282))</f>
        <v/>
      </c>
      <c r="C282" s="21" t="n"/>
      <c r="D282" s="14" t="n"/>
      <c r="E282" s="14" t="n"/>
      <c r="F282" s="14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3">
        <f>IF($C282="","",N(L282)-N(M282))</f>
        <v/>
      </c>
      <c r="P282" s="24" t="n"/>
      <c r="Q282" s="23">
        <f>IF($C282="","",N(M282)+N(N282))</f>
        <v/>
      </c>
      <c r="R282" s="23">
        <f>IF($C282="","",N(J282)+N(Q282))</f>
        <v/>
      </c>
      <c r="S282" s="25">
        <f>IF(OR($C282="",N($G282)=0),"",R282/$G282)</f>
        <v/>
      </c>
      <c r="T282" s="23">
        <f>IF($C282="","",N($G282)-N(R282))</f>
        <v/>
      </c>
      <c r="U282" s="24" t="n"/>
      <c r="V282" s="22" t="n"/>
    </row>
    <row r="283">
      <c r="B283" s="13">
        <f>IF($C283="","",COUNTA($C$9:$C283))</f>
        <v/>
      </c>
      <c r="C283" s="21" t="n"/>
      <c r="D283" s="14" t="n"/>
      <c r="E283" s="14" t="n"/>
      <c r="F283" s="14" t="n"/>
      <c r="G283" s="22" t="n"/>
      <c r="H283" s="22" t="n"/>
      <c r="I283" s="22" t="n"/>
      <c r="J283" s="22" t="n"/>
      <c r="K283" s="22" t="n"/>
      <c r="L283" s="22" t="n"/>
      <c r="M283" s="22" t="n"/>
      <c r="N283" s="22" t="n"/>
      <c r="O283" s="23">
        <f>IF($C283="","",N(L283)-N(M283))</f>
        <v/>
      </c>
      <c r="P283" s="24" t="n"/>
      <c r="Q283" s="23">
        <f>IF($C283="","",N(M283)+N(N283))</f>
        <v/>
      </c>
      <c r="R283" s="23">
        <f>IF($C283="","",N(J283)+N(Q283))</f>
        <v/>
      </c>
      <c r="S283" s="25">
        <f>IF(OR($C283="",N($G283)=0),"",R283/$G283)</f>
        <v/>
      </c>
      <c r="T283" s="23">
        <f>IF($C283="","",N($G283)-N(R283))</f>
        <v/>
      </c>
      <c r="U283" s="24" t="n"/>
      <c r="V283" s="22" t="n"/>
    </row>
    <row r="284">
      <c r="B284" s="13">
        <f>IF($C284="","",COUNTA($C$9:$C284))</f>
        <v/>
      </c>
      <c r="C284" s="21" t="n"/>
      <c r="D284" s="14" t="n"/>
      <c r="E284" s="14" t="n"/>
      <c r="F284" s="14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3">
        <f>IF($C284="","",N(L284)-N(M284))</f>
        <v/>
      </c>
      <c r="P284" s="24" t="n"/>
      <c r="Q284" s="23">
        <f>IF($C284="","",N(M284)+N(N284))</f>
        <v/>
      </c>
      <c r="R284" s="23">
        <f>IF($C284="","",N(J284)+N(Q284))</f>
        <v/>
      </c>
      <c r="S284" s="25">
        <f>IF(OR($C284="",N($G284)=0),"",R284/$G284)</f>
        <v/>
      </c>
      <c r="T284" s="23">
        <f>IF($C284="","",N($G284)-N(R284))</f>
        <v/>
      </c>
      <c r="U284" s="24" t="n"/>
      <c r="V284" s="22" t="n"/>
    </row>
    <row r="285">
      <c r="B285" s="13">
        <f>IF($C285="","",COUNTA($C$9:$C285))</f>
        <v/>
      </c>
      <c r="C285" s="21" t="n"/>
      <c r="D285" s="14" t="n"/>
      <c r="E285" s="14" t="n"/>
      <c r="F285" s="14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3">
        <f>IF($C285="","",N(L285)-N(M285))</f>
        <v/>
      </c>
      <c r="P285" s="24" t="n"/>
      <c r="Q285" s="23">
        <f>IF($C285="","",N(M285)+N(N285))</f>
        <v/>
      </c>
      <c r="R285" s="23">
        <f>IF($C285="","",N(J285)+N(Q285))</f>
        <v/>
      </c>
      <c r="S285" s="25">
        <f>IF(OR($C285="",N($G285)=0),"",R285/$G285)</f>
        <v/>
      </c>
      <c r="T285" s="23">
        <f>IF($C285="","",N($G285)-N(R285))</f>
        <v/>
      </c>
      <c r="U285" s="24" t="n"/>
      <c r="V285" s="22" t="n"/>
    </row>
    <row r="286">
      <c r="B286" s="13">
        <f>IF($C286="","",COUNTA($C$9:$C286))</f>
        <v/>
      </c>
      <c r="C286" s="21" t="n"/>
      <c r="D286" s="14" t="n"/>
      <c r="E286" s="14" t="n"/>
      <c r="F286" s="14" t="n"/>
      <c r="G286" s="22" t="n"/>
      <c r="H286" s="22" t="n"/>
      <c r="I286" s="22" t="n"/>
      <c r="J286" s="22" t="n"/>
      <c r="K286" s="22" t="n"/>
      <c r="L286" s="22" t="n"/>
      <c r="M286" s="22" t="n"/>
      <c r="N286" s="22" t="n"/>
      <c r="O286" s="23">
        <f>IF($C286="","",N(L286)-N(M286))</f>
        <v/>
      </c>
      <c r="P286" s="24" t="n"/>
      <c r="Q286" s="23">
        <f>IF($C286="","",N(M286)+N(N286))</f>
        <v/>
      </c>
      <c r="R286" s="23">
        <f>IF($C286="","",N(J286)+N(Q286))</f>
        <v/>
      </c>
      <c r="S286" s="25">
        <f>IF(OR($C286="",N($G286)=0),"",R286/$G286)</f>
        <v/>
      </c>
      <c r="T286" s="23">
        <f>IF($C286="","",N($G286)-N(R286))</f>
        <v/>
      </c>
      <c r="U286" s="24" t="n"/>
      <c r="V286" s="22" t="n"/>
    </row>
    <row r="287">
      <c r="B287" s="13">
        <f>IF($C287="","",COUNTA($C$9:$C287))</f>
        <v/>
      </c>
      <c r="C287" s="21" t="n"/>
      <c r="D287" s="14" t="n"/>
      <c r="E287" s="14" t="n"/>
      <c r="F287" s="14" t="n"/>
      <c r="G287" s="22" t="n"/>
      <c r="H287" s="22" t="n"/>
      <c r="I287" s="22" t="n"/>
      <c r="J287" s="22" t="n"/>
      <c r="K287" s="22" t="n"/>
      <c r="L287" s="22" t="n"/>
      <c r="M287" s="22" t="n"/>
      <c r="N287" s="22" t="n"/>
      <c r="O287" s="23">
        <f>IF($C287="","",N(L287)-N(M287))</f>
        <v/>
      </c>
      <c r="P287" s="24" t="n"/>
      <c r="Q287" s="23">
        <f>IF($C287="","",N(M287)+N(N287))</f>
        <v/>
      </c>
      <c r="R287" s="23">
        <f>IF($C287="","",N(J287)+N(Q287))</f>
        <v/>
      </c>
      <c r="S287" s="25">
        <f>IF(OR($C287="",N($G287)=0),"",R287/$G287)</f>
        <v/>
      </c>
      <c r="T287" s="23">
        <f>IF($C287="","",N($G287)-N(R287))</f>
        <v/>
      </c>
      <c r="U287" s="24" t="n"/>
      <c r="V287" s="22" t="n"/>
    </row>
    <row r="288">
      <c r="B288" s="13">
        <f>IF($C288="","",COUNTA($C$9:$C288))</f>
        <v/>
      </c>
      <c r="C288" s="21" t="n"/>
      <c r="D288" s="14" t="n"/>
      <c r="E288" s="14" t="n"/>
      <c r="F288" s="14" t="n"/>
      <c r="G288" s="22" t="n"/>
      <c r="H288" s="22" t="n"/>
      <c r="I288" s="22" t="n"/>
      <c r="J288" s="22" t="n"/>
      <c r="K288" s="22" t="n"/>
      <c r="L288" s="22" t="n"/>
      <c r="M288" s="22" t="n"/>
      <c r="N288" s="22" t="n"/>
      <c r="O288" s="23">
        <f>IF($C288="","",N(L288)-N(M288))</f>
        <v/>
      </c>
      <c r="P288" s="24" t="n"/>
      <c r="Q288" s="23">
        <f>IF($C288="","",N(M288)+N(N288))</f>
        <v/>
      </c>
      <c r="R288" s="23">
        <f>IF($C288="","",N(J288)+N(Q288))</f>
        <v/>
      </c>
      <c r="S288" s="25">
        <f>IF(OR($C288="",N($G288)=0),"",R288/$G288)</f>
        <v/>
      </c>
      <c r="T288" s="23">
        <f>IF($C288="","",N($G288)-N(R288))</f>
        <v/>
      </c>
      <c r="U288" s="24" t="n"/>
      <c r="V288" s="22" t="n"/>
    </row>
    <row r="289">
      <c r="B289" s="13">
        <f>IF($C289="","",COUNTA($C$9:$C289))</f>
        <v/>
      </c>
      <c r="C289" s="21" t="n"/>
      <c r="D289" s="14" t="n"/>
      <c r="E289" s="14" t="n"/>
      <c r="F289" s="14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3">
        <f>IF($C289="","",N(L289)-N(M289))</f>
        <v/>
      </c>
      <c r="P289" s="24" t="n"/>
      <c r="Q289" s="23">
        <f>IF($C289="","",N(M289)+N(N289))</f>
        <v/>
      </c>
      <c r="R289" s="23">
        <f>IF($C289="","",N(J289)+N(Q289))</f>
        <v/>
      </c>
      <c r="S289" s="25">
        <f>IF(OR($C289="",N($G289)=0),"",R289/$G289)</f>
        <v/>
      </c>
      <c r="T289" s="23">
        <f>IF($C289="","",N($G289)-N(R289))</f>
        <v/>
      </c>
      <c r="U289" s="24" t="n"/>
      <c r="V289" s="22" t="n"/>
    </row>
    <row r="290">
      <c r="B290" s="13">
        <f>IF($C290="","",COUNTA($C$9:$C290))</f>
        <v/>
      </c>
      <c r="C290" s="21" t="n"/>
      <c r="D290" s="14" t="n"/>
      <c r="E290" s="14" t="n"/>
      <c r="F290" s="14" t="n"/>
      <c r="G290" s="22" t="n"/>
      <c r="H290" s="22" t="n"/>
      <c r="I290" s="22" t="n"/>
      <c r="J290" s="22" t="n"/>
      <c r="K290" s="22" t="n"/>
      <c r="L290" s="22" t="n"/>
      <c r="M290" s="22" t="n"/>
      <c r="N290" s="22" t="n"/>
      <c r="O290" s="23">
        <f>IF($C290="","",N(L290)-N(M290))</f>
        <v/>
      </c>
      <c r="P290" s="24" t="n"/>
      <c r="Q290" s="23">
        <f>IF($C290="","",N(M290)+N(N290))</f>
        <v/>
      </c>
      <c r="R290" s="23">
        <f>IF($C290="","",N(J290)+N(Q290))</f>
        <v/>
      </c>
      <c r="S290" s="25">
        <f>IF(OR($C290="",N($G290)=0),"",R290/$G290)</f>
        <v/>
      </c>
      <c r="T290" s="23">
        <f>IF($C290="","",N($G290)-N(R290))</f>
        <v/>
      </c>
      <c r="U290" s="24" t="n"/>
      <c r="V290" s="22" t="n"/>
    </row>
    <row r="291">
      <c r="B291" s="13">
        <f>IF($C291="","",COUNTA($C$9:$C291))</f>
        <v/>
      </c>
      <c r="C291" s="21" t="n"/>
      <c r="D291" s="14" t="n"/>
      <c r="E291" s="14" t="n"/>
      <c r="F291" s="14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3">
        <f>IF($C291="","",N(L291)-N(M291))</f>
        <v/>
      </c>
      <c r="P291" s="24" t="n"/>
      <c r="Q291" s="23">
        <f>IF($C291="","",N(M291)+N(N291))</f>
        <v/>
      </c>
      <c r="R291" s="23">
        <f>IF($C291="","",N(J291)+N(Q291))</f>
        <v/>
      </c>
      <c r="S291" s="25">
        <f>IF(OR($C291="",N($G291)=0),"",R291/$G291)</f>
        <v/>
      </c>
      <c r="T291" s="23">
        <f>IF($C291="","",N($G291)-N(R291))</f>
        <v/>
      </c>
      <c r="U291" s="24" t="n"/>
      <c r="V291" s="22" t="n"/>
    </row>
    <row r="292">
      <c r="B292" s="13">
        <f>IF($C292="","",COUNTA($C$9:$C292))</f>
        <v/>
      </c>
      <c r="C292" s="21" t="n"/>
      <c r="D292" s="14" t="n"/>
      <c r="E292" s="14" t="n"/>
      <c r="F292" s="14" t="n"/>
      <c r="G292" s="22" t="n"/>
      <c r="H292" s="22" t="n"/>
      <c r="I292" s="22" t="n"/>
      <c r="J292" s="22" t="n"/>
      <c r="K292" s="22" t="n"/>
      <c r="L292" s="22" t="n"/>
      <c r="M292" s="22" t="n"/>
      <c r="N292" s="22" t="n"/>
      <c r="O292" s="23">
        <f>IF($C292="","",N(L292)-N(M292))</f>
        <v/>
      </c>
      <c r="P292" s="24" t="n"/>
      <c r="Q292" s="23">
        <f>IF($C292="","",N(M292)+N(N292))</f>
        <v/>
      </c>
      <c r="R292" s="23">
        <f>IF($C292="","",N(J292)+N(Q292))</f>
        <v/>
      </c>
      <c r="S292" s="25">
        <f>IF(OR($C292="",N($G292)=0),"",R292/$G292)</f>
        <v/>
      </c>
      <c r="T292" s="23">
        <f>IF($C292="","",N($G292)-N(R292))</f>
        <v/>
      </c>
      <c r="U292" s="24" t="n"/>
      <c r="V292" s="22" t="n"/>
    </row>
    <row r="293">
      <c r="B293" s="13">
        <f>IF($C293="","",COUNTA($C$9:$C293))</f>
        <v/>
      </c>
      <c r="C293" s="21" t="n"/>
      <c r="D293" s="14" t="n"/>
      <c r="E293" s="14" t="n"/>
      <c r="F293" s="14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3">
        <f>IF($C293="","",N(L293)-N(M293))</f>
        <v/>
      </c>
      <c r="P293" s="24" t="n"/>
      <c r="Q293" s="23">
        <f>IF($C293="","",N(M293)+N(N293))</f>
        <v/>
      </c>
      <c r="R293" s="23">
        <f>IF($C293="","",N(J293)+N(Q293))</f>
        <v/>
      </c>
      <c r="S293" s="25">
        <f>IF(OR($C293="",N($G293)=0),"",R293/$G293)</f>
        <v/>
      </c>
      <c r="T293" s="23">
        <f>IF($C293="","",N($G293)-N(R293))</f>
        <v/>
      </c>
      <c r="U293" s="24" t="n"/>
      <c r="V293" s="22" t="n"/>
    </row>
    <row r="294">
      <c r="B294" s="13">
        <f>IF($C294="","",COUNTA($C$9:$C294))</f>
        <v/>
      </c>
      <c r="C294" s="21" t="n"/>
      <c r="D294" s="14" t="n"/>
      <c r="E294" s="14" t="n"/>
      <c r="F294" s="14" t="n"/>
      <c r="G294" s="22" t="n"/>
      <c r="H294" s="22" t="n"/>
      <c r="I294" s="22" t="n"/>
      <c r="J294" s="22" t="n"/>
      <c r="K294" s="22" t="n"/>
      <c r="L294" s="22" t="n"/>
      <c r="M294" s="22" t="n"/>
      <c r="N294" s="22" t="n"/>
      <c r="O294" s="23">
        <f>IF($C294="","",N(L294)-N(M294))</f>
        <v/>
      </c>
      <c r="P294" s="24" t="n"/>
      <c r="Q294" s="23">
        <f>IF($C294="","",N(M294)+N(N294))</f>
        <v/>
      </c>
      <c r="R294" s="23">
        <f>IF($C294="","",N(J294)+N(Q294))</f>
        <v/>
      </c>
      <c r="S294" s="25">
        <f>IF(OR($C294="",N($G294)=0),"",R294/$G294)</f>
        <v/>
      </c>
      <c r="T294" s="23">
        <f>IF($C294="","",N($G294)-N(R294))</f>
        <v/>
      </c>
      <c r="U294" s="24" t="n"/>
      <c r="V294" s="22" t="n"/>
    </row>
    <row r="295">
      <c r="B295" s="13">
        <f>IF($C295="","",COUNTA($C$9:$C295))</f>
        <v/>
      </c>
      <c r="C295" s="21" t="n"/>
      <c r="D295" s="14" t="n"/>
      <c r="E295" s="14" t="n"/>
      <c r="F295" s="14" t="n"/>
      <c r="G295" s="22" t="n"/>
      <c r="H295" s="22" t="n"/>
      <c r="I295" s="22" t="n"/>
      <c r="J295" s="22" t="n"/>
      <c r="K295" s="22" t="n"/>
      <c r="L295" s="22" t="n"/>
      <c r="M295" s="22" t="n"/>
      <c r="N295" s="22" t="n"/>
      <c r="O295" s="23">
        <f>IF($C295="","",N(L295)-N(M295))</f>
        <v/>
      </c>
      <c r="P295" s="24" t="n"/>
      <c r="Q295" s="23">
        <f>IF($C295="","",N(M295)+N(N295))</f>
        <v/>
      </c>
      <c r="R295" s="23">
        <f>IF($C295="","",N(J295)+N(Q295))</f>
        <v/>
      </c>
      <c r="S295" s="25">
        <f>IF(OR($C295="",N($G295)=0),"",R295/$G295)</f>
        <v/>
      </c>
      <c r="T295" s="23">
        <f>IF($C295="","",N($G295)-N(R295))</f>
        <v/>
      </c>
      <c r="U295" s="24" t="n"/>
      <c r="V295" s="22" t="n"/>
    </row>
    <row r="296">
      <c r="B296" s="13">
        <f>IF($C296="","",COUNTA($C$9:$C296))</f>
        <v/>
      </c>
      <c r="C296" s="21" t="n"/>
      <c r="D296" s="14" t="n"/>
      <c r="E296" s="14" t="n"/>
      <c r="F296" s="14" t="n"/>
      <c r="G296" s="22" t="n"/>
      <c r="H296" s="22" t="n"/>
      <c r="I296" s="22" t="n"/>
      <c r="J296" s="22" t="n"/>
      <c r="K296" s="22" t="n"/>
      <c r="L296" s="22" t="n"/>
      <c r="M296" s="22" t="n"/>
      <c r="N296" s="22" t="n"/>
      <c r="O296" s="23">
        <f>IF($C296="","",N(L296)-N(M296))</f>
        <v/>
      </c>
      <c r="P296" s="24" t="n"/>
      <c r="Q296" s="23">
        <f>IF($C296="","",N(M296)+N(N296))</f>
        <v/>
      </c>
      <c r="R296" s="23">
        <f>IF($C296="","",N(J296)+N(Q296))</f>
        <v/>
      </c>
      <c r="S296" s="25">
        <f>IF(OR($C296="",N($G296)=0),"",R296/$G296)</f>
        <v/>
      </c>
      <c r="T296" s="23">
        <f>IF($C296="","",N($G296)-N(R296))</f>
        <v/>
      </c>
      <c r="U296" s="24" t="n"/>
      <c r="V296" s="22" t="n"/>
    </row>
    <row r="297">
      <c r="B297" s="13">
        <f>IF($C297="","",COUNTA($C$9:$C297))</f>
        <v/>
      </c>
      <c r="C297" s="21" t="n"/>
      <c r="D297" s="14" t="n"/>
      <c r="E297" s="14" t="n"/>
      <c r="F297" s="14" t="n"/>
      <c r="G297" s="22" t="n"/>
      <c r="H297" s="22" t="n"/>
      <c r="I297" s="22" t="n"/>
      <c r="J297" s="22" t="n"/>
      <c r="K297" s="22" t="n"/>
      <c r="L297" s="22" t="n"/>
      <c r="M297" s="22" t="n"/>
      <c r="N297" s="22" t="n"/>
      <c r="O297" s="23">
        <f>IF($C297="","",N(L297)-N(M297))</f>
        <v/>
      </c>
      <c r="P297" s="24" t="n"/>
      <c r="Q297" s="23">
        <f>IF($C297="","",N(M297)+N(N297))</f>
        <v/>
      </c>
      <c r="R297" s="23">
        <f>IF($C297="","",N(J297)+N(Q297))</f>
        <v/>
      </c>
      <c r="S297" s="25">
        <f>IF(OR($C297="",N($G297)=0),"",R297/$G297)</f>
        <v/>
      </c>
      <c r="T297" s="23">
        <f>IF($C297="","",N($G297)-N(R297))</f>
        <v/>
      </c>
      <c r="U297" s="24" t="n"/>
      <c r="V297" s="22" t="n"/>
    </row>
    <row r="298">
      <c r="B298" s="13">
        <f>IF($C298="","",COUNTA($C$9:$C298))</f>
        <v/>
      </c>
      <c r="C298" s="21" t="n"/>
      <c r="D298" s="14" t="n"/>
      <c r="E298" s="14" t="n"/>
      <c r="F298" s="14" t="n"/>
      <c r="G298" s="22" t="n"/>
      <c r="H298" s="22" t="n"/>
      <c r="I298" s="22" t="n"/>
      <c r="J298" s="22" t="n"/>
      <c r="K298" s="22" t="n"/>
      <c r="L298" s="22" t="n"/>
      <c r="M298" s="22" t="n"/>
      <c r="N298" s="22" t="n"/>
      <c r="O298" s="23">
        <f>IF($C298="","",N(L298)-N(M298))</f>
        <v/>
      </c>
      <c r="P298" s="24" t="n"/>
      <c r="Q298" s="23">
        <f>IF($C298="","",N(M298)+N(N298))</f>
        <v/>
      </c>
      <c r="R298" s="23">
        <f>IF($C298="","",N(J298)+N(Q298))</f>
        <v/>
      </c>
      <c r="S298" s="25">
        <f>IF(OR($C298="",N($G298)=0),"",R298/$G298)</f>
        <v/>
      </c>
      <c r="T298" s="23">
        <f>IF($C298="","",N($G298)-N(R298))</f>
        <v/>
      </c>
      <c r="U298" s="24" t="n"/>
      <c r="V298" s="22" t="n"/>
    </row>
    <row r="299">
      <c r="B299" s="13">
        <f>IF($C299="","",COUNTA($C$9:$C299))</f>
        <v/>
      </c>
      <c r="C299" s="21" t="n"/>
      <c r="D299" s="14" t="n"/>
      <c r="E299" s="14" t="n"/>
      <c r="F299" s="14" t="n"/>
      <c r="G299" s="22" t="n"/>
      <c r="H299" s="22" t="n"/>
      <c r="I299" s="22" t="n"/>
      <c r="J299" s="22" t="n"/>
      <c r="K299" s="22" t="n"/>
      <c r="L299" s="22" t="n"/>
      <c r="M299" s="22" t="n"/>
      <c r="N299" s="22" t="n"/>
      <c r="O299" s="23">
        <f>IF($C299="","",N(L299)-N(M299))</f>
        <v/>
      </c>
      <c r="P299" s="24" t="n"/>
      <c r="Q299" s="23">
        <f>IF($C299="","",N(M299)+N(N299))</f>
        <v/>
      </c>
      <c r="R299" s="23">
        <f>IF($C299="","",N(J299)+N(Q299))</f>
        <v/>
      </c>
      <c r="S299" s="25">
        <f>IF(OR($C299="",N($G299)=0),"",R299/$G299)</f>
        <v/>
      </c>
      <c r="T299" s="23">
        <f>IF($C299="","",N($G299)-N(R299))</f>
        <v/>
      </c>
      <c r="U299" s="24" t="n"/>
      <c r="V299" s="22" t="n"/>
    </row>
    <row r="300">
      <c r="B300" s="13">
        <f>IF($C300="","",COUNTA($C$9:$C300))</f>
        <v/>
      </c>
      <c r="C300" s="21" t="n"/>
      <c r="D300" s="14" t="n"/>
      <c r="E300" s="14" t="n"/>
      <c r="F300" s="14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3">
        <f>IF($C300="","",N(L300)-N(M300))</f>
        <v/>
      </c>
      <c r="P300" s="24" t="n"/>
      <c r="Q300" s="23">
        <f>IF($C300="","",N(M300)+N(N300))</f>
        <v/>
      </c>
      <c r="R300" s="23">
        <f>IF($C300="","",N(J300)+N(Q300))</f>
        <v/>
      </c>
      <c r="S300" s="25">
        <f>IF(OR($C300="",N($G300)=0),"",R300/$G300)</f>
        <v/>
      </c>
      <c r="T300" s="23">
        <f>IF($C300="","",N($G300)-N(R300))</f>
        <v/>
      </c>
      <c r="U300" s="24" t="n"/>
      <c r="V300" s="22" t="n"/>
    </row>
    <row r="301">
      <c r="B301" s="13">
        <f>IF($C301="","",COUNTA($C$9:$C301))</f>
        <v/>
      </c>
      <c r="C301" s="21" t="n"/>
      <c r="D301" s="14" t="n"/>
      <c r="E301" s="14" t="n"/>
      <c r="F301" s="14" t="n"/>
      <c r="G301" s="22" t="n"/>
      <c r="H301" s="22" t="n"/>
      <c r="I301" s="22" t="n"/>
      <c r="J301" s="22" t="n"/>
      <c r="K301" s="22" t="n"/>
      <c r="L301" s="22" t="n"/>
      <c r="M301" s="22" t="n"/>
      <c r="N301" s="22" t="n"/>
      <c r="O301" s="23">
        <f>IF($C301="","",N(L301)-N(M301))</f>
        <v/>
      </c>
      <c r="P301" s="24" t="n"/>
      <c r="Q301" s="23">
        <f>IF($C301="","",N(M301)+N(N301))</f>
        <v/>
      </c>
      <c r="R301" s="23">
        <f>IF($C301="","",N(J301)+N(Q301))</f>
        <v/>
      </c>
      <c r="S301" s="25">
        <f>IF(OR($C301="",N($G301)=0),"",R301/$G301)</f>
        <v/>
      </c>
      <c r="T301" s="23">
        <f>IF($C301="","",N($G301)-N(R301))</f>
        <v/>
      </c>
      <c r="U301" s="24" t="n"/>
      <c r="V301" s="22" t="n"/>
    </row>
    <row r="302">
      <c r="B302" s="13">
        <f>IF($C302="","",COUNTA($C$9:$C302))</f>
        <v/>
      </c>
      <c r="C302" s="21" t="n"/>
      <c r="D302" s="14" t="n"/>
      <c r="E302" s="14" t="n"/>
      <c r="F302" s="14" t="n"/>
      <c r="G302" s="22" t="n"/>
      <c r="H302" s="22" t="n"/>
      <c r="I302" s="22" t="n"/>
      <c r="J302" s="22" t="n"/>
      <c r="K302" s="22" t="n"/>
      <c r="L302" s="22" t="n"/>
      <c r="M302" s="22" t="n"/>
      <c r="N302" s="22" t="n"/>
      <c r="O302" s="23">
        <f>IF($C302="","",N(L302)-N(M302))</f>
        <v/>
      </c>
      <c r="P302" s="24" t="n"/>
      <c r="Q302" s="23">
        <f>IF($C302="","",N(M302)+N(N302))</f>
        <v/>
      </c>
      <c r="R302" s="23">
        <f>IF($C302="","",N(J302)+N(Q302))</f>
        <v/>
      </c>
      <c r="S302" s="25">
        <f>IF(OR($C302="",N($G302)=0),"",R302/$G302)</f>
        <v/>
      </c>
      <c r="T302" s="23">
        <f>IF($C302="","",N($G302)-N(R302))</f>
        <v/>
      </c>
      <c r="U302" s="24" t="n"/>
      <c r="V302" s="22" t="n"/>
    </row>
    <row r="303">
      <c r="B303" s="13">
        <f>IF($C303="","",COUNTA($C$9:$C303))</f>
        <v/>
      </c>
      <c r="C303" s="21" t="n"/>
      <c r="D303" s="14" t="n"/>
      <c r="E303" s="14" t="n"/>
      <c r="F303" s="14" t="n"/>
      <c r="G303" s="22" t="n"/>
      <c r="H303" s="22" t="n"/>
      <c r="I303" s="22" t="n"/>
      <c r="J303" s="22" t="n"/>
      <c r="K303" s="22" t="n"/>
      <c r="L303" s="22" t="n"/>
      <c r="M303" s="22" t="n"/>
      <c r="N303" s="22" t="n"/>
      <c r="O303" s="23">
        <f>IF($C303="","",N(L303)-N(M303))</f>
        <v/>
      </c>
      <c r="P303" s="24" t="n"/>
      <c r="Q303" s="23">
        <f>IF($C303="","",N(M303)+N(N303))</f>
        <v/>
      </c>
      <c r="R303" s="23">
        <f>IF($C303="","",N(J303)+N(Q303))</f>
        <v/>
      </c>
      <c r="S303" s="25">
        <f>IF(OR($C303="",N($G303)=0),"",R303/$G303)</f>
        <v/>
      </c>
      <c r="T303" s="23">
        <f>IF($C303="","",N($G303)-N(R303))</f>
        <v/>
      </c>
      <c r="U303" s="24" t="n"/>
      <c r="V303" s="22" t="n"/>
    </row>
    <row r="304">
      <c r="B304" s="13">
        <f>IF($C304="","",COUNTA($C$9:$C304))</f>
        <v/>
      </c>
      <c r="C304" s="21" t="n"/>
      <c r="D304" s="14" t="n"/>
      <c r="E304" s="14" t="n"/>
      <c r="F304" s="14" t="n"/>
      <c r="G304" s="22" t="n"/>
      <c r="H304" s="22" t="n"/>
      <c r="I304" s="22" t="n"/>
      <c r="J304" s="22" t="n"/>
      <c r="K304" s="22" t="n"/>
      <c r="L304" s="22" t="n"/>
      <c r="M304" s="22" t="n"/>
      <c r="N304" s="22" t="n"/>
      <c r="O304" s="23">
        <f>IF($C304="","",N(L304)-N(M304))</f>
        <v/>
      </c>
      <c r="P304" s="24" t="n"/>
      <c r="Q304" s="23">
        <f>IF($C304="","",N(M304)+N(N304))</f>
        <v/>
      </c>
      <c r="R304" s="23">
        <f>IF($C304="","",N(J304)+N(Q304))</f>
        <v/>
      </c>
      <c r="S304" s="25">
        <f>IF(OR($C304="",N($G304)=0),"",R304/$G304)</f>
        <v/>
      </c>
      <c r="T304" s="23">
        <f>IF($C304="","",N($G304)-N(R304))</f>
        <v/>
      </c>
      <c r="U304" s="24" t="n"/>
      <c r="V304" s="22" t="n"/>
    </row>
    <row r="305">
      <c r="B305" s="13">
        <f>IF($C305="","",COUNTA($C$9:$C305))</f>
        <v/>
      </c>
      <c r="C305" s="21" t="n"/>
      <c r="D305" s="14" t="n"/>
      <c r="E305" s="14" t="n"/>
      <c r="F305" s="14" t="n"/>
      <c r="G305" s="22" t="n"/>
      <c r="H305" s="22" t="n"/>
      <c r="I305" s="22" t="n"/>
      <c r="J305" s="22" t="n"/>
      <c r="K305" s="22" t="n"/>
      <c r="L305" s="22" t="n"/>
      <c r="M305" s="22" t="n"/>
      <c r="N305" s="22" t="n"/>
      <c r="O305" s="23">
        <f>IF($C305="","",N(L305)-N(M305))</f>
        <v/>
      </c>
      <c r="P305" s="24" t="n"/>
      <c r="Q305" s="23">
        <f>IF($C305="","",N(M305)+N(N305))</f>
        <v/>
      </c>
      <c r="R305" s="23">
        <f>IF($C305="","",N(J305)+N(Q305))</f>
        <v/>
      </c>
      <c r="S305" s="25">
        <f>IF(OR($C305="",N($G305)=0),"",R305/$G305)</f>
        <v/>
      </c>
      <c r="T305" s="23">
        <f>IF($C305="","",N($G305)-N(R305))</f>
        <v/>
      </c>
      <c r="U305" s="24" t="n"/>
      <c r="V305" s="22" t="n"/>
    </row>
    <row r="306">
      <c r="B306" s="13">
        <f>IF($C306="","",COUNTA($C$9:$C306))</f>
        <v/>
      </c>
      <c r="C306" s="21" t="n"/>
      <c r="D306" s="14" t="n"/>
      <c r="E306" s="14" t="n"/>
      <c r="F306" s="14" t="n"/>
      <c r="G306" s="22" t="n"/>
      <c r="H306" s="22" t="n"/>
      <c r="I306" s="22" t="n"/>
      <c r="J306" s="22" t="n"/>
      <c r="K306" s="22" t="n"/>
      <c r="L306" s="22" t="n"/>
      <c r="M306" s="22" t="n"/>
      <c r="N306" s="22" t="n"/>
      <c r="O306" s="23">
        <f>IF($C306="","",N(L306)-N(M306))</f>
        <v/>
      </c>
      <c r="P306" s="24" t="n"/>
      <c r="Q306" s="23">
        <f>IF($C306="","",N(M306)+N(N306))</f>
        <v/>
      </c>
      <c r="R306" s="23">
        <f>IF($C306="","",N(J306)+N(Q306))</f>
        <v/>
      </c>
      <c r="S306" s="25">
        <f>IF(OR($C306="",N($G306)=0),"",R306/$G306)</f>
        <v/>
      </c>
      <c r="T306" s="23">
        <f>IF($C306="","",N($G306)-N(R306))</f>
        <v/>
      </c>
      <c r="U306" s="24" t="n"/>
      <c r="V306" s="22" t="n"/>
    </row>
    <row r="307">
      <c r="B307" s="13">
        <f>IF($C307="","",COUNTA($C$9:$C307))</f>
        <v/>
      </c>
      <c r="C307" s="21" t="n"/>
      <c r="D307" s="14" t="n"/>
      <c r="E307" s="14" t="n"/>
      <c r="F307" s="14" t="n"/>
      <c r="G307" s="22" t="n"/>
      <c r="H307" s="22" t="n"/>
      <c r="I307" s="22" t="n"/>
      <c r="J307" s="22" t="n"/>
      <c r="K307" s="22" t="n"/>
      <c r="L307" s="22" t="n"/>
      <c r="M307" s="22" t="n"/>
      <c r="N307" s="22" t="n"/>
      <c r="O307" s="23">
        <f>IF($C307="","",N(L307)-N(M307))</f>
        <v/>
      </c>
      <c r="P307" s="24" t="n"/>
      <c r="Q307" s="23">
        <f>IF($C307="","",N(M307)+N(N307))</f>
        <v/>
      </c>
      <c r="R307" s="23">
        <f>IF($C307="","",N(J307)+N(Q307))</f>
        <v/>
      </c>
      <c r="S307" s="25">
        <f>IF(OR($C307="",N($G307)=0),"",R307/$G307)</f>
        <v/>
      </c>
      <c r="T307" s="23">
        <f>IF($C307="","",N($G307)-N(R307))</f>
        <v/>
      </c>
      <c r="U307" s="24" t="n"/>
      <c r="V307" s="22" t="n"/>
    </row>
    <row r="308">
      <c r="B308" s="13">
        <f>IF($C308="","",COUNTA($C$9:$C308))</f>
        <v/>
      </c>
      <c r="C308" s="21" t="n"/>
      <c r="D308" s="14" t="n"/>
      <c r="E308" s="14" t="n"/>
      <c r="F308" s="14" t="n"/>
      <c r="G308" s="22" t="n"/>
      <c r="H308" s="22" t="n"/>
      <c r="I308" s="22" t="n"/>
      <c r="J308" s="22" t="n"/>
      <c r="K308" s="22" t="n"/>
      <c r="L308" s="22" t="n"/>
      <c r="M308" s="22" t="n"/>
      <c r="N308" s="22" t="n"/>
      <c r="O308" s="23">
        <f>IF($C308="","",N(L308)-N(M308))</f>
        <v/>
      </c>
      <c r="P308" s="24" t="n"/>
      <c r="Q308" s="23">
        <f>IF($C308="","",N(M308)+N(N308))</f>
        <v/>
      </c>
      <c r="R308" s="23">
        <f>IF($C308="","",N(J308)+N(Q308))</f>
        <v/>
      </c>
      <c r="S308" s="25">
        <f>IF(OR($C308="",N($G308)=0),"",R308/$G308)</f>
        <v/>
      </c>
      <c r="T308" s="23">
        <f>IF($C308="","",N($G308)-N(R308))</f>
        <v/>
      </c>
      <c r="U308" s="24" t="n"/>
      <c r="V308" s="22" t="n"/>
    </row>
    <row r="309">
      <c r="B309" s="13">
        <f>IF($C309="","",COUNTA($C$9:$C309))</f>
        <v/>
      </c>
      <c r="C309" s="21" t="n"/>
      <c r="D309" s="14" t="n"/>
      <c r="E309" s="14" t="n"/>
      <c r="F309" s="14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3">
        <f>IF($C309="","",N(L309)-N(M309))</f>
        <v/>
      </c>
      <c r="P309" s="24" t="n"/>
      <c r="Q309" s="23">
        <f>IF($C309="","",N(M309)+N(N309))</f>
        <v/>
      </c>
      <c r="R309" s="23">
        <f>IF($C309="","",N(J309)+N(Q309))</f>
        <v/>
      </c>
      <c r="S309" s="25">
        <f>IF(OR($C309="",N($G309)=0),"",R309/$G309)</f>
        <v/>
      </c>
      <c r="T309" s="23">
        <f>IF($C309="","",N($G309)-N(R309))</f>
        <v/>
      </c>
      <c r="U309" s="24" t="n"/>
      <c r="V309" s="22" t="n"/>
    </row>
    <row r="310">
      <c r="B310" s="13">
        <f>IF($C310="","",COUNTA($C$9:$C310))</f>
        <v/>
      </c>
      <c r="C310" s="21" t="n"/>
      <c r="D310" s="14" t="n"/>
      <c r="E310" s="14" t="n"/>
      <c r="F310" s="14" t="n"/>
      <c r="G310" s="22" t="n"/>
      <c r="H310" s="22" t="n"/>
      <c r="I310" s="22" t="n"/>
      <c r="J310" s="22" t="n"/>
      <c r="K310" s="22" t="n"/>
      <c r="L310" s="22" t="n"/>
      <c r="M310" s="22" t="n"/>
      <c r="N310" s="22" t="n"/>
      <c r="O310" s="23">
        <f>IF($C310="","",N(L310)-N(M310))</f>
        <v/>
      </c>
      <c r="P310" s="24" t="n"/>
      <c r="Q310" s="23">
        <f>IF($C310="","",N(M310)+N(N310))</f>
        <v/>
      </c>
      <c r="R310" s="23">
        <f>IF($C310="","",N(J310)+N(Q310))</f>
        <v/>
      </c>
      <c r="S310" s="25">
        <f>IF(OR($C310="",N($G310)=0),"",R310/$G310)</f>
        <v/>
      </c>
      <c r="T310" s="23">
        <f>IF($C310="","",N($G310)-N(R310))</f>
        <v/>
      </c>
      <c r="U310" s="24" t="n"/>
      <c r="V310" s="22" t="n"/>
    </row>
    <row r="311">
      <c r="B311" s="13">
        <f>IF($C311="","",COUNTA($C$9:$C311))</f>
        <v/>
      </c>
      <c r="C311" s="21" t="n"/>
      <c r="D311" s="14" t="n"/>
      <c r="E311" s="14" t="n"/>
      <c r="F311" s="14" t="n"/>
      <c r="G311" s="22" t="n"/>
      <c r="H311" s="22" t="n"/>
      <c r="I311" s="22" t="n"/>
      <c r="J311" s="22" t="n"/>
      <c r="K311" s="22" t="n"/>
      <c r="L311" s="22" t="n"/>
      <c r="M311" s="22" t="n"/>
      <c r="N311" s="22" t="n"/>
      <c r="O311" s="23">
        <f>IF($C311="","",N(L311)-N(M311))</f>
        <v/>
      </c>
      <c r="P311" s="24" t="n"/>
      <c r="Q311" s="23">
        <f>IF($C311="","",N(M311)+N(N311))</f>
        <v/>
      </c>
      <c r="R311" s="23">
        <f>IF($C311="","",N(J311)+N(Q311))</f>
        <v/>
      </c>
      <c r="S311" s="25">
        <f>IF(OR($C311="",N($G311)=0),"",R311/$G311)</f>
        <v/>
      </c>
      <c r="T311" s="23">
        <f>IF($C311="","",N($G311)-N(R311))</f>
        <v/>
      </c>
      <c r="U311" s="24" t="n"/>
      <c r="V311" s="22" t="n"/>
    </row>
    <row r="312">
      <c r="B312" s="13">
        <f>IF($C312="","",COUNTA($C$9:$C312))</f>
        <v/>
      </c>
      <c r="C312" s="21" t="n"/>
      <c r="D312" s="14" t="n"/>
      <c r="E312" s="14" t="n"/>
      <c r="F312" s="14" t="n"/>
      <c r="G312" s="22" t="n"/>
      <c r="H312" s="22" t="n"/>
      <c r="I312" s="22" t="n"/>
      <c r="J312" s="22" t="n"/>
      <c r="K312" s="22" t="n"/>
      <c r="L312" s="22" t="n"/>
      <c r="M312" s="22" t="n"/>
      <c r="N312" s="22" t="n"/>
      <c r="O312" s="23">
        <f>IF($C312="","",N(L312)-N(M312))</f>
        <v/>
      </c>
      <c r="P312" s="24" t="n"/>
      <c r="Q312" s="23">
        <f>IF($C312="","",N(M312)+N(N312))</f>
        <v/>
      </c>
      <c r="R312" s="23">
        <f>IF($C312="","",N(J312)+N(Q312))</f>
        <v/>
      </c>
      <c r="S312" s="25">
        <f>IF(OR($C312="",N($G312)=0),"",R312/$G312)</f>
        <v/>
      </c>
      <c r="T312" s="23">
        <f>IF($C312="","",N($G312)-N(R312))</f>
        <v/>
      </c>
      <c r="U312" s="24" t="n"/>
      <c r="V312" s="22" t="n"/>
    </row>
    <row r="313">
      <c r="B313" s="13">
        <f>IF($C313="","",COUNTA($C$9:$C313))</f>
        <v/>
      </c>
      <c r="C313" s="21" t="n"/>
      <c r="D313" s="14" t="n"/>
      <c r="E313" s="14" t="n"/>
      <c r="F313" s="14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3">
        <f>IF($C313="","",N(L313)-N(M313))</f>
        <v/>
      </c>
      <c r="P313" s="24" t="n"/>
      <c r="Q313" s="23">
        <f>IF($C313="","",N(M313)+N(N313))</f>
        <v/>
      </c>
      <c r="R313" s="23">
        <f>IF($C313="","",N(J313)+N(Q313))</f>
        <v/>
      </c>
      <c r="S313" s="25">
        <f>IF(OR($C313="",N($G313)=0),"",R313/$G313)</f>
        <v/>
      </c>
      <c r="T313" s="23">
        <f>IF($C313="","",N($G313)-N(R313))</f>
        <v/>
      </c>
      <c r="U313" s="24" t="n"/>
      <c r="V313" s="22" t="n"/>
    </row>
    <row r="314">
      <c r="B314" s="13">
        <f>IF($C314="","",COUNTA($C$9:$C314))</f>
        <v/>
      </c>
      <c r="C314" s="21" t="n"/>
      <c r="D314" s="14" t="n"/>
      <c r="E314" s="14" t="n"/>
      <c r="F314" s="14" t="n"/>
      <c r="G314" s="22" t="n"/>
      <c r="H314" s="22" t="n"/>
      <c r="I314" s="22" t="n"/>
      <c r="J314" s="22" t="n"/>
      <c r="K314" s="22" t="n"/>
      <c r="L314" s="22" t="n"/>
      <c r="M314" s="22" t="n"/>
      <c r="N314" s="22" t="n"/>
      <c r="O314" s="23">
        <f>IF($C314="","",N(L314)-N(M314))</f>
        <v/>
      </c>
      <c r="P314" s="24" t="n"/>
      <c r="Q314" s="23">
        <f>IF($C314="","",N(M314)+N(N314))</f>
        <v/>
      </c>
      <c r="R314" s="23">
        <f>IF($C314="","",N(J314)+N(Q314))</f>
        <v/>
      </c>
      <c r="S314" s="25">
        <f>IF(OR($C314="",N($G314)=0),"",R314/$G314)</f>
        <v/>
      </c>
      <c r="T314" s="23">
        <f>IF($C314="","",N($G314)-N(R314))</f>
        <v/>
      </c>
      <c r="U314" s="24" t="n"/>
      <c r="V314" s="22" t="n"/>
    </row>
    <row r="315">
      <c r="B315" s="13">
        <f>IF($C315="","",COUNTA($C$9:$C315))</f>
        <v/>
      </c>
      <c r="C315" s="21" t="n"/>
      <c r="D315" s="14" t="n"/>
      <c r="E315" s="14" t="n"/>
      <c r="F315" s="14" t="n"/>
      <c r="G315" s="22" t="n"/>
      <c r="H315" s="22" t="n"/>
      <c r="I315" s="22" t="n"/>
      <c r="J315" s="22" t="n"/>
      <c r="K315" s="22" t="n"/>
      <c r="L315" s="22" t="n"/>
      <c r="M315" s="22" t="n"/>
      <c r="N315" s="22" t="n"/>
      <c r="O315" s="23">
        <f>IF($C315="","",N(L315)-N(M315))</f>
        <v/>
      </c>
      <c r="P315" s="24" t="n"/>
      <c r="Q315" s="23">
        <f>IF($C315="","",N(M315)+N(N315))</f>
        <v/>
      </c>
      <c r="R315" s="23">
        <f>IF($C315="","",N(J315)+N(Q315))</f>
        <v/>
      </c>
      <c r="S315" s="25">
        <f>IF(OR($C315="",N($G315)=0),"",R315/$G315)</f>
        <v/>
      </c>
      <c r="T315" s="23">
        <f>IF($C315="","",N($G315)-N(R315))</f>
        <v/>
      </c>
      <c r="U315" s="24" t="n"/>
      <c r="V315" s="22" t="n"/>
    </row>
    <row r="316">
      <c r="B316" s="13">
        <f>IF($C316="","",COUNTA($C$9:$C316))</f>
        <v/>
      </c>
      <c r="C316" s="21" t="n"/>
      <c r="D316" s="14" t="n"/>
      <c r="E316" s="14" t="n"/>
      <c r="F316" s="14" t="n"/>
      <c r="G316" s="22" t="n"/>
      <c r="H316" s="22" t="n"/>
      <c r="I316" s="22" t="n"/>
      <c r="J316" s="22" t="n"/>
      <c r="K316" s="22" t="n"/>
      <c r="L316" s="22" t="n"/>
      <c r="M316" s="22" t="n"/>
      <c r="N316" s="22" t="n"/>
      <c r="O316" s="23">
        <f>IF($C316="","",N(L316)-N(M316))</f>
        <v/>
      </c>
      <c r="P316" s="24" t="n"/>
      <c r="Q316" s="23">
        <f>IF($C316="","",N(M316)+N(N316))</f>
        <v/>
      </c>
      <c r="R316" s="23">
        <f>IF($C316="","",N(J316)+N(Q316))</f>
        <v/>
      </c>
      <c r="S316" s="25">
        <f>IF(OR($C316="",N($G316)=0),"",R316/$G316)</f>
        <v/>
      </c>
      <c r="T316" s="23">
        <f>IF($C316="","",N($G316)-N(R316))</f>
        <v/>
      </c>
      <c r="U316" s="24" t="n"/>
      <c r="V316" s="22" t="n"/>
    </row>
    <row r="317">
      <c r="B317" s="13">
        <f>IF($C317="","",COUNTA($C$9:$C317))</f>
        <v/>
      </c>
      <c r="C317" s="21" t="n"/>
      <c r="D317" s="14" t="n"/>
      <c r="E317" s="14" t="n"/>
      <c r="F317" s="14" t="n"/>
      <c r="G317" s="22" t="n"/>
      <c r="H317" s="22" t="n"/>
      <c r="I317" s="22" t="n"/>
      <c r="J317" s="22" t="n"/>
      <c r="K317" s="22" t="n"/>
      <c r="L317" s="22" t="n"/>
      <c r="M317" s="22" t="n"/>
      <c r="N317" s="22" t="n"/>
      <c r="O317" s="23">
        <f>IF($C317="","",N(L317)-N(M317))</f>
        <v/>
      </c>
      <c r="P317" s="24" t="n"/>
      <c r="Q317" s="23">
        <f>IF($C317="","",N(M317)+N(N317))</f>
        <v/>
      </c>
      <c r="R317" s="23">
        <f>IF($C317="","",N(J317)+N(Q317))</f>
        <v/>
      </c>
      <c r="S317" s="25">
        <f>IF(OR($C317="",N($G317)=0),"",R317/$G317)</f>
        <v/>
      </c>
      <c r="T317" s="23">
        <f>IF($C317="","",N($G317)-N(R317))</f>
        <v/>
      </c>
      <c r="U317" s="24" t="n"/>
      <c r="V317" s="22" t="n"/>
    </row>
    <row r="318">
      <c r="B318" s="13">
        <f>IF($C318="","",COUNTA($C$9:$C318))</f>
        <v/>
      </c>
      <c r="C318" s="21" t="n"/>
      <c r="D318" s="14" t="n"/>
      <c r="E318" s="14" t="n"/>
      <c r="F318" s="14" t="n"/>
      <c r="G318" s="22" t="n"/>
      <c r="H318" s="22" t="n"/>
      <c r="I318" s="22" t="n"/>
      <c r="J318" s="22" t="n"/>
      <c r="K318" s="22" t="n"/>
      <c r="L318" s="22" t="n"/>
      <c r="M318" s="22" t="n"/>
      <c r="N318" s="22" t="n"/>
      <c r="O318" s="23">
        <f>IF($C318="","",N(L318)-N(M318))</f>
        <v/>
      </c>
      <c r="P318" s="24" t="n"/>
      <c r="Q318" s="23">
        <f>IF($C318="","",N(M318)+N(N318))</f>
        <v/>
      </c>
      <c r="R318" s="23">
        <f>IF($C318="","",N(J318)+N(Q318))</f>
        <v/>
      </c>
      <c r="S318" s="25">
        <f>IF(OR($C318="",N($G318)=0),"",R318/$G318)</f>
        <v/>
      </c>
      <c r="T318" s="23">
        <f>IF($C318="","",N($G318)-N(R318))</f>
        <v/>
      </c>
      <c r="U318" s="24" t="n"/>
      <c r="V318" s="22" t="n"/>
    </row>
    <row r="319">
      <c r="B319" s="13">
        <f>IF($C319="","",COUNTA($C$9:$C319))</f>
        <v/>
      </c>
      <c r="C319" s="21" t="n"/>
      <c r="D319" s="14" t="n"/>
      <c r="E319" s="14" t="n"/>
      <c r="F319" s="14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3">
        <f>IF($C319="","",N(L319)-N(M319))</f>
        <v/>
      </c>
      <c r="P319" s="24" t="n"/>
      <c r="Q319" s="23">
        <f>IF($C319="","",N(M319)+N(N319))</f>
        <v/>
      </c>
      <c r="R319" s="23">
        <f>IF($C319="","",N(J319)+N(Q319))</f>
        <v/>
      </c>
      <c r="S319" s="25">
        <f>IF(OR($C319="",N($G319)=0),"",R319/$G319)</f>
        <v/>
      </c>
      <c r="T319" s="23">
        <f>IF($C319="","",N($G319)-N(R319))</f>
        <v/>
      </c>
      <c r="U319" s="24" t="n"/>
      <c r="V319" s="22" t="n"/>
    </row>
    <row r="320">
      <c r="B320" s="13">
        <f>IF($C320="","",COUNTA($C$9:$C320))</f>
        <v/>
      </c>
      <c r="C320" s="21" t="n"/>
      <c r="D320" s="14" t="n"/>
      <c r="E320" s="14" t="n"/>
      <c r="F320" s="14" t="n"/>
      <c r="G320" s="22" t="n"/>
      <c r="H320" s="22" t="n"/>
      <c r="I320" s="22" t="n"/>
      <c r="J320" s="22" t="n"/>
      <c r="K320" s="22" t="n"/>
      <c r="L320" s="22" t="n"/>
      <c r="M320" s="22" t="n"/>
      <c r="N320" s="22" t="n"/>
      <c r="O320" s="23">
        <f>IF($C320="","",N(L320)-N(M320))</f>
        <v/>
      </c>
      <c r="P320" s="24" t="n"/>
      <c r="Q320" s="23">
        <f>IF($C320="","",N(M320)+N(N320))</f>
        <v/>
      </c>
      <c r="R320" s="23">
        <f>IF($C320="","",N(J320)+N(Q320))</f>
        <v/>
      </c>
      <c r="S320" s="25">
        <f>IF(OR($C320="",N($G320)=0),"",R320/$G320)</f>
        <v/>
      </c>
      <c r="T320" s="23">
        <f>IF($C320="","",N($G320)-N(R320))</f>
        <v/>
      </c>
      <c r="U320" s="24" t="n"/>
      <c r="V320" s="22" t="n"/>
    </row>
    <row r="321">
      <c r="B321" s="13">
        <f>IF($C321="","",COUNTA($C$9:$C321))</f>
        <v/>
      </c>
      <c r="C321" s="21" t="n"/>
      <c r="D321" s="14" t="n"/>
      <c r="E321" s="14" t="n"/>
      <c r="F321" s="14" t="n"/>
      <c r="G321" s="22" t="n"/>
      <c r="H321" s="22" t="n"/>
      <c r="I321" s="22" t="n"/>
      <c r="J321" s="22" t="n"/>
      <c r="K321" s="22" t="n"/>
      <c r="L321" s="22" t="n"/>
      <c r="M321" s="22" t="n"/>
      <c r="N321" s="22" t="n"/>
      <c r="O321" s="23">
        <f>IF($C321="","",N(L321)-N(M321))</f>
        <v/>
      </c>
      <c r="P321" s="24" t="n"/>
      <c r="Q321" s="23">
        <f>IF($C321="","",N(M321)+N(N321))</f>
        <v/>
      </c>
      <c r="R321" s="23">
        <f>IF($C321="","",N(J321)+N(Q321))</f>
        <v/>
      </c>
      <c r="S321" s="25">
        <f>IF(OR($C321="",N($G321)=0),"",R321/$G321)</f>
        <v/>
      </c>
      <c r="T321" s="23">
        <f>IF($C321="","",N($G321)-N(R321))</f>
        <v/>
      </c>
      <c r="U321" s="24" t="n"/>
      <c r="V321" s="22" t="n"/>
    </row>
    <row r="322">
      <c r="B322" s="13">
        <f>IF($C322="","",COUNTA($C$9:$C322))</f>
        <v/>
      </c>
      <c r="C322" s="21" t="n"/>
      <c r="D322" s="14" t="n"/>
      <c r="E322" s="14" t="n"/>
      <c r="F322" s="14" t="n"/>
      <c r="G322" s="22" t="n"/>
      <c r="H322" s="22" t="n"/>
      <c r="I322" s="22" t="n"/>
      <c r="J322" s="22" t="n"/>
      <c r="K322" s="22" t="n"/>
      <c r="L322" s="22" t="n"/>
      <c r="M322" s="22" t="n"/>
      <c r="N322" s="22" t="n"/>
      <c r="O322" s="23">
        <f>IF($C322="","",N(L322)-N(M322))</f>
        <v/>
      </c>
      <c r="P322" s="24" t="n"/>
      <c r="Q322" s="23">
        <f>IF($C322="","",N(M322)+N(N322))</f>
        <v/>
      </c>
      <c r="R322" s="23">
        <f>IF($C322="","",N(J322)+N(Q322))</f>
        <v/>
      </c>
      <c r="S322" s="25">
        <f>IF(OR($C322="",N($G322)=0),"",R322/$G322)</f>
        <v/>
      </c>
      <c r="T322" s="23">
        <f>IF($C322="","",N($G322)-N(R322))</f>
        <v/>
      </c>
      <c r="U322" s="24" t="n"/>
      <c r="V322" s="22" t="n"/>
    </row>
    <row r="323">
      <c r="B323" s="13">
        <f>IF($C323="","",COUNTA($C$9:$C323))</f>
        <v/>
      </c>
      <c r="C323" s="21" t="n"/>
      <c r="D323" s="14" t="n"/>
      <c r="E323" s="14" t="n"/>
      <c r="F323" s="14" t="n"/>
      <c r="G323" s="22" t="n"/>
      <c r="H323" s="22" t="n"/>
      <c r="I323" s="22" t="n"/>
      <c r="J323" s="22" t="n"/>
      <c r="K323" s="22" t="n"/>
      <c r="L323" s="22" t="n"/>
      <c r="M323" s="22" t="n"/>
      <c r="N323" s="22" t="n"/>
      <c r="O323" s="23">
        <f>IF($C323="","",N(L323)-N(M323))</f>
        <v/>
      </c>
      <c r="P323" s="24" t="n"/>
      <c r="Q323" s="23">
        <f>IF($C323="","",N(M323)+N(N323))</f>
        <v/>
      </c>
      <c r="R323" s="23">
        <f>IF($C323="","",N(J323)+N(Q323))</f>
        <v/>
      </c>
      <c r="S323" s="25">
        <f>IF(OR($C323="",N($G323)=0),"",R323/$G323)</f>
        <v/>
      </c>
      <c r="T323" s="23">
        <f>IF($C323="","",N($G323)-N(R323))</f>
        <v/>
      </c>
      <c r="U323" s="24" t="n"/>
      <c r="V323" s="22" t="n"/>
    </row>
    <row r="324">
      <c r="B324" s="13">
        <f>IF($C324="","",COUNTA($C$9:$C324))</f>
        <v/>
      </c>
      <c r="C324" s="21" t="n"/>
      <c r="D324" s="14" t="n"/>
      <c r="E324" s="14" t="n"/>
      <c r="F324" s="14" t="n"/>
      <c r="G324" s="22" t="n"/>
      <c r="H324" s="22" t="n"/>
      <c r="I324" s="22" t="n"/>
      <c r="J324" s="22" t="n"/>
      <c r="K324" s="22" t="n"/>
      <c r="L324" s="22" t="n"/>
      <c r="M324" s="22" t="n"/>
      <c r="N324" s="22" t="n"/>
      <c r="O324" s="23">
        <f>IF($C324="","",N(L324)-N(M324))</f>
        <v/>
      </c>
      <c r="P324" s="24" t="n"/>
      <c r="Q324" s="23">
        <f>IF($C324="","",N(M324)+N(N324))</f>
        <v/>
      </c>
      <c r="R324" s="23">
        <f>IF($C324="","",N(J324)+N(Q324))</f>
        <v/>
      </c>
      <c r="S324" s="25">
        <f>IF(OR($C324="",N($G324)=0),"",R324/$G324)</f>
        <v/>
      </c>
      <c r="T324" s="23">
        <f>IF($C324="","",N($G324)-N(R324))</f>
        <v/>
      </c>
      <c r="U324" s="24" t="n"/>
      <c r="V324" s="22" t="n"/>
    </row>
    <row r="325">
      <c r="B325" s="13">
        <f>IF($C325="","",COUNTA($C$9:$C325))</f>
        <v/>
      </c>
      <c r="C325" s="21" t="n"/>
      <c r="D325" s="14" t="n"/>
      <c r="E325" s="14" t="n"/>
      <c r="F325" s="14" t="n"/>
      <c r="G325" s="22" t="n"/>
      <c r="H325" s="22" t="n"/>
      <c r="I325" s="22" t="n"/>
      <c r="J325" s="22" t="n"/>
      <c r="K325" s="22" t="n"/>
      <c r="L325" s="22" t="n"/>
      <c r="M325" s="22" t="n"/>
      <c r="N325" s="22" t="n"/>
      <c r="O325" s="23">
        <f>IF($C325="","",N(L325)-N(M325))</f>
        <v/>
      </c>
      <c r="P325" s="24" t="n"/>
      <c r="Q325" s="23">
        <f>IF($C325="","",N(M325)+N(N325))</f>
        <v/>
      </c>
      <c r="R325" s="23">
        <f>IF($C325="","",N(J325)+N(Q325))</f>
        <v/>
      </c>
      <c r="S325" s="25">
        <f>IF(OR($C325="",N($G325)=0),"",R325/$G325)</f>
        <v/>
      </c>
      <c r="T325" s="23">
        <f>IF($C325="","",N($G325)-N(R325))</f>
        <v/>
      </c>
      <c r="U325" s="24" t="n"/>
      <c r="V325" s="22" t="n"/>
    </row>
    <row r="326">
      <c r="B326" s="13">
        <f>IF($C326="","",COUNTA($C$9:$C326))</f>
        <v/>
      </c>
      <c r="C326" s="21" t="n"/>
      <c r="D326" s="14" t="n"/>
      <c r="E326" s="14" t="n"/>
      <c r="F326" s="14" t="n"/>
      <c r="G326" s="22" t="n"/>
      <c r="H326" s="22" t="n"/>
      <c r="I326" s="22" t="n"/>
      <c r="J326" s="22" t="n"/>
      <c r="K326" s="22" t="n"/>
      <c r="L326" s="22" t="n"/>
      <c r="M326" s="22" t="n"/>
      <c r="N326" s="22" t="n"/>
      <c r="O326" s="23">
        <f>IF($C326="","",N(L326)-N(M326))</f>
        <v/>
      </c>
      <c r="P326" s="24" t="n"/>
      <c r="Q326" s="23">
        <f>IF($C326="","",N(M326)+N(N326))</f>
        <v/>
      </c>
      <c r="R326" s="23">
        <f>IF($C326="","",N(J326)+N(Q326))</f>
        <v/>
      </c>
      <c r="S326" s="25">
        <f>IF(OR($C326="",N($G326)=0),"",R326/$G326)</f>
        <v/>
      </c>
      <c r="T326" s="23">
        <f>IF($C326="","",N($G326)-N(R326))</f>
        <v/>
      </c>
      <c r="U326" s="24" t="n"/>
      <c r="V326" s="22" t="n"/>
    </row>
    <row r="327">
      <c r="B327" s="13">
        <f>IF($C327="","",COUNTA($C$9:$C327))</f>
        <v/>
      </c>
      <c r="C327" s="21" t="n"/>
      <c r="D327" s="14" t="n"/>
      <c r="E327" s="14" t="n"/>
      <c r="F327" s="14" t="n"/>
      <c r="G327" s="22" t="n"/>
      <c r="H327" s="22" t="n"/>
      <c r="I327" s="22" t="n"/>
      <c r="J327" s="22" t="n"/>
      <c r="K327" s="22" t="n"/>
      <c r="L327" s="22" t="n"/>
      <c r="M327" s="22" t="n"/>
      <c r="N327" s="22" t="n"/>
      <c r="O327" s="23">
        <f>IF($C327="","",N(L327)-N(M327))</f>
        <v/>
      </c>
      <c r="P327" s="24" t="n"/>
      <c r="Q327" s="23">
        <f>IF($C327="","",N(M327)+N(N327))</f>
        <v/>
      </c>
      <c r="R327" s="23">
        <f>IF($C327="","",N(J327)+N(Q327))</f>
        <v/>
      </c>
      <c r="S327" s="25">
        <f>IF(OR($C327="",N($G327)=0),"",R327/$G327)</f>
        <v/>
      </c>
      <c r="T327" s="23">
        <f>IF($C327="","",N($G327)-N(R327))</f>
        <v/>
      </c>
      <c r="U327" s="24" t="n"/>
      <c r="V327" s="22" t="n"/>
    </row>
    <row r="328">
      <c r="B328" s="13">
        <f>IF($C328="","",COUNTA($C$9:$C328))</f>
        <v/>
      </c>
      <c r="C328" s="21" t="n"/>
      <c r="D328" s="14" t="n"/>
      <c r="E328" s="14" t="n"/>
      <c r="F328" s="14" t="n"/>
      <c r="G328" s="22" t="n"/>
      <c r="H328" s="22" t="n"/>
      <c r="I328" s="22" t="n"/>
      <c r="J328" s="22" t="n"/>
      <c r="K328" s="22" t="n"/>
      <c r="L328" s="22" t="n"/>
      <c r="M328" s="22" t="n"/>
      <c r="N328" s="22" t="n"/>
      <c r="O328" s="23">
        <f>IF($C328="","",N(L328)-N(M328))</f>
        <v/>
      </c>
      <c r="P328" s="24" t="n"/>
      <c r="Q328" s="23">
        <f>IF($C328="","",N(M328)+N(N328))</f>
        <v/>
      </c>
      <c r="R328" s="23">
        <f>IF($C328="","",N(J328)+N(Q328))</f>
        <v/>
      </c>
      <c r="S328" s="25">
        <f>IF(OR($C328="",N($G328)=0),"",R328/$G328)</f>
        <v/>
      </c>
      <c r="T328" s="23">
        <f>IF($C328="","",N($G328)-N(R328))</f>
        <v/>
      </c>
      <c r="U328" s="24" t="n"/>
      <c r="V328" s="22" t="n"/>
    </row>
    <row r="329">
      <c r="B329" s="13">
        <f>IF($C329="","",COUNTA($C$9:$C329))</f>
        <v/>
      </c>
      <c r="C329" s="21" t="n"/>
      <c r="D329" s="14" t="n"/>
      <c r="E329" s="14" t="n"/>
      <c r="F329" s="14" t="n"/>
      <c r="G329" s="22" t="n"/>
      <c r="H329" s="22" t="n"/>
      <c r="I329" s="22" t="n"/>
      <c r="J329" s="22" t="n"/>
      <c r="K329" s="22" t="n"/>
      <c r="L329" s="22" t="n"/>
      <c r="M329" s="22" t="n"/>
      <c r="N329" s="22" t="n"/>
      <c r="O329" s="23">
        <f>IF($C329="","",N(L329)-N(M329))</f>
        <v/>
      </c>
      <c r="P329" s="24" t="n"/>
      <c r="Q329" s="23">
        <f>IF($C329="","",N(M329)+N(N329))</f>
        <v/>
      </c>
      <c r="R329" s="23">
        <f>IF($C329="","",N(J329)+N(Q329))</f>
        <v/>
      </c>
      <c r="S329" s="25">
        <f>IF(OR($C329="",N($G329)=0),"",R329/$G329)</f>
        <v/>
      </c>
      <c r="T329" s="23">
        <f>IF($C329="","",N($G329)-N(R329))</f>
        <v/>
      </c>
      <c r="U329" s="24" t="n"/>
      <c r="V329" s="22" t="n"/>
    </row>
    <row r="330">
      <c r="B330" s="13">
        <f>IF($C330="","",COUNTA($C$9:$C330))</f>
        <v/>
      </c>
      <c r="C330" s="21" t="n"/>
      <c r="D330" s="14" t="n"/>
      <c r="E330" s="14" t="n"/>
      <c r="F330" s="14" t="n"/>
      <c r="G330" s="22" t="n"/>
      <c r="H330" s="22" t="n"/>
      <c r="I330" s="22" t="n"/>
      <c r="J330" s="22" t="n"/>
      <c r="K330" s="22" t="n"/>
      <c r="L330" s="22" t="n"/>
      <c r="M330" s="22" t="n"/>
      <c r="N330" s="22" t="n"/>
      <c r="O330" s="23">
        <f>IF($C330="","",N(L330)-N(M330))</f>
        <v/>
      </c>
      <c r="P330" s="24" t="n"/>
      <c r="Q330" s="23">
        <f>IF($C330="","",N(M330)+N(N330))</f>
        <v/>
      </c>
      <c r="R330" s="23">
        <f>IF($C330="","",N(J330)+N(Q330))</f>
        <v/>
      </c>
      <c r="S330" s="25">
        <f>IF(OR($C330="",N($G330)=0),"",R330/$G330)</f>
        <v/>
      </c>
      <c r="T330" s="23">
        <f>IF($C330="","",N($G330)-N(R330))</f>
        <v/>
      </c>
      <c r="U330" s="24" t="n"/>
      <c r="V330" s="22" t="n"/>
    </row>
    <row r="331">
      <c r="B331" s="13">
        <f>IF($C331="","",COUNTA($C$9:$C331))</f>
        <v/>
      </c>
      <c r="C331" s="21" t="n"/>
      <c r="D331" s="14" t="n"/>
      <c r="E331" s="14" t="n"/>
      <c r="F331" s="14" t="n"/>
      <c r="G331" s="22" t="n"/>
      <c r="H331" s="22" t="n"/>
      <c r="I331" s="22" t="n"/>
      <c r="J331" s="22" t="n"/>
      <c r="K331" s="22" t="n"/>
      <c r="L331" s="22" t="n"/>
      <c r="M331" s="22" t="n"/>
      <c r="N331" s="22" t="n"/>
      <c r="O331" s="23">
        <f>IF($C331="","",N(L331)-N(M331))</f>
        <v/>
      </c>
      <c r="P331" s="24" t="n"/>
      <c r="Q331" s="23">
        <f>IF($C331="","",N(M331)+N(N331))</f>
        <v/>
      </c>
      <c r="R331" s="23">
        <f>IF($C331="","",N(J331)+N(Q331))</f>
        <v/>
      </c>
      <c r="S331" s="25">
        <f>IF(OR($C331="",N($G331)=0),"",R331/$G331)</f>
        <v/>
      </c>
      <c r="T331" s="23">
        <f>IF($C331="","",N($G331)-N(R331))</f>
        <v/>
      </c>
      <c r="U331" s="24" t="n"/>
      <c r="V331" s="22" t="n"/>
    </row>
    <row r="332">
      <c r="B332" s="13">
        <f>IF($C332="","",COUNTA($C$9:$C332))</f>
        <v/>
      </c>
      <c r="C332" s="21" t="n"/>
      <c r="D332" s="14" t="n"/>
      <c r="E332" s="14" t="n"/>
      <c r="F332" s="14" t="n"/>
      <c r="G332" s="22" t="n"/>
      <c r="H332" s="22" t="n"/>
      <c r="I332" s="22" t="n"/>
      <c r="J332" s="22" t="n"/>
      <c r="K332" s="22" t="n"/>
      <c r="L332" s="22" t="n"/>
      <c r="M332" s="22" t="n"/>
      <c r="N332" s="22" t="n"/>
      <c r="O332" s="23">
        <f>IF($C332="","",N(L332)-N(M332))</f>
        <v/>
      </c>
      <c r="P332" s="24" t="n"/>
      <c r="Q332" s="23">
        <f>IF($C332="","",N(M332)+N(N332))</f>
        <v/>
      </c>
      <c r="R332" s="23">
        <f>IF($C332="","",N(J332)+N(Q332))</f>
        <v/>
      </c>
      <c r="S332" s="25">
        <f>IF(OR($C332="",N($G332)=0),"",R332/$G332)</f>
        <v/>
      </c>
      <c r="T332" s="23">
        <f>IF($C332="","",N($G332)-N(R332))</f>
        <v/>
      </c>
      <c r="U332" s="24" t="n"/>
      <c r="V332" s="22" t="n"/>
    </row>
    <row r="333">
      <c r="B333" s="13">
        <f>IF($C333="","",COUNTA($C$9:$C333))</f>
        <v/>
      </c>
      <c r="C333" s="21" t="n"/>
      <c r="D333" s="14" t="n"/>
      <c r="E333" s="14" t="n"/>
      <c r="F333" s="14" t="n"/>
      <c r="G333" s="22" t="n"/>
      <c r="H333" s="22" t="n"/>
      <c r="I333" s="22" t="n"/>
      <c r="J333" s="22" t="n"/>
      <c r="K333" s="22" t="n"/>
      <c r="L333" s="22" t="n"/>
      <c r="M333" s="22" t="n"/>
      <c r="N333" s="22" t="n"/>
      <c r="O333" s="23">
        <f>IF($C333="","",N(L333)-N(M333))</f>
        <v/>
      </c>
      <c r="P333" s="24" t="n"/>
      <c r="Q333" s="23">
        <f>IF($C333="","",N(M333)+N(N333))</f>
        <v/>
      </c>
      <c r="R333" s="23">
        <f>IF($C333="","",N(J333)+N(Q333))</f>
        <v/>
      </c>
      <c r="S333" s="25">
        <f>IF(OR($C333="",N($G333)=0),"",R333/$G333)</f>
        <v/>
      </c>
      <c r="T333" s="23">
        <f>IF($C333="","",N($G333)-N(R333))</f>
        <v/>
      </c>
      <c r="U333" s="24" t="n"/>
      <c r="V333" s="22" t="n"/>
    </row>
    <row r="334">
      <c r="B334" s="13">
        <f>IF($C334="","",COUNTA($C$9:$C334))</f>
        <v/>
      </c>
      <c r="C334" s="21" t="n"/>
      <c r="D334" s="14" t="n"/>
      <c r="E334" s="14" t="n"/>
      <c r="F334" s="14" t="n"/>
      <c r="G334" s="22" t="n"/>
      <c r="H334" s="22" t="n"/>
      <c r="I334" s="22" t="n"/>
      <c r="J334" s="22" t="n"/>
      <c r="K334" s="22" t="n"/>
      <c r="L334" s="22" t="n"/>
      <c r="M334" s="22" t="n"/>
      <c r="N334" s="22" t="n"/>
      <c r="O334" s="23">
        <f>IF($C334="","",N(L334)-N(M334))</f>
        <v/>
      </c>
      <c r="P334" s="24" t="n"/>
      <c r="Q334" s="23">
        <f>IF($C334="","",N(M334)+N(N334))</f>
        <v/>
      </c>
      <c r="R334" s="23">
        <f>IF($C334="","",N(J334)+N(Q334))</f>
        <v/>
      </c>
      <c r="S334" s="25">
        <f>IF(OR($C334="",N($G334)=0),"",R334/$G334)</f>
        <v/>
      </c>
      <c r="T334" s="23">
        <f>IF($C334="","",N($G334)-N(R334))</f>
        <v/>
      </c>
      <c r="U334" s="24" t="n"/>
      <c r="V334" s="22" t="n"/>
    </row>
    <row r="335">
      <c r="B335" s="13">
        <f>IF($C335="","",COUNTA($C$9:$C335))</f>
        <v/>
      </c>
      <c r="C335" s="21" t="n"/>
      <c r="D335" s="14" t="n"/>
      <c r="E335" s="14" t="n"/>
      <c r="F335" s="14" t="n"/>
      <c r="G335" s="22" t="n"/>
      <c r="H335" s="22" t="n"/>
      <c r="I335" s="22" t="n"/>
      <c r="J335" s="22" t="n"/>
      <c r="K335" s="22" t="n"/>
      <c r="L335" s="22" t="n"/>
      <c r="M335" s="22" t="n"/>
      <c r="N335" s="22" t="n"/>
      <c r="O335" s="23">
        <f>IF($C335="","",N(L335)-N(M335))</f>
        <v/>
      </c>
      <c r="P335" s="24" t="n"/>
      <c r="Q335" s="23">
        <f>IF($C335="","",N(M335)+N(N335))</f>
        <v/>
      </c>
      <c r="R335" s="23">
        <f>IF($C335="","",N(J335)+N(Q335))</f>
        <v/>
      </c>
      <c r="S335" s="25">
        <f>IF(OR($C335="",N($G335)=0),"",R335/$G335)</f>
        <v/>
      </c>
      <c r="T335" s="23">
        <f>IF($C335="","",N($G335)-N(R335))</f>
        <v/>
      </c>
      <c r="U335" s="24" t="n"/>
      <c r="V335" s="22" t="n"/>
    </row>
    <row r="336">
      <c r="B336" s="13">
        <f>IF($C336="","",COUNTA($C$9:$C336))</f>
        <v/>
      </c>
      <c r="C336" s="21" t="n"/>
      <c r="D336" s="14" t="n"/>
      <c r="E336" s="14" t="n"/>
      <c r="F336" s="14" t="n"/>
      <c r="G336" s="22" t="n"/>
      <c r="H336" s="22" t="n"/>
      <c r="I336" s="22" t="n"/>
      <c r="J336" s="22" t="n"/>
      <c r="K336" s="22" t="n"/>
      <c r="L336" s="22" t="n"/>
      <c r="M336" s="22" t="n"/>
      <c r="N336" s="22" t="n"/>
      <c r="O336" s="23">
        <f>IF($C336="","",N(L336)-N(M336))</f>
        <v/>
      </c>
      <c r="P336" s="24" t="n"/>
      <c r="Q336" s="23">
        <f>IF($C336="","",N(M336)+N(N336))</f>
        <v/>
      </c>
      <c r="R336" s="23">
        <f>IF($C336="","",N(J336)+N(Q336))</f>
        <v/>
      </c>
      <c r="S336" s="25">
        <f>IF(OR($C336="",N($G336)=0),"",R336/$G336)</f>
        <v/>
      </c>
      <c r="T336" s="23">
        <f>IF($C336="","",N($G336)-N(R336))</f>
        <v/>
      </c>
      <c r="U336" s="24" t="n"/>
      <c r="V336" s="22" t="n"/>
    </row>
    <row r="337">
      <c r="B337" s="13">
        <f>IF($C337="","",COUNTA($C$9:$C337))</f>
        <v/>
      </c>
      <c r="C337" s="21" t="n"/>
      <c r="D337" s="14" t="n"/>
      <c r="E337" s="14" t="n"/>
      <c r="F337" s="14" t="n"/>
      <c r="G337" s="22" t="n"/>
      <c r="H337" s="22" t="n"/>
      <c r="I337" s="22" t="n"/>
      <c r="J337" s="22" t="n"/>
      <c r="K337" s="22" t="n"/>
      <c r="L337" s="22" t="n"/>
      <c r="M337" s="22" t="n"/>
      <c r="N337" s="22" t="n"/>
      <c r="O337" s="23">
        <f>IF($C337="","",N(L337)-N(M337))</f>
        <v/>
      </c>
      <c r="P337" s="24" t="n"/>
      <c r="Q337" s="23">
        <f>IF($C337="","",N(M337)+N(N337))</f>
        <v/>
      </c>
      <c r="R337" s="23">
        <f>IF($C337="","",N(J337)+N(Q337))</f>
        <v/>
      </c>
      <c r="S337" s="25">
        <f>IF(OR($C337="",N($G337)=0),"",R337/$G337)</f>
        <v/>
      </c>
      <c r="T337" s="23">
        <f>IF($C337="","",N($G337)-N(R337))</f>
        <v/>
      </c>
      <c r="U337" s="24" t="n"/>
      <c r="V337" s="22" t="n"/>
    </row>
    <row r="338">
      <c r="B338" s="13">
        <f>IF($C338="","",COUNTA($C$9:$C338))</f>
        <v/>
      </c>
      <c r="C338" s="21" t="n"/>
      <c r="D338" s="14" t="n"/>
      <c r="E338" s="14" t="n"/>
      <c r="F338" s="14" t="n"/>
      <c r="G338" s="22" t="n"/>
      <c r="H338" s="22" t="n"/>
      <c r="I338" s="22" t="n"/>
      <c r="J338" s="22" t="n"/>
      <c r="K338" s="22" t="n"/>
      <c r="L338" s="22" t="n"/>
      <c r="M338" s="22" t="n"/>
      <c r="N338" s="22" t="n"/>
      <c r="O338" s="23">
        <f>IF($C338="","",N(L338)-N(M338))</f>
        <v/>
      </c>
      <c r="P338" s="24" t="n"/>
      <c r="Q338" s="23">
        <f>IF($C338="","",N(M338)+N(N338))</f>
        <v/>
      </c>
      <c r="R338" s="23">
        <f>IF($C338="","",N(J338)+N(Q338))</f>
        <v/>
      </c>
      <c r="S338" s="25">
        <f>IF(OR($C338="",N($G338)=0),"",R338/$G338)</f>
        <v/>
      </c>
      <c r="T338" s="23">
        <f>IF($C338="","",N($G338)-N(R338))</f>
        <v/>
      </c>
      <c r="U338" s="24" t="n"/>
      <c r="V338" s="22" t="n"/>
    </row>
    <row r="339">
      <c r="B339" s="13">
        <f>IF($C339="","",COUNTA($C$9:$C339))</f>
        <v/>
      </c>
      <c r="C339" s="21" t="n"/>
      <c r="D339" s="14" t="n"/>
      <c r="E339" s="14" t="n"/>
      <c r="F339" s="14" t="n"/>
      <c r="G339" s="22" t="n"/>
      <c r="H339" s="22" t="n"/>
      <c r="I339" s="22" t="n"/>
      <c r="J339" s="22" t="n"/>
      <c r="K339" s="22" t="n"/>
      <c r="L339" s="22" t="n"/>
      <c r="M339" s="22" t="n"/>
      <c r="N339" s="22" t="n"/>
      <c r="O339" s="23">
        <f>IF($C339="","",N(L339)-N(M339))</f>
        <v/>
      </c>
      <c r="P339" s="24" t="n"/>
      <c r="Q339" s="23">
        <f>IF($C339="","",N(M339)+N(N339))</f>
        <v/>
      </c>
      <c r="R339" s="23">
        <f>IF($C339="","",N(J339)+N(Q339))</f>
        <v/>
      </c>
      <c r="S339" s="25">
        <f>IF(OR($C339="",N($G339)=0),"",R339/$G339)</f>
        <v/>
      </c>
      <c r="T339" s="23">
        <f>IF($C339="","",N($G339)-N(R339))</f>
        <v/>
      </c>
      <c r="U339" s="24" t="n"/>
      <c r="V339" s="22" t="n"/>
    </row>
    <row r="340">
      <c r="B340" s="13">
        <f>IF($C340="","",COUNTA($C$9:$C340))</f>
        <v/>
      </c>
      <c r="C340" s="21" t="n"/>
      <c r="D340" s="14" t="n"/>
      <c r="E340" s="14" t="n"/>
      <c r="F340" s="14" t="n"/>
      <c r="G340" s="22" t="n"/>
      <c r="H340" s="22" t="n"/>
      <c r="I340" s="22" t="n"/>
      <c r="J340" s="22" t="n"/>
      <c r="K340" s="22" t="n"/>
      <c r="L340" s="22" t="n"/>
      <c r="M340" s="22" t="n"/>
      <c r="N340" s="22" t="n"/>
      <c r="O340" s="23">
        <f>IF($C340="","",N(L340)-N(M340))</f>
        <v/>
      </c>
      <c r="P340" s="24" t="n"/>
      <c r="Q340" s="23">
        <f>IF($C340="","",N(M340)+N(N340))</f>
        <v/>
      </c>
      <c r="R340" s="23">
        <f>IF($C340="","",N(J340)+N(Q340))</f>
        <v/>
      </c>
      <c r="S340" s="25">
        <f>IF(OR($C340="",N($G340)=0),"",R340/$G340)</f>
        <v/>
      </c>
      <c r="T340" s="23">
        <f>IF($C340="","",N($G340)-N(R340))</f>
        <v/>
      </c>
      <c r="U340" s="24" t="n"/>
      <c r="V340" s="22" t="n"/>
    </row>
    <row r="341">
      <c r="B341" s="13">
        <f>IF($C341="","",COUNTA($C$9:$C341))</f>
        <v/>
      </c>
      <c r="C341" s="21" t="n"/>
      <c r="D341" s="14" t="n"/>
      <c r="E341" s="14" t="n"/>
      <c r="F341" s="14" t="n"/>
      <c r="G341" s="22" t="n"/>
      <c r="H341" s="22" t="n"/>
      <c r="I341" s="22" t="n"/>
      <c r="J341" s="22" t="n"/>
      <c r="K341" s="22" t="n"/>
      <c r="L341" s="22" t="n"/>
      <c r="M341" s="22" t="n"/>
      <c r="N341" s="22" t="n"/>
      <c r="O341" s="23">
        <f>IF($C341="","",N(L341)-N(M341))</f>
        <v/>
      </c>
      <c r="P341" s="24" t="n"/>
      <c r="Q341" s="23">
        <f>IF($C341="","",N(M341)+N(N341))</f>
        <v/>
      </c>
      <c r="R341" s="23">
        <f>IF($C341="","",N(J341)+N(Q341))</f>
        <v/>
      </c>
      <c r="S341" s="25">
        <f>IF(OR($C341="",N($G341)=0),"",R341/$G341)</f>
        <v/>
      </c>
      <c r="T341" s="23">
        <f>IF($C341="","",N($G341)-N(R341))</f>
        <v/>
      </c>
      <c r="U341" s="24" t="n"/>
      <c r="V341" s="22" t="n"/>
    </row>
    <row r="342">
      <c r="B342" s="13">
        <f>IF($C342="","",COUNTA($C$9:$C342))</f>
        <v/>
      </c>
      <c r="C342" s="21" t="n"/>
      <c r="D342" s="14" t="n"/>
      <c r="E342" s="14" t="n"/>
      <c r="F342" s="14" t="n"/>
      <c r="G342" s="22" t="n"/>
      <c r="H342" s="22" t="n"/>
      <c r="I342" s="22" t="n"/>
      <c r="J342" s="22" t="n"/>
      <c r="K342" s="22" t="n"/>
      <c r="L342" s="22" t="n"/>
      <c r="M342" s="22" t="n"/>
      <c r="N342" s="22" t="n"/>
      <c r="O342" s="23">
        <f>IF($C342="","",N(L342)-N(M342))</f>
        <v/>
      </c>
      <c r="P342" s="24" t="n"/>
      <c r="Q342" s="23">
        <f>IF($C342="","",N(M342)+N(N342))</f>
        <v/>
      </c>
      <c r="R342" s="23">
        <f>IF($C342="","",N(J342)+N(Q342))</f>
        <v/>
      </c>
      <c r="S342" s="25">
        <f>IF(OR($C342="",N($G342)=0),"",R342/$G342)</f>
        <v/>
      </c>
      <c r="T342" s="23">
        <f>IF($C342="","",N($G342)-N(R342))</f>
        <v/>
      </c>
      <c r="U342" s="24" t="n"/>
      <c r="V342" s="22" t="n"/>
    </row>
    <row r="343">
      <c r="B343" s="13">
        <f>IF($C343="","",COUNTA($C$9:$C343))</f>
        <v/>
      </c>
      <c r="C343" s="21" t="n"/>
      <c r="D343" s="14" t="n"/>
      <c r="E343" s="14" t="n"/>
      <c r="F343" s="14" t="n"/>
      <c r="G343" s="22" t="n"/>
      <c r="H343" s="22" t="n"/>
      <c r="I343" s="22" t="n"/>
      <c r="J343" s="22" t="n"/>
      <c r="K343" s="22" t="n"/>
      <c r="L343" s="22" t="n"/>
      <c r="M343" s="22" t="n"/>
      <c r="N343" s="22" t="n"/>
      <c r="O343" s="23">
        <f>IF($C343="","",N(L343)-N(M343))</f>
        <v/>
      </c>
      <c r="P343" s="24" t="n"/>
      <c r="Q343" s="23">
        <f>IF($C343="","",N(M343)+N(N343))</f>
        <v/>
      </c>
      <c r="R343" s="23">
        <f>IF($C343="","",N(J343)+N(Q343))</f>
        <v/>
      </c>
      <c r="S343" s="25">
        <f>IF(OR($C343="",N($G343)=0),"",R343/$G343)</f>
        <v/>
      </c>
      <c r="T343" s="23">
        <f>IF($C343="","",N($G343)-N(R343))</f>
        <v/>
      </c>
      <c r="U343" s="24" t="n"/>
      <c r="V343" s="22" t="n"/>
    </row>
    <row r="344">
      <c r="B344" s="13">
        <f>IF($C344="","",COUNTA($C$9:$C344))</f>
        <v/>
      </c>
      <c r="C344" s="21" t="n"/>
      <c r="D344" s="14" t="n"/>
      <c r="E344" s="14" t="n"/>
      <c r="F344" s="14" t="n"/>
      <c r="G344" s="22" t="n"/>
      <c r="H344" s="22" t="n"/>
      <c r="I344" s="22" t="n"/>
      <c r="J344" s="22" t="n"/>
      <c r="K344" s="22" t="n"/>
      <c r="L344" s="22" t="n"/>
      <c r="M344" s="22" t="n"/>
      <c r="N344" s="22" t="n"/>
      <c r="O344" s="23">
        <f>IF($C344="","",N(L344)-N(M344))</f>
        <v/>
      </c>
      <c r="P344" s="24" t="n"/>
      <c r="Q344" s="23">
        <f>IF($C344="","",N(M344)+N(N344))</f>
        <v/>
      </c>
      <c r="R344" s="23">
        <f>IF($C344="","",N(J344)+N(Q344))</f>
        <v/>
      </c>
      <c r="S344" s="25">
        <f>IF(OR($C344="",N($G344)=0),"",R344/$G344)</f>
        <v/>
      </c>
      <c r="T344" s="23">
        <f>IF($C344="","",N($G344)-N(R344))</f>
        <v/>
      </c>
      <c r="U344" s="24" t="n"/>
      <c r="V344" s="22" t="n"/>
    </row>
    <row r="345">
      <c r="B345" s="13">
        <f>IF($C345="","",COUNTA($C$9:$C345))</f>
        <v/>
      </c>
      <c r="C345" s="21" t="n"/>
      <c r="D345" s="14" t="n"/>
      <c r="E345" s="14" t="n"/>
      <c r="F345" s="14" t="n"/>
      <c r="G345" s="22" t="n"/>
      <c r="H345" s="22" t="n"/>
      <c r="I345" s="22" t="n"/>
      <c r="J345" s="22" t="n"/>
      <c r="K345" s="22" t="n"/>
      <c r="L345" s="22" t="n"/>
      <c r="M345" s="22" t="n"/>
      <c r="N345" s="22" t="n"/>
      <c r="O345" s="23">
        <f>IF($C345="","",N(L345)-N(M345))</f>
        <v/>
      </c>
      <c r="P345" s="24" t="n"/>
      <c r="Q345" s="23">
        <f>IF($C345="","",N(M345)+N(N345))</f>
        <v/>
      </c>
      <c r="R345" s="23">
        <f>IF($C345="","",N(J345)+N(Q345))</f>
        <v/>
      </c>
      <c r="S345" s="25">
        <f>IF(OR($C345="",N($G345)=0),"",R345/$G345)</f>
        <v/>
      </c>
      <c r="T345" s="23">
        <f>IF($C345="","",N($G345)-N(R345))</f>
        <v/>
      </c>
      <c r="U345" s="24" t="n"/>
      <c r="V345" s="22" t="n"/>
    </row>
    <row r="346">
      <c r="B346" s="13">
        <f>IF($C346="","",COUNTA($C$9:$C346))</f>
        <v/>
      </c>
      <c r="C346" s="21" t="n"/>
      <c r="D346" s="14" t="n"/>
      <c r="E346" s="14" t="n"/>
      <c r="F346" s="14" t="n"/>
      <c r="G346" s="22" t="n"/>
      <c r="H346" s="22" t="n"/>
      <c r="I346" s="22" t="n"/>
      <c r="J346" s="22" t="n"/>
      <c r="K346" s="22" t="n"/>
      <c r="L346" s="22" t="n"/>
      <c r="M346" s="22" t="n"/>
      <c r="N346" s="22" t="n"/>
      <c r="O346" s="23">
        <f>IF($C346="","",N(L346)-N(M346))</f>
        <v/>
      </c>
      <c r="P346" s="24" t="n"/>
      <c r="Q346" s="23">
        <f>IF($C346="","",N(M346)+N(N346))</f>
        <v/>
      </c>
      <c r="R346" s="23">
        <f>IF($C346="","",N(J346)+N(Q346))</f>
        <v/>
      </c>
      <c r="S346" s="25">
        <f>IF(OR($C346="",N($G346)=0),"",R346/$G346)</f>
        <v/>
      </c>
      <c r="T346" s="23">
        <f>IF($C346="","",N($G346)-N(R346))</f>
        <v/>
      </c>
      <c r="U346" s="24" t="n"/>
      <c r="V346" s="22" t="n"/>
    </row>
    <row r="347">
      <c r="B347" s="13">
        <f>IF($C347="","",COUNTA($C$9:$C347))</f>
        <v/>
      </c>
      <c r="C347" s="21" t="n"/>
      <c r="D347" s="14" t="n"/>
      <c r="E347" s="14" t="n"/>
      <c r="F347" s="14" t="n"/>
      <c r="G347" s="22" t="n"/>
      <c r="H347" s="22" t="n"/>
      <c r="I347" s="22" t="n"/>
      <c r="J347" s="22" t="n"/>
      <c r="K347" s="22" t="n"/>
      <c r="L347" s="22" t="n"/>
      <c r="M347" s="22" t="n"/>
      <c r="N347" s="22" t="n"/>
      <c r="O347" s="23">
        <f>IF($C347="","",N(L347)-N(M347))</f>
        <v/>
      </c>
      <c r="P347" s="24" t="n"/>
      <c r="Q347" s="23">
        <f>IF($C347="","",N(M347)+N(N347))</f>
        <v/>
      </c>
      <c r="R347" s="23">
        <f>IF($C347="","",N(J347)+N(Q347))</f>
        <v/>
      </c>
      <c r="S347" s="25">
        <f>IF(OR($C347="",N($G347)=0),"",R347/$G347)</f>
        <v/>
      </c>
      <c r="T347" s="23">
        <f>IF($C347="","",N($G347)-N(R347))</f>
        <v/>
      </c>
      <c r="U347" s="24" t="n"/>
      <c r="V347" s="22" t="n"/>
    </row>
    <row r="348">
      <c r="B348" s="13">
        <f>IF($C348="","",COUNTA($C$9:$C348))</f>
        <v/>
      </c>
      <c r="C348" s="21" t="n"/>
      <c r="D348" s="14" t="n"/>
      <c r="E348" s="14" t="n"/>
      <c r="F348" s="14" t="n"/>
      <c r="G348" s="22" t="n"/>
      <c r="H348" s="22" t="n"/>
      <c r="I348" s="22" t="n"/>
      <c r="J348" s="22" t="n"/>
      <c r="K348" s="22" t="n"/>
      <c r="L348" s="22" t="n"/>
      <c r="M348" s="22" t="n"/>
      <c r="N348" s="22" t="n"/>
      <c r="O348" s="23">
        <f>IF($C348="","",N(L348)-N(M348))</f>
        <v/>
      </c>
      <c r="P348" s="24" t="n"/>
      <c r="Q348" s="23">
        <f>IF($C348="","",N(M348)+N(N348))</f>
        <v/>
      </c>
      <c r="R348" s="23">
        <f>IF($C348="","",N(J348)+N(Q348))</f>
        <v/>
      </c>
      <c r="S348" s="25">
        <f>IF(OR($C348="",N($G348)=0),"",R348/$G348)</f>
        <v/>
      </c>
      <c r="T348" s="23">
        <f>IF($C348="","",N($G348)-N(R348))</f>
        <v/>
      </c>
      <c r="U348" s="24" t="n"/>
      <c r="V348" s="22" t="n"/>
    </row>
    <row r="349">
      <c r="B349" s="13">
        <f>IF($C349="","",COUNTA($C$9:$C349))</f>
        <v/>
      </c>
      <c r="C349" s="21" t="n"/>
      <c r="D349" s="14" t="n"/>
      <c r="E349" s="14" t="n"/>
      <c r="F349" s="14" t="n"/>
      <c r="G349" s="22" t="n"/>
      <c r="H349" s="22" t="n"/>
      <c r="I349" s="22" t="n"/>
      <c r="J349" s="22" t="n"/>
      <c r="K349" s="22" t="n"/>
      <c r="L349" s="22" t="n"/>
      <c r="M349" s="22" t="n"/>
      <c r="N349" s="22" t="n"/>
      <c r="O349" s="23">
        <f>IF($C349="","",N(L349)-N(M349))</f>
        <v/>
      </c>
      <c r="P349" s="24" t="n"/>
      <c r="Q349" s="23">
        <f>IF($C349="","",N(M349)+N(N349))</f>
        <v/>
      </c>
      <c r="R349" s="23">
        <f>IF($C349="","",N(J349)+N(Q349))</f>
        <v/>
      </c>
      <c r="S349" s="25">
        <f>IF(OR($C349="",N($G349)=0),"",R349/$G349)</f>
        <v/>
      </c>
      <c r="T349" s="23">
        <f>IF($C349="","",N($G349)-N(R349))</f>
        <v/>
      </c>
      <c r="U349" s="24" t="n"/>
      <c r="V349" s="22" t="n"/>
    </row>
    <row r="350">
      <c r="B350" s="13">
        <f>IF($C350="","",COUNTA($C$9:$C350))</f>
        <v/>
      </c>
      <c r="C350" s="21" t="n"/>
      <c r="D350" s="14" t="n"/>
      <c r="E350" s="14" t="n"/>
      <c r="F350" s="14" t="n"/>
      <c r="G350" s="22" t="n"/>
      <c r="H350" s="22" t="n"/>
      <c r="I350" s="22" t="n"/>
      <c r="J350" s="22" t="n"/>
      <c r="K350" s="22" t="n"/>
      <c r="L350" s="22" t="n"/>
      <c r="M350" s="22" t="n"/>
      <c r="N350" s="22" t="n"/>
      <c r="O350" s="23">
        <f>IF($C350="","",N(L350)-N(M350))</f>
        <v/>
      </c>
      <c r="P350" s="24" t="n"/>
      <c r="Q350" s="23">
        <f>IF($C350="","",N(M350)+N(N350))</f>
        <v/>
      </c>
      <c r="R350" s="23">
        <f>IF($C350="","",N(J350)+N(Q350))</f>
        <v/>
      </c>
      <c r="S350" s="25">
        <f>IF(OR($C350="",N($G350)=0),"",R350/$G350)</f>
        <v/>
      </c>
      <c r="T350" s="23">
        <f>IF($C350="","",N($G350)-N(R350))</f>
        <v/>
      </c>
      <c r="U350" s="24" t="n"/>
      <c r="V350" s="22" t="n"/>
    </row>
    <row r="351">
      <c r="B351" s="13">
        <f>IF($C351="","",COUNTA($C$9:$C351))</f>
        <v/>
      </c>
      <c r="C351" s="21" t="n"/>
      <c r="D351" s="14" t="n"/>
      <c r="E351" s="14" t="n"/>
      <c r="F351" s="14" t="n"/>
      <c r="G351" s="22" t="n"/>
      <c r="H351" s="22" t="n"/>
      <c r="I351" s="22" t="n"/>
      <c r="J351" s="22" t="n"/>
      <c r="K351" s="22" t="n"/>
      <c r="L351" s="22" t="n"/>
      <c r="M351" s="22" t="n"/>
      <c r="N351" s="22" t="n"/>
      <c r="O351" s="23">
        <f>IF($C351="","",N(L351)-N(M351))</f>
        <v/>
      </c>
      <c r="P351" s="24" t="n"/>
      <c r="Q351" s="23">
        <f>IF($C351="","",N(M351)+N(N351))</f>
        <v/>
      </c>
      <c r="R351" s="23">
        <f>IF($C351="","",N(J351)+N(Q351))</f>
        <v/>
      </c>
      <c r="S351" s="25">
        <f>IF(OR($C351="",N($G351)=0),"",R351/$G351)</f>
        <v/>
      </c>
      <c r="T351" s="23">
        <f>IF($C351="","",N($G351)-N(R351))</f>
        <v/>
      </c>
      <c r="U351" s="24" t="n"/>
      <c r="V351" s="22" t="n"/>
    </row>
    <row r="352">
      <c r="B352" s="13">
        <f>IF($C352="","",COUNTA($C$9:$C352))</f>
        <v/>
      </c>
      <c r="C352" s="21" t="n"/>
      <c r="D352" s="14" t="n"/>
      <c r="E352" s="14" t="n"/>
      <c r="F352" s="14" t="n"/>
      <c r="G352" s="22" t="n"/>
      <c r="H352" s="22" t="n"/>
      <c r="I352" s="22" t="n"/>
      <c r="J352" s="22" t="n"/>
      <c r="K352" s="22" t="n"/>
      <c r="L352" s="22" t="n"/>
      <c r="M352" s="22" t="n"/>
      <c r="N352" s="22" t="n"/>
      <c r="O352" s="23">
        <f>IF($C352="","",N(L352)-N(M352))</f>
        <v/>
      </c>
      <c r="P352" s="24" t="n"/>
      <c r="Q352" s="23">
        <f>IF($C352="","",N(M352)+N(N352))</f>
        <v/>
      </c>
      <c r="R352" s="23">
        <f>IF($C352="","",N(J352)+N(Q352))</f>
        <v/>
      </c>
      <c r="S352" s="25">
        <f>IF(OR($C352="",N($G352)=0),"",R352/$G352)</f>
        <v/>
      </c>
      <c r="T352" s="23">
        <f>IF($C352="","",N($G352)-N(R352))</f>
        <v/>
      </c>
      <c r="U352" s="24" t="n"/>
      <c r="V352" s="22" t="n"/>
    </row>
    <row r="353">
      <c r="B353" s="13">
        <f>IF($C353="","",COUNTA($C$9:$C353))</f>
        <v/>
      </c>
      <c r="C353" s="21" t="n"/>
      <c r="D353" s="14" t="n"/>
      <c r="E353" s="14" t="n"/>
      <c r="F353" s="14" t="n"/>
      <c r="G353" s="22" t="n"/>
      <c r="H353" s="22" t="n"/>
      <c r="I353" s="22" t="n"/>
      <c r="J353" s="22" t="n"/>
      <c r="K353" s="22" t="n"/>
      <c r="L353" s="22" t="n"/>
      <c r="M353" s="22" t="n"/>
      <c r="N353" s="22" t="n"/>
      <c r="O353" s="23">
        <f>IF($C353="","",N(L353)-N(M353))</f>
        <v/>
      </c>
      <c r="P353" s="24" t="n"/>
      <c r="Q353" s="23">
        <f>IF($C353="","",N(M353)+N(N353))</f>
        <v/>
      </c>
      <c r="R353" s="23">
        <f>IF($C353="","",N(J353)+N(Q353))</f>
        <v/>
      </c>
      <c r="S353" s="25">
        <f>IF(OR($C353="",N($G353)=0),"",R353/$G353)</f>
        <v/>
      </c>
      <c r="T353" s="23">
        <f>IF($C353="","",N($G353)-N(R353))</f>
        <v/>
      </c>
      <c r="U353" s="24" t="n"/>
      <c r="V353" s="22" t="n"/>
    </row>
    <row r="354">
      <c r="B354" s="13">
        <f>IF($C354="","",COUNTA($C$9:$C354))</f>
        <v/>
      </c>
      <c r="C354" s="21" t="n"/>
      <c r="D354" s="14" t="n"/>
      <c r="E354" s="14" t="n"/>
      <c r="F354" s="14" t="n"/>
      <c r="G354" s="22" t="n"/>
      <c r="H354" s="22" t="n"/>
      <c r="I354" s="22" t="n"/>
      <c r="J354" s="22" t="n"/>
      <c r="K354" s="22" t="n"/>
      <c r="L354" s="22" t="n"/>
      <c r="M354" s="22" t="n"/>
      <c r="N354" s="22" t="n"/>
      <c r="O354" s="23">
        <f>IF($C354="","",N(L354)-N(M354))</f>
        <v/>
      </c>
      <c r="P354" s="24" t="n"/>
      <c r="Q354" s="23">
        <f>IF($C354="","",N(M354)+N(N354))</f>
        <v/>
      </c>
      <c r="R354" s="23">
        <f>IF($C354="","",N(J354)+N(Q354))</f>
        <v/>
      </c>
      <c r="S354" s="25">
        <f>IF(OR($C354="",N($G354)=0),"",R354/$G354)</f>
        <v/>
      </c>
      <c r="T354" s="23">
        <f>IF($C354="","",N($G354)-N(R354))</f>
        <v/>
      </c>
      <c r="U354" s="24" t="n"/>
      <c r="V354" s="22" t="n"/>
    </row>
    <row r="355">
      <c r="B355" s="13">
        <f>IF($C355="","",COUNTA($C$9:$C355))</f>
        <v/>
      </c>
      <c r="C355" s="21" t="n"/>
      <c r="D355" s="14" t="n"/>
      <c r="E355" s="14" t="n"/>
      <c r="F355" s="14" t="n"/>
      <c r="G355" s="22" t="n"/>
      <c r="H355" s="22" t="n"/>
      <c r="I355" s="22" t="n"/>
      <c r="J355" s="22" t="n"/>
      <c r="K355" s="22" t="n"/>
      <c r="L355" s="22" t="n"/>
      <c r="M355" s="22" t="n"/>
      <c r="N355" s="22" t="n"/>
      <c r="O355" s="23">
        <f>IF($C355="","",N(L355)-N(M355))</f>
        <v/>
      </c>
      <c r="P355" s="24" t="n"/>
      <c r="Q355" s="23">
        <f>IF($C355="","",N(M355)+N(N355))</f>
        <v/>
      </c>
      <c r="R355" s="23">
        <f>IF($C355="","",N(J355)+N(Q355))</f>
        <v/>
      </c>
      <c r="S355" s="25">
        <f>IF(OR($C355="",N($G355)=0),"",R355/$G355)</f>
        <v/>
      </c>
      <c r="T355" s="23">
        <f>IF($C355="","",N($G355)-N(R355))</f>
        <v/>
      </c>
      <c r="U355" s="24" t="n"/>
      <c r="V355" s="22" t="n"/>
    </row>
    <row r="356">
      <c r="B356" s="13">
        <f>IF($C356="","",COUNTA($C$9:$C356))</f>
        <v/>
      </c>
      <c r="C356" s="21" t="n"/>
      <c r="D356" s="14" t="n"/>
      <c r="E356" s="14" t="n"/>
      <c r="F356" s="14" t="n"/>
      <c r="G356" s="22" t="n"/>
      <c r="H356" s="22" t="n"/>
      <c r="I356" s="22" t="n"/>
      <c r="J356" s="22" t="n"/>
      <c r="K356" s="22" t="n"/>
      <c r="L356" s="22" t="n"/>
      <c r="M356" s="22" t="n"/>
      <c r="N356" s="22" t="n"/>
      <c r="O356" s="23">
        <f>IF($C356="","",N(L356)-N(M356))</f>
        <v/>
      </c>
      <c r="P356" s="24" t="n"/>
      <c r="Q356" s="23">
        <f>IF($C356="","",N(M356)+N(N356))</f>
        <v/>
      </c>
      <c r="R356" s="23">
        <f>IF($C356="","",N(J356)+N(Q356))</f>
        <v/>
      </c>
      <c r="S356" s="25">
        <f>IF(OR($C356="",N($G356)=0),"",R356/$G356)</f>
        <v/>
      </c>
      <c r="T356" s="23">
        <f>IF($C356="","",N($G356)-N(R356))</f>
        <v/>
      </c>
      <c r="U356" s="24" t="n"/>
      <c r="V356" s="22" t="n"/>
    </row>
    <row r="357">
      <c r="B357" s="13">
        <f>IF($C357="","",COUNTA($C$9:$C357))</f>
        <v/>
      </c>
      <c r="C357" s="21" t="n"/>
      <c r="D357" s="14" t="n"/>
      <c r="E357" s="14" t="n"/>
      <c r="F357" s="14" t="n"/>
      <c r="G357" s="22" t="n"/>
      <c r="H357" s="22" t="n"/>
      <c r="I357" s="22" t="n"/>
      <c r="J357" s="22" t="n"/>
      <c r="K357" s="22" t="n"/>
      <c r="L357" s="22" t="n"/>
      <c r="M357" s="22" t="n"/>
      <c r="N357" s="22" t="n"/>
      <c r="O357" s="23">
        <f>IF($C357="","",N(L357)-N(M357))</f>
        <v/>
      </c>
      <c r="P357" s="24" t="n"/>
      <c r="Q357" s="23">
        <f>IF($C357="","",N(M357)+N(N357))</f>
        <v/>
      </c>
      <c r="R357" s="23">
        <f>IF($C357="","",N(J357)+N(Q357))</f>
        <v/>
      </c>
      <c r="S357" s="25">
        <f>IF(OR($C357="",N($G357)=0),"",R357/$G357)</f>
        <v/>
      </c>
      <c r="T357" s="23">
        <f>IF($C357="","",N($G357)-N(R357))</f>
        <v/>
      </c>
      <c r="U357" s="24" t="n"/>
      <c r="V357" s="22" t="n"/>
    </row>
    <row r="358">
      <c r="B358" s="13">
        <f>IF($C358="","",COUNTA($C$9:$C358))</f>
        <v/>
      </c>
      <c r="C358" s="21" t="n"/>
      <c r="D358" s="14" t="n"/>
      <c r="E358" s="14" t="n"/>
      <c r="F358" s="14" t="n"/>
      <c r="G358" s="22" t="n"/>
      <c r="H358" s="22" t="n"/>
      <c r="I358" s="22" t="n"/>
      <c r="J358" s="22" t="n"/>
      <c r="K358" s="22" t="n"/>
      <c r="L358" s="22" t="n"/>
      <c r="M358" s="22" t="n"/>
      <c r="N358" s="22" t="n"/>
      <c r="O358" s="23">
        <f>IF($C358="","",N(L358)-N(M358))</f>
        <v/>
      </c>
      <c r="P358" s="24" t="n"/>
      <c r="Q358" s="23">
        <f>IF($C358="","",N(M358)+N(N358))</f>
        <v/>
      </c>
      <c r="R358" s="23">
        <f>IF($C358="","",N(J358)+N(Q358))</f>
        <v/>
      </c>
      <c r="S358" s="25">
        <f>IF(OR($C358="",N($G358)=0),"",R358/$G358)</f>
        <v/>
      </c>
      <c r="T358" s="23">
        <f>IF($C358="","",N($G358)-N(R358))</f>
        <v/>
      </c>
      <c r="U358" s="24" t="n"/>
      <c r="V358" s="22" t="n"/>
    </row>
    <row r="359">
      <c r="B359" s="13">
        <f>IF($C359="","",COUNTA($C$9:$C359))</f>
        <v/>
      </c>
      <c r="C359" s="21" t="n"/>
      <c r="D359" s="14" t="n"/>
      <c r="E359" s="14" t="n"/>
      <c r="F359" s="14" t="n"/>
      <c r="G359" s="22" t="n"/>
      <c r="H359" s="22" t="n"/>
      <c r="I359" s="22" t="n"/>
      <c r="J359" s="22" t="n"/>
      <c r="K359" s="22" t="n"/>
      <c r="L359" s="22" t="n"/>
      <c r="M359" s="22" t="n"/>
      <c r="N359" s="22" t="n"/>
      <c r="O359" s="23">
        <f>IF($C359="","",N(L359)-N(M359))</f>
        <v/>
      </c>
      <c r="P359" s="24" t="n"/>
      <c r="Q359" s="23">
        <f>IF($C359="","",N(M359)+N(N359))</f>
        <v/>
      </c>
      <c r="R359" s="23">
        <f>IF($C359="","",N(J359)+N(Q359))</f>
        <v/>
      </c>
      <c r="S359" s="25">
        <f>IF(OR($C359="",N($G359)=0),"",R359/$G359)</f>
        <v/>
      </c>
      <c r="T359" s="23">
        <f>IF($C359="","",N($G359)-N(R359))</f>
        <v/>
      </c>
      <c r="U359" s="24" t="n"/>
      <c r="V359" s="22" t="n"/>
    </row>
    <row r="360">
      <c r="B360" s="13">
        <f>IF($C360="","",COUNTA($C$9:$C360))</f>
        <v/>
      </c>
      <c r="C360" s="21" t="n"/>
      <c r="D360" s="14" t="n"/>
      <c r="E360" s="14" t="n"/>
      <c r="F360" s="14" t="n"/>
      <c r="G360" s="22" t="n"/>
      <c r="H360" s="22" t="n"/>
      <c r="I360" s="22" t="n"/>
      <c r="J360" s="22" t="n"/>
      <c r="K360" s="22" t="n"/>
      <c r="L360" s="22" t="n"/>
      <c r="M360" s="22" t="n"/>
      <c r="N360" s="22" t="n"/>
      <c r="O360" s="23">
        <f>IF($C360="","",N(L360)-N(M360))</f>
        <v/>
      </c>
      <c r="P360" s="24" t="n"/>
      <c r="Q360" s="23">
        <f>IF($C360="","",N(M360)+N(N360))</f>
        <v/>
      </c>
      <c r="R360" s="23">
        <f>IF($C360="","",N(J360)+N(Q360))</f>
        <v/>
      </c>
      <c r="S360" s="25">
        <f>IF(OR($C360="",N($G360)=0),"",R360/$G360)</f>
        <v/>
      </c>
      <c r="T360" s="23">
        <f>IF($C360="","",N($G360)-N(R360))</f>
        <v/>
      </c>
      <c r="U360" s="24" t="n"/>
      <c r="V360" s="22" t="n"/>
    </row>
    <row r="361">
      <c r="B361" s="13">
        <f>IF($C361="","",COUNTA($C$9:$C361))</f>
        <v/>
      </c>
      <c r="C361" s="21" t="n"/>
      <c r="D361" s="14" t="n"/>
      <c r="E361" s="14" t="n"/>
      <c r="F361" s="14" t="n"/>
      <c r="G361" s="22" t="n"/>
      <c r="H361" s="22" t="n"/>
      <c r="I361" s="22" t="n"/>
      <c r="J361" s="22" t="n"/>
      <c r="K361" s="22" t="n"/>
      <c r="L361" s="22" t="n"/>
      <c r="M361" s="22" t="n"/>
      <c r="N361" s="22" t="n"/>
      <c r="O361" s="23">
        <f>IF($C361="","",N(L361)-N(M361))</f>
        <v/>
      </c>
      <c r="P361" s="24" t="n"/>
      <c r="Q361" s="23">
        <f>IF($C361="","",N(M361)+N(N361))</f>
        <v/>
      </c>
      <c r="R361" s="23">
        <f>IF($C361="","",N(J361)+N(Q361))</f>
        <v/>
      </c>
      <c r="S361" s="25">
        <f>IF(OR($C361="",N($G361)=0),"",R361/$G361)</f>
        <v/>
      </c>
      <c r="T361" s="23">
        <f>IF($C361="","",N($G361)-N(R361))</f>
        <v/>
      </c>
      <c r="U361" s="24" t="n"/>
      <c r="V361" s="22" t="n"/>
    </row>
    <row r="362">
      <c r="B362" s="13">
        <f>IF($C362="","",COUNTA($C$9:$C362))</f>
        <v/>
      </c>
      <c r="C362" s="21" t="n"/>
      <c r="D362" s="14" t="n"/>
      <c r="E362" s="14" t="n"/>
      <c r="F362" s="14" t="n"/>
      <c r="G362" s="22" t="n"/>
      <c r="H362" s="22" t="n"/>
      <c r="I362" s="22" t="n"/>
      <c r="J362" s="22" t="n"/>
      <c r="K362" s="22" t="n"/>
      <c r="L362" s="22" t="n"/>
      <c r="M362" s="22" t="n"/>
      <c r="N362" s="22" t="n"/>
      <c r="O362" s="23">
        <f>IF($C362="","",N(L362)-N(M362))</f>
        <v/>
      </c>
      <c r="P362" s="24" t="n"/>
      <c r="Q362" s="23">
        <f>IF($C362="","",N(M362)+N(N362))</f>
        <v/>
      </c>
      <c r="R362" s="23">
        <f>IF($C362="","",N(J362)+N(Q362))</f>
        <v/>
      </c>
      <c r="S362" s="25">
        <f>IF(OR($C362="",N($G362)=0),"",R362/$G362)</f>
        <v/>
      </c>
      <c r="T362" s="23">
        <f>IF($C362="","",N($G362)-N(R362))</f>
        <v/>
      </c>
      <c r="U362" s="24" t="n"/>
      <c r="V362" s="22" t="n"/>
    </row>
    <row r="363">
      <c r="B363" s="13">
        <f>IF($C363="","",COUNTA($C$9:$C363))</f>
        <v/>
      </c>
      <c r="C363" s="21" t="n"/>
      <c r="D363" s="14" t="n"/>
      <c r="E363" s="14" t="n"/>
      <c r="F363" s="14" t="n"/>
      <c r="G363" s="22" t="n"/>
      <c r="H363" s="22" t="n"/>
      <c r="I363" s="22" t="n"/>
      <c r="J363" s="22" t="n"/>
      <c r="K363" s="22" t="n"/>
      <c r="L363" s="22" t="n"/>
      <c r="M363" s="22" t="n"/>
      <c r="N363" s="22" t="n"/>
      <c r="O363" s="23">
        <f>IF($C363="","",N(L363)-N(M363))</f>
        <v/>
      </c>
      <c r="P363" s="24" t="n"/>
      <c r="Q363" s="23">
        <f>IF($C363="","",N(M363)+N(N363))</f>
        <v/>
      </c>
      <c r="R363" s="23">
        <f>IF($C363="","",N(J363)+N(Q363))</f>
        <v/>
      </c>
      <c r="S363" s="25">
        <f>IF(OR($C363="",N($G363)=0),"",R363/$G363)</f>
        <v/>
      </c>
      <c r="T363" s="23">
        <f>IF($C363="","",N($G363)-N(R363))</f>
        <v/>
      </c>
      <c r="U363" s="24" t="n"/>
      <c r="V363" s="22" t="n"/>
    </row>
    <row r="364">
      <c r="B364" s="13">
        <f>IF($C364="","",COUNTA($C$9:$C364))</f>
        <v/>
      </c>
      <c r="C364" s="21" t="n"/>
      <c r="D364" s="14" t="n"/>
      <c r="E364" s="14" t="n"/>
      <c r="F364" s="14" t="n"/>
      <c r="G364" s="22" t="n"/>
      <c r="H364" s="22" t="n"/>
      <c r="I364" s="22" t="n"/>
      <c r="J364" s="22" t="n"/>
      <c r="K364" s="22" t="n"/>
      <c r="L364" s="22" t="n"/>
      <c r="M364" s="22" t="n"/>
      <c r="N364" s="22" t="n"/>
      <c r="O364" s="23">
        <f>IF($C364="","",N(L364)-N(M364))</f>
        <v/>
      </c>
      <c r="P364" s="24" t="n"/>
      <c r="Q364" s="23">
        <f>IF($C364="","",N(M364)+N(N364))</f>
        <v/>
      </c>
      <c r="R364" s="23">
        <f>IF($C364="","",N(J364)+N(Q364))</f>
        <v/>
      </c>
      <c r="S364" s="25">
        <f>IF(OR($C364="",N($G364)=0),"",R364/$G364)</f>
        <v/>
      </c>
      <c r="T364" s="23">
        <f>IF($C364="","",N($G364)-N(R364))</f>
        <v/>
      </c>
      <c r="U364" s="24" t="n"/>
      <c r="V364" s="22" t="n"/>
    </row>
    <row r="365">
      <c r="B365" s="13">
        <f>IF($C365="","",COUNTA($C$9:$C365))</f>
        <v/>
      </c>
      <c r="C365" s="21" t="n"/>
      <c r="D365" s="14" t="n"/>
      <c r="E365" s="14" t="n"/>
      <c r="F365" s="14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3">
        <f>IF($C365="","",N(L365)-N(M365))</f>
        <v/>
      </c>
      <c r="P365" s="24" t="n"/>
      <c r="Q365" s="23">
        <f>IF($C365="","",N(M365)+N(N365))</f>
        <v/>
      </c>
      <c r="R365" s="23">
        <f>IF($C365="","",N(J365)+N(Q365))</f>
        <v/>
      </c>
      <c r="S365" s="25">
        <f>IF(OR($C365="",N($G365)=0),"",R365/$G365)</f>
        <v/>
      </c>
      <c r="T365" s="23">
        <f>IF($C365="","",N($G365)-N(R365))</f>
        <v/>
      </c>
      <c r="U365" s="24" t="n"/>
      <c r="V365" s="22" t="n"/>
    </row>
    <row r="366">
      <c r="B366" s="13">
        <f>IF($C366="","",COUNTA($C$9:$C366))</f>
        <v/>
      </c>
      <c r="C366" s="21" t="n"/>
      <c r="D366" s="14" t="n"/>
      <c r="E366" s="14" t="n"/>
      <c r="F366" s="14" t="n"/>
      <c r="G366" s="22" t="n"/>
      <c r="H366" s="22" t="n"/>
      <c r="I366" s="22" t="n"/>
      <c r="J366" s="22" t="n"/>
      <c r="K366" s="22" t="n"/>
      <c r="L366" s="22" t="n"/>
      <c r="M366" s="22" t="n"/>
      <c r="N366" s="22" t="n"/>
      <c r="O366" s="23">
        <f>IF($C366="","",N(L366)-N(M366))</f>
        <v/>
      </c>
      <c r="P366" s="24" t="n"/>
      <c r="Q366" s="23">
        <f>IF($C366="","",N(M366)+N(N366))</f>
        <v/>
      </c>
      <c r="R366" s="23">
        <f>IF($C366="","",N(J366)+N(Q366))</f>
        <v/>
      </c>
      <c r="S366" s="25">
        <f>IF(OR($C366="",N($G366)=0),"",R366/$G366)</f>
        <v/>
      </c>
      <c r="T366" s="23">
        <f>IF($C366="","",N($G366)-N(R366))</f>
        <v/>
      </c>
      <c r="U366" s="24" t="n"/>
      <c r="V366" s="22" t="n"/>
    </row>
    <row r="367">
      <c r="B367" s="13">
        <f>IF($C367="","",COUNTA($C$9:$C367))</f>
        <v/>
      </c>
      <c r="C367" s="21" t="n"/>
      <c r="D367" s="14" t="n"/>
      <c r="E367" s="14" t="n"/>
      <c r="F367" s="14" t="n"/>
      <c r="G367" s="22" t="n"/>
      <c r="H367" s="22" t="n"/>
      <c r="I367" s="22" t="n"/>
      <c r="J367" s="22" t="n"/>
      <c r="K367" s="22" t="n"/>
      <c r="L367" s="22" t="n"/>
      <c r="M367" s="22" t="n"/>
      <c r="N367" s="22" t="n"/>
      <c r="O367" s="23">
        <f>IF($C367="","",N(L367)-N(M367))</f>
        <v/>
      </c>
      <c r="P367" s="24" t="n"/>
      <c r="Q367" s="23">
        <f>IF($C367="","",N(M367)+N(N367))</f>
        <v/>
      </c>
      <c r="R367" s="23">
        <f>IF($C367="","",N(J367)+N(Q367))</f>
        <v/>
      </c>
      <c r="S367" s="25">
        <f>IF(OR($C367="",N($G367)=0),"",R367/$G367)</f>
        <v/>
      </c>
      <c r="T367" s="23">
        <f>IF($C367="","",N($G367)-N(R367))</f>
        <v/>
      </c>
      <c r="U367" s="24" t="n"/>
      <c r="V367" s="22" t="n"/>
    </row>
    <row r="368">
      <c r="B368" s="13">
        <f>IF($C368="","",COUNTA($C$9:$C368))</f>
        <v/>
      </c>
      <c r="C368" s="21" t="n"/>
      <c r="D368" s="14" t="n"/>
      <c r="E368" s="14" t="n"/>
      <c r="F368" s="14" t="n"/>
      <c r="G368" s="22" t="n"/>
      <c r="H368" s="22" t="n"/>
      <c r="I368" s="22" t="n"/>
      <c r="J368" s="22" t="n"/>
      <c r="K368" s="22" t="n"/>
      <c r="L368" s="22" t="n"/>
      <c r="M368" s="22" t="n"/>
      <c r="N368" s="22" t="n"/>
      <c r="O368" s="23">
        <f>IF($C368="","",N(L368)-N(M368))</f>
        <v/>
      </c>
      <c r="P368" s="24" t="n"/>
      <c r="Q368" s="23">
        <f>IF($C368="","",N(M368)+N(N368))</f>
        <v/>
      </c>
      <c r="R368" s="23">
        <f>IF($C368="","",N(J368)+N(Q368))</f>
        <v/>
      </c>
      <c r="S368" s="25">
        <f>IF(OR($C368="",N($G368)=0),"",R368/$G368)</f>
        <v/>
      </c>
      <c r="T368" s="23">
        <f>IF($C368="","",N($G368)-N(R368))</f>
        <v/>
      </c>
      <c r="U368" s="24" t="n"/>
      <c r="V368" s="22" t="n"/>
    </row>
    <row r="369">
      <c r="B369" s="13">
        <f>IF($C369="","",COUNTA($C$9:$C369))</f>
        <v/>
      </c>
      <c r="C369" s="21" t="n"/>
      <c r="D369" s="14" t="n"/>
      <c r="E369" s="14" t="n"/>
      <c r="F369" s="14" t="n"/>
      <c r="G369" s="22" t="n"/>
      <c r="H369" s="22" t="n"/>
      <c r="I369" s="22" t="n"/>
      <c r="J369" s="22" t="n"/>
      <c r="K369" s="22" t="n"/>
      <c r="L369" s="22" t="n"/>
      <c r="M369" s="22" t="n"/>
      <c r="N369" s="22" t="n"/>
      <c r="O369" s="23">
        <f>IF($C369="","",N(L369)-N(M369))</f>
        <v/>
      </c>
      <c r="P369" s="24" t="n"/>
      <c r="Q369" s="23">
        <f>IF($C369="","",N(M369)+N(N369))</f>
        <v/>
      </c>
      <c r="R369" s="23">
        <f>IF($C369="","",N(J369)+N(Q369))</f>
        <v/>
      </c>
      <c r="S369" s="25">
        <f>IF(OR($C369="",N($G369)=0),"",R369/$G369)</f>
        <v/>
      </c>
      <c r="T369" s="23">
        <f>IF($C369="","",N($G369)-N(R369))</f>
        <v/>
      </c>
      <c r="U369" s="24" t="n"/>
      <c r="V369" s="22" t="n"/>
    </row>
    <row r="370">
      <c r="B370" s="13">
        <f>IF($C370="","",COUNTA($C$9:$C370))</f>
        <v/>
      </c>
      <c r="C370" s="21" t="n"/>
      <c r="D370" s="14" t="n"/>
      <c r="E370" s="14" t="n"/>
      <c r="F370" s="14" t="n"/>
      <c r="G370" s="22" t="n"/>
      <c r="H370" s="22" t="n"/>
      <c r="I370" s="22" t="n"/>
      <c r="J370" s="22" t="n"/>
      <c r="K370" s="22" t="n"/>
      <c r="L370" s="22" t="n"/>
      <c r="M370" s="22" t="n"/>
      <c r="N370" s="22" t="n"/>
      <c r="O370" s="23">
        <f>IF($C370="","",N(L370)-N(M370))</f>
        <v/>
      </c>
      <c r="P370" s="24" t="n"/>
      <c r="Q370" s="23">
        <f>IF($C370="","",N(M370)+N(N370))</f>
        <v/>
      </c>
      <c r="R370" s="23">
        <f>IF($C370="","",N(J370)+N(Q370))</f>
        <v/>
      </c>
      <c r="S370" s="25">
        <f>IF(OR($C370="",N($G370)=0),"",R370/$G370)</f>
        <v/>
      </c>
      <c r="T370" s="23">
        <f>IF($C370="","",N($G370)-N(R370))</f>
        <v/>
      </c>
      <c r="U370" s="24" t="n"/>
      <c r="V370" s="22" t="n"/>
    </row>
    <row r="371">
      <c r="B371" s="13">
        <f>IF($C371="","",COUNTA($C$9:$C371))</f>
        <v/>
      </c>
      <c r="C371" s="21" t="n"/>
      <c r="D371" s="14" t="n"/>
      <c r="E371" s="14" t="n"/>
      <c r="F371" s="14" t="n"/>
      <c r="G371" s="22" t="n"/>
      <c r="H371" s="22" t="n"/>
      <c r="I371" s="22" t="n"/>
      <c r="J371" s="22" t="n"/>
      <c r="K371" s="22" t="n"/>
      <c r="L371" s="22" t="n"/>
      <c r="M371" s="22" t="n"/>
      <c r="N371" s="22" t="n"/>
      <c r="O371" s="23">
        <f>IF($C371="","",N(L371)-N(M371))</f>
        <v/>
      </c>
      <c r="P371" s="24" t="n"/>
      <c r="Q371" s="23">
        <f>IF($C371="","",N(M371)+N(N371))</f>
        <v/>
      </c>
      <c r="R371" s="23">
        <f>IF($C371="","",N(J371)+N(Q371))</f>
        <v/>
      </c>
      <c r="S371" s="25">
        <f>IF(OR($C371="",N($G371)=0),"",R371/$G371)</f>
        <v/>
      </c>
      <c r="T371" s="23">
        <f>IF($C371="","",N($G371)-N(R371))</f>
        <v/>
      </c>
      <c r="U371" s="24" t="n"/>
      <c r="V371" s="22" t="n"/>
    </row>
    <row r="372">
      <c r="B372" s="13">
        <f>IF($C372="","",COUNTA($C$9:$C372))</f>
        <v/>
      </c>
      <c r="C372" s="21" t="n"/>
      <c r="D372" s="14" t="n"/>
      <c r="E372" s="14" t="n"/>
      <c r="F372" s="14" t="n"/>
      <c r="G372" s="22" t="n"/>
      <c r="H372" s="22" t="n"/>
      <c r="I372" s="22" t="n"/>
      <c r="J372" s="22" t="n"/>
      <c r="K372" s="22" t="n"/>
      <c r="L372" s="22" t="n"/>
      <c r="M372" s="22" t="n"/>
      <c r="N372" s="22" t="n"/>
      <c r="O372" s="23">
        <f>IF($C372="","",N(L372)-N(M372))</f>
        <v/>
      </c>
      <c r="P372" s="24" t="n"/>
      <c r="Q372" s="23">
        <f>IF($C372="","",N(M372)+N(N372))</f>
        <v/>
      </c>
      <c r="R372" s="23">
        <f>IF($C372="","",N(J372)+N(Q372))</f>
        <v/>
      </c>
      <c r="S372" s="25">
        <f>IF(OR($C372="",N($G372)=0),"",R372/$G372)</f>
        <v/>
      </c>
      <c r="T372" s="23">
        <f>IF($C372="","",N($G372)-N(R372))</f>
        <v/>
      </c>
      <c r="U372" s="24" t="n"/>
      <c r="V372" s="22" t="n"/>
    </row>
    <row r="373">
      <c r="B373" s="13">
        <f>IF($C373="","",COUNTA($C$9:$C373))</f>
        <v/>
      </c>
      <c r="C373" s="21" t="n"/>
      <c r="D373" s="14" t="n"/>
      <c r="E373" s="14" t="n"/>
      <c r="F373" s="14" t="n"/>
      <c r="G373" s="22" t="n"/>
      <c r="H373" s="22" t="n"/>
      <c r="I373" s="22" t="n"/>
      <c r="J373" s="22" t="n"/>
      <c r="K373" s="22" t="n"/>
      <c r="L373" s="22" t="n"/>
      <c r="M373" s="22" t="n"/>
      <c r="N373" s="22" t="n"/>
      <c r="O373" s="23">
        <f>IF($C373="","",N(L373)-N(M373))</f>
        <v/>
      </c>
      <c r="P373" s="24" t="n"/>
      <c r="Q373" s="23">
        <f>IF($C373="","",N(M373)+N(N373))</f>
        <v/>
      </c>
      <c r="R373" s="23">
        <f>IF($C373="","",N(J373)+N(Q373))</f>
        <v/>
      </c>
      <c r="S373" s="25">
        <f>IF(OR($C373="",N($G373)=0),"",R373/$G373)</f>
        <v/>
      </c>
      <c r="T373" s="23">
        <f>IF($C373="","",N($G373)-N(R373))</f>
        <v/>
      </c>
      <c r="U373" s="24" t="n"/>
      <c r="V373" s="22" t="n"/>
    </row>
    <row r="374">
      <c r="B374" s="13">
        <f>IF($C374="","",COUNTA($C$9:$C374))</f>
        <v/>
      </c>
      <c r="C374" s="21" t="n"/>
      <c r="D374" s="14" t="n"/>
      <c r="E374" s="14" t="n"/>
      <c r="F374" s="14" t="n"/>
      <c r="G374" s="22" t="n"/>
      <c r="H374" s="22" t="n"/>
      <c r="I374" s="22" t="n"/>
      <c r="J374" s="22" t="n"/>
      <c r="K374" s="22" t="n"/>
      <c r="L374" s="22" t="n"/>
      <c r="M374" s="22" t="n"/>
      <c r="N374" s="22" t="n"/>
      <c r="O374" s="23">
        <f>IF($C374="","",N(L374)-N(M374))</f>
        <v/>
      </c>
      <c r="P374" s="24" t="n"/>
      <c r="Q374" s="23">
        <f>IF($C374="","",N(M374)+N(N374))</f>
        <v/>
      </c>
      <c r="R374" s="23">
        <f>IF($C374="","",N(J374)+N(Q374))</f>
        <v/>
      </c>
      <c r="S374" s="25">
        <f>IF(OR($C374="",N($G374)=0),"",R374/$G374)</f>
        <v/>
      </c>
      <c r="T374" s="23">
        <f>IF($C374="","",N($G374)-N(R374))</f>
        <v/>
      </c>
      <c r="U374" s="24" t="n"/>
      <c r="V374" s="22" t="n"/>
    </row>
    <row r="375">
      <c r="B375" s="13">
        <f>IF($C375="","",COUNTA($C$9:$C375))</f>
        <v/>
      </c>
      <c r="C375" s="21" t="n"/>
      <c r="D375" s="14" t="n"/>
      <c r="E375" s="14" t="n"/>
      <c r="F375" s="14" t="n"/>
      <c r="G375" s="22" t="n"/>
      <c r="H375" s="22" t="n"/>
      <c r="I375" s="22" t="n"/>
      <c r="J375" s="22" t="n"/>
      <c r="K375" s="22" t="n"/>
      <c r="L375" s="22" t="n"/>
      <c r="M375" s="22" t="n"/>
      <c r="N375" s="22" t="n"/>
      <c r="O375" s="23">
        <f>IF($C375="","",N(L375)-N(M375))</f>
        <v/>
      </c>
      <c r="P375" s="24" t="n"/>
      <c r="Q375" s="23">
        <f>IF($C375="","",N(M375)+N(N375))</f>
        <v/>
      </c>
      <c r="R375" s="23">
        <f>IF($C375="","",N(J375)+N(Q375))</f>
        <v/>
      </c>
      <c r="S375" s="25">
        <f>IF(OR($C375="",N($G375)=0),"",R375/$G375)</f>
        <v/>
      </c>
      <c r="T375" s="23">
        <f>IF($C375="","",N($G375)-N(R375))</f>
        <v/>
      </c>
      <c r="U375" s="24" t="n"/>
      <c r="V375" s="22" t="n"/>
    </row>
    <row r="376">
      <c r="B376" s="13">
        <f>IF($C376="","",COUNTA($C$9:$C376))</f>
        <v/>
      </c>
      <c r="C376" s="21" t="n"/>
      <c r="D376" s="14" t="n"/>
      <c r="E376" s="14" t="n"/>
      <c r="F376" s="14" t="n"/>
      <c r="G376" s="22" t="n"/>
      <c r="H376" s="22" t="n"/>
      <c r="I376" s="22" t="n"/>
      <c r="J376" s="22" t="n"/>
      <c r="K376" s="22" t="n"/>
      <c r="L376" s="22" t="n"/>
      <c r="M376" s="22" t="n"/>
      <c r="N376" s="22" t="n"/>
      <c r="O376" s="23">
        <f>IF($C376="","",N(L376)-N(M376))</f>
        <v/>
      </c>
      <c r="P376" s="24" t="n"/>
      <c r="Q376" s="23">
        <f>IF($C376="","",N(M376)+N(N376))</f>
        <v/>
      </c>
      <c r="R376" s="23">
        <f>IF($C376="","",N(J376)+N(Q376))</f>
        <v/>
      </c>
      <c r="S376" s="25">
        <f>IF(OR($C376="",N($G376)=0),"",R376/$G376)</f>
        <v/>
      </c>
      <c r="T376" s="23">
        <f>IF($C376="","",N($G376)-N(R376))</f>
        <v/>
      </c>
      <c r="U376" s="24" t="n"/>
      <c r="V376" s="22" t="n"/>
    </row>
    <row r="377">
      <c r="B377" s="13">
        <f>IF($C377="","",COUNTA($C$9:$C377))</f>
        <v/>
      </c>
      <c r="C377" s="21" t="n"/>
      <c r="D377" s="14" t="n"/>
      <c r="E377" s="14" t="n"/>
      <c r="F377" s="14" t="n"/>
      <c r="G377" s="22" t="n"/>
      <c r="H377" s="22" t="n"/>
      <c r="I377" s="22" t="n"/>
      <c r="J377" s="22" t="n"/>
      <c r="K377" s="22" t="n"/>
      <c r="L377" s="22" t="n"/>
      <c r="M377" s="22" t="n"/>
      <c r="N377" s="22" t="n"/>
      <c r="O377" s="23">
        <f>IF($C377="","",N(L377)-N(M377))</f>
        <v/>
      </c>
      <c r="P377" s="24" t="n"/>
      <c r="Q377" s="23">
        <f>IF($C377="","",N(M377)+N(N377))</f>
        <v/>
      </c>
      <c r="R377" s="23">
        <f>IF($C377="","",N(J377)+N(Q377))</f>
        <v/>
      </c>
      <c r="S377" s="25">
        <f>IF(OR($C377="",N($G377)=0),"",R377/$G377)</f>
        <v/>
      </c>
      <c r="T377" s="23">
        <f>IF($C377="","",N($G377)-N(R377))</f>
        <v/>
      </c>
      <c r="U377" s="24" t="n"/>
      <c r="V377" s="22" t="n"/>
    </row>
    <row r="378">
      <c r="B378" s="13">
        <f>IF($C378="","",COUNTA($C$9:$C378))</f>
        <v/>
      </c>
      <c r="C378" s="21" t="n"/>
      <c r="D378" s="14" t="n"/>
      <c r="E378" s="14" t="n"/>
      <c r="F378" s="14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3">
        <f>IF($C378="","",N(L378)-N(M378))</f>
        <v/>
      </c>
      <c r="P378" s="24" t="n"/>
      <c r="Q378" s="23">
        <f>IF($C378="","",N(M378)+N(N378))</f>
        <v/>
      </c>
      <c r="R378" s="23">
        <f>IF($C378="","",N(J378)+N(Q378))</f>
        <v/>
      </c>
      <c r="S378" s="25">
        <f>IF(OR($C378="",N($G378)=0),"",R378/$G378)</f>
        <v/>
      </c>
      <c r="T378" s="23">
        <f>IF($C378="","",N($G378)-N(R378))</f>
        <v/>
      </c>
      <c r="U378" s="24" t="n"/>
      <c r="V378" s="22" t="n"/>
    </row>
    <row r="379">
      <c r="B379" s="13">
        <f>IF($C379="","",COUNTA($C$9:$C379))</f>
        <v/>
      </c>
      <c r="C379" s="21" t="n"/>
      <c r="D379" s="14" t="n"/>
      <c r="E379" s="14" t="n"/>
      <c r="F379" s="14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3">
        <f>IF($C379="","",N(L379)-N(M379))</f>
        <v/>
      </c>
      <c r="P379" s="24" t="n"/>
      <c r="Q379" s="23">
        <f>IF($C379="","",N(M379)+N(N379))</f>
        <v/>
      </c>
      <c r="R379" s="23">
        <f>IF($C379="","",N(J379)+N(Q379))</f>
        <v/>
      </c>
      <c r="S379" s="25">
        <f>IF(OR($C379="",N($G379)=0),"",R379/$G379)</f>
        <v/>
      </c>
      <c r="T379" s="23">
        <f>IF($C379="","",N($G379)-N(R379))</f>
        <v/>
      </c>
      <c r="U379" s="24" t="n"/>
      <c r="V379" s="22" t="n"/>
    </row>
    <row r="380">
      <c r="B380" s="13">
        <f>IF($C380="","",COUNTA($C$9:$C380))</f>
        <v/>
      </c>
      <c r="C380" s="21" t="n"/>
      <c r="D380" s="14" t="n"/>
      <c r="E380" s="14" t="n"/>
      <c r="F380" s="14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3">
        <f>IF($C380="","",N(L380)-N(M380))</f>
        <v/>
      </c>
      <c r="P380" s="24" t="n"/>
      <c r="Q380" s="23">
        <f>IF($C380="","",N(M380)+N(N380))</f>
        <v/>
      </c>
      <c r="R380" s="23">
        <f>IF($C380="","",N(J380)+N(Q380))</f>
        <v/>
      </c>
      <c r="S380" s="25">
        <f>IF(OR($C380="",N($G380)=0),"",R380/$G380)</f>
        <v/>
      </c>
      <c r="T380" s="23">
        <f>IF($C380="","",N($G380)-N(R380))</f>
        <v/>
      </c>
      <c r="U380" s="24" t="n"/>
      <c r="V380" s="22" t="n"/>
    </row>
    <row r="381">
      <c r="B381" s="13">
        <f>IF($C381="","",COUNTA($C$9:$C381))</f>
        <v/>
      </c>
      <c r="C381" s="21" t="n"/>
      <c r="D381" s="14" t="n"/>
      <c r="E381" s="14" t="n"/>
      <c r="F381" s="14" t="n"/>
      <c r="G381" s="22" t="n"/>
      <c r="H381" s="22" t="n"/>
      <c r="I381" s="22" t="n"/>
      <c r="J381" s="22" t="n"/>
      <c r="K381" s="22" t="n"/>
      <c r="L381" s="22" t="n"/>
      <c r="M381" s="22" t="n"/>
      <c r="N381" s="22" t="n"/>
      <c r="O381" s="23">
        <f>IF($C381="","",N(L381)-N(M381))</f>
        <v/>
      </c>
      <c r="P381" s="24" t="n"/>
      <c r="Q381" s="23">
        <f>IF($C381="","",N(M381)+N(N381))</f>
        <v/>
      </c>
      <c r="R381" s="23">
        <f>IF($C381="","",N(J381)+N(Q381))</f>
        <v/>
      </c>
      <c r="S381" s="25">
        <f>IF(OR($C381="",N($G381)=0),"",R381/$G381)</f>
        <v/>
      </c>
      <c r="T381" s="23">
        <f>IF($C381="","",N($G381)-N(R381))</f>
        <v/>
      </c>
      <c r="U381" s="24" t="n"/>
      <c r="V381" s="22" t="n"/>
    </row>
    <row r="382">
      <c r="B382" s="13">
        <f>IF($C382="","",COUNTA($C$9:$C382))</f>
        <v/>
      </c>
      <c r="C382" s="21" t="n"/>
      <c r="D382" s="14" t="n"/>
      <c r="E382" s="14" t="n"/>
      <c r="F382" s="14" t="n"/>
      <c r="G382" s="22" t="n"/>
      <c r="H382" s="22" t="n"/>
      <c r="I382" s="22" t="n"/>
      <c r="J382" s="22" t="n"/>
      <c r="K382" s="22" t="n"/>
      <c r="L382" s="22" t="n"/>
      <c r="M382" s="22" t="n"/>
      <c r="N382" s="22" t="n"/>
      <c r="O382" s="23">
        <f>IF($C382="","",N(L382)-N(M382))</f>
        <v/>
      </c>
      <c r="P382" s="24" t="n"/>
      <c r="Q382" s="23">
        <f>IF($C382="","",N(M382)+N(N382))</f>
        <v/>
      </c>
      <c r="R382" s="23">
        <f>IF($C382="","",N(J382)+N(Q382))</f>
        <v/>
      </c>
      <c r="S382" s="25">
        <f>IF(OR($C382="",N($G382)=0),"",R382/$G382)</f>
        <v/>
      </c>
      <c r="T382" s="23">
        <f>IF($C382="","",N($G382)-N(R382))</f>
        <v/>
      </c>
      <c r="U382" s="24" t="n"/>
      <c r="V382" s="22" t="n"/>
    </row>
    <row r="383">
      <c r="B383" s="13">
        <f>IF($C383="","",COUNTA($C$9:$C383))</f>
        <v/>
      </c>
      <c r="C383" s="21" t="n"/>
      <c r="D383" s="14" t="n"/>
      <c r="E383" s="14" t="n"/>
      <c r="F383" s="14" t="n"/>
      <c r="G383" s="22" t="n"/>
      <c r="H383" s="22" t="n"/>
      <c r="I383" s="22" t="n"/>
      <c r="J383" s="22" t="n"/>
      <c r="K383" s="22" t="n"/>
      <c r="L383" s="22" t="n"/>
      <c r="M383" s="22" t="n"/>
      <c r="N383" s="22" t="n"/>
      <c r="O383" s="23">
        <f>IF($C383="","",N(L383)-N(M383))</f>
        <v/>
      </c>
      <c r="P383" s="24" t="n"/>
      <c r="Q383" s="23">
        <f>IF($C383="","",N(M383)+N(N383))</f>
        <v/>
      </c>
      <c r="R383" s="23">
        <f>IF($C383="","",N(J383)+N(Q383))</f>
        <v/>
      </c>
      <c r="S383" s="25">
        <f>IF(OR($C383="",N($G383)=0),"",R383/$G383)</f>
        <v/>
      </c>
      <c r="T383" s="23">
        <f>IF($C383="","",N($G383)-N(R383))</f>
        <v/>
      </c>
      <c r="U383" s="24" t="n"/>
      <c r="V383" s="22" t="n"/>
    </row>
    <row r="384">
      <c r="B384" s="13">
        <f>IF($C384="","",COUNTA($C$9:$C384))</f>
        <v/>
      </c>
      <c r="C384" s="21" t="n"/>
      <c r="D384" s="14" t="n"/>
      <c r="E384" s="14" t="n"/>
      <c r="F384" s="14" t="n"/>
      <c r="G384" s="22" t="n"/>
      <c r="H384" s="22" t="n"/>
      <c r="I384" s="22" t="n"/>
      <c r="J384" s="22" t="n"/>
      <c r="K384" s="22" t="n"/>
      <c r="L384" s="22" t="n"/>
      <c r="M384" s="22" t="n"/>
      <c r="N384" s="22" t="n"/>
      <c r="O384" s="23">
        <f>IF($C384="","",N(L384)-N(M384))</f>
        <v/>
      </c>
      <c r="P384" s="24" t="n"/>
      <c r="Q384" s="23">
        <f>IF($C384="","",N(M384)+N(N384))</f>
        <v/>
      </c>
      <c r="R384" s="23">
        <f>IF($C384="","",N(J384)+N(Q384))</f>
        <v/>
      </c>
      <c r="S384" s="25">
        <f>IF(OR($C384="",N($G384)=0),"",R384/$G384)</f>
        <v/>
      </c>
      <c r="T384" s="23">
        <f>IF($C384="","",N($G384)-N(R384))</f>
        <v/>
      </c>
      <c r="U384" s="24" t="n"/>
      <c r="V384" s="22" t="n"/>
    </row>
    <row r="385">
      <c r="B385" s="13">
        <f>IF($C385="","",COUNTA($C$9:$C385))</f>
        <v/>
      </c>
      <c r="C385" s="21" t="n"/>
      <c r="D385" s="14" t="n"/>
      <c r="E385" s="14" t="n"/>
      <c r="F385" s="14" t="n"/>
      <c r="G385" s="22" t="n"/>
      <c r="H385" s="22" t="n"/>
      <c r="I385" s="22" t="n"/>
      <c r="J385" s="22" t="n"/>
      <c r="K385" s="22" t="n"/>
      <c r="L385" s="22" t="n"/>
      <c r="M385" s="22" t="n"/>
      <c r="N385" s="22" t="n"/>
      <c r="O385" s="23">
        <f>IF($C385="","",N(L385)-N(M385))</f>
        <v/>
      </c>
      <c r="P385" s="24" t="n"/>
      <c r="Q385" s="23">
        <f>IF($C385="","",N(M385)+N(N385))</f>
        <v/>
      </c>
      <c r="R385" s="23">
        <f>IF($C385="","",N(J385)+N(Q385))</f>
        <v/>
      </c>
      <c r="S385" s="25">
        <f>IF(OR($C385="",N($G385)=0),"",R385/$G385)</f>
        <v/>
      </c>
      <c r="T385" s="23">
        <f>IF($C385="","",N($G385)-N(R385))</f>
        <v/>
      </c>
      <c r="U385" s="24" t="n"/>
      <c r="V385" s="22" t="n"/>
    </row>
    <row r="386">
      <c r="B386" s="13">
        <f>IF($C386="","",COUNTA($C$9:$C386))</f>
        <v/>
      </c>
      <c r="C386" s="21" t="n"/>
      <c r="D386" s="14" t="n"/>
      <c r="E386" s="14" t="n"/>
      <c r="F386" s="14" t="n"/>
      <c r="G386" s="22" t="n"/>
      <c r="H386" s="22" t="n"/>
      <c r="I386" s="22" t="n"/>
      <c r="J386" s="22" t="n"/>
      <c r="K386" s="22" t="n"/>
      <c r="L386" s="22" t="n"/>
      <c r="M386" s="22" t="n"/>
      <c r="N386" s="22" t="n"/>
      <c r="O386" s="23">
        <f>IF($C386="","",N(L386)-N(M386))</f>
        <v/>
      </c>
      <c r="P386" s="24" t="n"/>
      <c r="Q386" s="23">
        <f>IF($C386="","",N(M386)+N(N386))</f>
        <v/>
      </c>
      <c r="R386" s="23">
        <f>IF($C386="","",N(J386)+N(Q386))</f>
        <v/>
      </c>
      <c r="S386" s="25">
        <f>IF(OR($C386="",N($G386)=0),"",R386/$G386)</f>
        <v/>
      </c>
      <c r="T386" s="23">
        <f>IF($C386="","",N($G386)-N(R386))</f>
        <v/>
      </c>
      <c r="U386" s="24" t="n"/>
      <c r="V386" s="22" t="n"/>
    </row>
    <row r="387">
      <c r="B387" s="13">
        <f>IF($C387="","",COUNTA($C$9:$C387))</f>
        <v/>
      </c>
      <c r="C387" s="21" t="n"/>
      <c r="D387" s="14" t="n"/>
      <c r="E387" s="14" t="n"/>
      <c r="F387" s="14" t="n"/>
      <c r="G387" s="22" t="n"/>
      <c r="H387" s="22" t="n"/>
      <c r="I387" s="22" t="n"/>
      <c r="J387" s="22" t="n"/>
      <c r="K387" s="22" t="n"/>
      <c r="L387" s="22" t="n"/>
      <c r="M387" s="22" t="n"/>
      <c r="N387" s="22" t="n"/>
      <c r="O387" s="23">
        <f>IF($C387="","",N(L387)-N(M387))</f>
        <v/>
      </c>
      <c r="P387" s="24" t="n"/>
      <c r="Q387" s="23">
        <f>IF($C387="","",N(M387)+N(N387))</f>
        <v/>
      </c>
      <c r="R387" s="23">
        <f>IF($C387="","",N(J387)+N(Q387))</f>
        <v/>
      </c>
      <c r="S387" s="25">
        <f>IF(OR($C387="",N($G387)=0),"",R387/$G387)</f>
        <v/>
      </c>
      <c r="T387" s="23">
        <f>IF($C387="","",N($G387)-N(R387))</f>
        <v/>
      </c>
      <c r="U387" s="24" t="n"/>
      <c r="V387" s="22" t="n"/>
    </row>
    <row r="388">
      <c r="B388" s="13">
        <f>IF($C388="","",COUNTA($C$9:$C388))</f>
        <v/>
      </c>
      <c r="C388" s="21" t="n"/>
      <c r="D388" s="14" t="n"/>
      <c r="E388" s="14" t="n"/>
      <c r="F388" s="14" t="n"/>
      <c r="G388" s="22" t="n"/>
      <c r="H388" s="22" t="n"/>
      <c r="I388" s="22" t="n"/>
      <c r="J388" s="22" t="n"/>
      <c r="K388" s="22" t="n"/>
      <c r="L388" s="22" t="n"/>
      <c r="M388" s="22" t="n"/>
      <c r="N388" s="22" t="n"/>
      <c r="O388" s="23">
        <f>IF($C388="","",N(L388)-N(M388))</f>
        <v/>
      </c>
      <c r="P388" s="24" t="n"/>
      <c r="Q388" s="23">
        <f>IF($C388="","",N(M388)+N(N388))</f>
        <v/>
      </c>
      <c r="R388" s="23">
        <f>IF($C388="","",N(J388)+N(Q388))</f>
        <v/>
      </c>
      <c r="S388" s="25">
        <f>IF(OR($C388="",N($G388)=0),"",R388/$G388)</f>
        <v/>
      </c>
      <c r="T388" s="23">
        <f>IF($C388="","",N($G388)-N(R388))</f>
        <v/>
      </c>
      <c r="U388" s="24" t="n"/>
      <c r="V388" s="22" t="n"/>
    </row>
    <row r="389">
      <c r="B389" s="13">
        <f>IF($C389="","",COUNTA($C$9:$C389))</f>
        <v/>
      </c>
      <c r="C389" s="21" t="n"/>
      <c r="D389" s="14" t="n"/>
      <c r="E389" s="14" t="n"/>
      <c r="F389" s="14" t="n"/>
      <c r="G389" s="22" t="n"/>
      <c r="H389" s="22" t="n"/>
      <c r="I389" s="22" t="n"/>
      <c r="J389" s="22" t="n"/>
      <c r="K389" s="22" t="n"/>
      <c r="L389" s="22" t="n"/>
      <c r="M389" s="22" t="n"/>
      <c r="N389" s="22" t="n"/>
      <c r="O389" s="23">
        <f>IF($C389="","",N(L389)-N(M389))</f>
        <v/>
      </c>
      <c r="P389" s="24" t="n"/>
      <c r="Q389" s="23">
        <f>IF($C389="","",N(M389)+N(N389))</f>
        <v/>
      </c>
      <c r="R389" s="23">
        <f>IF($C389="","",N(J389)+N(Q389))</f>
        <v/>
      </c>
      <c r="S389" s="25">
        <f>IF(OR($C389="",N($G389)=0),"",R389/$G389)</f>
        <v/>
      </c>
      <c r="T389" s="23">
        <f>IF($C389="","",N($G389)-N(R389))</f>
        <v/>
      </c>
      <c r="U389" s="24" t="n"/>
      <c r="V389" s="22" t="n"/>
    </row>
    <row r="390">
      <c r="B390" s="13">
        <f>IF($C390="","",COUNTA($C$9:$C390))</f>
        <v/>
      </c>
      <c r="C390" s="21" t="n"/>
      <c r="D390" s="14" t="n"/>
      <c r="E390" s="14" t="n"/>
      <c r="F390" s="14" t="n"/>
      <c r="G390" s="22" t="n"/>
      <c r="H390" s="22" t="n"/>
      <c r="I390" s="22" t="n"/>
      <c r="J390" s="22" t="n"/>
      <c r="K390" s="22" t="n"/>
      <c r="L390" s="22" t="n"/>
      <c r="M390" s="22" t="n"/>
      <c r="N390" s="22" t="n"/>
      <c r="O390" s="23">
        <f>IF($C390="","",N(L390)-N(M390))</f>
        <v/>
      </c>
      <c r="P390" s="24" t="n"/>
      <c r="Q390" s="23">
        <f>IF($C390="","",N(M390)+N(N390))</f>
        <v/>
      </c>
      <c r="R390" s="23">
        <f>IF($C390="","",N(J390)+N(Q390))</f>
        <v/>
      </c>
      <c r="S390" s="25">
        <f>IF(OR($C390="",N($G390)=0),"",R390/$G390)</f>
        <v/>
      </c>
      <c r="T390" s="23">
        <f>IF($C390="","",N($G390)-N(R390))</f>
        <v/>
      </c>
      <c r="U390" s="24" t="n"/>
      <c r="V390" s="22" t="n"/>
    </row>
    <row r="391">
      <c r="B391" s="13">
        <f>IF($C391="","",COUNTA($C$9:$C391))</f>
        <v/>
      </c>
      <c r="C391" s="21" t="n"/>
      <c r="D391" s="14" t="n"/>
      <c r="E391" s="14" t="n"/>
      <c r="F391" s="14" t="n"/>
      <c r="G391" s="22" t="n"/>
      <c r="H391" s="22" t="n"/>
      <c r="I391" s="22" t="n"/>
      <c r="J391" s="22" t="n"/>
      <c r="K391" s="22" t="n"/>
      <c r="L391" s="22" t="n"/>
      <c r="M391" s="22" t="n"/>
      <c r="N391" s="22" t="n"/>
      <c r="O391" s="23">
        <f>IF($C391="","",N(L391)-N(M391))</f>
        <v/>
      </c>
      <c r="P391" s="24" t="n"/>
      <c r="Q391" s="23">
        <f>IF($C391="","",N(M391)+N(N391))</f>
        <v/>
      </c>
      <c r="R391" s="23">
        <f>IF($C391="","",N(J391)+N(Q391))</f>
        <v/>
      </c>
      <c r="S391" s="25">
        <f>IF(OR($C391="",N($G391)=0),"",R391/$G391)</f>
        <v/>
      </c>
      <c r="T391" s="23">
        <f>IF($C391="","",N($G391)-N(R391))</f>
        <v/>
      </c>
      <c r="U391" s="24" t="n"/>
      <c r="V391" s="22" t="n"/>
    </row>
    <row r="392">
      <c r="B392" s="13">
        <f>IF($C392="","",COUNTA($C$9:$C392))</f>
        <v/>
      </c>
      <c r="C392" s="21" t="n"/>
      <c r="D392" s="14" t="n"/>
      <c r="E392" s="14" t="n"/>
      <c r="F392" s="14" t="n"/>
      <c r="G392" s="22" t="n"/>
      <c r="H392" s="22" t="n"/>
      <c r="I392" s="22" t="n"/>
      <c r="J392" s="22" t="n"/>
      <c r="K392" s="22" t="n"/>
      <c r="L392" s="22" t="n"/>
      <c r="M392" s="22" t="n"/>
      <c r="N392" s="22" t="n"/>
      <c r="O392" s="23">
        <f>IF($C392="","",N(L392)-N(M392))</f>
        <v/>
      </c>
      <c r="P392" s="24" t="n"/>
      <c r="Q392" s="23">
        <f>IF($C392="","",N(M392)+N(N392))</f>
        <v/>
      </c>
      <c r="R392" s="23">
        <f>IF($C392="","",N(J392)+N(Q392))</f>
        <v/>
      </c>
      <c r="S392" s="25">
        <f>IF(OR($C392="",N($G392)=0),"",R392/$G392)</f>
        <v/>
      </c>
      <c r="T392" s="23">
        <f>IF($C392="","",N($G392)-N(R392))</f>
        <v/>
      </c>
      <c r="U392" s="24" t="n"/>
      <c r="V392" s="22" t="n"/>
    </row>
    <row r="393">
      <c r="B393" s="13">
        <f>IF($C393="","",COUNTA($C$9:$C393))</f>
        <v/>
      </c>
      <c r="C393" s="21" t="n"/>
      <c r="D393" s="14" t="n"/>
      <c r="E393" s="14" t="n"/>
      <c r="F393" s="14" t="n"/>
      <c r="G393" s="22" t="n"/>
      <c r="H393" s="22" t="n"/>
      <c r="I393" s="22" t="n"/>
      <c r="J393" s="22" t="n"/>
      <c r="K393" s="22" t="n"/>
      <c r="L393" s="22" t="n"/>
      <c r="M393" s="22" t="n"/>
      <c r="N393" s="22" t="n"/>
      <c r="O393" s="23">
        <f>IF($C393="","",N(L393)-N(M393))</f>
        <v/>
      </c>
      <c r="P393" s="24" t="n"/>
      <c r="Q393" s="23">
        <f>IF($C393="","",N(M393)+N(N393))</f>
        <v/>
      </c>
      <c r="R393" s="23">
        <f>IF($C393="","",N(J393)+N(Q393))</f>
        <v/>
      </c>
      <c r="S393" s="25">
        <f>IF(OR($C393="",N($G393)=0),"",R393/$G393)</f>
        <v/>
      </c>
      <c r="T393" s="23">
        <f>IF($C393="","",N($G393)-N(R393))</f>
        <v/>
      </c>
      <c r="U393" s="24" t="n"/>
      <c r="V393" s="22" t="n"/>
    </row>
    <row r="394">
      <c r="B394" s="13">
        <f>IF($C394="","",COUNTA($C$9:$C394))</f>
        <v/>
      </c>
      <c r="C394" s="21" t="n"/>
      <c r="D394" s="14" t="n"/>
      <c r="E394" s="14" t="n"/>
      <c r="F394" s="14" t="n"/>
      <c r="G394" s="22" t="n"/>
      <c r="H394" s="22" t="n"/>
      <c r="I394" s="22" t="n"/>
      <c r="J394" s="22" t="n"/>
      <c r="K394" s="22" t="n"/>
      <c r="L394" s="22" t="n"/>
      <c r="M394" s="22" t="n"/>
      <c r="N394" s="22" t="n"/>
      <c r="O394" s="23">
        <f>IF($C394="","",N(L394)-N(M394))</f>
        <v/>
      </c>
      <c r="P394" s="24" t="n"/>
      <c r="Q394" s="23">
        <f>IF($C394="","",N(M394)+N(N394))</f>
        <v/>
      </c>
      <c r="R394" s="23">
        <f>IF($C394="","",N(J394)+N(Q394))</f>
        <v/>
      </c>
      <c r="S394" s="25">
        <f>IF(OR($C394="",N($G394)=0),"",R394/$G394)</f>
        <v/>
      </c>
      <c r="T394" s="23">
        <f>IF($C394="","",N($G394)-N(R394))</f>
        <v/>
      </c>
      <c r="U394" s="24" t="n"/>
      <c r="V394" s="22" t="n"/>
    </row>
    <row r="395">
      <c r="B395" s="13">
        <f>IF($C395="","",COUNTA($C$9:$C395))</f>
        <v/>
      </c>
      <c r="C395" s="21" t="n"/>
      <c r="D395" s="14" t="n"/>
      <c r="E395" s="14" t="n"/>
      <c r="F395" s="14" t="n"/>
      <c r="G395" s="22" t="n"/>
      <c r="H395" s="22" t="n"/>
      <c r="I395" s="22" t="n"/>
      <c r="J395" s="22" t="n"/>
      <c r="K395" s="22" t="n"/>
      <c r="L395" s="22" t="n"/>
      <c r="M395" s="22" t="n"/>
      <c r="N395" s="22" t="n"/>
      <c r="O395" s="23">
        <f>IF($C395="","",N(L395)-N(M395))</f>
        <v/>
      </c>
      <c r="P395" s="24" t="n"/>
      <c r="Q395" s="23">
        <f>IF($C395="","",N(M395)+N(N395))</f>
        <v/>
      </c>
      <c r="R395" s="23">
        <f>IF($C395="","",N(J395)+N(Q395))</f>
        <v/>
      </c>
      <c r="S395" s="25">
        <f>IF(OR($C395="",N($G395)=0),"",R395/$G395)</f>
        <v/>
      </c>
      <c r="T395" s="23">
        <f>IF($C395="","",N($G395)-N(R395))</f>
        <v/>
      </c>
      <c r="U395" s="24" t="n"/>
      <c r="V395" s="22" t="n"/>
    </row>
    <row r="396">
      <c r="B396" s="13">
        <f>IF($C396="","",COUNTA($C$9:$C396))</f>
        <v/>
      </c>
      <c r="C396" s="21" t="n"/>
      <c r="D396" s="14" t="n"/>
      <c r="E396" s="14" t="n"/>
      <c r="F396" s="14" t="n"/>
      <c r="G396" s="22" t="n"/>
      <c r="H396" s="22" t="n"/>
      <c r="I396" s="22" t="n"/>
      <c r="J396" s="22" t="n"/>
      <c r="K396" s="22" t="n"/>
      <c r="L396" s="22" t="n"/>
      <c r="M396" s="22" t="n"/>
      <c r="N396" s="22" t="n"/>
      <c r="O396" s="23">
        <f>IF($C396="","",N(L396)-N(M396))</f>
        <v/>
      </c>
      <c r="P396" s="24" t="n"/>
      <c r="Q396" s="23">
        <f>IF($C396="","",N(M396)+N(N396))</f>
        <v/>
      </c>
      <c r="R396" s="23">
        <f>IF($C396="","",N(J396)+N(Q396))</f>
        <v/>
      </c>
      <c r="S396" s="25">
        <f>IF(OR($C396="",N($G396)=0),"",R396/$G396)</f>
        <v/>
      </c>
      <c r="T396" s="23">
        <f>IF($C396="","",N($G396)-N(R396))</f>
        <v/>
      </c>
      <c r="U396" s="24" t="n"/>
      <c r="V396" s="22" t="n"/>
    </row>
    <row r="397">
      <c r="B397" s="13">
        <f>IF($C397="","",COUNTA($C$9:$C397))</f>
        <v/>
      </c>
      <c r="C397" s="21" t="n"/>
      <c r="D397" s="14" t="n"/>
      <c r="E397" s="14" t="n"/>
      <c r="F397" s="14" t="n"/>
      <c r="G397" s="22" t="n"/>
      <c r="H397" s="22" t="n"/>
      <c r="I397" s="22" t="n"/>
      <c r="J397" s="22" t="n"/>
      <c r="K397" s="22" t="n"/>
      <c r="L397" s="22" t="n"/>
      <c r="M397" s="22" t="n"/>
      <c r="N397" s="22" t="n"/>
      <c r="O397" s="23">
        <f>IF($C397="","",N(L397)-N(M397))</f>
        <v/>
      </c>
      <c r="P397" s="24" t="n"/>
      <c r="Q397" s="23">
        <f>IF($C397="","",N(M397)+N(N397))</f>
        <v/>
      </c>
      <c r="R397" s="23">
        <f>IF($C397="","",N(J397)+N(Q397))</f>
        <v/>
      </c>
      <c r="S397" s="25">
        <f>IF(OR($C397="",N($G397)=0),"",R397/$G397)</f>
        <v/>
      </c>
      <c r="T397" s="23">
        <f>IF($C397="","",N($G397)-N(R397))</f>
        <v/>
      </c>
      <c r="U397" s="24" t="n"/>
      <c r="V397" s="22" t="n"/>
    </row>
    <row r="398">
      <c r="B398" s="13">
        <f>IF($C398="","",COUNTA($C$9:$C398))</f>
        <v/>
      </c>
      <c r="C398" s="21" t="n"/>
      <c r="D398" s="14" t="n"/>
      <c r="E398" s="14" t="n"/>
      <c r="F398" s="14" t="n"/>
      <c r="G398" s="22" t="n"/>
      <c r="H398" s="22" t="n"/>
      <c r="I398" s="22" t="n"/>
      <c r="J398" s="22" t="n"/>
      <c r="K398" s="22" t="n"/>
      <c r="L398" s="22" t="n"/>
      <c r="M398" s="22" t="n"/>
      <c r="N398" s="22" t="n"/>
      <c r="O398" s="23">
        <f>IF($C398="","",N(L398)-N(M398))</f>
        <v/>
      </c>
      <c r="P398" s="24" t="n"/>
      <c r="Q398" s="23">
        <f>IF($C398="","",N(M398)+N(N398))</f>
        <v/>
      </c>
      <c r="R398" s="23">
        <f>IF($C398="","",N(J398)+N(Q398))</f>
        <v/>
      </c>
      <c r="S398" s="25">
        <f>IF(OR($C398="",N($G398)=0),"",R398/$G398)</f>
        <v/>
      </c>
      <c r="T398" s="23">
        <f>IF($C398="","",N($G398)-N(R398))</f>
        <v/>
      </c>
      <c r="U398" s="24" t="n"/>
      <c r="V398" s="22" t="n"/>
    </row>
    <row r="399">
      <c r="B399" s="13">
        <f>IF($C399="","",COUNTA($C$9:$C399))</f>
        <v/>
      </c>
      <c r="C399" s="21" t="n"/>
      <c r="D399" s="14" t="n"/>
      <c r="E399" s="14" t="n"/>
      <c r="F399" s="14" t="n"/>
      <c r="G399" s="22" t="n"/>
      <c r="H399" s="22" t="n"/>
      <c r="I399" s="22" t="n"/>
      <c r="J399" s="22" t="n"/>
      <c r="K399" s="22" t="n"/>
      <c r="L399" s="22" t="n"/>
      <c r="M399" s="22" t="n"/>
      <c r="N399" s="22" t="n"/>
      <c r="O399" s="23">
        <f>IF($C399="","",N(L399)-N(M399))</f>
        <v/>
      </c>
      <c r="P399" s="24" t="n"/>
      <c r="Q399" s="23">
        <f>IF($C399="","",N(M399)+N(N399))</f>
        <v/>
      </c>
      <c r="R399" s="23">
        <f>IF($C399="","",N(J399)+N(Q399))</f>
        <v/>
      </c>
      <c r="S399" s="25">
        <f>IF(OR($C399="",N($G399)=0),"",R399/$G399)</f>
        <v/>
      </c>
      <c r="T399" s="23">
        <f>IF($C399="","",N($G399)-N(R399))</f>
        <v/>
      </c>
      <c r="U399" s="24" t="n"/>
      <c r="V399" s="22" t="n"/>
    </row>
    <row r="400">
      <c r="B400" s="13">
        <f>IF($C400="","",COUNTA($C$9:$C400))</f>
        <v/>
      </c>
      <c r="C400" s="21" t="n"/>
      <c r="D400" s="14" t="n"/>
      <c r="E400" s="14" t="n"/>
      <c r="F400" s="14" t="n"/>
      <c r="G400" s="22" t="n"/>
      <c r="H400" s="22" t="n"/>
      <c r="I400" s="22" t="n"/>
      <c r="J400" s="22" t="n"/>
      <c r="K400" s="22" t="n"/>
      <c r="L400" s="22" t="n"/>
      <c r="M400" s="22" t="n"/>
      <c r="N400" s="22" t="n"/>
      <c r="O400" s="23">
        <f>IF($C400="","",N(L400)-N(M400))</f>
        <v/>
      </c>
      <c r="P400" s="24" t="n"/>
      <c r="Q400" s="23">
        <f>IF($C400="","",N(M400)+N(N400))</f>
        <v/>
      </c>
      <c r="R400" s="23">
        <f>IF($C400="","",N(J400)+N(Q400))</f>
        <v/>
      </c>
      <c r="S400" s="25">
        <f>IF(OR($C400="",N($G400)=0),"",R400/$G400)</f>
        <v/>
      </c>
      <c r="T400" s="23">
        <f>IF($C400="","",N($G400)-N(R400))</f>
        <v/>
      </c>
      <c r="U400" s="24" t="n"/>
      <c r="V400" s="22" t="n"/>
    </row>
    <row r="401">
      <c r="B401" s="13">
        <f>IF($C401="","",COUNTA($C$9:$C401))</f>
        <v/>
      </c>
      <c r="C401" s="21" t="n"/>
      <c r="D401" s="14" t="n"/>
      <c r="E401" s="14" t="n"/>
      <c r="F401" s="14" t="n"/>
      <c r="G401" s="22" t="n"/>
      <c r="H401" s="22" t="n"/>
      <c r="I401" s="22" t="n"/>
      <c r="J401" s="22" t="n"/>
      <c r="K401" s="22" t="n"/>
      <c r="L401" s="22" t="n"/>
      <c r="M401" s="22" t="n"/>
      <c r="N401" s="22" t="n"/>
      <c r="O401" s="23">
        <f>IF($C401="","",N(L401)-N(M401))</f>
        <v/>
      </c>
      <c r="P401" s="24" t="n"/>
      <c r="Q401" s="23">
        <f>IF($C401="","",N(M401)+N(N401))</f>
        <v/>
      </c>
      <c r="R401" s="23">
        <f>IF($C401="","",N(J401)+N(Q401))</f>
        <v/>
      </c>
      <c r="S401" s="25">
        <f>IF(OR($C401="",N($G401)=0),"",R401/$G401)</f>
        <v/>
      </c>
      <c r="T401" s="23">
        <f>IF($C401="","",N($G401)-N(R401))</f>
        <v/>
      </c>
      <c r="U401" s="24" t="n"/>
      <c r="V401" s="22" t="n"/>
    </row>
    <row r="402">
      <c r="B402" s="13">
        <f>IF($C402="","",COUNTA($C$9:$C402))</f>
        <v/>
      </c>
      <c r="C402" s="21" t="n"/>
      <c r="D402" s="14" t="n"/>
      <c r="E402" s="14" t="n"/>
      <c r="F402" s="14" t="n"/>
      <c r="G402" s="22" t="n"/>
      <c r="H402" s="22" t="n"/>
      <c r="I402" s="22" t="n"/>
      <c r="J402" s="22" t="n"/>
      <c r="K402" s="22" t="n"/>
      <c r="L402" s="22" t="n"/>
      <c r="M402" s="22" t="n"/>
      <c r="N402" s="22" t="n"/>
      <c r="O402" s="23">
        <f>IF($C402="","",N(L402)-N(M402))</f>
        <v/>
      </c>
      <c r="P402" s="24" t="n"/>
      <c r="Q402" s="23">
        <f>IF($C402="","",N(M402)+N(N402))</f>
        <v/>
      </c>
      <c r="R402" s="23">
        <f>IF($C402="","",N(J402)+N(Q402))</f>
        <v/>
      </c>
      <c r="S402" s="25">
        <f>IF(OR($C402="",N($G402)=0),"",R402/$G402)</f>
        <v/>
      </c>
      <c r="T402" s="23">
        <f>IF($C402="","",N($G402)-N(R402))</f>
        <v/>
      </c>
      <c r="U402" s="24" t="n"/>
      <c r="V402" s="22" t="n"/>
    </row>
    <row r="403">
      <c r="B403" s="13">
        <f>IF($C403="","",COUNTA($C$9:$C403))</f>
        <v/>
      </c>
      <c r="C403" s="21" t="n"/>
      <c r="D403" s="14" t="n"/>
      <c r="E403" s="14" t="n"/>
      <c r="F403" s="14" t="n"/>
      <c r="G403" s="22" t="n"/>
      <c r="H403" s="22" t="n"/>
      <c r="I403" s="22" t="n"/>
      <c r="J403" s="22" t="n"/>
      <c r="K403" s="22" t="n"/>
      <c r="L403" s="22" t="n"/>
      <c r="M403" s="22" t="n"/>
      <c r="N403" s="22" t="n"/>
      <c r="O403" s="23">
        <f>IF($C403="","",N(L403)-N(M403))</f>
        <v/>
      </c>
      <c r="P403" s="24" t="n"/>
      <c r="Q403" s="23">
        <f>IF($C403="","",N(M403)+N(N403))</f>
        <v/>
      </c>
      <c r="R403" s="23">
        <f>IF($C403="","",N(J403)+N(Q403))</f>
        <v/>
      </c>
      <c r="S403" s="25">
        <f>IF(OR($C403="",N($G403)=0),"",R403/$G403)</f>
        <v/>
      </c>
      <c r="T403" s="23">
        <f>IF($C403="","",N($G403)-N(R403))</f>
        <v/>
      </c>
      <c r="U403" s="24" t="n"/>
      <c r="V403" s="22" t="n"/>
    </row>
    <row r="404">
      <c r="B404" s="13">
        <f>IF($C404="","",COUNTA($C$9:$C404))</f>
        <v/>
      </c>
      <c r="C404" s="21" t="n"/>
      <c r="D404" s="14" t="n"/>
      <c r="E404" s="14" t="n"/>
      <c r="F404" s="14" t="n"/>
      <c r="G404" s="22" t="n"/>
      <c r="H404" s="22" t="n"/>
      <c r="I404" s="22" t="n"/>
      <c r="J404" s="22" t="n"/>
      <c r="K404" s="22" t="n"/>
      <c r="L404" s="22" t="n"/>
      <c r="M404" s="22" t="n"/>
      <c r="N404" s="22" t="n"/>
      <c r="O404" s="23">
        <f>IF($C404="","",N(L404)-N(M404))</f>
        <v/>
      </c>
      <c r="P404" s="24" t="n"/>
      <c r="Q404" s="23">
        <f>IF($C404="","",N(M404)+N(N404))</f>
        <v/>
      </c>
      <c r="R404" s="23">
        <f>IF($C404="","",N(J404)+N(Q404))</f>
        <v/>
      </c>
      <c r="S404" s="25">
        <f>IF(OR($C404="",N($G404)=0),"",R404/$G404)</f>
        <v/>
      </c>
      <c r="T404" s="23">
        <f>IF($C404="","",N($G404)-N(R404))</f>
        <v/>
      </c>
      <c r="U404" s="24" t="n"/>
      <c r="V404" s="22" t="n"/>
    </row>
    <row r="405">
      <c r="B405" s="13">
        <f>IF($C405="","",COUNTA($C$9:$C405))</f>
        <v/>
      </c>
      <c r="C405" s="21" t="n"/>
      <c r="D405" s="14" t="n"/>
      <c r="E405" s="14" t="n"/>
      <c r="F405" s="14" t="n"/>
      <c r="G405" s="22" t="n"/>
      <c r="H405" s="22" t="n"/>
      <c r="I405" s="22" t="n"/>
      <c r="J405" s="22" t="n"/>
      <c r="K405" s="22" t="n"/>
      <c r="L405" s="22" t="n"/>
      <c r="M405" s="22" t="n"/>
      <c r="N405" s="22" t="n"/>
      <c r="O405" s="23">
        <f>IF($C405="","",N(L405)-N(M405))</f>
        <v/>
      </c>
      <c r="P405" s="24" t="n"/>
      <c r="Q405" s="23">
        <f>IF($C405="","",N(M405)+N(N405))</f>
        <v/>
      </c>
      <c r="R405" s="23">
        <f>IF($C405="","",N(J405)+N(Q405))</f>
        <v/>
      </c>
      <c r="S405" s="25">
        <f>IF(OR($C405="",N($G405)=0),"",R405/$G405)</f>
        <v/>
      </c>
      <c r="T405" s="23">
        <f>IF($C405="","",N($G405)-N(R405))</f>
        <v/>
      </c>
      <c r="U405" s="24" t="n"/>
      <c r="V405" s="22" t="n"/>
    </row>
    <row r="406">
      <c r="B406" s="13">
        <f>IF($C406="","",COUNTA($C$9:$C406))</f>
        <v/>
      </c>
      <c r="C406" s="21" t="n"/>
      <c r="D406" s="14" t="n"/>
      <c r="E406" s="14" t="n"/>
      <c r="F406" s="14" t="n"/>
      <c r="G406" s="22" t="n"/>
      <c r="H406" s="22" t="n"/>
      <c r="I406" s="22" t="n"/>
      <c r="J406" s="22" t="n"/>
      <c r="K406" s="22" t="n"/>
      <c r="L406" s="22" t="n"/>
      <c r="M406" s="22" t="n"/>
      <c r="N406" s="22" t="n"/>
      <c r="O406" s="23">
        <f>IF($C406="","",N(L406)-N(M406))</f>
        <v/>
      </c>
      <c r="P406" s="24" t="n"/>
      <c r="Q406" s="23">
        <f>IF($C406="","",N(M406)+N(N406))</f>
        <v/>
      </c>
      <c r="R406" s="23">
        <f>IF($C406="","",N(J406)+N(Q406))</f>
        <v/>
      </c>
      <c r="S406" s="25">
        <f>IF(OR($C406="",N($G406)=0),"",R406/$G406)</f>
        <v/>
      </c>
      <c r="T406" s="23">
        <f>IF($C406="","",N($G406)-N(R406))</f>
        <v/>
      </c>
      <c r="U406" s="24" t="n"/>
      <c r="V406" s="22" t="n"/>
    </row>
    <row r="407">
      <c r="B407" s="13">
        <f>IF($C407="","",COUNTA($C$9:$C407))</f>
        <v/>
      </c>
      <c r="C407" s="21" t="n"/>
      <c r="D407" s="14" t="n"/>
      <c r="E407" s="14" t="n"/>
      <c r="F407" s="14" t="n"/>
      <c r="G407" s="22" t="n"/>
      <c r="H407" s="22" t="n"/>
      <c r="I407" s="22" t="n"/>
      <c r="J407" s="22" t="n"/>
      <c r="K407" s="22" t="n"/>
      <c r="L407" s="22" t="n"/>
      <c r="M407" s="22" t="n"/>
      <c r="N407" s="22" t="n"/>
      <c r="O407" s="23">
        <f>IF($C407="","",N(L407)-N(M407))</f>
        <v/>
      </c>
      <c r="P407" s="24" t="n"/>
      <c r="Q407" s="23">
        <f>IF($C407="","",N(M407)+N(N407))</f>
        <v/>
      </c>
      <c r="R407" s="23">
        <f>IF($C407="","",N(J407)+N(Q407))</f>
        <v/>
      </c>
      <c r="S407" s="25">
        <f>IF(OR($C407="",N($G407)=0),"",R407/$G407)</f>
        <v/>
      </c>
      <c r="T407" s="23">
        <f>IF($C407="","",N($G407)-N(R407))</f>
        <v/>
      </c>
      <c r="U407" s="24" t="n"/>
      <c r="V407" s="22" t="n"/>
    </row>
    <row r="408">
      <c r="B408" s="13">
        <f>IF($C408="","",COUNTA($C$9:$C408))</f>
        <v/>
      </c>
      <c r="C408" s="21" t="n"/>
      <c r="D408" s="14" t="n"/>
      <c r="E408" s="14" t="n"/>
      <c r="F408" s="14" t="n"/>
      <c r="G408" s="22" t="n"/>
      <c r="H408" s="22" t="n"/>
      <c r="I408" s="22" t="n"/>
      <c r="J408" s="22" t="n"/>
      <c r="K408" s="22" t="n"/>
      <c r="L408" s="22" t="n"/>
      <c r="M408" s="22" t="n"/>
      <c r="N408" s="22" t="n"/>
      <c r="O408" s="23">
        <f>IF($C408="","",N(L408)-N(M408))</f>
        <v/>
      </c>
      <c r="P408" s="24" t="n"/>
      <c r="Q408" s="23">
        <f>IF($C408="","",N(M408)+N(N408))</f>
        <v/>
      </c>
      <c r="R408" s="23">
        <f>IF($C408="","",N(J408)+N(Q408))</f>
        <v/>
      </c>
      <c r="S408" s="25">
        <f>IF(OR($C408="",N($G408)=0),"",R408/$G408)</f>
        <v/>
      </c>
      <c r="T408" s="23">
        <f>IF($C408="","",N($G408)-N(R408))</f>
        <v/>
      </c>
      <c r="U408" s="24" t="n"/>
      <c r="V408" s="22" t="n"/>
    </row>
  </sheetData>
  <autoFilter ref="B7:V408"/>
  <mergeCells count="2">
    <mergeCell ref="C4:V4"/>
    <mergeCell ref="C3:V3"/>
  </mergeCells>
  <conditionalFormatting sqref="O9:O408">
    <cfRule type="cellIs" priority="1" operator="greaterThan" dxfId="0">
      <formula>0</formula>
    </cfRule>
  </conditionalFormatting>
  <conditionalFormatting sqref="S9:S408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dataValidations count="3">
    <dataValidation sqref="D9:D408" showDropDown="0" showInputMessage="0" showErrorMessage="0" allowBlank="1" type="list">
      <formula1>=Areas</formula1>
    </dataValidation>
    <dataValidation sqref="E9:E408" showDropDown="0" showInputMessage="0" showErrorMessage="0" allowBlank="1" type="list">
      <formula1>=Activities</formula1>
    </dataValidation>
    <dataValidation sqref="F9:F408" showDropDown="0" showInputMessage="0" showErrorMessage="0" allowBlank="1" type="list">
      <formula1>=Agencies</formula1>
    </dataValidation>
  </dataValidation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B1:V408"/>
  <sheetViews>
    <sheetView zoomScale="85" workbookViewId="0">
      <pane xSplit="6" ySplit="8" topLeftCell="G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6" customWidth="1" min="2" max="2"/>
    <col width="38" customWidth="1" min="3" max="3"/>
    <col width="22" customWidth="1" min="4" max="4"/>
    <col width="24" customWidth="1" min="5" max="5"/>
    <col width="22" customWidth="1" min="6" max="6"/>
    <col width="11" customWidth="1" min="7" max="7"/>
    <col width="12" customWidth="1" min="8" max="8"/>
    <col width="12" customWidth="1" min="9" max="9"/>
    <col width="13" customWidth="1" min="10" max="10"/>
    <col width="11" customWidth="1" min="11" max="11"/>
    <col width="11" customWidth="1" min="12" max="12"/>
    <col width="11" customWidth="1" min="13" max="13"/>
    <col width="13" customWidth="1" min="14" max="14"/>
    <col width="12" customWidth="1" min="15" max="15"/>
    <col width="26" customWidth="1" min="16" max="16"/>
    <col width="13" customWidth="1" min="17" max="17"/>
    <col width="13" customWidth="1" min="18" max="18"/>
    <col width="10" customWidth="1" min="19" max="19"/>
    <col width="11" customWidth="1" min="20" max="20"/>
    <col width="30" customWidth="1" min="21" max="21"/>
    <col width="11" customWidth="1" min="22" max="22"/>
  </cols>
  <sheetData>
    <row r="1" ht="15" customHeight="1"/>
    <row r="2" ht="15" customHeight="1">
      <c r="B2" s="5" t="inlineStr">
        <is>
          <t>JSW</t>
        </is>
      </c>
    </row>
    <row r="3" ht="15" customHeight="1">
      <c r="C3" s="18" t="inlineStr">
        <is>
          <t>Equipment Erection  —  Backup Sheet   (UOM: MT)</t>
        </is>
      </c>
    </row>
    <row r="4" ht="15" customHeight="1">
      <c r="C4" s="19">
        <f>Config!$C$4</f>
        <v/>
      </c>
    </row>
    <row r="5" ht="15" customHeight="1">
      <c r="S5" s="8" t="inlineStr">
        <is>
          <t>Data date:</t>
        </is>
      </c>
      <c r="T5" s="9">
        <f>Config!$C$6</f>
        <v/>
      </c>
    </row>
    <row r="6" ht="15" customHeight="1">
      <c r="S6" s="8" t="inlineStr">
        <is>
          <t>Reporting date:</t>
        </is>
      </c>
      <c r="T6" s="9">
        <f>Config!$C$7</f>
        <v/>
      </c>
    </row>
    <row r="7" ht="34" customHeight="1">
      <c r="B7" s="20" t="inlineStr">
        <is>
          <t>SL.</t>
        </is>
      </c>
      <c r="C7" s="20" t="inlineStr">
        <is>
          <t>Name of the Structures</t>
        </is>
      </c>
      <c r="D7" s="20" t="inlineStr">
        <is>
          <t>Area</t>
        </is>
      </c>
      <c r="E7" s="20" t="inlineStr">
        <is>
          <t>Activity</t>
        </is>
      </c>
      <c r="F7" s="20" t="inlineStr">
        <is>
          <t>Agency / Contractor</t>
        </is>
      </c>
      <c r="G7" s="20" t="inlineStr">
        <is>
          <t>Scope</t>
        </is>
      </c>
      <c r="H7" s="20" t="inlineStr">
        <is>
          <t>Drawing Released</t>
        </is>
      </c>
      <c r="I7" s="20" t="inlineStr">
        <is>
          <t>Cum Front Available</t>
        </is>
      </c>
      <c r="J7" s="20" t="inlineStr">
        <is>
          <t>Achieved till last month</t>
        </is>
      </c>
      <c r="K7" s="20" t="inlineStr">
        <is>
          <t>Plan FTM</t>
        </is>
      </c>
      <c r="L7" s="20" t="inlineStr">
        <is>
          <t>Plan FTD</t>
        </is>
      </c>
      <c r="M7" s="20" t="inlineStr">
        <is>
          <t>Achieved FTD</t>
        </is>
      </c>
      <c r="N7" s="20" t="inlineStr">
        <is>
          <t>Achieved FTM till previous date</t>
        </is>
      </c>
      <c r="O7" s="20" t="inlineStr">
        <is>
          <t>Variance for the Day</t>
        </is>
      </c>
      <c r="P7" s="20" t="inlineStr">
        <is>
          <t>Reason(s) for Variance</t>
        </is>
      </c>
      <c r="Q7" s="20" t="inlineStr">
        <is>
          <t>Achieved FTM till date</t>
        </is>
      </c>
      <c r="R7" s="20" t="inlineStr">
        <is>
          <t>Workdone Till Date</t>
        </is>
      </c>
      <c r="S7" s="20" t="inlineStr">
        <is>
          <t>% Complete</t>
        </is>
      </c>
      <c r="T7" s="20" t="inlineStr">
        <is>
          <t>Balance</t>
        </is>
      </c>
      <c r="U7" s="20" t="inlineStr">
        <is>
          <t>Remarks</t>
        </is>
      </c>
      <c r="V7" s="20" t="inlineStr">
        <is>
          <t>Available Manpower</t>
        </is>
      </c>
    </row>
    <row r="8" ht="15" customHeight="1">
      <c r="B8" s="12" t="inlineStr">
        <is>
          <t>a</t>
        </is>
      </c>
      <c r="C8" s="12" t="inlineStr">
        <is>
          <t>b</t>
        </is>
      </c>
      <c r="D8" s="12" t="inlineStr">
        <is>
          <t>c</t>
        </is>
      </c>
      <c r="E8" s="12" t="inlineStr">
        <is>
          <t>d</t>
        </is>
      </c>
      <c r="F8" s="12" t="inlineStr">
        <is>
          <t>e</t>
        </is>
      </c>
      <c r="G8" s="12" t="inlineStr">
        <is>
          <t>f</t>
        </is>
      </c>
      <c r="H8" s="12" t="inlineStr">
        <is>
          <t>g</t>
        </is>
      </c>
      <c r="I8" s="12" t="inlineStr">
        <is>
          <t>h</t>
        </is>
      </c>
      <c r="J8" s="12" t="inlineStr">
        <is>
          <t>i</t>
        </is>
      </c>
      <c r="K8" s="12" t="inlineStr">
        <is>
          <t>j</t>
        </is>
      </c>
      <c r="L8" s="12" t="inlineStr">
        <is>
          <t>k</t>
        </is>
      </c>
      <c r="M8" s="12" t="inlineStr">
        <is>
          <t>l</t>
        </is>
      </c>
      <c r="N8" s="12" t="inlineStr">
        <is>
          <t>m</t>
        </is>
      </c>
      <c r="O8" s="12" t="inlineStr">
        <is>
          <t>n = k-l</t>
        </is>
      </c>
      <c r="P8" s="12" t="inlineStr">
        <is>
          <t>o</t>
        </is>
      </c>
      <c r="Q8" s="12" t="inlineStr">
        <is>
          <t>p = l+m</t>
        </is>
      </c>
      <c r="R8" s="12" t="inlineStr">
        <is>
          <t>q = i+p</t>
        </is>
      </c>
      <c r="S8" s="12" t="inlineStr">
        <is>
          <t>r = (q/f)x100</t>
        </is>
      </c>
      <c r="T8" s="12" t="inlineStr">
        <is>
          <t>s = f-q</t>
        </is>
      </c>
      <c r="U8" s="12" t="inlineStr">
        <is>
          <t>t</t>
        </is>
      </c>
      <c r="V8" s="12" t="inlineStr">
        <is>
          <t>u</t>
        </is>
      </c>
    </row>
    <row r="9">
      <c r="B9" s="13">
        <f>IF($C9="","",COUNTA($C$9:$C9))</f>
        <v/>
      </c>
      <c r="C9" s="21" t="n"/>
      <c r="D9" s="14" t="n"/>
      <c r="E9" s="14" t="n"/>
      <c r="F9" s="14" t="n"/>
      <c r="G9" s="22" t="n"/>
      <c r="H9" s="22" t="n"/>
      <c r="I9" s="22" t="n"/>
      <c r="J9" s="22" t="n"/>
      <c r="K9" s="22" t="n"/>
      <c r="L9" s="22" t="n"/>
      <c r="M9" s="22" t="n"/>
      <c r="N9" s="22" t="n"/>
      <c r="O9" s="23">
        <f>IF($C9="","",N(L9)-N(M9))</f>
        <v/>
      </c>
      <c r="P9" s="24" t="n"/>
      <c r="Q9" s="23">
        <f>IF($C9="","",N(M9)+N(N9))</f>
        <v/>
      </c>
      <c r="R9" s="23">
        <f>IF($C9="","",N(J9)+N(Q9))</f>
        <v/>
      </c>
      <c r="S9" s="25">
        <f>IF(OR($C9="",N($G9)=0),"",R9/$G9)</f>
        <v/>
      </c>
      <c r="T9" s="23">
        <f>IF($C9="","",N($G9)-N(R9))</f>
        <v/>
      </c>
      <c r="U9" s="24" t="n"/>
      <c r="V9" s="22" t="n"/>
    </row>
    <row r="10">
      <c r="B10" s="13">
        <f>IF($C10="","",COUNTA($C$9:$C10))</f>
        <v/>
      </c>
      <c r="C10" s="21" t="n"/>
      <c r="D10" s="14" t="n"/>
      <c r="E10" s="14" t="n"/>
      <c r="F10" s="14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3">
        <f>IF($C10="","",N(L10)-N(M10))</f>
        <v/>
      </c>
      <c r="P10" s="24" t="n"/>
      <c r="Q10" s="23">
        <f>IF($C10="","",N(M10)+N(N10))</f>
        <v/>
      </c>
      <c r="R10" s="23">
        <f>IF($C10="","",N(J10)+N(Q10))</f>
        <v/>
      </c>
      <c r="S10" s="25">
        <f>IF(OR($C10="",N($G10)=0),"",R10/$G10)</f>
        <v/>
      </c>
      <c r="T10" s="23">
        <f>IF($C10="","",N($G10)-N(R10))</f>
        <v/>
      </c>
      <c r="U10" s="24" t="n"/>
      <c r="V10" s="22" t="n"/>
    </row>
    <row r="11">
      <c r="B11" s="13">
        <f>IF($C11="","",COUNTA($C$9:$C11))</f>
        <v/>
      </c>
      <c r="C11" s="21" t="n"/>
      <c r="D11" s="14" t="n"/>
      <c r="E11" s="14" t="n"/>
      <c r="F11" s="14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3">
        <f>IF($C11="","",N(L11)-N(M11))</f>
        <v/>
      </c>
      <c r="P11" s="24" t="n"/>
      <c r="Q11" s="23">
        <f>IF($C11="","",N(M11)+N(N11))</f>
        <v/>
      </c>
      <c r="R11" s="23">
        <f>IF($C11="","",N(J11)+N(Q11))</f>
        <v/>
      </c>
      <c r="S11" s="25">
        <f>IF(OR($C11="",N($G11)=0),"",R11/$G11)</f>
        <v/>
      </c>
      <c r="T11" s="23">
        <f>IF($C11="","",N($G11)-N(R11))</f>
        <v/>
      </c>
      <c r="U11" s="24" t="n"/>
      <c r="V11" s="22" t="n"/>
    </row>
    <row r="12">
      <c r="B12" s="13">
        <f>IF($C12="","",COUNTA($C$9:$C12))</f>
        <v/>
      </c>
      <c r="C12" s="21" t="n"/>
      <c r="D12" s="14" t="n"/>
      <c r="E12" s="14" t="n"/>
      <c r="F12" s="14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3">
        <f>IF($C12="","",N(L12)-N(M12))</f>
        <v/>
      </c>
      <c r="P12" s="24" t="n"/>
      <c r="Q12" s="23">
        <f>IF($C12="","",N(M12)+N(N12))</f>
        <v/>
      </c>
      <c r="R12" s="23">
        <f>IF($C12="","",N(J12)+N(Q12))</f>
        <v/>
      </c>
      <c r="S12" s="25">
        <f>IF(OR($C12="",N($G12)=0),"",R12/$G12)</f>
        <v/>
      </c>
      <c r="T12" s="23">
        <f>IF($C12="","",N($G12)-N(R12))</f>
        <v/>
      </c>
      <c r="U12" s="24" t="n"/>
      <c r="V12" s="22" t="n"/>
    </row>
    <row r="13">
      <c r="B13" s="13">
        <f>IF($C13="","",COUNTA($C$9:$C13))</f>
        <v/>
      </c>
      <c r="C13" s="21" t="n"/>
      <c r="D13" s="14" t="n"/>
      <c r="E13" s="14" t="n"/>
      <c r="F13" s="14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3">
        <f>IF($C13="","",N(L13)-N(M13))</f>
        <v/>
      </c>
      <c r="P13" s="24" t="n"/>
      <c r="Q13" s="23">
        <f>IF($C13="","",N(M13)+N(N13))</f>
        <v/>
      </c>
      <c r="R13" s="23">
        <f>IF($C13="","",N(J13)+N(Q13))</f>
        <v/>
      </c>
      <c r="S13" s="25">
        <f>IF(OR($C13="",N($G13)=0),"",R13/$G13)</f>
        <v/>
      </c>
      <c r="T13" s="23">
        <f>IF($C13="","",N($G13)-N(R13))</f>
        <v/>
      </c>
      <c r="U13" s="24" t="n"/>
      <c r="V13" s="22" t="n"/>
    </row>
    <row r="14">
      <c r="B14" s="13">
        <f>IF($C14="","",COUNTA($C$9:$C14))</f>
        <v/>
      </c>
      <c r="C14" s="21" t="n"/>
      <c r="D14" s="14" t="n"/>
      <c r="E14" s="14" t="n"/>
      <c r="F14" s="14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3">
        <f>IF($C14="","",N(L14)-N(M14))</f>
        <v/>
      </c>
      <c r="P14" s="24" t="n"/>
      <c r="Q14" s="23">
        <f>IF($C14="","",N(M14)+N(N14))</f>
        <v/>
      </c>
      <c r="R14" s="23">
        <f>IF($C14="","",N(J14)+N(Q14))</f>
        <v/>
      </c>
      <c r="S14" s="25">
        <f>IF(OR($C14="",N($G14)=0),"",R14/$G14)</f>
        <v/>
      </c>
      <c r="T14" s="23">
        <f>IF($C14="","",N($G14)-N(R14))</f>
        <v/>
      </c>
      <c r="U14" s="24" t="n"/>
      <c r="V14" s="22" t="n"/>
    </row>
    <row r="15">
      <c r="B15" s="13">
        <f>IF($C15="","",COUNTA($C$9:$C15))</f>
        <v/>
      </c>
      <c r="C15" s="21" t="n"/>
      <c r="D15" s="14" t="n"/>
      <c r="E15" s="14" t="n"/>
      <c r="F15" s="14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3">
        <f>IF($C15="","",N(L15)-N(M15))</f>
        <v/>
      </c>
      <c r="P15" s="24" t="n"/>
      <c r="Q15" s="23">
        <f>IF($C15="","",N(M15)+N(N15))</f>
        <v/>
      </c>
      <c r="R15" s="23">
        <f>IF($C15="","",N(J15)+N(Q15))</f>
        <v/>
      </c>
      <c r="S15" s="25">
        <f>IF(OR($C15="",N($G15)=0),"",R15/$G15)</f>
        <v/>
      </c>
      <c r="T15" s="23">
        <f>IF($C15="","",N($G15)-N(R15))</f>
        <v/>
      </c>
      <c r="U15" s="24" t="n"/>
      <c r="V15" s="22" t="n"/>
    </row>
    <row r="16">
      <c r="B16" s="13">
        <f>IF($C16="","",COUNTA($C$9:$C16))</f>
        <v/>
      </c>
      <c r="C16" s="21" t="n"/>
      <c r="D16" s="14" t="n"/>
      <c r="E16" s="14" t="n"/>
      <c r="F16" s="14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3">
        <f>IF($C16="","",N(L16)-N(M16))</f>
        <v/>
      </c>
      <c r="P16" s="24" t="n"/>
      <c r="Q16" s="23">
        <f>IF($C16="","",N(M16)+N(N16))</f>
        <v/>
      </c>
      <c r="R16" s="23">
        <f>IF($C16="","",N(J16)+N(Q16))</f>
        <v/>
      </c>
      <c r="S16" s="25">
        <f>IF(OR($C16="",N($G16)=0),"",R16/$G16)</f>
        <v/>
      </c>
      <c r="T16" s="23">
        <f>IF($C16="","",N($G16)-N(R16))</f>
        <v/>
      </c>
      <c r="U16" s="24" t="n"/>
      <c r="V16" s="22" t="n"/>
    </row>
    <row r="17">
      <c r="B17" s="13">
        <f>IF($C17="","",COUNTA($C$9:$C17))</f>
        <v/>
      </c>
      <c r="C17" s="21" t="n"/>
      <c r="D17" s="14" t="n"/>
      <c r="E17" s="14" t="n"/>
      <c r="F17" s="14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3">
        <f>IF($C17="","",N(L17)-N(M17))</f>
        <v/>
      </c>
      <c r="P17" s="24" t="n"/>
      <c r="Q17" s="23">
        <f>IF($C17="","",N(M17)+N(N17))</f>
        <v/>
      </c>
      <c r="R17" s="23">
        <f>IF($C17="","",N(J17)+N(Q17))</f>
        <v/>
      </c>
      <c r="S17" s="25">
        <f>IF(OR($C17="",N($G17)=0),"",R17/$G17)</f>
        <v/>
      </c>
      <c r="T17" s="23">
        <f>IF($C17="","",N($G17)-N(R17))</f>
        <v/>
      </c>
      <c r="U17" s="24" t="n"/>
      <c r="V17" s="22" t="n"/>
    </row>
    <row r="18">
      <c r="B18" s="13">
        <f>IF($C18="","",COUNTA($C$9:$C18))</f>
        <v/>
      </c>
      <c r="C18" s="21" t="n"/>
      <c r="D18" s="14" t="n"/>
      <c r="E18" s="14" t="n"/>
      <c r="F18" s="14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3">
        <f>IF($C18="","",N(L18)-N(M18))</f>
        <v/>
      </c>
      <c r="P18" s="24" t="n"/>
      <c r="Q18" s="23">
        <f>IF($C18="","",N(M18)+N(N18))</f>
        <v/>
      </c>
      <c r="R18" s="23">
        <f>IF($C18="","",N(J18)+N(Q18))</f>
        <v/>
      </c>
      <c r="S18" s="25">
        <f>IF(OR($C18="",N($G18)=0),"",R18/$G18)</f>
        <v/>
      </c>
      <c r="T18" s="23">
        <f>IF($C18="","",N($G18)-N(R18))</f>
        <v/>
      </c>
      <c r="U18" s="24" t="n"/>
      <c r="V18" s="22" t="n"/>
    </row>
    <row r="19">
      <c r="B19" s="13">
        <f>IF($C19="","",COUNTA($C$9:$C19))</f>
        <v/>
      </c>
      <c r="C19" s="21" t="n"/>
      <c r="D19" s="14" t="n"/>
      <c r="E19" s="14" t="n"/>
      <c r="F19" s="14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3">
        <f>IF($C19="","",N(L19)-N(M19))</f>
        <v/>
      </c>
      <c r="P19" s="24" t="n"/>
      <c r="Q19" s="23">
        <f>IF($C19="","",N(M19)+N(N19))</f>
        <v/>
      </c>
      <c r="R19" s="23">
        <f>IF($C19="","",N(J19)+N(Q19))</f>
        <v/>
      </c>
      <c r="S19" s="25">
        <f>IF(OR($C19="",N($G19)=0),"",R19/$G19)</f>
        <v/>
      </c>
      <c r="T19" s="23">
        <f>IF($C19="","",N($G19)-N(R19))</f>
        <v/>
      </c>
      <c r="U19" s="24" t="n"/>
      <c r="V19" s="22" t="n"/>
    </row>
    <row r="20">
      <c r="B20" s="13">
        <f>IF($C20="","",COUNTA($C$9:$C20))</f>
        <v/>
      </c>
      <c r="C20" s="21" t="n"/>
      <c r="D20" s="14" t="n"/>
      <c r="E20" s="14" t="n"/>
      <c r="F20" s="14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3">
        <f>IF($C20="","",N(L20)-N(M20))</f>
        <v/>
      </c>
      <c r="P20" s="24" t="n"/>
      <c r="Q20" s="23">
        <f>IF($C20="","",N(M20)+N(N20))</f>
        <v/>
      </c>
      <c r="R20" s="23">
        <f>IF($C20="","",N(J20)+N(Q20))</f>
        <v/>
      </c>
      <c r="S20" s="25">
        <f>IF(OR($C20="",N($G20)=0),"",R20/$G20)</f>
        <v/>
      </c>
      <c r="T20" s="23">
        <f>IF($C20="","",N($G20)-N(R20))</f>
        <v/>
      </c>
      <c r="U20" s="24" t="n"/>
      <c r="V20" s="22" t="n"/>
    </row>
    <row r="21">
      <c r="B21" s="13">
        <f>IF($C21="","",COUNTA($C$9:$C21))</f>
        <v/>
      </c>
      <c r="C21" s="21" t="n"/>
      <c r="D21" s="14" t="n"/>
      <c r="E21" s="14" t="n"/>
      <c r="F21" s="14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3">
        <f>IF($C21="","",N(L21)-N(M21))</f>
        <v/>
      </c>
      <c r="P21" s="24" t="n"/>
      <c r="Q21" s="23">
        <f>IF($C21="","",N(M21)+N(N21))</f>
        <v/>
      </c>
      <c r="R21" s="23">
        <f>IF($C21="","",N(J21)+N(Q21))</f>
        <v/>
      </c>
      <c r="S21" s="25">
        <f>IF(OR($C21="",N($G21)=0),"",R21/$G21)</f>
        <v/>
      </c>
      <c r="T21" s="23">
        <f>IF($C21="","",N($G21)-N(R21))</f>
        <v/>
      </c>
      <c r="U21" s="24" t="n"/>
      <c r="V21" s="22" t="n"/>
    </row>
    <row r="22">
      <c r="B22" s="13">
        <f>IF($C22="","",COUNTA($C$9:$C22))</f>
        <v/>
      </c>
      <c r="C22" s="21" t="n"/>
      <c r="D22" s="14" t="n"/>
      <c r="E22" s="14" t="n"/>
      <c r="F22" s="14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3">
        <f>IF($C22="","",N(L22)-N(M22))</f>
        <v/>
      </c>
      <c r="P22" s="24" t="n"/>
      <c r="Q22" s="23">
        <f>IF($C22="","",N(M22)+N(N22))</f>
        <v/>
      </c>
      <c r="R22" s="23">
        <f>IF($C22="","",N(J22)+N(Q22))</f>
        <v/>
      </c>
      <c r="S22" s="25">
        <f>IF(OR($C22="",N($G22)=0),"",R22/$G22)</f>
        <v/>
      </c>
      <c r="T22" s="23">
        <f>IF($C22="","",N($G22)-N(R22))</f>
        <v/>
      </c>
      <c r="U22" s="24" t="n"/>
      <c r="V22" s="22" t="n"/>
    </row>
    <row r="23">
      <c r="B23" s="13">
        <f>IF($C23="","",COUNTA($C$9:$C23))</f>
        <v/>
      </c>
      <c r="C23" s="21" t="n"/>
      <c r="D23" s="14" t="n"/>
      <c r="E23" s="14" t="n"/>
      <c r="F23" s="14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3">
        <f>IF($C23="","",N(L23)-N(M23))</f>
        <v/>
      </c>
      <c r="P23" s="24" t="n"/>
      <c r="Q23" s="23">
        <f>IF($C23="","",N(M23)+N(N23))</f>
        <v/>
      </c>
      <c r="R23" s="23">
        <f>IF($C23="","",N(J23)+N(Q23))</f>
        <v/>
      </c>
      <c r="S23" s="25">
        <f>IF(OR($C23="",N($G23)=0),"",R23/$G23)</f>
        <v/>
      </c>
      <c r="T23" s="23">
        <f>IF($C23="","",N($G23)-N(R23))</f>
        <v/>
      </c>
      <c r="U23" s="24" t="n"/>
      <c r="V23" s="22" t="n"/>
    </row>
    <row r="24">
      <c r="B24" s="13">
        <f>IF($C24="","",COUNTA($C$9:$C24))</f>
        <v/>
      </c>
      <c r="C24" s="21" t="n"/>
      <c r="D24" s="14" t="n"/>
      <c r="E24" s="14" t="n"/>
      <c r="F24" s="14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3">
        <f>IF($C24="","",N(L24)-N(M24))</f>
        <v/>
      </c>
      <c r="P24" s="24" t="n"/>
      <c r="Q24" s="23">
        <f>IF($C24="","",N(M24)+N(N24))</f>
        <v/>
      </c>
      <c r="R24" s="23">
        <f>IF($C24="","",N(J24)+N(Q24))</f>
        <v/>
      </c>
      <c r="S24" s="25">
        <f>IF(OR($C24="",N($G24)=0),"",R24/$G24)</f>
        <v/>
      </c>
      <c r="T24" s="23">
        <f>IF($C24="","",N($G24)-N(R24))</f>
        <v/>
      </c>
      <c r="U24" s="24" t="n"/>
      <c r="V24" s="22" t="n"/>
    </row>
    <row r="25">
      <c r="B25" s="13">
        <f>IF($C25="","",COUNTA($C$9:$C25))</f>
        <v/>
      </c>
      <c r="C25" s="21" t="n"/>
      <c r="D25" s="14" t="n"/>
      <c r="E25" s="14" t="n"/>
      <c r="F25" s="14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3">
        <f>IF($C25="","",N(L25)-N(M25))</f>
        <v/>
      </c>
      <c r="P25" s="24" t="n"/>
      <c r="Q25" s="23">
        <f>IF($C25="","",N(M25)+N(N25))</f>
        <v/>
      </c>
      <c r="R25" s="23">
        <f>IF($C25="","",N(J25)+N(Q25))</f>
        <v/>
      </c>
      <c r="S25" s="25">
        <f>IF(OR($C25="",N($G25)=0),"",R25/$G25)</f>
        <v/>
      </c>
      <c r="T25" s="23">
        <f>IF($C25="","",N($G25)-N(R25))</f>
        <v/>
      </c>
      <c r="U25" s="24" t="n"/>
      <c r="V25" s="22" t="n"/>
    </row>
    <row r="26">
      <c r="B26" s="13">
        <f>IF($C26="","",COUNTA($C$9:$C26))</f>
        <v/>
      </c>
      <c r="C26" s="21" t="n"/>
      <c r="D26" s="14" t="n"/>
      <c r="E26" s="14" t="n"/>
      <c r="F26" s="14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3">
        <f>IF($C26="","",N(L26)-N(M26))</f>
        <v/>
      </c>
      <c r="P26" s="24" t="n"/>
      <c r="Q26" s="23">
        <f>IF($C26="","",N(M26)+N(N26))</f>
        <v/>
      </c>
      <c r="R26" s="23">
        <f>IF($C26="","",N(J26)+N(Q26))</f>
        <v/>
      </c>
      <c r="S26" s="25">
        <f>IF(OR($C26="",N($G26)=0),"",R26/$G26)</f>
        <v/>
      </c>
      <c r="T26" s="23">
        <f>IF($C26="","",N($G26)-N(R26))</f>
        <v/>
      </c>
      <c r="U26" s="24" t="n"/>
      <c r="V26" s="22" t="n"/>
    </row>
    <row r="27">
      <c r="B27" s="13">
        <f>IF($C27="","",COUNTA($C$9:$C27))</f>
        <v/>
      </c>
      <c r="C27" s="21" t="n"/>
      <c r="D27" s="14" t="n"/>
      <c r="E27" s="14" t="n"/>
      <c r="F27" s="14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3">
        <f>IF($C27="","",N(L27)-N(M27))</f>
        <v/>
      </c>
      <c r="P27" s="24" t="n"/>
      <c r="Q27" s="23">
        <f>IF($C27="","",N(M27)+N(N27))</f>
        <v/>
      </c>
      <c r="R27" s="23">
        <f>IF($C27="","",N(J27)+N(Q27))</f>
        <v/>
      </c>
      <c r="S27" s="25">
        <f>IF(OR($C27="",N($G27)=0),"",R27/$G27)</f>
        <v/>
      </c>
      <c r="T27" s="23">
        <f>IF($C27="","",N($G27)-N(R27))</f>
        <v/>
      </c>
      <c r="U27" s="24" t="n"/>
      <c r="V27" s="22" t="n"/>
    </row>
    <row r="28">
      <c r="B28" s="13">
        <f>IF($C28="","",COUNTA($C$9:$C28))</f>
        <v/>
      </c>
      <c r="C28" s="21" t="n"/>
      <c r="D28" s="14" t="n"/>
      <c r="E28" s="14" t="n"/>
      <c r="F28" s="14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3">
        <f>IF($C28="","",N(L28)-N(M28))</f>
        <v/>
      </c>
      <c r="P28" s="24" t="n"/>
      <c r="Q28" s="23">
        <f>IF($C28="","",N(M28)+N(N28))</f>
        <v/>
      </c>
      <c r="R28" s="23">
        <f>IF($C28="","",N(J28)+N(Q28))</f>
        <v/>
      </c>
      <c r="S28" s="25">
        <f>IF(OR($C28="",N($G28)=0),"",R28/$G28)</f>
        <v/>
      </c>
      <c r="T28" s="23">
        <f>IF($C28="","",N($G28)-N(R28))</f>
        <v/>
      </c>
      <c r="U28" s="24" t="n"/>
      <c r="V28" s="22" t="n"/>
    </row>
    <row r="29">
      <c r="B29" s="13">
        <f>IF($C29="","",COUNTA($C$9:$C29))</f>
        <v/>
      </c>
      <c r="C29" s="21" t="n"/>
      <c r="D29" s="14" t="n"/>
      <c r="E29" s="14" t="n"/>
      <c r="F29" s="14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3">
        <f>IF($C29="","",N(L29)-N(M29))</f>
        <v/>
      </c>
      <c r="P29" s="24" t="n"/>
      <c r="Q29" s="23">
        <f>IF($C29="","",N(M29)+N(N29))</f>
        <v/>
      </c>
      <c r="R29" s="23">
        <f>IF($C29="","",N(J29)+N(Q29))</f>
        <v/>
      </c>
      <c r="S29" s="25">
        <f>IF(OR($C29="",N($G29)=0),"",R29/$G29)</f>
        <v/>
      </c>
      <c r="T29" s="23">
        <f>IF($C29="","",N($G29)-N(R29))</f>
        <v/>
      </c>
      <c r="U29" s="24" t="n"/>
      <c r="V29" s="22" t="n"/>
    </row>
    <row r="30">
      <c r="B30" s="13">
        <f>IF($C30="","",COUNTA($C$9:$C30))</f>
        <v/>
      </c>
      <c r="C30" s="21" t="n"/>
      <c r="D30" s="14" t="n"/>
      <c r="E30" s="14" t="n"/>
      <c r="F30" s="14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3">
        <f>IF($C30="","",N(L30)-N(M30))</f>
        <v/>
      </c>
      <c r="P30" s="24" t="n"/>
      <c r="Q30" s="23">
        <f>IF($C30="","",N(M30)+N(N30))</f>
        <v/>
      </c>
      <c r="R30" s="23">
        <f>IF($C30="","",N(J30)+N(Q30))</f>
        <v/>
      </c>
      <c r="S30" s="25">
        <f>IF(OR($C30="",N($G30)=0),"",R30/$G30)</f>
        <v/>
      </c>
      <c r="T30" s="23">
        <f>IF($C30="","",N($G30)-N(R30))</f>
        <v/>
      </c>
      <c r="U30" s="24" t="n"/>
      <c r="V30" s="22" t="n"/>
    </row>
    <row r="31">
      <c r="B31" s="13">
        <f>IF($C31="","",COUNTA($C$9:$C31))</f>
        <v/>
      </c>
      <c r="C31" s="21" t="n"/>
      <c r="D31" s="14" t="n"/>
      <c r="E31" s="14" t="n"/>
      <c r="F31" s="14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3">
        <f>IF($C31="","",N(L31)-N(M31))</f>
        <v/>
      </c>
      <c r="P31" s="24" t="n"/>
      <c r="Q31" s="23">
        <f>IF($C31="","",N(M31)+N(N31))</f>
        <v/>
      </c>
      <c r="R31" s="23">
        <f>IF($C31="","",N(J31)+N(Q31))</f>
        <v/>
      </c>
      <c r="S31" s="25">
        <f>IF(OR($C31="",N($G31)=0),"",R31/$G31)</f>
        <v/>
      </c>
      <c r="T31" s="23">
        <f>IF($C31="","",N($G31)-N(R31))</f>
        <v/>
      </c>
      <c r="U31" s="24" t="n"/>
      <c r="V31" s="22" t="n"/>
    </row>
    <row r="32">
      <c r="B32" s="13">
        <f>IF($C32="","",COUNTA($C$9:$C32))</f>
        <v/>
      </c>
      <c r="C32" s="21" t="n"/>
      <c r="D32" s="14" t="n"/>
      <c r="E32" s="14" t="n"/>
      <c r="F32" s="14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3">
        <f>IF($C32="","",N(L32)-N(M32))</f>
        <v/>
      </c>
      <c r="P32" s="24" t="n"/>
      <c r="Q32" s="23">
        <f>IF($C32="","",N(M32)+N(N32))</f>
        <v/>
      </c>
      <c r="R32" s="23">
        <f>IF($C32="","",N(J32)+N(Q32))</f>
        <v/>
      </c>
      <c r="S32" s="25">
        <f>IF(OR($C32="",N($G32)=0),"",R32/$G32)</f>
        <v/>
      </c>
      <c r="T32" s="23">
        <f>IF($C32="","",N($G32)-N(R32))</f>
        <v/>
      </c>
      <c r="U32" s="24" t="n"/>
      <c r="V32" s="22" t="n"/>
    </row>
    <row r="33">
      <c r="B33" s="13">
        <f>IF($C33="","",COUNTA($C$9:$C33))</f>
        <v/>
      </c>
      <c r="C33" s="21" t="n"/>
      <c r="D33" s="14" t="n"/>
      <c r="E33" s="14" t="n"/>
      <c r="F33" s="14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3">
        <f>IF($C33="","",N(L33)-N(M33))</f>
        <v/>
      </c>
      <c r="P33" s="24" t="n"/>
      <c r="Q33" s="23">
        <f>IF($C33="","",N(M33)+N(N33))</f>
        <v/>
      </c>
      <c r="R33" s="23">
        <f>IF($C33="","",N(J33)+N(Q33))</f>
        <v/>
      </c>
      <c r="S33" s="25">
        <f>IF(OR($C33="",N($G33)=0),"",R33/$G33)</f>
        <v/>
      </c>
      <c r="T33" s="23">
        <f>IF($C33="","",N($G33)-N(R33))</f>
        <v/>
      </c>
      <c r="U33" s="24" t="n"/>
      <c r="V33" s="22" t="n"/>
    </row>
    <row r="34">
      <c r="B34" s="13">
        <f>IF($C34="","",COUNTA($C$9:$C34))</f>
        <v/>
      </c>
      <c r="C34" s="21" t="n"/>
      <c r="D34" s="14" t="n"/>
      <c r="E34" s="14" t="n"/>
      <c r="F34" s="14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3">
        <f>IF($C34="","",N(L34)-N(M34))</f>
        <v/>
      </c>
      <c r="P34" s="24" t="n"/>
      <c r="Q34" s="23">
        <f>IF($C34="","",N(M34)+N(N34))</f>
        <v/>
      </c>
      <c r="R34" s="23">
        <f>IF($C34="","",N(J34)+N(Q34))</f>
        <v/>
      </c>
      <c r="S34" s="25">
        <f>IF(OR($C34="",N($G34)=0),"",R34/$G34)</f>
        <v/>
      </c>
      <c r="T34" s="23">
        <f>IF($C34="","",N($G34)-N(R34))</f>
        <v/>
      </c>
      <c r="U34" s="24" t="n"/>
      <c r="V34" s="22" t="n"/>
    </row>
    <row r="35">
      <c r="B35" s="13">
        <f>IF($C35="","",COUNTA($C$9:$C35))</f>
        <v/>
      </c>
      <c r="C35" s="21" t="n"/>
      <c r="D35" s="14" t="n"/>
      <c r="E35" s="14" t="n"/>
      <c r="F35" s="14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3">
        <f>IF($C35="","",N(L35)-N(M35))</f>
        <v/>
      </c>
      <c r="P35" s="24" t="n"/>
      <c r="Q35" s="23">
        <f>IF($C35="","",N(M35)+N(N35))</f>
        <v/>
      </c>
      <c r="R35" s="23">
        <f>IF($C35="","",N(J35)+N(Q35))</f>
        <v/>
      </c>
      <c r="S35" s="25">
        <f>IF(OR($C35="",N($G35)=0),"",R35/$G35)</f>
        <v/>
      </c>
      <c r="T35" s="23">
        <f>IF($C35="","",N($G35)-N(R35))</f>
        <v/>
      </c>
      <c r="U35" s="24" t="n"/>
      <c r="V35" s="22" t="n"/>
    </row>
    <row r="36">
      <c r="B36" s="13">
        <f>IF($C36="","",COUNTA($C$9:$C36))</f>
        <v/>
      </c>
      <c r="C36" s="21" t="n"/>
      <c r="D36" s="14" t="n"/>
      <c r="E36" s="14" t="n"/>
      <c r="F36" s="14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3">
        <f>IF($C36="","",N(L36)-N(M36))</f>
        <v/>
      </c>
      <c r="P36" s="24" t="n"/>
      <c r="Q36" s="23">
        <f>IF($C36="","",N(M36)+N(N36))</f>
        <v/>
      </c>
      <c r="R36" s="23">
        <f>IF($C36="","",N(J36)+N(Q36))</f>
        <v/>
      </c>
      <c r="S36" s="25">
        <f>IF(OR($C36="",N($G36)=0),"",R36/$G36)</f>
        <v/>
      </c>
      <c r="T36" s="23">
        <f>IF($C36="","",N($G36)-N(R36))</f>
        <v/>
      </c>
      <c r="U36" s="24" t="n"/>
      <c r="V36" s="22" t="n"/>
    </row>
    <row r="37">
      <c r="B37" s="13">
        <f>IF($C37="","",COUNTA($C$9:$C37))</f>
        <v/>
      </c>
      <c r="C37" s="21" t="n"/>
      <c r="D37" s="14" t="n"/>
      <c r="E37" s="14" t="n"/>
      <c r="F37" s="14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3">
        <f>IF($C37="","",N(L37)-N(M37))</f>
        <v/>
      </c>
      <c r="P37" s="24" t="n"/>
      <c r="Q37" s="23">
        <f>IF($C37="","",N(M37)+N(N37))</f>
        <v/>
      </c>
      <c r="R37" s="23">
        <f>IF($C37="","",N(J37)+N(Q37))</f>
        <v/>
      </c>
      <c r="S37" s="25">
        <f>IF(OR($C37="",N($G37)=0),"",R37/$G37)</f>
        <v/>
      </c>
      <c r="T37" s="23">
        <f>IF($C37="","",N($G37)-N(R37))</f>
        <v/>
      </c>
      <c r="U37" s="24" t="n"/>
      <c r="V37" s="22" t="n"/>
    </row>
    <row r="38">
      <c r="B38" s="13">
        <f>IF($C38="","",COUNTA($C$9:$C38))</f>
        <v/>
      </c>
      <c r="C38" s="21" t="n"/>
      <c r="D38" s="14" t="n"/>
      <c r="E38" s="14" t="n"/>
      <c r="F38" s="14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3">
        <f>IF($C38="","",N(L38)-N(M38))</f>
        <v/>
      </c>
      <c r="P38" s="24" t="n"/>
      <c r="Q38" s="23">
        <f>IF($C38="","",N(M38)+N(N38))</f>
        <v/>
      </c>
      <c r="R38" s="23">
        <f>IF($C38="","",N(J38)+N(Q38))</f>
        <v/>
      </c>
      <c r="S38" s="25">
        <f>IF(OR($C38="",N($G38)=0),"",R38/$G38)</f>
        <v/>
      </c>
      <c r="T38" s="23">
        <f>IF($C38="","",N($G38)-N(R38))</f>
        <v/>
      </c>
      <c r="U38" s="24" t="n"/>
      <c r="V38" s="22" t="n"/>
    </row>
    <row r="39">
      <c r="B39" s="13">
        <f>IF($C39="","",COUNTA($C$9:$C39))</f>
        <v/>
      </c>
      <c r="C39" s="21" t="n"/>
      <c r="D39" s="14" t="n"/>
      <c r="E39" s="14" t="n"/>
      <c r="F39" s="14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3">
        <f>IF($C39="","",N(L39)-N(M39))</f>
        <v/>
      </c>
      <c r="P39" s="24" t="n"/>
      <c r="Q39" s="23">
        <f>IF($C39="","",N(M39)+N(N39))</f>
        <v/>
      </c>
      <c r="R39" s="23">
        <f>IF($C39="","",N(J39)+N(Q39))</f>
        <v/>
      </c>
      <c r="S39" s="25">
        <f>IF(OR($C39="",N($G39)=0),"",R39/$G39)</f>
        <v/>
      </c>
      <c r="T39" s="23">
        <f>IF($C39="","",N($G39)-N(R39))</f>
        <v/>
      </c>
      <c r="U39" s="24" t="n"/>
      <c r="V39" s="22" t="n"/>
    </row>
    <row r="40">
      <c r="B40" s="13">
        <f>IF($C40="","",COUNTA($C$9:$C40))</f>
        <v/>
      </c>
      <c r="C40" s="21" t="n"/>
      <c r="D40" s="14" t="n"/>
      <c r="E40" s="14" t="n"/>
      <c r="F40" s="14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3">
        <f>IF($C40="","",N(L40)-N(M40))</f>
        <v/>
      </c>
      <c r="P40" s="24" t="n"/>
      <c r="Q40" s="23">
        <f>IF($C40="","",N(M40)+N(N40))</f>
        <v/>
      </c>
      <c r="R40" s="23">
        <f>IF($C40="","",N(J40)+N(Q40))</f>
        <v/>
      </c>
      <c r="S40" s="25">
        <f>IF(OR($C40="",N($G40)=0),"",R40/$G40)</f>
        <v/>
      </c>
      <c r="T40" s="23">
        <f>IF($C40="","",N($G40)-N(R40))</f>
        <v/>
      </c>
      <c r="U40" s="24" t="n"/>
      <c r="V40" s="22" t="n"/>
    </row>
    <row r="41">
      <c r="B41" s="13">
        <f>IF($C41="","",COUNTA($C$9:$C41))</f>
        <v/>
      </c>
      <c r="C41" s="21" t="n"/>
      <c r="D41" s="14" t="n"/>
      <c r="E41" s="14" t="n"/>
      <c r="F41" s="14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3">
        <f>IF($C41="","",N(L41)-N(M41))</f>
        <v/>
      </c>
      <c r="P41" s="24" t="n"/>
      <c r="Q41" s="23">
        <f>IF($C41="","",N(M41)+N(N41))</f>
        <v/>
      </c>
      <c r="R41" s="23">
        <f>IF($C41="","",N(J41)+N(Q41))</f>
        <v/>
      </c>
      <c r="S41" s="25">
        <f>IF(OR($C41="",N($G41)=0),"",R41/$G41)</f>
        <v/>
      </c>
      <c r="T41" s="23">
        <f>IF($C41="","",N($G41)-N(R41))</f>
        <v/>
      </c>
      <c r="U41" s="24" t="n"/>
      <c r="V41" s="22" t="n"/>
    </row>
    <row r="42">
      <c r="B42" s="13">
        <f>IF($C42="","",COUNTA($C$9:$C42))</f>
        <v/>
      </c>
      <c r="C42" s="21" t="n"/>
      <c r="D42" s="14" t="n"/>
      <c r="E42" s="14" t="n"/>
      <c r="F42" s="14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3">
        <f>IF($C42="","",N(L42)-N(M42))</f>
        <v/>
      </c>
      <c r="P42" s="24" t="n"/>
      <c r="Q42" s="23">
        <f>IF($C42="","",N(M42)+N(N42))</f>
        <v/>
      </c>
      <c r="R42" s="23">
        <f>IF($C42="","",N(J42)+N(Q42))</f>
        <v/>
      </c>
      <c r="S42" s="25">
        <f>IF(OR($C42="",N($G42)=0),"",R42/$G42)</f>
        <v/>
      </c>
      <c r="T42" s="23">
        <f>IF($C42="","",N($G42)-N(R42))</f>
        <v/>
      </c>
      <c r="U42" s="24" t="n"/>
      <c r="V42" s="22" t="n"/>
    </row>
    <row r="43">
      <c r="B43" s="13">
        <f>IF($C43="","",COUNTA($C$9:$C43))</f>
        <v/>
      </c>
      <c r="C43" s="21" t="n"/>
      <c r="D43" s="14" t="n"/>
      <c r="E43" s="14" t="n"/>
      <c r="F43" s="14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3">
        <f>IF($C43="","",N(L43)-N(M43))</f>
        <v/>
      </c>
      <c r="P43" s="24" t="n"/>
      <c r="Q43" s="23">
        <f>IF($C43="","",N(M43)+N(N43))</f>
        <v/>
      </c>
      <c r="R43" s="23">
        <f>IF($C43="","",N(J43)+N(Q43))</f>
        <v/>
      </c>
      <c r="S43" s="25">
        <f>IF(OR($C43="",N($G43)=0),"",R43/$G43)</f>
        <v/>
      </c>
      <c r="T43" s="23">
        <f>IF($C43="","",N($G43)-N(R43))</f>
        <v/>
      </c>
      <c r="U43" s="24" t="n"/>
      <c r="V43" s="22" t="n"/>
    </row>
    <row r="44">
      <c r="B44" s="13">
        <f>IF($C44="","",COUNTA($C$9:$C44))</f>
        <v/>
      </c>
      <c r="C44" s="21" t="n"/>
      <c r="D44" s="14" t="n"/>
      <c r="E44" s="14" t="n"/>
      <c r="F44" s="14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3">
        <f>IF($C44="","",N(L44)-N(M44))</f>
        <v/>
      </c>
      <c r="P44" s="24" t="n"/>
      <c r="Q44" s="23">
        <f>IF($C44="","",N(M44)+N(N44))</f>
        <v/>
      </c>
      <c r="R44" s="23">
        <f>IF($C44="","",N(J44)+N(Q44))</f>
        <v/>
      </c>
      <c r="S44" s="25">
        <f>IF(OR($C44="",N($G44)=0),"",R44/$G44)</f>
        <v/>
      </c>
      <c r="T44" s="23">
        <f>IF($C44="","",N($G44)-N(R44))</f>
        <v/>
      </c>
      <c r="U44" s="24" t="n"/>
      <c r="V44" s="22" t="n"/>
    </row>
    <row r="45">
      <c r="B45" s="13">
        <f>IF($C45="","",COUNTA($C$9:$C45))</f>
        <v/>
      </c>
      <c r="C45" s="21" t="n"/>
      <c r="D45" s="14" t="n"/>
      <c r="E45" s="14" t="n"/>
      <c r="F45" s="14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3">
        <f>IF($C45="","",N(L45)-N(M45))</f>
        <v/>
      </c>
      <c r="P45" s="24" t="n"/>
      <c r="Q45" s="23">
        <f>IF($C45="","",N(M45)+N(N45))</f>
        <v/>
      </c>
      <c r="R45" s="23">
        <f>IF($C45="","",N(J45)+N(Q45))</f>
        <v/>
      </c>
      <c r="S45" s="25">
        <f>IF(OR($C45="",N($G45)=0),"",R45/$G45)</f>
        <v/>
      </c>
      <c r="T45" s="23">
        <f>IF($C45="","",N($G45)-N(R45))</f>
        <v/>
      </c>
      <c r="U45" s="24" t="n"/>
      <c r="V45" s="22" t="n"/>
    </row>
    <row r="46">
      <c r="B46" s="13">
        <f>IF($C46="","",COUNTA($C$9:$C46))</f>
        <v/>
      </c>
      <c r="C46" s="21" t="n"/>
      <c r="D46" s="14" t="n"/>
      <c r="E46" s="14" t="n"/>
      <c r="F46" s="14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3">
        <f>IF($C46="","",N(L46)-N(M46))</f>
        <v/>
      </c>
      <c r="P46" s="24" t="n"/>
      <c r="Q46" s="23">
        <f>IF($C46="","",N(M46)+N(N46))</f>
        <v/>
      </c>
      <c r="R46" s="23">
        <f>IF($C46="","",N(J46)+N(Q46))</f>
        <v/>
      </c>
      <c r="S46" s="25">
        <f>IF(OR($C46="",N($G46)=0),"",R46/$G46)</f>
        <v/>
      </c>
      <c r="T46" s="23">
        <f>IF($C46="","",N($G46)-N(R46))</f>
        <v/>
      </c>
      <c r="U46" s="24" t="n"/>
      <c r="V46" s="22" t="n"/>
    </row>
    <row r="47">
      <c r="B47" s="13">
        <f>IF($C47="","",COUNTA($C$9:$C47))</f>
        <v/>
      </c>
      <c r="C47" s="21" t="n"/>
      <c r="D47" s="14" t="n"/>
      <c r="E47" s="14" t="n"/>
      <c r="F47" s="14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3">
        <f>IF($C47="","",N(L47)-N(M47))</f>
        <v/>
      </c>
      <c r="P47" s="24" t="n"/>
      <c r="Q47" s="23">
        <f>IF($C47="","",N(M47)+N(N47))</f>
        <v/>
      </c>
      <c r="R47" s="23">
        <f>IF($C47="","",N(J47)+N(Q47))</f>
        <v/>
      </c>
      <c r="S47" s="25">
        <f>IF(OR($C47="",N($G47)=0),"",R47/$G47)</f>
        <v/>
      </c>
      <c r="T47" s="23">
        <f>IF($C47="","",N($G47)-N(R47))</f>
        <v/>
      </c>
      <c r="U47" s="24" t="n"/>
      <c r="V47" s="22" t="n"/>
    </row>
    <row r="48">
      <c r="B48" s="13">
        <f>IF($C48="","",COUNTA($C$9:$C48))</f>
        <v/>
      </c>
      <c r="C48" s="21" t="n"/>
      <c r="D48" s="14" t="n"/>
      <c r="E48" s="14" t="n"/>
      <c r="F48" s="14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3">
        <f>IF($C48="","",N(L48)-N(M48))</f>
        <v/>
      </c>
      <c r="P48" s="24" t="n"/>
      <c r="Q48" s="23">
        <f>IF($C48="","",N(M48)+N(N48))</f>
        <v/>
      </c>
      <c r="R48" s="23">
        <f>IF($C48="","",N(J48)+N(Q48))</f>
        <v/>
      </c>
      <c r="S48" s="25">
        <f>IF(OR($C48="",N($G48)=0),"",R48/$G48)</f>
        <v/>
      </c>
      <c r="T48" s="23">
        <f>IF($C48="","",N($G48)-N(R48))</f>
        <v/>
      </c>
      <c r="U48" s="24" t="n"/>
      <c r="V48" s="22" t="n"/>
    </row>
    <row r="49">
      <c r="B49" s="13">
        <f>IF($C49="","",COUNTA($C$9:$C49))</f>
        <v/>
      </c>
      <c r="C49" s="21" t="n"/>
      <c r="D49" s="14" t="n"/>
      <c r="E49" s="14" t="n"/>
      <c r="F49" s="14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3">
        <f>IF($C49="","",N(L49)-N(M49))</f>
        <v/>
      </c>
      <c r="P49" s="24" t="n"/>
      <c r="Q49" s="23">
        <f>IF($C49="","",N(M49)+N(N49))</f>
        <v/>
      </c>
      <c r="R49" s="23">
        <f>IF($C49="","",N(J49)+N(Q49))</f>
        <v/>
      </c>
      <c r="S49" s="25">
        <f>IF(OR($C49="",N($G49)=0),"",R49/$G49)</f>
        <v/>
      </c>
      <c r="T49" s="23">
        <f>IF($C49="","",N($G49)-N(R49))</f>
        <v/>
      </c>
      <c r="U49" s="24" t="n"/>
      <c r="V49" s="22" t="n"/>
    </row>
    <row r="50">
      <c r="B50" s="13">
        <f>IF($C50="","",COUNTA($C$9:$C50))</f>
        <v/>
      </c>
      <c r="C50" s="21" t="n"/>
      <c r="D50" s="14" t="n"/>
      <c r="E50" s="14" t="n"/>
      <c r="F50" s="14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3">
        <f>IF($C50="","",N(L50)-N(M50))</f>
        <v/>
      </c>
      <c r="P50" s="24" t="n"/>
      <c r="Q50" s="23">
        <f>IF($C50="","",N(M50)+N(N50))</f>
        <v/>
      </c>
      <c r="R50" s="23">
        <f>IF($C50="","",N(J50)+N(Q50))</f>
        <v/>
      </c>
      <c r="S50" s="25">
        <f>IF(OR($C50="",N($G50)=0),"",R50/$G50)</f>
        <v/>
      </c>
      <c r="T50" s="23">
        <f>IF($C50="","",N($G50)-N(R50))</f>
        <v/>
      </c>
      <c r="U50" s="24" t="n"/>
      <c r="V50" s="22" t="n"/>
    </row>
    <row r="51">
      <c r="B51" s="13">
        <f>IF($C51="","",COUNTA($C$9:$C51))</f>
        <v/>
      </c>
      <c r="C51" s="21" t="n"/>
      <c r="D51" s="14" t="n"/>
      <c r="E51" s="14" t="n"/>
      <c r="F51" s="14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3">
        <f>IF($C51="","",N(L51)-N(M51))</f>
        <v/>
      </c>
      <c r="P51" s="24" t="n"/>
      <c r="Q51" s="23">
        <f>IF($C51="","",N(M51)+N(N51))</f>
        <v/>
      </c>
      <c r="R51" s="23">
        <f>IF($C51="","",N(J51)+N(Q51))</f>
        <v/>
      </c>
      <c r="S51" s="25">
        <f>IF(OR($C51="",N($G51)=0),"",R51/$G51)</f>
        <v/>
      </c>
      <c r="T51" s="23">
        <f>IF($C51="","",N($G51)-N(R51))</f>
        <v/>
      </c>
      <c r="U51" s="24" t="n"/>
      <c r="V51" s="22" t="n"/>
    </row>
    <row r="52">
      <c r="B52" s="13">
        <f>IF($C52="","",COUNTA($C$9:$C52))</f>
        <v/>
      </c>
      <c r="C52" s="21" t="n"/>
      <c r="D52" s="14" t="n"/>
      <c r="E52" s="14" t="n"/>
      <c r="F52" s="14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3">
        <f>IF($C52="","",N(L52)-N(M52))</f>
        <v/>
      </c>
      <c r="P52" s="24" t="n"/>
      <c r="Q52" s="23">
        <f>IF($C52="","",N(M52)+N(N52))</f>
        <v/>
      </c>
      <c r="R52" s="23">
        <f>IF($C52="","",N(J52)+N(Q52))</f>
        <v/>
      </c>
      <c r="S52" s="25">
        <f>IF(OR($C52="",N($G52)=0),"",R52/$G52)</f>
        <v/>
      </c>
      <c r="T52" s="23">
        <f>IF($C52="","",N($G52)-N(R52))</f>
        <v/>
      </c>
      <c r="U52" s="24" t="n"/>
      <c r="V52" s="22" t="n"/>
    </row>
    <row r="53">
      <c r="B53" s="13">
        <f>IF($C53="","",COUNTA($C$9:$C53))</f>
        <v/>
      </c>
      <c r="C53" s="21" t="n"/>
      <c r="D53" s="14" t="n"/>
      <c r="E53" s="14" t="n"/>
      <c r="F53" s="14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3">
        <f>IF($C53="","",N(L53)-N(M53))</f>
        <v/>
      </c>
      <c r="P53" s="24" t="n"/>
      <c r="Q53" s="23">
        <f>IF($C53="","",N(M53)+N(N53))</f>
        <v/>
      </c>
      <c r="R53" s="23">
        <f>IF($C53="","",N(J53)+N(Q53))</f>
        <v/>
      </c>
      <c r="S53" s="25">
        <f>IF(OR($C53="",N($G53)=0),"",R53/$G53)</f>
        <v/>
      </c>
      <c r="T53" s="23">
        <f>IF($C53="","",N($G53)-N(R53))</f>
        <v/>
      </c>
      <c r="U53" s="24" t="n"/>
      <c r="V53" s="22" t="n"/>
    </row>
    <row r="54">
      <c r="B54" s="13">
        <f>IF($C54="","",COUNTA($C$9:$C54))</f>
        <v/>
      </c>
      <c r="C54" s="21" t="n"/>
      <c r="D54" s="14" t="n"/>
      <c r="E54" s="14" t="n"/>
      <c r="F54" s="14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3">
        <f>IF($C54="","",N(L54)-N(M54))</f>
        <v/>
      </c>
      <c r="P54" s="24" t="n"/>
      <c r="Q54" s="23">
        <f>IF($C54="","",N(M54)+N(N54))</f>
        <v/>
      </c>
      <c r="R54" s="23">
        <f>IF($C54="","",N(J54)+N(Q54))</f>
        <v/>
      </c>
      <c r="S54" s="25">
        <f>IF(OR($C54="",N($G54)=0),"",R54/$G54)</f>
        <v/>
      </c>
      <c r="T54" s="23">
        <f>IF($C54="","",N($G54)-N(R54))</f>
        <v/>
      </c>
      <c r="U54" s="24" t="n"/>
      <c r="V54" s="22" t="n"/>
    </row>
    <row r="55">
      <c r="B55" s="13">
        <f>IF($C55="","",COUNTA($C$9:$C55))</f>
        <v/>
      </c>
      <c r="C55" s="21" t="n"/>
      <c r="D55" s="14" t="n"/>
      <c r="E55" s="14" t="n"/>
      <c r="F55" s="14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3">
        <f>IF($C55="","",N(L55)-N(M55))</f>
        <v/>
      </c>
      <c r="P55" s="24" t="n"/>
      <c r="Q55" s="23">
        <f>IF($C55="","",N(M55)+N(N55))</f>
        <v/>
      </c>
      <c r="R55" s="23">
        <f>IF($C55="","",N(J55)+N(Q55))</f>
        <v/>
      </c>
      <c r="S55" s="25">
        <f>IF(OR($C55="",N($G55)=0),"",R55/$G55)</f>
        <v/>
      </c>
      <c r="T55" s="23">
        <f>IF($C55="","",N($G55)-N(R55))</f>
        <v/>
      </c>
      <c r="U55" s="24" t="n"/>
      <c r="V55" s="22" t="n"/>
    </row>
    <row r="56">
      <c r="B56" s="13">
        <f>IF($C56="","",COUNTA($C$9:$C56))</f>
        <v/>
      </c>
      <c r="C56" s="21" t="n"/>
      <c r="D56" s="14" t="n"/>
      <c r="E56" s="14" t="n"/>
      <c r="F56" s="14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3">
        <f>IF($C56="","",N(L56)-N(M56))</f>
        <v/>
      </c>
      <c r="P56" s="24" t="n"/>
      <c r="Q56" s="23">
        <f>IF($C56="","",N(M56)+N(N56))</f>
        <v/>
      </c>
      <c r="R56" s="23">
        <f>IF($C56="","",N(J56)+N(Q56))</f>
        <v/>
      </c>
      <c r="S56" s="25">
        <f>IF(OR($C56="",N($G56)=0),"",R56/$G56)</f>
        <v/>
      </c>
      <c r="T56" s="23">
        <f>IF($C56="","",N($G56)-N(R56))</f>
        <v/>
      </c>
      <c r="U56" s="24" t="n"/>
      <c r="V56" s="22" t="n"/>
    </row>
    <row r="57">
      <c r="B57" s="13">
        <f>IF($C57="","",COUNTA($C$9:$C57))</f>
        <v/>
      </c>
      <c r="C57" s="21" t="n"/>
      <c r="D57" s="14" t="n"/>
      <c r="E57" s="14" t="n"/>
      <c r="F57" s="14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3">
        <f>IF($C57="","",N(L57)-N(M57))</f>
        <v/>
      </c>
      <c r="P57" s="24" t="n"/>
      <c r="Q57" s="23">
        <f>IF($C57="","",N(M57)+N(N57))</f>
        <v/>
      </c>
      <c r="R57" s="23">
        <f>IF($C57="","",N(J57)+N(Q57))</f>
        <v/>
      </c>
      <c r="S57" s="25">
        <f>IF(OR($C57="",N($G57)=0),"",R57/$G57)</f>
        <v/>
      </c>
      <c r="T57" s="23">
        <f>IF($C57="","",N($G57)-N(R57))</f>
        <v/>
      </c>
      <c r="U57" s="24" t="n"/>
      <c r="V57" s="22" t="n"/>
    </row>
    <row r="58">
      <c r="B58" s="13">
        <f>IF($C58="","",COUNTA($C$9:$C58))</f>
        <v/>
      </c>
      <c r="C58" s="21" t="n"/>
      <c r="D58" s="14" t="n"/>
      <c r="E58" s="14" t="n"/>
      <c r="F58" s="14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3">
        <f>IF($C58="","",N(L58)-N(M58))</f>
        <v/>
      </c>
      <c r="P58" s="24" t="n"/>
      <c r="Q58" s="23">
        <f>IF($C58="","",N(M58)+N(N58))</f>
        <v/>
      </c>
      <c r="R58" s="23">
        <f>IF($C58="","",N(J58)+N(Q58))</f>
        <v/>
      </c>
      <c r="S58" s="25">
        <f>IF(OR($C58="",N($G58)=0),"",R58/$G58)</f>
        <v/>
      </c>
      <c r="T58" s="23">
        <f>IF($C58="","",N($G58)-N(R58))</f>
        <v/>
      </c>
      <c r="U58" s="24" t="n"/>
      <c r="V58" s="22" t="n"/>
    </row>
    <row r="59">
      <c r="B59" s="13">
        <f>IF($C59="","",COUNTA($C$9:$C59))</f>
        <v/>
      </c>
      <c r="C59" s="21" t="n"/>
      <c r="D59" s="14" t="n"/>
      <c r="E59" s="14" t="n"/>
      <c r="F59" s="14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3">
        <f>IF($C59="","",N(L59)-N(M59))</f>
        <v/>
      </c>
      <c r="P59" s="24" t="n"/>
      <c r="Q59" s="23">
        <f>IF($C59="","",N(M59)+N(N59))</f>
        <v/>
      </c>
      <c r="R59" s="23">
        <f>IF($C59="","",N(J59)+N(Q59))</f>
        <v/>
      </c>
      <c r="S59" s="25">
        <f>IF(OR($C59="",N($G59)=0),"",R59/$G59)</f>
        <v/>
      </c>
      <c r="T59" s="23">
        <f>IF($C59="","",N($G59)-N(R59))</f>
        <v/>
      </c>
      <c r="U59" s="24" t="n"/>
      <c r="V59" s="22" t="n"/>
    </row>
    <row r="60">
      <c r="B60" s="13">
        <f>IF($C60="","",COUNTA($C$9:$C60))</f>
        <v/>
      </c>
      <c r="C60" s="21" t="n"/>
      <c r="D60" s="14" t="n"/>
      <c r="E60" s="14" t="n"/>
      <c r="F60" s="14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3">
        <f>IF($C60="","",N(L60)-N(M60))</f>
        <v/>
      </c>
      <c r="P60" s="24" t="n"/>
      <c r="Q60" s="23">
        <f>IF($C60="","",N(M60)+N(N60))</f>
        <v/>
      </c>
      <c r="R60" s="23">
        <f>IF($C60="","",N(J60)+N(Q60))</f>
        <v/>
      </c>
      <c r="S60" s="25">
        <f>IF(OR($C60="",N($G60)=0),"",R60/$G60)</f>
        <v/>
      </c>
      <c r="T60" s="23">
        <f>IF($C60="","",N($G60)-N(R60))</f>
        <v/>
      </c>
      <c r="U60" s="24" t="n"/>
      <c r="V60" s="22" t="n"/>
    </row>
    <row r="61">
      <c r="B61" s="13">
        <f>IF($C61="","",COUNTA($C$9:$C61))</f>
        <v/>
      </c>
      <c r="C61" s="21" t="n"/>
      <c r="D61" s="14" t="n"/>
      <c r="E61" s="14" t="n"/>
      <c r="F61" s="14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3">
        <f>IF($C61="","",N(L61)-N(M61))</f>
        <v/>
      </c>
      <c r="P61" s="24" t="n"/>
      <c r="Q61" s="23">
        <f>IF($C61="","",N(M61)+N(N61))</f>
        <v/>
      </c>
      <c r="R61" s="23">
        <f>IF($C61="","",N(J61)+N(Q61))</f>
        <v/>
      </c>
      <c r="S61" s="25">
        <f>IF(OR($C61="",N($G61)=0),"",R61/$G61)</f>
        <v/>
      </c>
      <c r="T61" s="23">
        <f>IF($C61="","",N($G61)-N(R61))</f>
        <v/>
      </c>
      <c r="U61" s="24" t="n"/>
      <c r="V61" s="22" t="n"/>
    </row>
    <row r="62">
      <c r="B62" s="13">
        <f>IF($C62="","",COUNTA($C$9:$C62))</f>
        <v/>
      </c>
      <c r="C62" s="21" t="n"/>
      <c r="D62" s="14" t="n"/>
      <c r="E62" s="14" t="n"/>
      <c r="F62" s="14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3">
        <f>IF($C62="","",N(L62)-N(M62))</f>
        <v/>
      </c>
      <c r="P62" s="24" t="n"/>
      <c r="Q62" s="23">
        <f>IF($C62="","",N(M62)+N(N62))</f>
        <v/>
      </c>
      <c r="R62" s="23">
        <f>IF($C62="","",N(J62)+N(Q62))</f>
        <v/>
      </c>
      <c r="S62" s="25">
        <f>IF(OR($C62="",N($G62)=0),"",R62/$G62)</f>
        <v/>
      </c>
      <c r="T62" s="23">
        <f>IF($C62="","",N($G62)-N(R62))</f>
        <v/>
      </c>
      <c r="U62" s="24" t="n"/>
      <c r="V62" s="22" t="n"/>
    </row>
    <row r="63">
      <c r="B63" s="13">
        <f>IF($C63="","",COUNTA($C$9:$C63))</f>
        <v/>
      </c>
      <c r="C63" s="21" t="n"/>
      <c r="D63" s="14" t="n"/>
      <c r="E63" s="14" t="n"/>
      <c r="F63" s="14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3">
        <f>IF($C63="","",N(L63)-N(M63))</f>
        <v/>
      </c>
      <c r="P63" s="24" t="n"/>
      <c r="Q63" s="23">
        <f>IF($C63="","",N(M63)+N(N63))</f>
        <v/>
      </c>
      <c r="R63" s="23">
        <f>IF($C63="","",N(J63)+N(Q63))</f>
        <v/>
      </c>
      <c r="S63" s="25">
        <f>IF(OR($C63="",N($G63)=0),"",R63/$G63)</f>
        <v/>
      </c>
      <c r="T63" s="23">
        <f>IF($C63="","",N($G63)-N(R63))</f>
        <v/>
      </c>
      <c r="U63" s="24" t="n"/>
      <c r="V63" s="22" t="n"/>
    </row>
    <row r="64">
      <c r="B64" s="13">
        <f>IF($C64="","",COUNTA($C$9:$C64))</f>
        <v/>
      </c>
      <c r="C64" s="21" t="n"/>
      <c r="D64" s="14" t="n"/>
      <c r="E64" s="14" t="n"/>
      <c r="F64" s="14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3">
        <f>IF($C64="","",N(L64)-N(M64))</f>
        <v/>
      </c>
      <c r="P64" s="24" t="n"/>
      <c r="Q64" s="23">
        <f>IF($C64="","",N(M64)+N(N64))</f>
        <v/>
      </c>
      <c r="R64" s="23">
        <f>IF($C64="","",N(J64)+N(Q64))</f>
        <v/>
      </c>
      <c r="S64" s="25">
        <f>IF(OR($C64="",N($G64)=0),"",R64/$G64)</f>
        <v/>
      </c>
      <c r="T64" s="23">
        <f>IF($C64="","",N($G64)-N(R64))</f>
        <v/>
      </c>
      <c r="U64" s="24" t="n"/>
      <c r="V64" s="22" t="n"/>
    </row>
    <row r="65">
      <c r="B65" s="13">
        <f>IF($C65="","",COUNTA($C$9:$C65))</f>
        <v/>
      </c>
      <c r="C65" s="21" t="n"/>
      <c r="D65" s="14" t="n"/>
      <c r="E65" s="14" t="n"/>
      <c r="F65" s="14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3">
        <f>IF($C65="","",N(L65)-N(M65))</f>
        <v/>
      </c>
      <c r="P65" s="24" t="n"/>
      <c r="Q65" s="23">
        <f>IF($C65="","",N(M65)+N(N65))</f>
        <v/>
      </c>
      <c r="R65" s="23">
        <f>IF($C65="","",N(J65)+N(Q65))</f>
        <v/>
      </c>
      <c r="S65" s="25">
        <f>IF(OR($C65="",N($G65)=0),"",R65/$G65)</f>
        <v/>
      </c>
      <c r="T65" s="23">
        <f>IF($C65="","",N($G65)-N(R65))</f>
        <v/>
      </c>
      <c r="U65" s="24" t="n"/>
      <c r="V65" s="22" t="n"/>
    </row>
    <row r="66">
      <c r="B66" s="13">
        <f>IF($C66="","",COUNTA($C$9:$C66))</f>
        <v/>
      </c>
      <c r="C66" s="21" t="n"/>
      <c r="D66" s="14" t="n"/>
      <c r="E66" s="14" t="n"/>
      <c r="F66" s="14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3">
        <f>IF($C66="","",N(L66)-N(M66))</f>
        <v/>
      </c>
      <c r="P66" s="24" t="n"/>
      <c r="Q66" s="23">
        <f>IF($C66="","",N(M66)+N(N66))</f>
        <v/>
      </c>
      <c r="R66" s="23">
        <f>IF($C66="","",N(J66)+N(Q66))</f>
        <v/>
      </c>
      <c r="S66" s="25">
        <f>IF(OR($C66="",N($G66)=0),"",R66/$G66)</f>
        <v/>
      </c>
      <c r="T66" s="23">
        <f>IF($C66="","",N($G66)-N(R66))</f>
        <v/>
      </c>
      <c r="U66" s="24" t="n"/>
      <c r="V66" s="22" t="n"/>
    </row>
    <row r="67">
      <c r="B67" s="13">
        <f>IF($C67="","",COUNTA($C$9:$C67))</f>
        <v/>
      </c>
      <c r="C67" s="21" t="n"/>
      <c r="D67" s="14" t="n"/>
      <c r="E67" s="14" t="n"/>
      <c r="F67" s="14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3">
        <f>IF($C67="","",N(L67)-N(M67))</f>
        <v/>
      </c>
      <c r="P67" s="24" t="n"/>
      <c r="Q67" s="23">
        <f>IF($C67="","",N(M67)+N(N67))</f>
        <v/>
      </c>
      <c r="R67" s="23">
        <f>IF($C67="","",N(J67)+N(Q67))</f>
        <v/>
      </c>
      <c r="S67" s="25">
        <f>IF(OR($C67="",N($G67)=0),"",R67/$G67)</f>
        <v/>
      </c>
      <c r="T67" s="23">
        <f>IF($C67="","",N($G67)-N(R67))</f>
        <v/>
      </c>
      <c r="U67" s="24" t="n"/>
      <c r="V67" s="22" t="n"/>
    </row>
    <row r="68">
      <c r="B68" s="13">
        <f>IF($C68="","",COUNTA($C$9:$C68))</f>
        <v/>
      </c>
      <c r="C68" s="21" t="n"/>
      <c r="D68" s="14" t="n"/>
      <c r="E68" s="14" t="n"/>
      <c r="F68" s="14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3">
        <f>IF($C68="","",N(L68)-N(M68))</f>
        <v/>
      </c>
      <c r="P68" s="24" t="n"/>
      <c r="Q68" s="23">
        <f>IF($C68="","",N(M68)+N(N68))</f>
        <v/>
      </c>
      <c r="R68" s="23">
        <f>IF($C68="","",N(J68)+N(Q68))</f>
        <v/>
      </c>
      <c r="S68" s="25">
        <f>IF(OR($C68="",N($G68)=0),"",R68/$G68)</f>
        <v/>
      </c>
      <c r="T68" s="23">
        <f>IF($C68="","",N($G68)-N(R68))</f>
        <v/>
      </c>
      <c r="U68" s="24" t="n"/>
      <c r="V68" s="22" t="n"/>
    </row>
    <row r="69">
      <c r="B69" s="13">
        <f>IF($C69="","",COUNTA($C$9:$C69))</f>
        <v/>
      </c>
      <c r="C69" s="21" t="n"/>
      <c r="D69" s="14" t="n"/>
      <c r="E69" s="14" t="n"/>
      <c r="F69" s="14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3">
        <f>IF($C69="","",N(L69)-N(M69))</f>
        <v/>
      </c>
      <c r="P69" s="24" t="n"/>
      <c r="Q69" s="23">
        <f>IF($C69="","",N(M69)+N(N69))</f>
        <v/>
      </c>
      <c r="R69" s="23">
        <f>IF($C69="","",N(J69)+N(Q69))</f>
        <v/>
      </c>
      <c r="S69" s="25">
        <f>IF(OR($C69="",N($G69)=0),"",R69/$G69)</f>
        <v/>
      </c>
      <c r="T69" s="23">
        <f>IF($C69="","",N($G69)-N(R69))</f>
        <v/>
      </c>
      <c r="U69" s="24" t="n"/>
      <c r="V69" s="22" t="n"/>
    </row>
    <row r="70">
      <c r="B70" s="13">
        <f>IF($C70="","",COUNTA($C$9:$C70))</f>
        <v/>
      </c>
      <c r="C70" s="21" t="n"/>
      <c r="D70" s="14" t="n"/>
      <c r="E70" s="14" t="n"/>
      <c r="F70" s="14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3">
        <f>IF($C70="","",N(L70)-N(M70))</f>
        <v/>
      </c>
      <c r="P70" s="24" t="n"/>
      <c r="Q70" s="23">
        <f>IF($C70="","",N(M70)+N(N70))</f>
        <v/>
      </c>
      <c r="R70" s="23">
        <f>IF($C70="","",N(J70)+N(Q70))</f>
        <v/>
      </c>
      <c r="S70" s="25">
        <f>IF(OR($C70="",N($G70)=0),"",R70/$G70)</f>
        <v/>
      </c>
      <c r="T70" s="23">
        <f>IF($C70="","",N($G70)-N(R70))</f>
        <v/>
      </c>
      <c r="U70" s="24" t="n"/>
      <c r="V70" s="22" t="n"/>
    </row>
    <row r="71">
      <c r="B71" s="13">
        <f>IF($C71="","",COUNTA($C$9:$C71))</f>
        <v/>
      </c>
      <c r="C71" s="21" t="n"/>
      <c r="D71" s="14" t="n"/>
      <c r="E71" s="14" t="n"/>
      <c r="F71" s="14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3">
        <f>IF($C71="","",N(L71)-N(M71))</f>
        <v/>
      </c>
      <c r="P71" s="24" t="n"/>
      <c r="Q71" s="23">
        <f>IF($C71="","",N(M71)+N(N71))</f>
        <v/>
      </c>
      <c r="R71" s="23">
        <f>IF($C71="","",N(J71)+N(Q71))</f>
        <v/>
      </c>
      <c r="S71" s="25">
        <f>IF(OR($C71="",N($G71)=0),"",R71/$G71)</f>
        <v/>
      </c>
      <c r="T71" s="23">
        <f>IF($C71="","",N($G71)-N(R71))</f>
        <v/>
      </c>
      <c r="U71" s="24" t="n"/>
      <c r="V71" s="22" t="n"/>
    </row>
    <row r="72">
      <c r="B72" s="13">
        <f>IF($C72="","",COUNTA($C$9:$C72))</f>
        <v/>
      </c>
      <c r="C72" s="21" t="n"/>
      <c r="D72" s="14" t="n"/>
      <c r="E72" s="14" t="n"/>
      <c r="F72" s="14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3">
        <f>IF($C72="","",N(L72)-N(M72))</f>
        <v/>
      </c>
      <c r="P72" s="24" t="n"/>
      <c r="Q72" s="23">
        <f>IF($C72="","",N(M72)+N(N72))</f>
        <v/>
      </c>
      <c r="R72" s="23">
        <f>IF($C72="","",N(J72)+N(Q72))</f>
        <v/>
      </c>
      <c r="S72" s="25">
        <f>IF(OR($C72="",N($G72)=0),"",R72/$G72)</f>
        <v/>
      </c>
      <c r="T72" s="23">
        <f>IF($C72="","",N($G72)-N(R72))</f>
        <v/>
      </c>
      <c r="U72" s="24" t="n"/>
      <c r="V72" s="22" t="n"/>
    </row>
    <row r="73">
      <c r="B73" s="13">
        <f>IF($C73="","",COUNTA($C$9:$C73))</f>
        <v/>
      </c>
      <c r="C73" s="21" t="n"/>
      <c r="D73" s="14" t="n"/>
      <c r="E73" s="14" t="n"/>
      <c r="F73" s="14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3">
        <f>IF($C73="","",N(L73)-N(M73))</f>
        <v/>
      </c>
      <c r="P73" s="24" t="n"/>
      <c r="Q73" s="23">
        <f>IF($C73="","",N(M73)+N(N73))</f>
        <v/>
      </c>
      <c r="R73" s="23">
        <f>IF($C73="","",N(J73)+N(Q73))</f>
        <v/>
      </c>
      <c r="S73" s="25">
        <f>IF(OR($C73="",N($G73)=0),"",R73/$G73)</f>
        <v/>
      </c>
      <c r="T73" s="23">
        <f>IF($C73="","",N($G73)-N(R73))</f>
        <v/>
      </c>
      <c r="U73" s="24" t="n"/>
      <c r="V73" s="22" t="n"/>
    </row>
    <row r="74">
      <c r="B74" s="13">
        <f>IF($C74="","",COUNTA($C$9:$C74))</f>
        <v/>
      </c>
      <c r="C74" s="21" t="n"/>
      <c r="D74" s="14" t="n"/>
      <c r="E74" s="14" t="n"/>
      <c r="F74" s="14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3">
        <f>IF($C74="","",N(L74)-N(M74))</f>
        <v/>
      </c>
      <c r="P74" s="24" t="n"/>
      <c r="Q74" s="23">
        <f>IF($C74="","",N(M74)+N(N74))</f>
        <v/>
      </c>
      <c r="R74" s="23">
        <f>IF($C74="","",N(J74)+N(Q74))</f>
        <v/>
      </c>
      <c r="S74" s="25">
        <f>IF(OR($C74="",N($G74)=0),"",R74/$G74)</f>
        <v/>
      </c>
      <c r="T74" s="23">
        <f>IF($C74="","",N($G74)-N(R74))</f>
        <v/>
      </c>
      <c r="U74" s="24" t="n"/>
      <c r="V74" s="22" t="n"/>
    </row>
    <row r="75">
      <c r="B75" s="13">
        <f>IF($C75="","",COUNTA($C$9:$C75))</f>
        <v/>
      </c>
      <c r="C75" s="21" t="n"/>
      <c r="D75" s="14" t="n"/>
      <c r="E75" s="14" t="n"/>
      <c r="F75" s="14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3">
        <f>IF($C75="","",N(L75)-N(M75))</f>
        <v/>
      </c>
      <c r="P75" s="24" t="n"/>
      <c r="Q75" s="23">
        <f>IF($C75="","",N(M75)+N(N75))</f>
        <v/>
      </c>
      <c r="R75" s="23">
        <f>IF($C75="","",N(J75)+N(Q75))</f>
        <v/>
      </c>
      <c r="S75" s="25">
        <f>IF(OR($C75="",N($G75)=0),"",R75/$G75)</f>
        <v/>
      </c>
      <c r="T75" s="23">
        <f>IF($C75="","",N($G75)-N(R75))</f>
        <v/>
      </c>
      <c r="U75" s="24" t="n"/>
      <c r="V75" s="22" t="n"/>
    </row>
    <row r="76">
      <c r="B76" s="13">
        <f>IF($C76="","",COUNTA($C$9:$C76))</f>
        <v/>
      </c>
      <c r="C76" s="21" t="n"/>
      <c r="D76" s="14" t="n"/>
      <c r="E76" s="14" t="n"/>
      <c r="F76" s="14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3">
        <f>IF($C76="","",N(L76)-N(M76))</f>
        <v/>
      </c>
      <c r="P76" s="24" t="n"/>
      <c r="Q76" s="23">
        <f>IF($C76="","",N(M76)+N(N76))</f>
        <v/>
      </c>
      <c r="R76" s="23">
        <f>IF($C76="","",N(J76)+N(Q76))</f>
        <v/>
      </c>
      <c r="S76" s="25">
        <f>IF(OR($C76="",N($G76)=0),"",R76/$G76)</f>
        <v/>
      </c>
      <c r="T76" s="23">
        <f>IF($C76="","",N($G76)-N(R76))</f>
        <v/>
      </c>
      <c r="U76" s="24" t="n"/>
      <c r="V76" s="22" t="n"/>
    </row>
    <row r="77">
      <c r="B77" s="13">
        <f>IF($C77="","",COUNTA($C$9:$C77))</f>
        <v/>
      </c>
      <c r="C77" s="21" t="n"/>
      <c r="D77" s="14" t="n"/>
      <c r="E77" s="14" t="n"/>
      <c r="F77" s="14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3">
        <f>IF($C77="","",N(L77)-N(M77))</f>
        <v/>
      </c>
      <c r="P77" s="24" t="n"/>
      <c r="Q77" s="23">
        <f>IF($C77="","",N(M77)+N(N77))</f>
        <v/>
      </c>
      <c r="R77" s="23">
        <f>IF($C77="","",N(J77)+N(Q77))</f>
        <v/>
      </c>
      <c r="S77" s="25">
        <f>IF(OR($C77="",N($G77)=0),"",R77/$G77)</f>
        <v/>
      </c>
      <c r="T77" s="23">
        <f>IF($C77="","",N($G77)-N(R77))</f>
        <v/>
      </c>
      <c r="U77" s="24" t="n"/>
      <c r="V77" s="22" t="n"/>
    </row>
    <row r="78">
      <c r="B78" s="13">
        <f>IF($C78="","",COUNTA($C$9:$C78))</f>
        <v/>
      </c>
      <c r="C78" s="21" t="n"/>
      <c r="D78" s="14" t="n"/>
      <c r="E78" s="14" t="n"/>
      <c r="F78" s="14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3">
        <f>IF($C78="","",N(L78)-N(M78))</f>
        <v/>
      </c>
      <c r="P78" s="24" t="n"/>
      <c r="Q78" s="23">
        <f>IF($C78="","",N(M78)+N(N78))</f>
        <v/>
      </c>
      <c r="R78" s="23">
        <f>IF($C78="","",N(J78)+N(Q78))</f>
        <v/>
      </c>
      <c r="S78" s="25">
        <f>IF(OR($C78="",N($G78)=0),"",R78/$G78)</f>
        <v/>
      </c>
      <c r="T78" s="23">
        <f>IF($C78="","",N($G78)-N(R78))</f>
        <v/>
      </c>
      <c r="U78" s="24" t="n"/>
      <c r="V78" s="22" t="n"/>
    </row>
    <row r="79">
      <c r="B79" s="13">
        <f>IF($C79="","",COUNTA($C$9:$C79))</f>
        <v/>
      </c>
      <c r="C79" s="21" t="n"/>
      <c r="D79" s="14" t="n"/>
      <c r="E79" s="14" t="n"/>
      <c r="F79" s="14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3">
        <f>IF($C79="","",N(L79)-N(M79))</f>
        <v/>
      </c>
      <c r="P79" s="24" t="n"/>
      <c r="Q79" s="23">
        <f>IF($C79="","",N(M79)+N(N79))</f>
        <v/>
      </c>
      <c r="R79" s="23">
        <f>IF($C79="","",N(J79)+N(Q79))</f>
        <v/>
      </c>
      <c r="S79" s="25">
        <f>IF(OR($C79="",N($G79)=0),"",R79/$G79)</f>
        <v/>
      </c>
      <c r="T79" s="23">
        <f>IF($C79="","",N($G79)-N(R79))</f>
        <v/>
      </c>
      <c r="U79" s="24" t="n"/>
      <c r="V79" s="22" t="n"/>
    </row>
    <row r="80">
      <c r="B80" s="13">
        <f>IF($C80="","",COUNTA($C$9:$C80))</f>
        <v/>
      </c>
      <c r="C80" s="21" t="n"/>
      <c r="D80" s="14" t="n"/>
      <c r="E80" s="14" t="n"/>
      <c r="F80" s="14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3">
        <f>IF($C80="","",N(L80)-N(M80))</f>
        <v/>
      </c>
      <c r="P80" s="24" t="n"/>
      <c r="Q80" s="23">
        <f>IF($C80="","",N(M80)+N(N80))</f>
        <v/>
      </c>
      <c r="R80" s="23">
        <f>IF($C80="","",N(J80)+N(Q80))</f>
        <v/>
      </c>
      <c r="S80" s="25">
        <f>IF(OR($C80="",N($G80)=0),"",R80/$G80)</f>
        <v/>
      </c>
      <c r="T80" s="23">
        <f>IF($C80="","",N($G80)-N(R80))</f>
        <v/>
      </c>
      <c r="U80" s="24" t="n"/>
      <c r="V80" s="22" t="n"/>
    </row>
    <row r="81">
      <c r="B81" s="13">
        <f>IF($C81="","",COUNTA($C$9:$C81))</f>
        <v/>
      </c>
      <c r="C81" s="21" t="n"/>
      <c r="D81" s="14" t="n"/>
      <c r="E81" s="14" t="n"/>
      <c r="F81" s="14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3">
        <f>IF($C81="","",N(L81)-N(M81))</f>
        <v/>
      </c>
      <c r="P81" s="24" t="n"/>
      <c r="Q81" s="23">
        <f>IF($C81="","",N(M81)+N(N81))</f>
        <v/>
      </c>
      <c r="R81" s="23">
        <f>IF($C81="","",N(J81)+N(Q81))</f>
        <v/>
      </c>
      <c r="S81" s="25">
        <f>IF(OR($C81="",N($G81)=0),"",R81/$G81)</f>
        <v/>
      </c>
      <c r="T81" s="23">
        <f>IF($C81="","",N($G81)-N(R81))</f>
        <v/>
      </c>
      <c r="U81" s="24" t="n"/>
      <c r="V81" s="22" t="n"/>
    </row>
    <row r="82">
      <c r="B82" s="13">
        <f>IF($C82="","",COUNTA($C$9:$C82))</f>
        <v/>
      </c>
      <c r="C82" s="21" t="n"/>
      <c r="D82" s="14" t="n"/>
      <c r="E82" s="14" t="n"/>
      <c r="F82" s="14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3">
        <f>IF($C82="","",N(L82)-N(M82))</f>
        <v/>
      </c>
      <c r="P82" s="24" t="n"/>
      <c r="Q82" s="23">
        <f>IF($C82="","",N(M82)+N(N82))</f>
        <v/>
      </c>
      <c r="R82" s="23">
        <f>IF($C82="","",N(J82)+N(Q82))</f>
        <v/>
      </c>
      <c r="S82" s="25">
        <f>IF(OR($C82="",N($G82)=0),"",R82/$G82)</f>
        <v/>
      </c>
      <c r="T82" s="23">
        <f>IF($C82="","",N($G82)-N(R82))</f>
        <v/>
      </c>
      <c r="U82" s="24" t="n"/>
      <c r="V82" s="22" t="n"/>
    </row>
    <row r="83">
      <c r="B83" s="13">
        <f>IF($C83="","",COUNTA($C$9:$C83))</f>
        <v/>
      </c>
      <c r="C83" s="21" t="n"/>
      <c r="D83" s="14" t="n"/>
      <c r="E83" s="14" t="n"/>
      <c r="F83" s="14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3">
        <f>IF($C83="","",N(L83)-N(M83))</f>
        <v/>
      </c>
      <c r="P83" s="24" t="n"/>
      <c r="Q83" s="23">
        <f>IF($C83="","",N(M83)+N(N83))</f>
        <v/>
      </c>
      <c r="R83" s="23">
        <f>IF($C83="","",N(J83)+N(Q83))</f>
        <v/>
      </c>
      <c r="S83" s="25">
        <f>IF(OR($C83="",N($G83)=0),"",R83/$G83)</f>
        <v/>
      </c>
      <c r="T83" s="23">
        <f>IF($C83="","",N($G83)-N(R83))</f>
        <v/>
      </c>
      <c r="U83" s="24" t="n"/>
      <c r="V83" s="22" t="n"/>
    </row>
    <row r="84">
      <c r="B84" s="13">
        <f>IF($C84="","",COUNTA($C$9:$C84))</f>
        <v/>
      </c>
      <c r="C84" s="21" t="n"/>
      <c r="D84" s="14" t="n"/>
      <c r="E84" s="14" t="n"/>
      <c r="F84" s="14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3">
        <f>IF($C84="","",N(L84)-N(M84))</f>
        <v/>
      </c>
      <c r="P84" s="24" t="n"/>
      <c r="Q84" s="23">
        <f>IF($C84="","",N(M84)+N(N84))</f>
        <v/>
      </c>
      <c r="R84" s="23">
        <f>IF($C84="","",N(J84)+N(Q84))</f>
        <v/>
      </c>
      <c r="S84" s="25">
        <f>IF(OR($C84="",N($G84)=0),"",R84/$G84)</f>
        <v/>
      </c>
      <c r="T84" s="23">
        <f>IF($C84="","",N($G84)-N(R84))</f>
        <v/>
      </c>
      <c r="U84" s="24" t="n"/>
      <c r="V84" s="22" t="n"/>
    </row>
    <row r="85">
      <c r="B85" s="13">
        <f>IF($C85="","",COUNTA($C$9:$C85))</f>
        <v/>
      </c>
      <c r="C85" s="21" t="n"/>
      <c r="D85" s="14" t="n"/>
      <c r="E85" s="14" t="n"/>
      <c r="F85" s="14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3">
        <f>IF($C85="","",N(L85)-N(M85))</f>
        <v/>
      </c>
      <c r="P85" s="24" t="n"/>
      <c r="Q85" s="23">
        <f>IF($C85="","",N(M85)+N(N85))</f>
        <v/>
      </c>
      <c r="R85" s="23">
        <f>IF($C85="","",N(J85)+N(Q85))</f>
        <v/>
      </c>
      <c r="S85" s="25">
        <f>IF(OR($C85="",N($G85)=0),"",R85/$G85)</f>
        <v/>
      </c>
      <c r="T85" s="23">
        <f>IF($C85="","",N($G85)-N(R85))</f>
        <v/>
      </c>
      <c r="U85" s="24" t="n"/>
      <c r="V85" s="22" t="n"/>
    </row>
    <row r="86">
      <c r="B86" s="13">
        <f>IF($C86="","",COUNTA($C$9:$C86))</f>
        <v/>
      </c>
      <c r="C86" s="21" t="n"/>
      <c r="D86" s="14" t="n"/>
      <c r="E86" s="14" t="n"/>
      <c r="F86" s="14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3">
        <f>IF($C86="","",N(L86)-N(M86))</f>
        <v/>
      </c>
      <c r="P86" s="24" t="n"/>
      <c r="Q86" s="23">
        <f>IF($C86="","",N(M86)+N(N86))</f>
        <v/>
      </c>
      <c r="R86" s="23">
        <f>IF($C86="","",N(J86)+N(Q86))</f>
        <v/>
      </c>
      <c r="S86" s="25">
        <f>IF(OR($C86="",N($G86)=0),"",R86/$G86)</f>
        <v/>
      </c>
      <c r="T86" s="23">
        <f>IF($C86="","",N($G86)-N(R86))</f>
        <v/>
      </c>
      <c r="U86" s="24" t="n"/>
      <c r="V86" s="22" t="n"/>
    </row>
    <row r="87">
      <c r="B87" s="13">
        <f>IF($C87="","",COUNTA($C$9:$C87))</f>
        <v/>
      </c>
      <c r="C87" s="21" t="n"/>
      <c r="D87" s="14" t="n"/>
      <c r="E87" s="14" t="n"/>
      <c r="F87" s="14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3">
        <f>IF($C87="","",N(L87)-N(M87))</f>
        <v/>
      </c>
      <c r="P87" s="24" t="n"/>
      <c r="Q87" s="23">
        <f>IF($C87="","",N(M87)+N(N87))</f>
        <v/>
      </c>
      <c r="R87" s="23">
        <f>IF($C87="","",N(J87)+N(Q87))</f>
        <v/>
      </c>
      <c r="S87" s="25">
        <f>IF(OR($C87="",N($G87)=0),"",R87/$G87)</f>
        <v/>
      </c>
      <c r="T87" s="23">
        <f>IF($C87="","",N($G87)-N(R87))</f>
        <v/>
      </c>
      <c r="U87" s="24" t="n"/>
      <c r="V87" s="22" t="n"/>
    </row>
    <row r="88">
      <c r="B88" s="13">
        <f>IF($C88="","",COUNTA($C$9:$C88))</f>
        <v/>
      </c>
      <c r="C88" s="21" t="n"/>
      <c r="D88" s="14" t="n"/>
      <c r="E88" s="14" t="n"/>
      <c r="F88" s="14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3">
        <f>IF($C88="","",N(L88)-N(M88))</f>
        <v/>
      </c>
      <c r="P88" s="24" t="n"/>
      <c r="Q88" s="23">
        <f>IF($C88="","",N(M88)+N(N88))</f>
        <v/>
      </c>
      <c r="R88" s="23">
        <f>IF($C88="","",N(J88)+N(Q88))</f>
        <v/>
      </c>
      <c r="S88" s="25">
        <f>IF(OR($C88="",N($G88)=0),"",R88/$G88)</f>
        <v/>
      </c>
      <c r="T88" s="23">
        <f>IF($C88="","",N($G88)-N(R88))</f>
        <v/>
      </c>
      <c r="U88" s="24" t="n"/>
      <c r="V88" s="22" t="n"/>
    </row>
    <row r="89">
      <c r="B89" s="13">
        <f>IF($C89="","",COUNTA($C$9:$C89))</f>
        <v/>
      </c>
      <c r="C89" s="21" t="n"/>
      <c r="D89" s="14" t="n"/>
      <c r="E89" s="14" t="n"/>
      <c r="F89" s="14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3">
        <f>IF($C89="","",N(L89)-N(M89))</f>
        <v/>
      </c>
      <c r="P89" s="24" t="n"/>
      <c r="Q89" s="23">
        <f>IF($C89="","",N(M89)+N(N89))</f>
        <v/>
      </c>
      <c r="R89" s="23">
        <f>IF($C89="","",N(J89)+N(Q89))</f>
        <v/>
      </c>
      <c r="S89" s="25">
        <f>IF(OR($C89="",N($G89)=0),"",R89/$G89)</f>
        <v/>
      </c>
      <c r="T89" s="23">
        <f>IF($C89="","",N($G89)-N(R89))</f>
        <v/>
      </c>
      <c r="U89" s="24" t="n"/>
      <c r="V89" s="22" t="n"/>
    </row>
    <row r="90">
      <c r="B90" s="13">
        <f>IF($C90="","",COUNTA($C$9:$C90))</f>
        <v/>
      </c>
      <c r="C90" s="21" t="n"/>
      <c r="D90" s="14" t="n"/>
      <c r="E90" s="14" t="n"/>
      <c r="F90" s="14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3">
        <f>IF($C90="","",N(L90)-N(M90))</f>
        <v/>
      </c>
      <c r="P90" s="24" t="n"/>
      <c r="Q90" s="23">
        <f>IF($C90="","",N(M90)+N(N90))</f>
        <v/>
      </c>
      <c r="R90" s="23">
        <f>IF($C90="","",N(J90)+N(Q90))</f>
        <v/>
      </c>
      <c r="S90" s="25">
        <f>IF(OR($C90="",N($G90)=0),"",R90/$G90)</f>
        <v/>
      </c>
      <c r="T90" s="23">
        <f>IF($C90="","",N($G90)-N(R90))</f>
        <v/>
      </c>
      <c r="U90" s="24" t="n"/>
      <c r="V90" s="22" t="n"/>
    </row>
    <row r="91">
      <c r="B91" s="13">
        <f>IF($C91="","",COUNTA($C$9:$C91))</f>
        <v/>
      </c>
      <c r="C91" s="21" t="n"/>
      <c r="D91" s="14" t="n"/>
      <c r="E91" s="14" t="n"/>
      <c r="F91" s="14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3">
        <f>IF($C91="","",N(L91)-N(M91))</f>
        <v/>
      </c>
      <c r="P91" s="24" t="n"/>
      <c r="Q91" s="23">
        <f>IF($C91="","",N(M91)+N(N91))</f>
        <v/>
      </c>
      <c r="R91" s="23">
        <f>IF($C91="","",N(J91)+N(Q91))</f>
        <v/>
      </c>
      <c r="S91" s="25">
        <f>IF(OR($C91="",N($G91)=0),"",R91/$G91)</f>
        <v/>
      </c>
      <c r="T91" s="23">
        <f>IF($C91="","",N($G91)-N(R91))</f>
        <v/>
      </c>
      <c r="U91" s="24" t="n"/>
      <c r="V91" s="22" t="n"/>
    </row>
    <row r="92">
      <c r="B92" s="13">
        <f>IF($C92="","",COUNTA($C$9:$C92))</f>
        <v/>
      </c>
      <c r="C92" s="21" t="n"/>
      <c r="D92" s="14" t="n"/>
      <c r="E92" s="14" t="n"/>
      <c r="F92" s="14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3">
        <f>IF($C92="","",N(L92)-N(M92))</f>
        <v/>
      </c>
      <c r="P92" s="24" t="n"/>
      <c r="Q92" s="23">
        <f>IF($C92="","",N(M92)+N(N92))</f>
        <v/>
      </c>
      <c r="R92" s="23">
        <f>IF($C92="","",N(J92)+N(Q92))</f>
        <v/>
      </c>
      <c r="S92" s="25">
        <f>IF(OR($C92="",N($G92)=0),"",R92/$G92)</f>
        <v/>
      </c>
      <c r="T92" s="23">
        <f>IF($C92="","",N($G92)-N(R92))</f>
        <v/>
      </c>
      <c r="U92" s="24" t="n"/>
      <c r="V92" s="22" t="n"/>
    </row>
    <row r="93">
      <c r="B93" s="13">
        <f>IF($C93="","",COUNTA($C$9:$C93))</f>
        <v/>
      </c>
      <c r="C93" s="21" t="n"/>
      <c r="D93" s="14" t="n"/>
      <c r="E93" s="14" t="n"/>
      <c r="F93" s="14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3">
        <f>IF($C93="","",N(L93)-N(M93))</f>
        <v/>
      </c>
      <c r="P93" s="24" t="n"/>
      <c r="Q93" s="23">
        <f>IF($C93="","",N(M93)+N(N93))</f>
        <v/>
      </c>
      <c r="R93" s="23">
        <f>IF($C93="","",N(J93)+N(Q93))</f>
        <v/>
      </c>
      <c r="S93" s="25">
        <f>IF(OR($C93="",N($G93)=0),"",R93/$G93)</f>
        <v/>
      </c>
      <c r="T93" s="23">
        <f>IF($C93="","",N($G93)-N(R93))</f>
        <v/>
      </c>
      <c r="U93" s="24" t="n"/>
      <c r="V93" s="22" t="n"/>
    </row>
    <row r="94">
      <c r="B94" s="13">
        <f>IF($C94="","",COUNTA($C$9:$C94))</f>
        <v/>
      </c>
      <c r="C94" s="21" t="n"/>
      <c r="D94" s="14" t="n"/>
      <c r="E94" s="14" t="n"/>
      <c r="F94" s="14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3">
        <f>IF($C94="","",N(L94)-N(M94))</f>
        <v/>
      </c>
      <c r="P94" s="24" t="n"/>
      <c r="Q94" s="23">
        <f>IF($C94="","",N(M94)+N(N94))</f>
        <v/>
      </c>
      <c r="R94" s="23">
        <f>IF($C94="","",N(J94)+N(Q94))</f>
        <v/>
      </c>
      <c r="S94" s="25">
        <f>IF(OR($C94="",N($G94)=0),"",R94/$G94)</f>
        <v/>
      </c>
      <c r="T94" s="23">
        <f>IF($C94="","",N($G94)-N(R94))</f>
        <v/>
      </c>
      <c r="U94" s="24" t="n"/>
      <c r="V94" s="22" t="n"/>
    </row>
    <row r="95">
      <c r="B95" s="13">
        <f>IF($C95="","",COUNTA($C$9:$C95))</f>
        <v/>
      </c>
      <c r="C95" s="21" t="n"/>
      <c r="D95" s="14" t="n"/>
      <c r="E95" s="14" t="n"/>
      <c r="F95" s="14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3">
        <f>IF($C95="","",N(L95)-N(M95))</f>
        <v/>
      </c>
      <c r="P95" s="24" t="n"/>
      <c r="Q95" s="23">
        <f>IF($C95="","",N(M95)+N(N95))</f>
        <v/>
      </c>
      <c r="R95" s="23">
        <f>IF($C95="","",N(J95)+N(Q95))</f>
        <v/>
      </c>
      <c r="S95" s="25">
        <f>IF(OR($C95="",N($G95)=0),"",R95/$G95)</f>
        <v/>
      </c>
      <c r="T95" s="23">
        <f>IF($C95="","",N($G95)-N(R95))</f>
        <v/>
      </c>
      <c r="U95" s="24" t="n"/>
      <c r="V95" s="22" t="n"/>
    </row>
    <row r="96">
      <c r="B96" s="13">
        <f>IF($C96="","",COUNTA($C$9:$C96))</f>
        <v/>
      </c>
      <c r="C96" s="21" t="n"/>
      <c r="D96" s="14" t="n"/>
      <c r="E96" s="14" t="n"/>
      <c r="F96" s="14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3">
        <f>IF($C96="","",N(L96)-N(M96))</f>
        <v/>
      </c>
      <c r="P96" s="24" t="n"/>
      <c r="Q96" s="23">
        <f>IF($C96="","",N(M96)+N(N96))</f>
        <v/>
      </c>
      <c r="R96" s="23">
        <f>IF($C96="","",N(J96)+N(Q96))</f>
        <v/>
      </c>
      <c r="S96" s="25">
        <f>IF(OR($C96="",N($G96)=0),"",R96/$G96)</f>
        <v/>
      </c>
      <c r="T96" s="23">
        <f>IF($C96="","",N($G96)-N(R96))</f>
        <v/>
      </c>
      <c r="U96" s="24" t="n"/>
      <c r="V96" s="22" t="n"/>
    </row>
    <row r="97">
      <c r="B97" s="13">
        <f>IF($C97="","",COUNTA($C$9:$C97))</f>
        <v/>
      </c>
      <c r="C97" s="21" t="n"/>
      <c r="D97" s="14" t="n"/>
      <c r="E97" s="14" t="n"/>
      <c r="F97" s="14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3">
        <f>IF($C97="","",N(L97)-N(M97))</f>
        <v/>
      </c>
      <c r="P97" s="24" t="n"/>
      <c r="Q97" s="23">
        <f>IF($C97="","",N(M97)+N(N97))</f>
        <v/>
      </c>
      <c r="R97" s="23">
        <f>IF($C97="","",N(J97)+N(Q97))</f>
        <v/>
      </c>
      <c r="S97" s="25">
        <f>IF(OR($C97="",N($G97)=0),"",R97/$G97)</f>
        <v/>
      </c>
      <c r="T97" s="23">
        <f>IF($C97="","",N($G97)-N(R97))</f>
        <v/>
      </c>
      <c r="U97" s="24" t="n"/>
      <c r="V97" s="22" t="n"/>
    </row>
    <row r="98">
      <c r="B98" s="13">
        <f>IF($C98="","",COUNTA($C$9:$C98))</f>
        <v/>
      </c>
      <c r="C98" s="21" t="n"/>
      <c r="D98" s="14" t="n"/>
      <c r="E98" s="14" t="n"/>
      <c r="F98" s="14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3">
        <f>IF($C98="","",N(L98)-N(M98))</f>
        <v/>
      </c>
      <c r="P98" s="24" t="n"/>
      <c r="Q98" s="23">
        <f>IF($C98="","",N(M98)+N(N98))</f>
        <v/>
      </c>
      <c r="R98" s="23">
        <f>IF($C98="","",N(J98)+N(Q98))</f>
        <v/>
      </c>
      <c r="S98" s="25">
        <f>IF(OR($C98="",N($G98)=0),"",R98/$G98)</f>
        <v/>
      </c>
      <c r="T98" s="23">
        <f>IF($C98="","",N($G98)-N(R98))</f>
        <v/>
      </c>
      <c r="U98" s="24" t="n"/>
      <c r="V98" s="22" t="n"/>
    </row>
    <row r="99">
      <c r="B99" s="13">
        <f>IF($C99="","",COUNTA($C$9:$C99))</f>
        <v/>
      </c>
      <c r="C99" s="21" t="n"/>
      <c r="D99" s="14" t="n"/>
      <c r="E99" s="14" t="n"/>
      <c r="F99" s="14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3">
        <f>IF($C99="","",N(L99)-N(M99))</f>
        <v/>
      </c>
      <c r="P99" s="24" t="n"/>
      <c r="Q99" s="23">
        <f>IF($C99="","",N(M99)+N(N99))</f>
        <v/>
      </c>
      <c r="R99" s="23">
        <f>IF($C99="","",N(J99)+N(Q99))</f>
        <v/>
      </c>
      <c r="S99" s="25">
        <f>IF(OR($C99="",N($G99)=0),"",R99/$G99)</f>
        <v/>
      </c>
      <c r="T99" s="23">
        <f>IF($C99="","",N($G99)-N(R99))</f>
        <v/>
      </c>
      <c r="U99" s="24" t="n"/>
      <c r="V99" s="22" t="n"/>
    </row>
    <row r="100">
      <c r="B100" s="13">
        <f>IF($C100="","",COUNTA($C$9:$C100))</f>
        <v/>
      </c>
      <c r="C100" s="21" t="n"/>
      <c r="D100" s="14" t="n"/>
      <c r="E100" s="14" t="n"/>
      <c r="F100" s="14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3">
        <f>IF($C100="","",N(L100)-N(M100))</f>
        <v/>
      </c>
      <c r="P100" s="24" t="n"/>
      <c r="Q100" s="23">
        <f>IF($C100="","",N(M100)+N(N100))</f>
        <v/>
      </c>
      <c r="R100" s="23">
        <f>IF($C100="","",N(J100)+N(Q100))</f>
        <v/>
      </c>
      <c r="S100" s="25">
        <f>IF(OR($C100="",N($G100)=0),"",R100/$G100)</f>
        <v/>
      </c>
      <c r="T100" s="23">
        <f>IF($C100="","",N($G100)-N(R100))</f>
        <v/>
      </c>
      <c r="U100" s="24" t="n"/>
      <c r="V100" s="22" t="n"/>
    </row>
    <row r="101">
      <c r="B101" s="13">
        <f>IF($C101="","",COUNTA($C$9:$C101))</f>
        <v/>
      </c>
      <c r="C101" s="21" t="n"/>
      <c r="D101" s="14" t="n"/>
      <c r="E101" s="14" t="n"/>
      <c r="F101" s="14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3">
        <f>IF($C101="","",N(L101)-N(M101))</f>
        <v/>
      </c>
      <c r="P101" s="24" t="n"/>
      <c r="Q101" s="23">
        <f>IF($C101="","",N(M101)+N(N101))</f>
        <v/>
      </c>
      <c r="R101" s="23">
        <f>IF($C101="","",N(J101)+N(Q101))</f>
        <v/>
      </c>
      <c r="S101" s="25">
        <f>IF(OR($C101="",N($G101)=0),"",R101/$G101)</f>
        <v/>
      </c>
      <c r="T101" s="23">
        <f>IF($C101="","",N($G101)-N(R101))</f>
        <v/>
      </c>
      <c r="U101" s="24" t="n"/>
      <c r="V101" s="22" t="n"/>
    </row>
    <row r="102">
      <c r="B102" s="13">
        <f>IF($C102="","",COUNTA($C$9:$C102))</f>
        <v/>
      </c>
      <c r="C102" s="21" t="n"/>
      <c r="D102" s="14" t="n"/>
      <c r="E102" s="14" t="n"/>
      <c r="F102" s="14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3">
        <f>IF($C102="","",N(L102)-N(M102))</f>
        <v/>
      </c>
      <c r="P102" s="24" t="n"/>
      <c r="Q102" s="23">
        <f>IF($C102="","",N(M102)+N(N102))</f>
        <v/>
      </c>
      <c r="R102" s="23">
        <f>IF($C102="","",N(J102)+N(Q102))</f>
        <v/>
      </c>
      <c r="S102" s="25">
        <f>IF(OR($C102="",N($G102)=0),"",R102/$G102)</f>
        <v/>
      </c>
      <c r="T102" s="23">
        <f>IF($C102="","",N($G102)-N(R102))</f>
        <v/>
      </c>
      <c r="U102" s="24" t="n"/>
      <c r="V102" s="22" t="n"/>
    </row>
    <row r="103">
      <c r="B103" s="13">
        <f>IF($C103="","",COUNTA($C$9:$C103))</f>
        <v/>
      </c>
      <c r="C103" s="21" t="n"/>
      <c r="D103" s="14" t="n"/>
      <c r="E103" s="14" t="n"/>
      <c r="F103" s="14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3">
        <f>IF($C103="","",N(L103)-N(M103))</f>
        <v/>
      </c>
      <c r="P103" s="24" t="n"/>
      <c r="Q103" s="23">
        <f>IF($C103="","",N(M103)+N(N103))</f>
        <v/>
      </c>
      <c r="R103" s="23">
        <f>IF($C103="","",N(J103)+N(Q103))</f>
        <v/>
      </c>
      <c r="S103" s="25">
        <f>IF(OR($C103="",N($G103)=0),"",R103/$G103)</f>
        <v/>
      </c>
      <c r="T103" s="23">
        <f>IF($C103="","",N($G103)-N(R103))</f>
        <v/>
      </c>
      <c r="U103" s="24" t="n"/>
      <c r="V103" s="22" t="n"/>
    </row>
    <row r="104">
      <c r="B104" s="13">
        <f>IF($C104="","",COUNTA($C$9:$C104))</f>
        <v/>
      </c>
      <c r="C104" s="21" t="n"/>
      <c r="D104" s="14" t="n"/>
      <c r="E104" s="14" t="n"/>
      <c r="F104" s="14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3">
        <f>IF($C104="","",N(L104)-N(M104))</f>
        <v/>
      </c>
      <c r="P104" s="24" t="n"/>
      <c r="Q104" s="23">
        <f>IF($C104="","",N(M104)+N(N104))</f>
        <v/>
      </c>
      <c r="R104" s="23">
        <f>IF($C104="","",N(J104)+N(Q104))</f>
        <v/>
      </c>
      <c r="S104" s="25">
        <f>IF(OR($C104="",N($G104)=0),"",R104/$G104)</f>
        <v/>
      </c>
      <c r="T104" s="23">
        <f>IF($C104="","",N($G104)-N(R104))</f>
        <v/>
      </c>
      <c r="U104" s="24" t="n"/>
      <c r="V104" s="22" t="n"/>
    </row>
    <row r="105">
      <c r="B105" s="13">
        <f>IF($C105="","",COUNTA($C$9:$C105))</f>
        <v/>
      </c>
      <c r="C105" s="21" t="n"/>
      <c r="D105" s="14" t="n"/>
      <c r="E105" s="14" t="n"/>
      <c r="F105" s="14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3">
        <f>IF($C105="","",N(L105)-N(M105))</f>
        <v/>
      </c>
      <c r="P105" s="24" t="n"/>
      <c r="Q105" s="23">
        <f>IF($C105="","",N(M105)+N(N105))</f>
        <v/>
      </c>
      <c r="R105" s="23">
        <f>IF($C105="","",N(J105)+N(Q105))</f>
        <v/>
      </c>
      <c r="S105" s="25">
        <f>IF(OR($C105="",N($G105)=0),"",R105/$G105)</f>
        <v/>
      </c>
      <c r="T105" s="23">
        <f>IF($C105="","",N($G105)-N(R105))</f>
        <v/>
      </c>
      <c r="U105" s="24" t="n"/>
      <c r="V105" s="22" t="n"/>
    </row>
    <row r="106">
      <c r="B106" s="13">
        <f>IF($C106="","",COUNTA($C$9:$C106))</f>
        <v/>
      </c>
      <c r="C106" s="21" t="n"/>
      <c r="D106" s="14" t="n"/>
      <c r="E106" s="14" t="n"/>
      <c r="F106" s="14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3">
        <f>IF($C106="","",N(L106)-N(M106))</f>
        <v/>
      </c>
      <c r="P106" s="24" t="n"/>
      <c r="Q106" s="23">
        <f>IF($C106="","",N(M106)+N(N106))</f>
        <v/>
      </c>
      <c r="R106" s="23">
        <f>IF($C106="","",N(J106)+N(Q106))</f>
        <v/>
      </c>
      <c r="S106" s="25">
        <f>IF(OR($C106="",N($G106)=0),"",R106/$G106)</f>
        <v/>
      </c>
      <c r="T106" s="23">
        <f>IF($C106="","",N($G106)-N(R106))</f>
        <v/>
      </c>
      <c r="U106" s="24" t="n"/>
      <c r="V106" s="22" t="n"/>
    </row>
    <row r="107">
      <c r="B107" s="13">
        <f>IF($C107="","",COUNTA($C$9:$C107))</f>
        <v/>
      </c>
      <c r="C107" s="21" t="n"/>
      <c r="D107" s="14" t="n"/>
      <c r="E107" s="14" t="n"/>
      <c r="F107" s="14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3">
        <f>IF($C107="","",N(L107)-N(M107))</f>
        <v/>
      </c>
      <c r="P107" s="24" t="n"/>
      <c r="Q107" s="23">
        <f>IF($C107="","",N(M107)+N(N107))</f>
        <v/>
      </c>
      <c r="R107" s="23">
        <f>IF($C107="","",N(J107)+N(Q107))</f>
        <v/>
      </c>
      <c r="S107" s="25">
        <f>IF(OR($C107="",N($G107)=0),"",R107/$G107)</f>
        <v/>
      </c>
      <c r="T107" s="23">
        <f>IF($C107="","",N($G107)-N(R107))</f>
        <v/>
      </c>
      <c r="U107" s="24" t="n"/>
      <c r="V107" s="22" t="n"/>
    </row>
    <row r="108">
      <c r="B108" s="13">
        <f>IF($C108="","",COUNTA($C$9:$C108))</f>
        <v/>
      </c>
      <c r="C108" s="21" t="n"/>
      <c r="D108" s="14" t="n"/>
      <c r="E108" s="14" t="n"/>
      <c r="F108" s="14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3">
        <f>IF($C108="","",N(L108)-N(M108))</f>
        <v/>
      </c>
      <c r="P108" s="24" t="n"/>
      <c r="Q108" s="23">
        <f>IF($C108="","",N(M108)+N(N108))</f>
        <v/>
      </c>
      <c r="R108" s="23">
        <f>IF($C108="","",N(J108)+N(Q108))</f>
        <v/>
      </c>
      <c r="S108" s="25">
        <f>IF(OR($C108="",N($G108)=0),"",R108/$G108)</f>
        <v/>
      </c>
      <c r="T108" s="23">
        <f>IF($C108="","",N($G108)-N(R108))</f>
        <v/>
      </c>
      <c r="U108" s="24" t="n"/>
      <c r="V108" s="22" t="n"/>
    </row>
    <row r="109">
      <c r="B109" s="13">
        <f>IF($C109="","",COUNTA($C$9:$C109))</f>
        <v/>
      </c>
      <c r="C109" s="21" t="n"/>
      <c r="D109" s="14" t="n"/>
      <c r="E109" s="14" t="n"/>
      <c r="F109" s="14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3">
        <f>IF($C109="","",N(L109)-N(M109))</f>
        <v/>
      </c>
      <c r="P109" s="24" t="n"/>
      <c r="Q109" s="23">
        <f>IF($C109="","",N(M109)+N(N109))</f>
        <v/>
      </c>
      <c r="R109" s="23">
        <f>IF($C109="","",N(J109)+N(Q109))</f>
        <v/>
      </c>
      <c r="S109" s="25">
        <f>IF(OR($C109="",N($G109)=0),"",R109/$G109)</f>
        <v/>
      </c>
      <c r="T109" s="23">
        <f>IF($C109="","",N($G109)-N(R109))</f>
        <v/>
      </c>
      <c r="U109" s="24" t="n"/>
      <c r="V109" s="22" t="n"/>
    </row>
    <row r="110">
      <c r="B110" s="13">
        <f>IF($C110="","",COUNTA($C$9:$C110))</f>
        <v/>
      </c>
      <c r="C110" s="21" t="n"/>
      <c r="D110" s="14" t="n"/>
      <c r="E110" s="14" t="n"/>
      <c r="F110" s="14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3">
        <f>IF($C110="","",N(L110)-N(M110))</f>
        <v/>
      </c>
      <c r="P110" s="24" t="n"/>
      <c r="Q110" s="23">
        <f>IF($C110="","",N(M110)+N(N110))</f>
        <v/>
      </c>
      <c r="R110" s="23">
        <f>IF($C110="","",N(J110)+N(Q110))</f>
        <v/>
      </c>
      <c r="S110" s="25">
        <f>IF(OR($C110="",N($G110)=0),"",R110/$G110)</f>
        <v/>
      </c>
      <c r="T110" s="23">
        <f>IF($C110="","",N($G110)-N(R110))</f>
        <v/>
      </c>
      <c r="U110" s="24" t="n"/>
      <c r="V110" s="22" t="n"/>
    </row>
    <row r="111">
      <c r="B111" s="13">
        <f>IF($C111="","",COUNTA($C$9:$C111))</f>
        <v/>
      </c>
      <c r="C111" s="21" t="n"/>
      <c r="D111" s="14" t="n"/>
      <c r="E111" s="14" t="n"/>
      <c r="F111" s="14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3">
        <f>IF($C111="","",N(L111)-N(M111))</f>
        <v/>
      </c>
      <c r="P111" s="24" t="n"/>
      <c r="Q111" s="23">
        <f>IF($C111="","",N(M111)+N(N111))</f>
        <v/>
      </c>
      <c r="R111" s="23">
        <f>IF($C111="","",N(J111)+N(Q111))</f>
        <v/>
      </c>
      <c r="S111" s="25">
        <f>IF(OR($C111="",N($G111)=0),"",R111/$G111)</f>
        <v/>
      </c>
      <c r="T111" s="23">
        <f>IF($C111="","",N($G111)-N(R111))</f>
        <v/>
      </c>
      <c r="U111" s="24" t="n"/>
      <c r="V111" s="22" t="n"/>
    </row>
    <row r="112">
      <c r="B112" s="13">
        <f>IF($C112="","",COUNTA($C$9:$C112))</f>
        <v/>
      </c>
      <c r="C112" s="21" t="n"/>
      <c r="D112" s="14" t="n"/>
      <c r="E112" s="14" t="n"/>
      <c r="F112" s="14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3">
        <f>IF($C112="","",N(L112)-N(M112))</f>
        <v/>
      </c>
      <c r="P112" s="24" t="n"/>
      <c r="Q112" s="23">
        <f>IF($C112="","",N(M112)+N(N112))</f>
        <v/>
      </c>
      <c r="R112" s="23">
        <f>IF($C112="","",N(J112)+N(Q112))</f>
        <v/>
      </c>
      <c r="S112" s="25">
        <f>IF(OR($C112="",N($G112)=0),"",R112/$G112)</f>
        <v/>
      </c>
      <c r="T112" s="23">
        <f>IF($C112="","",N($G112)-N(R112))</f>
        <v/>
      </c>
      <c r="U112" s="24" t="n"/>
      <c r="V112" s="22" t="n"/>
    </row>
    <row r="113">
      <c r="B113" s="13">
        <f>IF($C113="","",COUNTA($C$9:$C113))</f>
        <v/>
      </c>
      <c r="C113" s="21" t="n"/>
      <c r="D113" s="14" t="n"/>
      <c r="E113" s="14" t="n"/>
      <c r="F113" s="14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3">
        <f>IF($C113="","",N(L113)-N(M113))</f>
        <v/>
      </c>
      <c r="P113" s="24" t="n"/>
      <c r="Q113" s="23">
        <f>IF($C113="","",N(M113)+N(N113))</f>
        <v/>
      </c>
      <c r="R113" s="23">
        <f>IF($C113="","",N(J113)+N(Q113))</f>
        <v/>
      </c>
      <c r="S113" s="25">
        <f>IF(OR($C113="",N($G113)=0),"",R113/$G113)</f>
        <v/>
      </c>
      <c r="T113" s="23">
        <f>IF($C113="","",N($G113)-N(R113))</f>
        <v/>
      </c>
      <c r="U113" s="24" t="n"/>
      <c r="V113" s="22" t="n"/>
    </row>
    <row r="114">
      <c r="B114" s="13">
        <f>IF($C114="","",COUNTA($C$9:$C114))</f>
        <v/>
      </c>
      <c r="C114" s="21" t="n"/>
      <c r="D114" s="14" t="n"/>
      <c r="E114" s="14" t="n"/>
      <c r="F114" s="14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3">
        <f>IF($C114="","",N(L114)-N(M114))</f>
        <v/>
      </c>
      <c r="P114" s="24" t="n"/>
      <c r="Q114" s="23">
        <f>IF($C114="","",N(M114)+N(N114))</f>
        <v/>
      </c>
      <c r="R114" s="23">
        <f>IF($C114="","",N(J114)+N(Q114))</f>
        <v/>
      </c>
      <c r="S114" s="25">
        <f>IF(OR($C114="",N($G114)=0),"",R114/$G114)</f>
        <v/>
      </c>
      <c r="T114" s="23">
        <f>IF($C114="","",N($G114)-N(R114))</f>
        <v/>
      </c>
      <c r="U114" s="24" t="n"/>
      <c r="V114" s="22" t="n"/>
    </row>
    <row r="115">
      <c r="B115" s="13">
        <f>IF($C115="","",COUNTA($C$9:$C115))</f>
        <v/>
      </c>
      <c r="C115" s="21" t="n"/>
      <c r="D115" s="14" t="n"/>
      <c r="E115" s="14" t="n"/>
      <c r="F115" s="14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3">
        <f>IF($C115="","",N(L115)-N(M115))</f>
        <v/>
      </c>
      <c r="P115" s="24" t="n"/>
      <c r="Q115" s="23">
        <f>IF($C115="","",N(M115)+N(N115))</f>
        <v/>
      </c>
      <c r="R115" s="23">
        <f>IF($C115="","",N(J115)+N(Q115))</f>
        <v/>
      </c>
      <c r="S115" s="25">
        <f>IF(OR($C115="",N($G115)=0),"",R115/$G115)</f>
        <v/>
      </c>
      <c r="T115" s="23">
        <f>IF($C115="","",N($G115)-N(R115))</f>
        <v/>
      </c>
      <c r="U115" s="24" t="n"/>
      <c r="V115" s="22" t="n"/>
    </row>
    <row r="116">
      <c r="B116" s="13">
        <f>IF($C116="","",COUNTA($C$9:$C116))</f>
        <v/>
      </c>
      <c r="C116" s="21" t="n"/>
      <c r="D116" s="14" t="n"/>
      <c r="E116" s="14" t="n"/>
      <c r="F116" s="14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3">
        <f>IF($C116="","",N(L116)-N(M116))</f>
        <v/>
      </c>
      <c r="P116" s="24" t="n"/>
      <c r="Q116" s="23">
        <f>IF($C116="","",N(M116)+N(N116))</f>
        <v/>
      </c>
      <c r="R116" s="23">
        <f>IF($C116="","",N(J116)+N(Q116))</f>
        <v/>
      </c>
      <c r="S116" s="25">
        <f>IF(OR($C116="",N($G116)=0),"",R116/$G116)</f>
        <v/>
      </c>
      <c r="T116" s="23">
        <f>IF($C116="","",N($G116)-N(R116))</f>
        <v/>
      </c>
      <c r="U116" s="24" t="n"/>
      <c r="V116" s="22" t="n"/>
    </row>
    <row r="117">
      <c r="B117" s="13">
        <f>IF($C117="","",COUNTA($C$9:$C117))</f>
        <v/>
      </c>
      <c r="C117" s="21" t="n"/>
      <c r="D117" s="14" t="n"/>
      <c r="E117" s="14" t="n"/>
      <c r="F117" s="14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3">
        <f>IF($C117="","",N(L117)-N(M117))</f>
        <v/>
      </c>
      <c r="P117" s="24" t="n"/>
      <c r="Q117" s="23">
        <f>IF($C117="","",N(M117)+N(N117))</f>
        <v/>
      </c>
      <c r="R117" s="23">
        <f>IF($C117="","",N(J117)+N(Q117))</f>
        <v/>
      </c>
      <c r="S117" s="25">
        <f>IF(OR($C117="",N($G117)=0),"",R117/$G117)</f>
        <v/>
      </c>
      <c r="T117" s="23">
        <f>IF($C117="","",N($G117)-N(R117))</f>
        <v/>
      </c>
      <c r="U117" s="24" t="n"/>
      <c r="V117" s="22" t="n"/>
    </row>
    <row r="118">
      <c r="B118" s="13">
        <f>IF($C118="","",COUNTA($C$9:$C118))</f>
        <v/>
      </c>
      <c r="C118" s="21" t="n"/>
      <c r="D118" s="14" t="n"/>
      <c r="E118" s="14" t="n"/>
      <c r="F118" s="14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3">
        <f>IF($C118="","",N(L118)-N(M118))</f>
        <v/>
      </c>
      <c r="P118" s="24" t="n"/>
      <c r="Q118" s="23">
        <f>IF($C118="","",N(M118)+N(N118))</f>
        <v/>
      </c>
      <c r="R118" s="23">
        <f>IF($C118="","",N(J118)+N(Q118))</f>
        <v/>
      </c>
      <c r="S118" s="25">
        <f>IF(OR($C118="",N($G118)=0),"",R118/$G118)</f>
        <v/>
      </c>
      <c r="T118" s="23">
        <f>IF($C118="","",N($G118)-N(R118))</f>
        <v/>
      </c>
      <c r="U118" s="24" t="n"/>
      <c r="V118" s="22" t="n"/>
    </row>
    <row r="119">
      <c r="B119" s="13">
        <f>IF($C119="","",COUNTA($C$9:$C119))</f>
        <v/>
      </c>
      <c r="C119" s="21" t="n"/>
      <c r="D119" s="14" t="n"/>
      <c r="E119" s="14" t="n"/>
      <c r="F119" s="14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3">
        <f>IF($C119="","",N(L119)-N(M119))</f>
        <v/>
      </c>
      <c r="P119" s="24" t="n"/>
      <c r="Q119" s="23">
        <f>IF($C119="","",N(M119)+N(N119))</f>
        <v/>
      </c>
      <c r="R119" s="23">
        <f>IF($C119="","",N(J119)+N(Q119))</f>
        <v/>
      </c>
      <c r="S119" s="25">
        <f>IF(OR($C119="",N($G119)=0),"",R119/$G119)</f>
        <v/>
      </c>
      <c r="T119" s="23">
        <f>IF($C119="","",N($G119)-N(R119))</f>
        <v/>
      </c>
      <c r="U119" s="24" t="n"/>
      <c r="V119" s="22" t="n"/>
    </row>
    <row r="120">
      <c r="B120" s="13">
        <f>IF($C120="","",COUNTA($C$9:$C120))</f>
        <v/>
      </c>
      <c r="C120" s="21" t="n"/>
      <c r="D120" s="14" t="n"/>
      <c r="E120" s="14" t="n"/>
      <c r="F120" s="14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3">
        <f>IF($C120="","",N(L120)-N(M120))</f>
        <v/>
      </c>
      <c r="P120" s="24" t="n"/>
      <c r="Q120" s="23">
        <f>IF($C120="","",N(M120)+N(N120))</f>
        <v/>
      </c>
      <c r="R120" s="23">
        <f>IF($C120="","",N(J120)+N(Q120))</f>
        <v/>
      </c>
      <c r="S120" s="25">
        <f>IF(OR($C120="",N($G120)=0),"",R120/$G120)</f>
        <v/>
      </c>
      <c r="T120" s="23">
        <f>IF($C120="","",N($G120)-N(R120))</f>
        <v/>
      </c>
      <c r="U120" s="24" t="n"/>
      <c r="V120" s="22" t="n"/>
    </row>
    <row r="121">
      <c r="B121" s="13">
        <f>IF($C121="","",COUNTA($C$9:$C121))</f>
        <v/>
      </c>
      <c r="C121" s="21" t="n"/>
      <c r="D121" s="14" t="n"/>
      <c r="E121" s="14" t="n"/>
      <c r="F121" s="14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3">
        <f>IF($C121="","",N(L121)-N(M121))</f>
        <v/>
      </c>
      <c r="P121" s="24" t="n"/>
      <c r="Q121" s="23">
        <f>IF($C121="","",N(M121)+N(N121))</f>
        <v/>
      </c>
      <c r="R121" s="23">
        <f>IF($C121="","",N(J121)+N(Q121))</f>
        <v/>
      </c>
      <c r="S121" s="25">
        <f>IF(OR($C121="",N($G121)=0),"",R121/$G121)</f>
        <v/>
      </c>
      <c r="T121" s="23">
        <f>IF($C121="","",N($G121)-N(R121))</f>
        <v/>
      </c>
      <c r="U121" s="24" t="n"/>
      <c r="V121" s="22" t="n"/>
    </row>
    <row r="122">
      <c r="B122" s="13">
        <f>IF($C122="","",COUNTA($C$9:$C122))</f>
        <v/>
      </c>
      <c r="C122" s="21" t="n"/>
      <c r="D122" s="14" t="n"/>
      <c r="E122" s="14" t="n"/>
      <c r="F122" s="14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3">
        <f>IF($C122="","",N(L122)-N(M122))</f>
        <v/>
      </c>
      <c r="P122" s="24" t="n"/>
      <c r="Q122" s="23">
        <f>IF($C122="","",N(M122)+N(N122))</f>
        <v/>
      </c>
      <c r="R122" s="23">
        <f>IF($C122="","",N(J122)+N(Q122))</f>
        <v/>
      </c>
      <c r="S122" s="25">
        <f>IF(OR($C122="",N($G122)=0),"",R122/$G122)</f>
        <v/>
      </c>
      <c r="T122" s="23">
        <f>IF($C122="","",N($G122)-N(R122))</f>
        <v/>
      </c>
      <c r="U122" s="24" t="n"/>
      <c r="V122" s="22" t="n"/>
    </row>
    <row r="123">
      <c r="B123" s="13">
        <f>IF($C123="","",COUNTA($C$9:$C123))</f>
        <v/>
      </c>
      <c r="C123" s="21" t="n"/>
      <c r="D123" s="14" t="n"/>
      <c r="E123" s="14" t="n"/>
      <c r="F123" s="14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3">
        <f>IF($C123="","",N(L123)-N(M123))</f>
        <v/>
      </c>
      <c r="P123" s="24" t="n"/>
      <c r="Q123" s="23">
        <f>IF($C123="","",N(M123)+N(N123))</f>
        <v/>
      </c>
      <c r="R123" s="23">
        <f>IF($C123="","",N(J123)+N(Q123))</f>
        <v/>
      </c>
      <c r="S123" s="25">
        <f>IF(OR($C123="",N($G123)=0),"",R123/$G123)</f>
        <v/>
      </c>
      <c r="T123" s="23">
        <f>IF($C123="","",N($G123)-N(R123))</f>
        <v/>
      </c>
      <c r="U123" s="24" t="n"/>
      <c r="V123" s="22" t="n"/>
    </row>
    <row r="124">
      <c r="B124" s="13">
        <f>IF($C124="","",COUNTA($C$9:$C124))</f>
        <v/>
      </c>
      <c r="C124" s="21" t="n"/>
      <c r="D124" s="14" t="n"/>
      <c r="E124" s="14" t="n"/>
      <c r="F124" s="14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3">
        <f>IF($C124="","",N(L124)-N(M124))</f>
        <v/>
      </c>
      <c r="P124" s="24" t="n"/>
      <c r="Q124" s="23">
        <f>IF($C124="","",N(M124)+N(N124))</f>
        <v/>
      </c>
      <c r="R124" s="23">
        <f>IF($C124="","",N(J124)+N(Q124))</f>
        <v/>
      </c>
      <c r="S124" s="25">
        <f>IF(OR($C124="",N($G124)=0),"",R124/$G124)</f>
        <v/>
      </c>
      <c r="T124" s="23">
        <f>IF($C124="","",N($G124)-N(R124))</f>
        <v/>
      </c>
      <c r="U124" s="24" t="n"/>
      <c r="V124" s="22" t="n"/>
    </row>
    <row r="125">
      <c r="B125" s="13">
        <f>IF($C125="","",COUNTA($C$9:$C125))</f>
        <v/>
      </c>
      <c r="C125" s="21" t="n"/>
      <c r="D125" s="14" t="n"/>
      <c r="E125" s="14" t="n"/>
      <c r="F125" s="14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3">
        <f>IF($C125="","",N(L125)-N(M125))</f>
        <v/>
      </c>
      <c r="P125" s="24" t="n"/>
      <c r="Q125" s="23">
        <f>IF($C125="","",N(M125)+N(N125))</f>
        <v/>
      </c>
      <c r="R125" s="23">
        <f>IF($C125="","",N(J125)+N(Q125))</f>
        <v/>
      </c>
      <c r="S125" s="25">
        <f>IF(OR($C125="",N($G125)=0),"",R125/$G125)</f>
        <v/>
      </c>
      <c r="T125" s="23">
        <f>IF($C125="","",N($G125)-N(R125))</f>
        <v/>
      </c>
      <c r="U125" s="24" t="n"/>
      <c r="V125" s="22" t="n"/>
    </row>
    <row r="126">
      <c r="B126" s="13">
        <f>IF($C126="","",COUNTA($C$9:$C126))</f>
        <v/>
      </c>
      <c r="C126" s="21" t="n"/>
      <c r="D126" s="14" t="n"/>
      <c r="E126" s="14" t="n"/>
      <c r="F126" s="14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3">
        <f>IF($C126="","",N(L126)-N(M126))</f>
        <v/>
      </c>
      <c r="P126" s="24" t="n"/>
      <c r="Q126" s="23">
        <f>IF($C126="","",N(M126)+N(N126))</f>
        <v/>
      </c>
      <c r="R126" s="23">
        <f>IF($C126="","",N(J126)+N(Q126))</f>
        <v/>
      </c>
      <c r="S126" s="25">
        <f>IF(OR($C126="",N($G126)=0),"",R126/$G126)</f>
        <v/>
      </c>
      <c r="T126" s="23">
        <f>IF($C126="","",N($G126)-N(R126))</f>
        <v/>
      </c>
      <c r="U126" s="24" t="n"/>
      <c r="V126" s="22" t="n"/>
    </row>
    <row r="127">
      <c r="B127" s="13">
        <f>IF($C127="","",COUNTA($C$9:$C127))</f>
        <v/>
      </c>
      <c r="C127" s="21" t="n"/>
      <c r="D127" s="14" t="n"/>
      <c r="E127" s="14" t="n"/>
      <c r="F127" s="14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3">
        <f>IF($C127="","",N(L127)-N(M127))</f>
        <v/>
      </c>
      <c r="P127" s="24" t="n"/>
      <c r="Q127" s="23">
        <f>IF($C127="","",N(M127)+N(N127))</f>
        <v/>
      </c>
      <c r="R127" s="23">
        <f>IF($C127="","",N(J127)+N(Q127))</f>
        <v/>
      </c>
      <c r="S127" s="25">
        <f>IF(OR($C127="",N($G127)=0),"",R127/$G127)</f>
        <v/>
      </c>
      <c r="T127" s="23">
        <f>IF($C127="","",N($G127)-N(R127))</f>
        <v/>
      </c>
      <c r="U127" s="24" t="n"/>
      <c r="V127" s="22" t="n"/>
    </row>
    <row r="128">
      <c r="B128" s="13">
        <f>IF($C128="","",COUNTA($C$9:$C128))</f>
        <v/>
      </c>
      <c r="C128" s="21" t="n"/>
      <c r="D128" s="14" t="n"/>
      <c r="E128" s="14" t="n"/>
      <c r="F128" s="14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3">
        <f>IF($C128="","",N(L128)-N(M128))</f>
        <v/>
      </c>
      <c r="P128" s="24" t="n"/>
      <c r="Q128" s="23">
        <f>IF($C128="","",N(M128)+N(N128))</f>
        <v/>
      </c>
      <c r="R128" s="23">
        <f>IF($C128="","",N(J128)+N(Q128))</f>
        <v/>
      </c>
      <c r="S128" s="25">
        <f>IF(OR($C128="",N($G128)=0),"",R128/$G128)</f>
        <v/>
      </c>
      <c r="T128" s="23">
        <f>IF($C128="","",N($G128)-N(R128))</f>
        <v/>
      </c>
      <c r="U128" s="24" t="n"/>
      <c r="V128" s="22" t="n"/>
    </row>
    <row r="129">
      <c r="B129" s="13">
        <f>IF($C129="","",COUNTA($C$9:$C129))</f>
        <v/>
      </c>
      <c r="C129" s="21" t="n"/>
      <c r="D129" s="14" t="n"/>
      <c r="E129" s="14" t="n"/>
      <c r="F129" s="14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3">
        <f>IF($C129="","",N(L129)-N(M129))</f>
        <v/>
      </c>
      <c r="P129" s="24" t="n"/>
      <c r="Q129" s="23">
        <f>IF($C129="","",N(M129)+N(N129))</f>
        <v/>
      </c>
      <c r="R129" s="23">
        <f>IF($C129="","",N(J129)+N(Q129))</f>
        <v/>
      </c>
      <c r="S129" s="25">
        <f>IF(OR($C129="",N($G129)=0),"",R129/$G129)</f>
        <v/>
      </c>
      <c r="T129" s="23">
        <f>IF($C129="","",N($G129)-N(R129))</f>
        <v/>
      </c>
      <c r="U129" s="24" t="n"/>
      <c r="V129" s="22" t="n"/>
    </row>
    <row r="130">
      <c r="B130" s="13">
        <f>IF($C130="","",COUNTA($C$9:$C130))</f>
        <v/>
      </c>
      <c r="C130" s="21" t="n"/>
      <c r="D130" s="14" t="n"/>
      <c r="E130" s="14" t="n"/>
      <c r="F130" s="14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3">
        <f>IF($C130="","",N(L130)-N(M130))</f>
        <v/>
      </c>
      <c r="P130" s="24" t="n"/>
      <c r="Q130" s="23">
        <f>IF($C130="","",N(M130)+N(N130))</f>
        <v/>
      </c>
      <c r="R130" s="23">
        <f>IF($C130="","",N(J130)+N(Q130))</f>
        <v/>
      </c>
      <c r="S130" s="25">
        <f>IF(OR($C130="",N($G130)=0),"",R130/$G130)</f>
        <v/>
      </c>
      <c r="T130" s="23">
        <f>IF($C130="","",N($G130)-N(R130))</f>
        <v/>
      </c>
      <c r="U130" s="24" t="n"/>
      <c r="V130" s="22" t="n"/>
    </row>
    <row r="131">
      <c r="B131" s="13">
        <f>IF($C131="","",COUNTA($C$9:$C131))</f>
        <v/>
      </c>
      <c r="C131" s="21" t="n"/>
      <c r="D131" s="14" t="n"/>
      <c r="E131" s="14" t="n"/>
      <c r="F131" s="14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3">
        <f>IF($C131="","",N(L131)-N(M131))</f>
        <v/>
      </c>
      <c r="P131" s="24" t="n"/>
      <c r="Q131" s="23">
        <f>IF($C131="","",N(M131)+N(N131))</f>
        <v/>
      </c>
      <c r="R131" s="23">
        <f>IF($C131="","",N(J131)+N(Q131))</f>
        <v/>
      </c>
      <c r="S131" s="25">
        <f>IF(OR($C131="",N($G131)=0),"",R131/$G131)</f>
        <v/>
      </c>
      <c r="T131" s="23">
        <f>IF($C131="","",N($G131)-N(R131))</f>
        <v/>
      </c>
      <c r="U131" s="24" t="n"/>
      <c r="V131" s="22" t="n"/>
    </row>
    <row r="132">
      <c r="B132" s="13">
        <f>IF($C132="","",COUNTA($C$9:$C132))</f>
        <v/>
      </c>
      <c r="C132" s="21" t="n"/>
      <c r="D132" s="14" t="n"/>
      <c r="E132" s="14" t="n"/>
      <c r="F132" s="14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3">
        <f>IF($C132="","",N(L132)-N(M132))</f>
        <v/>
      </c>
      <c r="P132" s="24" t="n"/>
      <c r="Q132" s="23">
        <f>IF($C132="","",N(M132)+N(N132))</f>
        <v/>
      </c>
      <c r="R132" s="23">
        <f>IF($C132="","",N(J132)+N(Q132))</f>
        <v/>
      </c>
      <c r="S132" s="25">
        <f>IF(OR($C132="",N($G132)=0),"",R132/$G132)</f>
        <v/>
      </c>
      <c r="T132" s="23">
        <f>IF($C132="","",N($G132)-N(R132))</f>
        <v/>
      </c>
      <c r="U132" s="24" t="n"/>
      <c r="V132" s="22" t="n"/>
    </row>
    <row r="133">
      <c r="B133" s="13">
        <f>IF($C133="","",COUNTA($C$9:$C133))</f>
        <v/>
      </c>
      <c r="C133" s="21" t="n"/>
      <c r="D133" s="14" t="n"/>
      <c r="E133" s="14" t="n"/>
      <c r="F133" s="14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3">
        <f>IF($C133="","",N(L133)-N(M133))</f>
        <v/>
      </c>
      <c r="P133" s="24" t="n"/>
      <c r="Q133" s="23">
        <f>IF($C133="","",N(M133)+N(N133))</f>
        <v/>
      </c>
      <c r="R133" s="23">
        <f>IF($C133="","",N(J133)+N(Q133))</f>
        <v/>
      </c>
      <c r="S133" s="25">
        <f>IF(OR($C133="",N($G133)=0),"",R133/$G133)</f>
        <v/>
      </c>
      <c r="T133" s="23">
        <f>IF($C133="","",N($G133)-N(R133))</f>
        <v/>
      </c>
      <c r="U133" s="24" t="n"/>
      <c r="V133" s="22" t="n"/>
    </row>
    <row r="134">
      <c r="B134" s="13">
        <f>IF($C134="","",COUNTA($C$9:$C134))</f>
        <v/>
      </c>
      <c r="C134" s="21" t="n"/>
      <c r="D134" s="14" t="n"/>
      <c r="E134" s="14" t="n"/>
      <c r="F134" s="14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3">
        <f>IF($C134="","",N(L134)-N(M134))</f>
        <v/>
      </c>
      <c r="P134" s="24" t="n"/>
      <c r="Q134" s="23">
        <f>IF($C134="","",N(M134)+N(N134))</f>
        <v/>
      </c>
      <c r="R134" s="23">
        <f>IF($C134="","",N(J134)+N(Q134))</f>
        <v/>
      </c>
      <c r="S134" s="25">
        <f>IF(OR($C134="",N($G134)=0),"",R134/$G134)</f>
        <v/>
      </c>
      <c r="T134" s="23">
        <f>IF($C134="","",N($G134)-N(R134))</f>
        <v/>
      </c>
      <c r="U134" s="24" t="n"/>
      <c r="V134" s="22" t="n"/>
    </row>
    <row r="135">
      <c r="B135" s="13">
        <f>IF($C135="","",COUNTA($C$9:$C135))</f>
        <v/>
      </c>
      <c r="C135" s="21" t="n"/>
      <c r="D135" s="14" t="n"/>
      <c r="E135" s="14" t="n"/>
      <c r="F135" s="14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3">
        <f>IF($C135="","",N(L135)-N(M135))</f>
        <v/>
      </c>
      <c r="P135" s="24" t="n"/>
      <c r="Q135" s="23">
        <f>IF($C135="","",N(M135)+N(N135))</f>
        <v/>
      </c>
      <c r="R135" s="23">
        <f>IF($C135="","",N(J135)+N(Q135))</f>
        <v/>
      </c>
      <c r="S135" s="25">
        <f>IF(OR($C135="",N($G135)=0),"",R135/$G135)</f>
        <v/>
      </c>
      <c r="T135" s="23">
        <f>IF($C135="","",N($G135)-N(R135))</f>
        <v/>
      </c>
      <c r="U135" s="24" t="n"/>
      <c r="V135" s="22" t="n"/>
    </row>
    <row r="136">
      <c r="B136" s="13">
        <f>IF($C136="","",COUNTA($C$9:$C136))</f>
        <v/>
      </c>
      <c r="C136" s="21" t="n"/>
      <c r="D136" s="14" t="n"/>
      <c r="E136" s="14" t="n"/>
      <c r="F136" s="14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3">
        <f>IF($C136="","",N(L136)-N(M136))</f>
        <v/>
      </c>
      <c r="P136" s="24" t="n"/>
      <c r="Q136" s="23">
        <f>IF($C136="","",N(M136)+N(N136))</f>
        <v/>
      </c>
      <c r="R136" s="23">
        <f>IF($C136="","",N(J136)+N(Q136))</f>
        <v/>
      </c>
      <c r="S136" s="25">
        <f>IF(OR($C136="",N($G136)=0),"",R136/$G136)</f>
        <v/>
      </c>
      <c r="T136" s="23">
        <f>IF($C136="","",N($G136)-N(R136))</f>
        <v/>
      </c>
      <c r="U136" s="24" t="n"/>
      <c r="V136" s="22" t="n"/>
    </row>
    <row r="137">
      <c r="B137" s="13">
        <f>IF($C137="","",COUNTA($C$9:$C137))</f>
        <v/>
      </c>
      <c r="C137" s="21" t="n"/>
      <c r="D137" s="14" t="n"/>
      <c r="E137" s="14" t="n"/>
      <c r="F137" s="14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3">
        <f>IF($C137="","",N(L137)-N(M137))</f>
        <v/>
      </c>
      <c r="P137" s="24" t="n"/>
      <c r="Q137" s="23">
        <f>IF($C137="","",N(M137)+N(N137))</f>
        <v/>
      </c>
      <c r="R137" s="23">
        <f>IF($C137="","",N(J137)+N(Q137))</f>
        <v/>
      </c>
      <c r="S137" s="25">
        <f>IF(OR($C137="",N($G137)=0),"",R137/$G137)</f>
        <v/>
      </c>
      <c r="T137" s="23">
        <f>IF($C137="","",N($G137)-N(R137))</f>
        <v/>
      </c>
      <c r="U137" s="24" t="n"/>
      <c r="V137" s="22" t="n"/>
    </row>
    <row r="138">
      <c r="B138" s="13">
        <f>IF($C138="","",COUNTA($C$9:$C138))</f>
        <v/>
      </c>
      <c r="C138" s="21" t="n"/>
      <c r="D138" s="14" t="n"/>
      <c r="E138" s="14" t="n"/>
      <c r="F138" s="14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3">
        <f>IF($C138="","",N(L138)-N(M138))</f>
        <v/>
      </c>
      <c r="P138" s="24" t="n"/>
      <c r="Q138" s="23">
        <f>IF($C138="","",N(M138)+N(N138))</f>
        <v/>
      </c>
      <c r="R138" s="23">
        <f>IF($C138="","",N(J138)+N(Q138))</f>
        <v/>
      </c>
      <c r="S138" s="25">
        <f>IF(OR($C138="",N($G138)=0),"",R138/$G138)</f>
        <v/>
      </c>
      <c r="T138" s="23">
        <f>IF($C138="","",N($G138)-N(R138))</f>
        <v/>
      </c>
      <c r="U138" s="24" t="n"/>
      <c r="V138" s="22" t="n"/>
    </row>
    <row r="139">
      <c r="B139" s="13">
        <f>IF($C139="","",COUNTA($C$9:$C139))</f>
        <v/>
      </c>
      <c r="C139" s="21" t="n"/>
      <c r="D139" s="14" t="n"/>
      <c r="E139" s="14" t="n"/>
      <c r="F139" s="14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3">
        <f>IF($C139="","",N(L139)-N(M139))</f>
        <v/>
      </c>
      <c r="P139" s="24" t="n"/>
      <c r="Q139" s="23">
        <f>IF($C139="","",N(M139)+N(N139))</f>
        <v/>
      </c>
      <c r="R139" s="23">
        <f>IF($C139="","",N(J139)+N(Q139))</f>
        <v/>
      </c>
      <c r="S139" s="25">
        <f>IF(OR($C139="",N($G139)=0),"",R139/$G139)</f>
        <v/>
      </c>
      <c r="T139" s="23">
        <f>IF($C139="","",N($G139)-N(R139))</f>
        <v/>
      </c>
      <c r="U139" s="24" t="n"/>
      <c r="V139" s="22" t="n"/>
    </row>
    <row r="140">
      <c r="B140" s="13">
        <f>IF($C140="","",COUNTA($C$9:$C140))</f>
        <v/>
      </c>
      <c r="C140" s="21" t="n"/>
      <c r="D140" s="14" t="n"/>
      <c r="E140" s="14" t="n"/>
      <c r="F140" s="14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3">
        <f>IF($C140="","",N(L140)-N(M140))</f>
        <v/>
      </c>
      <c r="P140" s="24" t="n"/>
      <c r="Q140" s="23">
        <f>IF($C140="","",N(M140)+N(N140))</f>
        <v/>
      </c>
      <c r="R140" s="23">
        <f>IF($C140="","",N(J140)+N(Q140))</f>
        <v/>
      </c>
      <c r="S140" s="25">
        <f>IF(OR($C140="",N($G140)=0),"",R140/$G140)</f>
        <v/>
      </c>
      <c r="T140" s="23">
        <f>IF($C140="","",N($G140)-N(R140))</f>
        <v/>
      </c>
      <c r="U140" s="24" t="n"/>
      <c r="V140" s="22" t="n"/>
    </row>
    <row r="141">
      <c r="B141" s="13">
        <f>IF($C141="","",COUNTA($C$9:$C141))</f>
        <v/>
      </c>
      <c r="C141" s="21" t="n"/>
      <c r="D141" s="14" t="n"/>
      <c r="E141" s="14" t="n"/>
      <c r="F141" s="14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3">
        <f>IF($C141="","",N(L141)-N(M141))</f>
        <v/>
      </c>
      <c r="P141" s="24" t="n"/>
      <c r="Q141" s="23">
        <f>IF($C141="","",N(M141)+N(N141))</f>
        <v/>
      </c>
      <c r="R141" s="23">
        <f>IF($C141="","",N(J141)+N(Q141))</f>
        <v/>
      </c>
      <c r="S141" s="25">
        <f>IF(OR($C141="",N($G141)=0),"",R141/$G141)</f>
        <v/>
      </c>
      <c r="T141" s="23">
        <f>IF($C141="","",N($G141)-N(R141))</f>
        <v/>
      </c>
      <c r="U141" s="24" t="n"/>
      <c r="V141" s="22" t="n"/>
    </row>
    <row r="142">
      <c r="B142" s="13">
        <f>IF($C142="","",COUNTA($C$9:$C142))</f>
        <v/>
      </c>
      <c r="C142" s="21" t="n"/>
      <c r="D142" s="14" t="n"/>
      <c r="E142" s="14" t="n"/>
      <c r="F142" s="14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3">
        <f>IF($C142="","",N(L142)-N(M142))</f>
        <v/>
      </c>
      <c r="P142" s="24" t="n"/>
      <c r="Q142" s="23">
        <f>IF($C142="","",N(M142)+N(N142))</f>
        <v/>
      </c>
      <c r="R142" s="23">
        <f>IF($C142="","",N(J142)+N(Q142))</f>
        <v/>
      </c>
      <c r="S142" s="25">
        <f>IF(OR($C142="",N($G142)=0),"",R142/$G142)</f>
        <v/>
      </c>
      <c r="T142" s="23">
        <f>IF($C142="","",N($G142)-N(R142))</f>
        <v/>
      </c>
      <c r="U142" s="24" t="n"/>
      <c r="V142" s="22" t="n"/>
    </row>
    <row r="143">
      <c r="B143" s="13">
        <f>IF($C143="","",COUNTA($C$9:$C143))</f>
        <v/>
      </c>
      <c r="C143" s="21" t="n"/>
      <c r="D143" s="14" t="n"/>
      <c r="E143" s="14" t="n"/>
      <c r="F143" s="14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3">
        <f>IF($C143="","",N(L143)-N(M143))</f>
        <v/>
      </c>
      <c r="P143" s="24" t="n"/>
      <c r="Q143" s="23">
        <f>IF($C143="","",N(M143)+N(N143))</f>
        <v/>
      </c>
      <c r="R143" s="23">
        <f>IF($C143="","",N(J143)+N(Q143))</f>
        <v/>
      </c>
      <c r="S143" s="25">
        <f>IF(OR($C143="",N($G143)=0),"",R143/$G143)</f>
        <v/>
      </c>
      <c r="T143" s="23">
        <f>IF($C143="","",N($G143)-N(R143))</f>
        <v/>
      </c>
      <c r="U143" s="24" t="n"/>
      <c r="V143" s="22" t="n"/>
    </row>
    <row r="144">
      <c r="B144" s="13">
        <f>IF($C144="","",COUNTA($C$9:$C144))</f>
        <v/>
      </c>
      <c r="C144" s="21" t="n"/>
      <c r="D144" s="14" t="n"/>
      <c r="E144" s="14" t="n"/>
      <c r="F144" s="14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3">
        <f>IF($C144="","",N(L144)-N(M144))</f>
        <v/>
      </c>
      <c r="P144" s="24" t="n"/>
      <c r="Q144" s="23">
        <f>IF($C144="","",N(M144)+N(N144))</f>
        <v/>
      </c>
      <c r="R144" s="23">
        <f>IF($C144="","",N(J144)+N(Q144))</f>
        <v/>
      </c>
      <c r="S144" s="25">
        <f>IF(OR($C144="",N($G144)=0),"",R144/$G144)</f>
        <v/>
      </c>
      <c r="T144" s="23">
        <f>IF($C144="","",N($G144)-N(R144))</f>
        <v/>
      </c>
      <c r="U144" s="24" t="n"/>
      <c r="V144" s="22" t="n"/>
    </row>
    <row r="145">
      <c r="B145" s="13">
        <f>IF($C145="","",COUNTA($C$9:$C145))</f>
        <v/>
      </c>
      <c r="C145" s="21" t="n"/>
      <c r="D145" s="14" t="n"/>
      <c r="E145" s="14" t="n"/>
      <c r="F145" s="14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3">
        <f>IF($C145="","",N(L145)-N(M145))</f>
        <v/>
      </c>
      <c r="P145" s="24" t="n"/>
      <c r="Q145" s="23">
        <f>IF($C145="","",N(M145)+N(N145))</f>
        <v/>
      </c>
      <c r="R145" s="23">
        <f>IF($C145="","",N(J145)+N(Q145))</f>
        <v/>
      </c>
      <c r="S145" s="25">
        <f>IF(OR($C145="",N($G145)=0),"",R145/$G145)</f>
        <v/>
      </c>
      <c r="T145" s="23">
        <f>IF($C145="","",N($G145)-N(R145))</f>
        <v/>
      </c>
      <c r="U145" s="24" t="n"/>
      <c r="V145" s="22" t="n"/>
    </row>
    <row r="146">
      <c r="B146" s="13">
        <f>IF($C146="","",COUNTA($C$9:$C146))</f>
        <v/>
      </c>
      <c r="C146" s="21" t="n"/>
      <c r="D146" s="14" t="n"/>
      <c r="E146" s="14" t="n"/>
      <c r="F146" s="14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3">
        <f>IF($C146="","",N(L146)-N(M146))</f>
        <v/>
      </c>
      <c r="P146" s="24" t="n"/>
      <c r="Q146" s="23">
        <f>IF($C146="","",N(M146)+N(N146))</f>
        <v/>
      </c>
      <c r="R146" s="23">
        <f>IF($C146="","",N(J146)+N(Q146))</f>
        <v/>
      </c>
      <c r="S146" s="25">
        <f>IF(OR($C146="",N($G146)=0),"",R146/$G146)</f>
        <v/>
      </c>
      <c r="T146" s="23">
        <f>IF($C146="","",N($G146)-N(R146))</f>
        <v/>
      </c>
      <c r="U146" s="24" t="n"/>
      <c r="V146" s="22" t="n"/>
    </row>
    <row r="147">
      <c r="B147" s="13">
        <f>IF($C147="","",COUNTA($C$9:$C147))</f>
        <v/>
      </c>
      <c r="C147" s="21" t="n"/>
      <c r="D147" s="14" t="n"/>
      <c r="E147" s="14" t="n"/>
      <c r="F147" s="14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3">
        <f>IF($C147="","",N(L147)-N(M147))</f>
        <v/>
      </c>
      <c r="P147" s="24" t="n"/>
      <c r="Q147" s="23">
        <f>IF($C147="","",N(M147)+N(N147))</f>
        <v/>
      </c>
      <c r="R147" s="23">
        <f>IF($C147="","",N(J147)+N(Q147))</f>
        <v/>
      </c>
      <c r="S147" s="25">
        <f>IF(OR($C147="",N($G147)=0),"",R147/$G147)</f>
        <v/>
      </c>
      <c r="T147" s="23">
        <f>IF($C147="","",N($G147)-N(R147))</f>
        <v/>
      </c>
      <c r="U147" s="24" t="n"/>
      <c r="V147" s="22" t="n"/>
    </row>
    <row r="148">
      <c r="B148" s="13">
        <f>IF($C148="","",COUNTA($C$9:$C148))</f>
        <v/>
      </c>
      <c r="C148" s="21" t="n"/>
      <c r="D148" s="14" t="n"/>
      <c r="E148" s="14" t="n"/>
      <c r="F148" s="14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3">
        <f>IF($C148="","",N(L148)-N(M148))</f>
        <v/>
      </c>
      <c r="P148" s="24" t="n"/>
      <c r="Q148" s="23">
        <f>IF($C148="","",N(M148)+N(N148))</f>
        <v/>
      </c>
      <c r="R148" s="23">
        <f>IF($C148="","",N(J148)+N(Q148))</f>
        <v/>
      </c>
      <c r="S148" s="25">
        <f>IF(OR($C148="",N($G148)=0),"",R148/$G148)</f>
        <v/>
      </c>
      <c r="T148" s="23">
        <f>IF($C148="","",N($G148)-N(R148))</f>
        <v/>
      </c>
      <c r="U148" s="24" t="n"/>
      <c r="V148" s="22" t="n"/>
    </row>
    <row r="149">
      <c r="B149" s="13">
        <f>IF($C149="","",COUNTA($C$9:$C149))</f>
        <v/>
      </c>
      <c r="C149" s="21" t="n"/>
      <c r="D149" s="14" t="n"/>
      <c r="E149" s="14" t="n"/>
      <c r="F149" s="14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3">
        <f>IF($C149="","",N(L149)-N(M149))</f>
        <v/>
      </c>
      <c r="P149" s="24" t="n"/>
      <c r="Q149" s="23">
        <f>IF($C149="","",N(M149)+N(N149))</f>
        <v/>
      </c>
      <c r="R149" s="23">
        <f>IF($C149="","",N(J149)+N(Q149))</f>
        <v/>
      </c>
      <c r="S149" s="25">
        <f>IF(OR($C149="",N($G149)=0),"",R149/$G149)</f>
        <v/>
      </c>
      <c r="T149" s="23">
        <f>IF($C149="","",N($G149)-N(R149))</f>
        <v/>
      </c>
      <c r="U149" s="24" t="n"/>
      <c r="V149" s="22" t="n"/>
    </row>
    <row r="150">
      <c r="B150" s="13">
        <f>IF($C150="","",COUNTA($C$9:$C150))</f>
        <v/>
      </c>
      <c r="C150" s="21" t="n"/>
      <c r="D150" s="14" t="n"/>
      <c r="E150" s="14" t="n"/>
      <c r="F150" s="14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3">
        <f>IF($C150="","",N(L150)-N(M150))</f>
        <v/>
      </c>
      <c r="P150" s="24" t="n"/>
      <c r="Q150" s="23">
        <f>IF($C150="","",N(M150)+N(N150))</f>
        <v/>
      </c>
      <c r="R150" s="23">
        <f>IF($C150="","",N(J150)+N(Q150))</f>
        <v/>
      </c>
      <c r="S150" s="25">
        <f>IF(OR($C150="",N($G150)=0),"",R150/$G150)</f>
        <v/>
      </c>
      <c r="T150" s="23">
        <f>IF($C150="","",N($G150)-N(R150))</f>
        <v/>
      </c>
      <c r="U150" s="24" t="n"/>
      <c r="V150" s="22" t="n"/>
    </row>
    <row r="151">
      <c r="B151" s="13">
        <f>IF($C151="","",COUNTA($C$9:$C151))</f>
        <v/>
      </c>
      <c r="C151" s="21" t="n"/>
      <c r="D151" s="14" t="n"/>
      <c r="E151" s="14" t="n"/>
      <c r="F151" s="14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3">
        <f>IF($C151="","",N(L151)-N(M151))</f>
        <v/>
      </c>
      <c r="P151" s="24" t="n"/>
      <c r="Q151" s="23">
        <f>IF($C151="","",N(M151)+N(N151))</f>
        <v/>
      </c>
      <c r="R151" s="23">
        <f>IF($C151="","",N(J151)+N(Q151))</f>
        <v/>
      </c>
      <c r="S151" s="25">
        <f>IF(OR($C151="",N($G151)=0),"",R151/$G151)</f>
        <v/>
      </c>
      <c r="T151" s="23">
        <f>IF($C151="","",N($G151)-N(R151))</f>
        <v/>
      </c>
      <c r="U151" s="24" t="n"/>
      <c r="V151" s="22" t="n"/>
    </row>
    <row r="152">
      <c r="B152" s="13">
        <f>IF($C152="","",COUNTA($C$9:$C152))</f>
        <v/>
      </c>
      <c r="C152" s="21" t="n"/>
      <c r="D152" s="14" t="n"/>
      <c r="E152" s="14" t="n"/>
      <c r="F152" s="14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3">
        <f>IF($C152="","",N(L152)-N(M152))</f>
        <v/>
      </c>
      <c r="P152" s="24" t="n"/>
      <c r="Q152" s="23">
        <f>IF($C152="","",N(M152)+N(N152))</f>
        <v/>
      </c>
      <c r="R152" s="23">
        <f>IF($C152="","",N(J152)+N(Q152))</f>
        <v/>
      </c>
      <c r="S152" s="25">
        <f>IF(OR($C152="",N($G152)=0),"",R152/$G152)</f>
        <v/>
      </c>
      <c r="T152" s="23">
        <f>IF($C152="","",N($G152)-N(R152))</f>
        <v/>
      </c>
      <c r="U152" s="24" t="n"/>
      <c r="V152" s="22" t="n"/>
    </row>
    <row r="153">
      <c r="B153" s="13">
        <f>IF($C153="","",COUNTA($C$9:$C153))</f>
        <v/>
      </c>
      <c r="C153" s="21" t="n"/>
      <c r="D153" s="14" t="n"/>
      <c r="E153" s="14" t="n"/>
      <c r="F153" s="14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3">
        <f>IF($C153="","",N(L153)-N(M153))</f>
        <v/>
      </c>
      <c r="P153" s="24" t="n"/>
      <c r="Q153" s="23">
        <f>IF($C153="","",N(M153)+N(N153))</f>
        <v/>
      </c>
      <c r="R153" s="23">
        <f>IF($C153="","",N(J153)+N(Q153))</f>
        <v/>
      </c>
      <c r="S153" s="25">
        <f>IF(OR($C153="",N($G153)=0),"",R153/$G153)</f>
        <v/>
      </c>
      <c r="T153" s="23">
        <f>IF($C153="","",N($G153)-N(R153))</f>
        <v/>
      </c>
      <c r="U153" s="24" t="n"/>
      <c r="V153" s="22" t="n"/>
    </row>
    <row r="154">
      <c r="B154" s="13">
        <f>IF($C154="","",COUNTA($C$9:$C154))</f>
        <v/>
      </c>
      <c r="C154" s="21" t="n"/>
      <c r="D154" s="14" t="n"/>
      <c r="E154" s="14" t="n"/>
      <c r="F154" s="14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3">
        <f>IF($C154="","",N(L154)-N(M154))</f>
        <v/>
      </c>
      <c r="P154" s="24" t="n"/>
      <c r="Q154" s="23">
        <f>IF($C154="","",N(M154)+N(N154))</f>
        <v/>
      </c>
      <c r="R154" s="23">
        <f>IF($C154="","",N(J154)+N(Q154))</f>
        <v/>
      </c>
      <c r="S154" s="25">
        <f>IF(OR($C154="",N($G154)=0),"",R154/$G154)</f>
        <v/>
      </c>
      <c r="T154" s="23">
        <f>IF($C154="","",N($G154)-N(R154))</f>
        <v/>
      </c>
      <c r="U154" s="24" t="n"/>
      <c r="V154" s="22" t="n"/>
    </row>
    <row r="155">
      <c r="B155" s="13">
        <f>IF($C155="","",COUNTA($C$9:$C155))</f>
        <v/>
      </c>
      <c r="C155" s="21" t="n"/>
      <c r="D155" s="14" t="n"/>
      <c r="E155" s="14" t="n"/>
      <c r="F155" s="14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3">
        <f>IF($C155="","",N(L155)-N(M155))</f>
        <v/>
      </c>
      <c r="P155" s="24" t="n"/>
      <c r="Q155" s="23">
        <f>IF($C155="","",N(M155)+N(N155))</f>
        <v/>
      </c>
      <c r="R155" s="23">
        <f>IF($C155="","",N(J155)+N(Q155))</f>
        <v/>
      </c>
      <c r="S155" s="25">
        <f>IF(OR($C155="",N($G155)=0),"",R155/$G155)</f>
        <v/>
      </c>
      <c r="T155" s="23">
        <f>IF($C155="","",N($G155)-N(R155))</f>
        <v/>
      </c>
      <c r="U155" s="24" t="n"/>
      <c r="V155" s="22" t="n"/>
    </row>
    <row r="156">
      <c r="B156" s="13">
        <f>IF($C156="","",COUNTA($C$9:$C156))</f>
        <v/>
      </c>
      <c r="C156" s="21" t="n"/>
      <c r="D156" s="14" t="n"/>
      <c r="E156" s="14" t="n"/>
      <c r="F156" s="14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3">
        <f>IF($C156="","",N(L156)-N(M156))</f>
        <v/>
      </c>
      <c r="P156" s="24" t="n"/>
      <c r="Q156" s="23">
        <f>IF($C156="","",N(M156)+N(N156))</f>
        <v/>
      </c>
      <c r="R156" s="23">
        <f>IF($C156="","",N(J156)+N(Q156))</f>
        <v/>
      </c>
      <c r="S156" s="25">
        <f>IF(OR($C156="",N($G156)=0),"",R156/$G156)</f>
        <v/>
      </c>
      <c r="T156" s="23">
        <f>IF($C156="","",N($G156)-N(R156))</f>
        <v/>
      </c>
      <c r="U156" s="24" t="n"/>
      <c r="V156" s="22" t="n"/>
    </row>
    <row r="157">
      <c r="B157" s="13">
        <f>IF($C157="","",COUNTA($C$9:$C157))</f>
        <v/>
      </c>
      <c r="C157" s="21" t="n"/>
      <c r="D157" s="14" t="n"/>
      <c r="E157" s="14" t="n"/>
      <c r="F157" s="14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3">
        <f>IF($C157="","",N(L157)-N(M157))</f>
        <v/>
      </c>
      <c r="P157" s="24" t="n"/>
      <c r="Q157" s="23">
        <f>IF($C157="","",N(M157)+N(N157))</f>
        <v/>
      </c>
      <c r="R157" s="23">
        <f>IF($C157="","",N(J157)+N(Q157))</f>
        <v/>
      </c>
      <c r="S157" s="25">
        <f>IF(OR($C157="",N($G157)=0),"",R157/$G157)</f>
        <v/>
      </c>
      <c r="T157" s="23">
        <f>IF($C157="","",N($G157)-N(R157))</f>
        <v/>
      </c>
      <c r="U157" s="24" t="n"/>
      <c r="V157" s="22" t="n"/>
    </row>
    <row r="158">
      <c r="B158" s="13">
        <f>IF($C158="","",COUNTA($C$9:$C158))</f>
        <v/>
      </c>
      <c r="C158" s="21" t="n"/>
      <c r="D158" s="14" t="n"/>
      <c r="E158" s="14" t="n"/>
      <c r="F158" s="14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3">
        <f>IF($C158="","",N(L158)-N(M158))</f>
        <v/>
      </c>
      <c r="P158" s="24" t="n"/>
      <c r="Q158" s="23">
        <f>IF($C158="","",N(M158)+N(N158))</f>
        <v/>
      </c>
      <c r="R158" s="23">
        <f>IF($C158="","",N(J158)+N(Q158))</f>
        <v/>
      </c>
      <c r="S158" s="25">
        <f>IF(OR($C158="",N($G158)=0),"",R158/$G158)</f>
        <v/>
      </c>
      <c r="T158" s="23">
        <f>IF($C158="","",N($G158)-N(R158))</f>
        <v/>
      </c>
      <c r="U158" s="24" t="n"/>
      <c r="V158" s="22" t="n"/>
    </row>
    <row r="159">
      <c r="B159" s="13">
        <f>IF($C159="","",COUNTA($C$9:$C159))</f>
        <v/>
      </c>
      <c r="C159" s="21" t="n"/>
      <c r="D159" s="14" t="n"/>
      <c r="E159" s="14" t="n"/>
      <c r="F159" s="14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3">
        <f>IF($C159="","",N(L159)-N(M159))</f>
        <v/>
      </c>
      <c r="P159" s="24" t="n"/>
      <c r="Q159" s="23">
        <f>IF($C159="","",N(M159)+N(N159))</f>
        <v/>
      </c>
      <c r="R159" s="23">
        <f>IF($C159="","",N(J159)+N(Q159))</f>
        <v/>
      </c>
      <c r="S159" s="25">
        <f>IF(OR($C159="",N($G159)=0),"",R159/$G159)</f>
        <v/>
      </c>
      <c r="T159" s="23">
        <f>IF($C159="","",N($G159)-N(R159))</f>
        <v/>
      </c>
      <c r="U159" s="24" t="n"/>
      <c r="V159" s="22" t="n"/>
    </row>
    <row r="160">
      <c r="B160" s="13">
        <f>IF($C160="","",COUNTA($C$9:$C160))</f>
        <v/>
      </c>
      <c r="C160" s="21" t="n"/>
      <c r="D160" s="14" t="n"/>
      <c r="E160" s="14" t="n"/>
      <c r="F160" s="14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3">
        <f>IF($C160="","",N(L160)-N(M160))</f>
        <v/>
      </c>
      <c r="P160" s="24" t="n"/>
      <c r="Q160" s="23">
        <f>IF($C160="","",N(M160)+N(N160))</f>
        <v/>
      </c>
      <c r="R160" s="23">
        <f>IF($C160="","",N(J160)+N(Q160))</f>
        <v/>
      </c>
      <c r="S160" s="25">
        <f>IF(OR($C160="",N($G160)=0),"",R160/$G160)</f>
        <v/>
      </c>
      <c r="T160" s="23">
        <f>IF($C160="","",N($G160)-N(R160))</f>
        <v/>
      </c>
      <c r="U160" s="24" t="n"/>
      <c r="V160" s="22" t="n"/>
    </row>
    <row r="161">
      <c r="B161" s="13">
        <f>IF($C161="","",COUNTA($C$9:$C161))</f>
        <v/>
      </c>
      <c r="C161" s="21" t="n"/>
      <c r="D161" s="14" t="n"/>
      <c r="E161" s="14" t="n"/>
      <c r="F161" s="14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3">
        <f>IF($C161="","",N(L161)-N(M161))</f>
        <v/>
      </c>
      <c r="P161" s="24" t="n"/>
      <c r="Q161" s="23">
        <f>IF($C161="","",N(M161)+N(N161))</f>
        <v/>
      </c>
      <c r="R161" s="23">
        <f>IF($C161="","",N(J161)+N(Q161))</f>
        <v/>
      </c>
      <c r="S161" s="25">
        <f>IF(OR($C161="",N($G161)=0),"",R161/$G161)</f>
        <v/>
      </c>
      <c r="T161" s="23">
        <f>IF($C161="","",N($G161)-N(R161))</f>
        <v/>
      </c>
      <c r="U161" s="24" t="n"/>
      <c r="V161" s="22" t="n"/>
    </row>
    <row r="162">
      <c r="B162" s="13">
        <f>IF($C162="","",COUNTA($C$9:$C162))</f>
        <v/>
      </c>
      <c r="C162" s="21" t="n"/>
      <c r="D162" s="14" t="n"/>
      <c r="E162" s="14" t="n"/>
      <c r="F162" s="14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3">
        <f>IF($C162="","",N(L162)-N(M162))</f>
        <v/>
      </c>
      <c r="P162" s="24" t="n"/>
      <c r="Q162" s="23">
        <f>IF($C162="","",N(M162)+N(N162))</f>
        <v/>
      </c>
      <c r="R162" s="23">
        <f>IF($C162="","",N(J162)+N(Q162))</f>
        <v/>
      </c>
      <c r="S162" s="25">
        <f>IF(OR($C162="",N($G162)=0),"",R162/$G162)</f>
        <v/>
      </c>
      <c r="T162" s="23">
        <f>IF($C162="","",N($G162)-N(R162))</f>
        <v/>
      </c>
      <c r="U162" s="24" t="n"/>
      <c r="V162" s="22" t="n"/>
    </row>
    <row r="163">
      <c r="B163" s="13">
        <f>IF($C163="","",COUNTA($C$9:$C163))</f>
        <v/>
      </c>
      <c r="C163" s="21" t="n"/>
      <c r="D163" s="14" t="n"/>
      <c r="E163" s="14" t="n"/>
      <c r="F163" s="14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3">
        <f>IF($C163="","",N(L163)-N(M163))</f>
        <v/>
      </c>
      <c r="P163" s="24" t="n"/>
      <c r="Q163" s="23">
        <f>IF($C163="","",N(M163)+N(N163))</f>
        <v/>
      </c>
      <c r="R163" s="23">
        <f>IF($C163="","",N(J163)+N(Q163))</f>
        <v/>
      </c>
      <c r="S163" s="25">
        <f>IF(OR($C163="",N($G163)=0),"",R163/$G163)</f>
        <v/>
      </c>
      <c r="T163" s="23">
        <f>IF($C163="","",N($G163)-N(R163))</f>
        <v/>
      </c>
      <c r="U163" s="24" t="n"/>
      <c r="V163" s="22" t="n"/>
    </row>
    <row r="164">
      <c r="B164" s="13">
        <f>IF($C164="","",COUNTA($C$9:$C164))</f>
        <v/>
      </c>
      <c r="C164" s="21" t="n"/>
      <c r="D164" s="14" t="n"/>
      <c r="E164" s="14" t="n"/>
      <c r="F164" s="14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3">
        <f>IF($C164="","",N(L164)-N(M164))</f>
        <v/>
      </c>
      <c r="P164" s="24" t="n"/>
      <c r="Q164" s="23">
        <f>IF($C164="","",N(M164)+N(N164))</f>
        <v/>
      </c>
      <c r="R164" s="23">
        <f>IF($C164="","",N(J164)+N(Q164))</f>
        <v/>
      </c>
      <c r="S164" s="25">
        <f>IF(OR($C164="",N($G164)=0),"",R164/$G164)</f>
        <v/>
      </c>
      <c r="T164" s="23">
        <f>IF($C164="","",N($G164)-N(R164))</f>
        <v/>
      </c>
      <c r="U164" s="24" t="n"/>
      <c r="V164" s="22" t="n"/>
    </row>
    <row r="165">
      <c r="B165" s="13">
        <f>IF($C165="","",COUNTA($C$9:$C165))</f>
        <v/>
      </c>
      <c r="C165" s="21" t="n"/>
      <c r="D165" s="14" t="n"/>
      <c r="E165" s="14" t="n"/>
      <c r="F165" s="14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3">
        <f>IF($C165="","",N(L165)-N(M165))</f>
        <v/>
      </c>
      <c r="P165" s="24" t="n"/>
      <c r="Q165" s="23">
        <f>IF($C165="","",N(M165)+N(N165))</f>
        <v/>
      </c>
      <c r="R165" s="23">
        <f>IF($C165="","",N(J165)+N(Q165))</f>
        <v/>
      </c>
      <c r="S165" s="25">
        <f>IF(OR($C165="",N($G165)=0),"",R165/$G165)</f>
        <v/>
      </c>
      <c r="T165" s="23">
        <f>IF($C165="","",N($G165)-N(R165))</f>
        <v/>
      </c>
      <c r="U165" s="24" t="n"/>
      <c r="V165" s="22" t="n"/>
    </row>
    <row r="166">
      <c r="B166" s="13">
        <f>IF($C166="","",COUNTA($C$9:$C166))</f>
        <v/>
      </c>
      <c r="C166" s="21" t="n"/>
      <c r="D166" s="14" t="n"/>
      <c r="E166" s="14" t="n"/>
      <c r="F166" s="14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3">
        <f>IF($C166="","",N(L166)-N(M166))</f>
        <v/>
      </c>
      <c r="P166" s="24" t="n"/>
      <c r="Q166" s="23">
        <f>IF($C166="","",N(M166)+N(N166))</f>
        <v/>
      </c>
      <c r="R166" s="23">
        <f>IF($C166="","",N(J166)+N(Q166))</f>
        <v/>
      </c>
      <c r="S166" s="25">
        <f>IF(OR($C166="",N($G166)=0),"",R166/$G166)</f>
        <v/>
      </c>
      <c r="T166" s="23">
        <f>IF($C166="","",N($G166)-N(R166))</f>
        <v/>
      </c>
      <c r="U166" s="24" t="n"/>
      <c r="V166" s="22" t="n"/>
    </row>
    <row r="167">
      <c r="B167" s="13">
        <f>IF($C167="","",COUNTA($C$9:$C167))</f>
        <v/>
      </c>
      <c r="C167" s="21" t="n"/>
      <c r="D167" s="14" t="n"/>
      <c r="E167" s="14" t="n"/>
      <c r="F167" s="14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3">
        <f>IF($C167="","",N(L167)-N(M167))</f>
        <v/>
      </c>
      <c r="P167" s="24" t="n"/>
      <c r="Q167" s="23">
        <f>IF($C167="","",N(M167)+N(N167))</f>
        <v/>
      </c>
      <c r="R167" s="23">
        <f>IF($C167="","",N(J167)+N(Q167))</f>
        <v/>
      </c>
      <c r="S167" s="25">
        <f>IF(OR($C167="",N($G167)=0),"",R167/$G167)</f>
        <v/>
      </c>
      <c r="T167" s="23">
        <f>IF($C167="","",N($G167)-N(R167))</f>
        <v/>
      </c>
      <c r="U167" s="24" t="n"/>
      <c r="V167" s="22" t="n"/>
    </row>
    <row r="168">
      <c r="B168" s="13">
        <f>IF($C168="","",COUNTA($C$9:$C168))</f>
        <v/>
      </c>
      <c r="C168" s="21" t="n"/>
      <c r="D168" s="14" t="n"/>
      <c r="E168" s="14" t="n"/>
      <c r="F168" s="14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3">
        <f>IF($C168="","",N(L168)-N(M168))</f>
        <v/>
      </c>
      <c r="P168" s="24" t="n"/>
      <c r="Q168" s="23">
        <f>IF($C168="","",N(M168)+N(N168))</f>
        <v/>
      </c>
      <c r="R168" s="23">
        <f>IF($C168="","",N(J168)+N(Q168))</f>
        <v/>
      </c>
      <c r="S168" s="25">
        <f>IF(OR($C168="",N($G168)=0),"",R168/$G168)</f>
        <v/>
      </c>
      <c r="T168" s="23">
        <f>IF($C168="","",N($G168)-N(R168))</f>
        <v/>
      </c>
      <c r="U168" s="24" t="n"/>
      <c r="V168" s="22" t="n"/>
    </row>
    <row r="169">
      <c r="B169" s="13">
        <f>IF($C169="","",COUNTA($C$9:$C169))</f>
        <v/>
      </c>
      <c r="C169" s="21" t="n"/>
      <c r="D169" s="14" t="n"/>
      <c r="E169" s="14" t="n"/>
      <c r="F169" s="14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3">
        <f>IF($C169="","",N(L169)-N(M169))</f>
        <v/>
      </c>
      <c r="P169" s="24" t="n"/>
      <c r="Q169" s="23">
        <f>IF($C169="","",N(M169)+N(N169))</f>
        <v/>
      </c>
      <c r="R169" s="23">
        <f>IF($C169="","",N(J169)+N(Q169))</f>
        <v/>
      </c>
      <c r="S169" s="25">
        <f>IF(OR($C169="",N($G169)=0),"",R169/$G169)</f>
        <v/>
      </c>
      <c r="T169" s="23">
        <f>IF($C169="","",N($G169)-N(R169))</f>
        <v/>
      </c>
      <c r="U169" s="24" t="n"/>
      <c r="V169" s="22" t="n"/>
    </row>
    <row r="170">
      <c r="B170" s="13">
        <f>IF($C170="","",COUNTA($C$9:$C170))</f>
        <v/>
      </c>
      <c r="C170" s="21" t="n"/>
      <c r="D170" s="14" t="n"/>
      <c r="E170" s="14" t="n"/>
      <c r="F170" s="14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3">
        <f>IF($C170="","",N(L170)-N(M170))</f>
        <v/>
      </c>
      <c r="P170" s="24" t="n"/>
      <c r="Q170" s="23">
        <f>IF($C170="","",N(M170)+N(N170))</f>
        <v/>
      </c>
      <c r="R170" s="23">
        <f>IF($C170="","",N(J170)+N(Q170))</f>
        <v/>
      </c>
      <c r="S170" s="25">
        <f>IF(OR($C170="",N($G170)=0),"",R170/$G170)</f>
        <v/>
      </c>
      <c r="T170" s="23">
        <f>IF($C170="","",N($G170)-N(R170))</f>
        <v/>
      </c>
      <c r="U170" s="24" t="n"/>
      <c r="V170" s="22" t="n"/>
    </row>
    <row r="171">
      <c r="B171" s="13">
        <f>IF($C171="","",COUNTA($C$9:$C171))</f>
        <v/>
      </c>
      <c r="C171" s="21" t="n"/>
      <c r="D171" s="14" t="n"/>
      <c r="E171" s="14" t="n"/>
      <c r="F171" s="14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3">
        <f>IF($C171="","",N(L171)-N(M171))</f>
        <v/>
      </c>
      <c r="P171" s="24" t="n"/>
      <c r="Q171" s="23">
        <f>IF($C171="","",N(M171)+N(N171))</f>
        <v/>
      </c>
      <c r="R171" s="23">
        <f>IF($C171="","",N(J171)+N(Q171))</f>
        <v/>
      </c>
      <c r="S171" s="25">
        <f>IF(OR($C171="",N($G171)=0),"",R171/$G171)</f>
        <v/>
      </c>
      <c r="T171" s="23">
        <f>IF($C171="","",N($G171)-N(R171))</f>
        <v/>
      </c>
      <c r="U171" s="24" t="n"/>
      <c r="V171" s="22" t="n"/>
    </row>
    <row r="172">
      <c r="B172" s="13">
        <f>IF($C172="","",COUNTA($C$9:$C172))</f>
        <v/>
      </c>
      <c r="C172" s="21" t="n"/>
      <c r="D172" s="14" t="n"/>
      <c r="E172" s="14" t="n"/>
      <c r="F172" s="14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3">
        <f>IF($C172="","",N(L172)-N(M172))</f>
        <v/>
      </c>
      <c r="P172" s="24" t="n"/>
      <c r="Q172" s="23">
        <f>IF($C172="","",N(M172)+N(N172))</f>
        <v/>
      </c>
      <c r="R172" s="23">
        <f>IF($C172="","",N(J172)+N(Q172))</f>
        <v/>
      </c>
      <c r="S172" s="25">
        <f>IF(OR($C172="",N($G172)=0),"",R172/$G172)</f>
        <v/>
      </c>
      <c r="T172" s="23">
        <f>IF($C172="","",N($G172)-N(R172))</f>
        <v/>
      </c>
      <c r="U172" s="24" t="n"/>
      <c r="V172" s="22" t="n"/>
    </row>
    <row r="173">
      <c r="B173" s="13">
        <f>IF($C173="","",COUNTA($C$9:$C173))</f>
        <v/>
      </c>
      <c r="C173" s="21" t="n"/>
      <c r="D173" s="14" t="n"/>
      <c r="E173" s="14" t="n"/>
      <c r="F173" s="14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3">
        <f>IF($C173="","",N(L173)-N(M173))</f>
        <v/>
      </c>
      <c r="P173" s="24" t="n"/>
      <c r="Q173" s="23">
        <f>IF($C173="","",N(M173)+N(N173))</f>
        <v/>
      </c>
      <c r="R173" s="23">
        <f>IF($C173="","",N(J173)+N(Q173))</f>
        <v/>
      </c>
      <c r="S173" s="25">
        <f>IF(OR($C173="",N($G173)=0),"",R173/$G173)</f>
        <v/>
      </c>
      <c r="T173" s="23">
        <f>IF($C173="","",N($G173)-N(R173))</f>
        <v/>
      </c>
      <c r="U173" s="24" t="n"/>
      <c r="V173" s="22" t="n"/>
    </row>
    <row r="174">
      <c r="B174" s="13">
        <f>IF($C174="","",COUNTA($C$9:$C174))</f>
        <v/>
      </c>
      <c r="C174" s="21" t="n"/>
      <c r="D174" s="14" t="n"/>
      <c r="E174" s="14" t="n"/>
      <c r="F174" s="14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3">
        <f>IF($C174="","",N(L174)-N(M174))</f>
        <v/>
      </c>
      <c r="P174" s="24" t="n"/>
      <c r="Q174" s="23">
        <f>IF($C174="","",N(M174)+N(N174))</f>
        <v/>
      </c>
      <c r="R174" s="23">
        <f>IF($C174="","",N(J174)+N(Q174))</f>
        <v/>
      </c>
      <c r="S174" s="25">
        <f>IF(OR($C174="",N($G174)=0),"",R174/$G174)</f>
        <v/>
      </c>
      <c r="T174" s="23">
        <f>IF($C174="","",N($G174)-N(R174))</f>
        <v/>
      </c>
      <c r="U174" s="24" t="n"/>
      <c r="V174" s="22" t="n"/>
    </row>
    <row r="175">
      <c r="B175" s="13">
        <f>IF($C175="","",COUNTA($C$9:$C175))</f>
        <v/>
      </c>
      <c r="C175" s="21" t="n"/>
      <c r="D175" s="14" t="n"/>
      <c r="E175" s="14" t="n"/>
      <c r="F175" s="14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3">
        <f>IF($C175="","",N(L175)-N(M175))</f>
        <v/>
      </c>
      <c r="P175" s="24" t="n"/>
      <c r="Q175" s="23">
        <f>IF($C175="","",N(M175)+N(N175))</f>
        <v/>
      </c>
      <c r="R175" s="23">
        <f>IF($C175="","",N(J175)+N(Q175))</f>
        <v/>
      </c>
      <c r="S175" s="25">
        <f>IF(OR($C175="",N($G175)=0),"",R175/$G175)</f>
        <v/>
      </c>
      <c r="T175" s="23">
        <f>IF($C175="","",N($G175)-N(R175))</f>
        <v/>
      </c>
      <c r="U175" s="24" t="n"/>
      <c r="V175" s="22" t="n"/>
    </row>
    <row r="176">
      <c r="B176" s="13">
        <f>IF($C176="","",COUNTA($C$9:$C176))</f>
        <v/>
      </c>
      <c r="C176" s="21" t="n"/>
      <c r="D176" s="14" t="n"/>
      <c r="E176" s="14" t="n"/>
      <c r="F176" s="14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3">
        <f>IF($C176="","",N(L176)-N(M176))</f>
        <v/>
      </c>
      <c r="P176" s="24" t="n"/>
      <c r="Q176" s="23">
        <f>IF($C176="","",N(M176)+N(N176))</f>
        <v/>
      </c>
      <c r="R176" s="23">
        <f>IF($C176="","",N(J176)+N(Q176))</f>
        <v/>
      </c>
      <c r="S176" s="25">
        <f>IF(OR($C176="",N($G176)=0),"",R176/$G176)</f>
        <v/>
      </c>
      <c r="T176" s="23">
        <f>IF($C176="","",N($G176)-N(R176))</f>
        <v/>
      </c>
      <c r="U176" s="24" t="n"/>
      <c r="V176" s="22" t="n"/>
    </row>
    <row r="177">
      <c r="B177" s="13">
        <f>IF($C177="","",COUNTA($C$9:$C177))</f>
        <v/>
      </c>
      <c r="C177" s="21" t="n"/>
      <c r="D177" s="14" t="n"/>
      <c r="E177" s="14" t="n"/>
      <c r="F177" s="14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3">
        <f>IF($C177="","",N(L177)-N(M177))</f>
        <v/>
      </c>
      <c r="P177" s="24" t="n"/>
      <c r="Q177" s="23">
        <f>IF($C177="","",N(M177)+N(N177))</f>
        <v/>
      </c>
      <c r="R177" s="23">
        <f>IF($C177="","",N(J177)+N(Q177))</f>
        <v/>
      </c>
      <c r="S177" s="25">
        <f>IF(OR($C177="",N($G177)=0),"",R177/$G177)</f>
        <v/>
      </c>
      <c r="T177" s="23">
        <f>IF($C177="","",N($G177)-N(R177))</f>
        <v/>
      </c>
      <c r="U177" s="24" t="n"/>
      <c r="V177" s="22" t="n"/>
    </row>
    <row r="178">
      <c r="B178" s="13">
        <f>IF($C178="","",COUNTA($C$9:$C178))</f>
        <v/>
      </c>
      <c r="C178" s="21" t="n"/>
      <c r="D178" s="14" t="n"/>
      <c r="E178" s="14" t="n"/>
      <c r="F178" s="14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3">
        <f>IF($C178="","",N(L178)-N(M178))</f>
        <v/>
      </c>
      <c r="P178" s="24" t="n"/>
      <c r="Q178" s="23">
        <f>IF($C178="","",N(M178)+N(N178))</f>
        <v/>
      </c>
      <c r="R178" s="23">
        <f>IF($C178="","",N(J178)+N(Q178))</f>
        <v/>
      </c>
      <c r="S178" s="25">
        <f>IF(OR($C178="",N($G178)=0),"",R178/$G178)</f>
        <v/>
      </c>
      <c r="T178" s="23">
        <f>IF($C178="","",N($G178)-N(R178))</f>
        <v/>
      </c>
      <c r="U178" s="24" t="n"/>
      <c r="V178" s="22" t="n"/>
    </row>
    <row r="179">
      <c r="B179" s="13">
        <f>IF($C179="","",COUNTA($C$9:$C179))</f>
        <v/>
      </c>
      <c r="C179" s="21" t="n"/>
      <c r="D179" s="14" t="n"/>
      <c r="E179" s="14" t="n"/>
      <c r="F179" s="14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3">
        <f>IF($C179="","",N(L179)-N(M179))</f>
        <v/>
      </c>
      <c r="P179" s="24" t="n"/>
      <c r="Q179" s="23">
        <f>IF($C179="","",N(M179)+N(N179))</f>
        <v/>
      </c>
      <c r="R179" s="23">
        <f>IF($C179="","",N(J179)+N(Q179))</f>
        <v/>
      </c>
      <c r="S179" s="25">
        <f>IF(OR($C179="",N($G179)=0),"",R179/$G179)</f>
        <v/>
      </c>
      <c r="T179" s="23">
        <f>IF($C179="","",N($G179)-N(R179))</f>
        <v/>
      </c>
      <c r="U179" s="24" t="n"/>
      <c r="V179" s="22" t="n"/>
    </row>
    <row r="180">
      <c r="B180" s="13">
        <f>IF($C180="","",COUNTA($C$9:$C180))</f>
        <v/>
      </c>
      <c r="C180" s="21" t="n"/>
      <c r="D180" s="14" t="n"/>
      <c r="E180" s="14" t="n"/>
      <c r="F180" s="14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3">
        <f>IF($C180="","",N(L180)-N(M180))</f>
        <v/>
      </c>
      <c r="P180" s="24" t="n"/>
      <c r="Q180" s="23">
        <f>IF($C180="","",N(M180)+N(N180))</f>
        <v/>
      </c>
      <c r="R180" s="23">
        <f>IF($C180="","",N(J180)+N(Q180))</f>
        <v/>
      </c>
      <c r="S180" s="25">
        <f>IF(OR($C180="",N($G180)=0),"",R180/$G180)</f>
        <v/>
      </c>
      <c r="T180" s="23">
        <f>IF($C180="","",N($G180)-N(R180))</f>
        <v/>
      </c>
      <c r="U180" s="24" t="n"/>
      <c r="V180" s="22" t="n"/>
    </row>
    <row r="181">
      <c r="B181" s="13">
        <f>IF($C181="","",COUNTA($C$9:$C181))</f>
        <v/>
      </c>
      <c r="C181" s="21" t="n"/>
      <c r="D181" s="14" t="n"/>
      <c r="E181" s="14" t="n"/>
      <c r="F181" s="14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3">
        <f>IF($C181="","",N(L181)-N(M181))</f>
        <v/>
      </c>
      <c r="P181" s="24" t="n"/>
      <c r="Q181" s="23">
        <f>IF($C181="","",N(M181)+N(N181))</f>
        <v/>
      </c>
      <c r="R181" s="23">
        <f>IF($C181="","",N(J181)+N(Q181))</f>
        <v/>
      </c>
      <c r="S181" s="25">
        <f>IF(OR($C181="",N($G181)=0),"",R181/$G181)</f>
        <v/>
      </c>
      <c r="T181" s="23">
        <f>IF($C181="","",N($G181)-N(R181))</f>
        <v/>
      </c>
      <c r="U181" s="24" t="n"/>
      <c r="V181" s="22" t="n"/>
    </row>
    <row r="182">
      <c r="B182" s="13">
        <f>IF($C182="","",COUNTA($C$9:$C182))</f>
        <v/>
      </c>
      <c r="C182" s="21" t="n"/>
      <c r="D182" s="14" t="n"/>
      <c r="E182" s="14" t="n"/>
      <c r="F182" s="14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3">
        <f>IF($C182="","",N(L182)-N(M182))</f>
        <v/>
      </c>
      <c r="P182" s="24" t="n"/>
      <c r="Q182" s="23">
        <f>IF($C182="","",N(M182)+N(N182))</f>
        <v/>
      </c>
      <c r="R182" s="23">
        <f>IF($C182="","",N(J182)+N(Q182))</f>
        <v/>
      </c>
      <c r="S182" s="25">
        <f>IF(OR($C182="",N($G182)=0),"",R182/$G182)</f>
        <v/>
      </c>
      <c r="T182" s="23">
        <f>IF($C182="","",N($G182)-N(R182))</f>
        <v/>
      </c>
      <c r="U182" s="24" t="n"/>
      <c r="V182" s="22" t="n"/>
    </row>
    <row r="183">
      <c r="B183" s="13">
        <f>IF($C183="","",COUNTA($C$9:$C183))</f>
        <v/>
      </c>
      <c r="C183" s="21" t="n"/>
      <c r="D183" s="14" t="n"/>
      <c r="E183" s="14" t="n"/>
      <c r="F183" s="14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3">
        <f>IF($C183="","",N(L183)-N(M183))</f>
        <v/>
      </c>
      <c r="P183" s="24" t="n"/>
      <c r="Q183" s="23">
        <f>IF($C183="","",N(M183)+N(N183))</f>
        <v/>
      </c>
      <c r="R183" s="23">
        <f>IF($C183="","",N(J183)+N(Q183))</f>
        <v/>
      </c>
      <c r="S183" s="25">
        <f>IF(OR($C183="",N($G183)=0),"",R183/$G183)</f>
        <v/>
      </c>
      <c r="T183" s="23">
        <f>IF($C183="","",N($G183)-N(R183))</f>
        <v/>
      </c>
      <c r="U183" s="24" t="n"/>
      <c r="V183" s="22" t="n"/>
    </row>
    <row r="184">
      <c r="B184" s="13">
        <f>IF($C184="","",COUNTA($C$9:$C184))</f>
        <v/>
      </c>
      <c r="C184" s="21" t="n"/>
      <c r="D184" s="14" t="n"/>
      <c r="E184" s="14" t="n"/>
      <c r="F184" s="14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3">
        <f>IF($C184="","",N(L184)-N(M184))</f>
        <v/>
      </c>
      <c r="P184" s="24" t="n"/>
      <c r="Q184" s="23">
        <f>IF($C184="","",N(M184)+N(N184))</f>
        <v/>
      </c>
      <c r="R184" s="23">
        <f>IF($C184="","",N(J184)+N(Q184))</f>
        <v/>
      </c>
      <c r="S184" s="25">
        <f>IF(OR($C184="",N($G184)=0),"",R184/$G184)</f>
        <v/>
      </c>
      <c r="T184" s="23">
        <f>IF($C184="","",N($G184)-N(R184))</f>
        <v/>
      </c>
      <c r="U184" s="24" t="n"/>
      <c r="V184" s="22" t="n"/>
    </row>
    <row r="185">
      <c r="B185" s="13">
        <f>IF($C185="","",COUNTA($C$9:$C185))</f>
        <v/>
      </c>
      <c r="C185" s="21" t="n"/>
      <c r="D185" s="14" t="n"/>
      <c r="E185" s="14" t="n"/>
      <c r="F185" s="14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3">
        <f>IF($C185="","",N(L185)-N(M185))</f>
        <v/>
      </c>
      <c r="P185" s="24" t="n"/>
      <c r="Q185" s="23">
        <f>IF($C185="","",N(M185)+N(N185))</f>
        <v/>
      </c>
      <c r="R185" s="23">
        <f>IF($C185="","",N(J185)+N(Q185))</f>
        <v/>
      </c>
      <c r="S185" s="25">
        <f>IF(OR($C185="",N($G185)=0),"",R185/$G185)</f>
        <v/>
      </c>
      <c r="T185" s="23">
        <f>IF($C185="","",N($G185)-N(R185))</f>
        <v/>
      </c>
      <c r="U185" s="24" t="n"/>
      <c r="V185" s="22" t="n"/>
    </row>
    <row r="186">
      <c r="B186" s="13">
        <f>IF($C186="","",COUNTA($C$9:$C186))</f>
        <v/>
      </c>
      <c r="C186" s="21" t="n"/>
      <c r="D186" s="14" t="n"/>
      <c r="E186" s="14" t="n"/>
      <c r="F186" s="14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3">
        <f>IF($C186="","",N(L186)-N(M186))</f>
        <v/>
      </c>
      <c r="P186" s="24" t="n"/>
      <c r="Q186" s="23">
        <f>IF($C186="","",N(M186)+N(N186))</f>
        <v/>
      </c>
      <c r="R186" s="23">
        <f>IF($C186="","",N(J186)+N(Q186))</f>
        <v/>
      </c>
      <c r="S186" s="25">
        <f>IF(OR($C186="",N($G186)=0),"",R186/$G186)</f>
        <v/>
      </c>
      <c r="T186" s="23">
        <f>IF($C186="","",N($G186)-N(R186))</f>
        <v/>
      </c>
      <c r="U186" s="24" t="n"/>
      <c r="V186" s="22" t="n"/>
    </row>
    <row r="187">
      <c r="B187" s="13">
        <f>IF($C187="","",COUNTA($C$9:$C187))</f>
        <v/>
      </c>
      <c r="C187" s="21" t="n"/>
      <c r="D187" s="14" t="n"/>
      <c r="E187" s="14" t="n"/>
      <c r="F187" s="14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3">
        <f>IF($C187="","",N(L187)-N(M187))</f>
        <v/>
      </c>
      <c r="P187" s="24" t="n"/>
      <c r="Q187" s="23">
        <f>IF($C187="","",N(M187)+N(N187))</f>
        <v/>
      </c>
      <c r="R187" s="23">
        <f>IF($C187="","",N(J187)+N(Q187))</f>
        <v/>
      </c>
      <c r="S187" s="25">
        <f>IF(OR($C187="",N($G187)=0),"",R187/$G187)</f>
        <v/>
      </c>
      <c r="T187" s="23">
        <f>IF($C187="","",N($G187)-N(R187))</f>
        <v/>
      </c>
      <c r="U187" s="24" t="n"/>
      <c r="V187" s="22" t="n"/>
    </row>
    <row r="188">
      <c r="B188" s="13">
        <f>IF($C188="","",COUNTA($C$9:$C188))</f>
        <v/>
      </c>
      <c r="C188" s="21" t="n"/>
      <c r="D188" s="14" t="n"/>
      <c r="E188" s="14" t="n"/>
      <c r="F188" s="14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3">
        <f>IF($C188="","",N(L188)-N(M188))</f>
        <v/>
      </c>
      <c r="P188" s="24" t="n"/>
      <c r="Q188" s="23">
        <f>IF($C188="","",N(M188)+N(N188))</f>
        <v/>
      </c>
      <c r="R188" s="23">
        <f>IF($C188="","",N(J188)+N(Q188))</f>
        <v/>
      </c>
      <c r="S188" s="25">
        <f>IF(OR($C188="",N($G188)=0),"",R188/$G188)</f>
        <v/>
      </c>
      <c r="T188" s="23">
        <f>IF($C188="","",N($G188)-N(R188))</f>
        <v/>
      </c>
      <c r="U188" s="24" t="n"/>
      <c r="V188" s="22" t="n"/>
    </row>
    <row r="189">
      <c r="B189" s="13">
        <f>IF($C189="","",COUNTA($C$9:$C189))</f>
        <v/>
      </c>
      <c r="C189" s="21" t="n"/>
      <c r="D189" s="14" t="n"/>
      <c r="E189" s="14" t="n"/>
      <c r="F189" s="14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3">
        <f>IF($C189="","",N(L189)-N(M189))</f>
        <v/>
      </c>
      <c r="P189" s="24" t="n"/>
      <c r="Q189" s="23">
        <f>IF($C189="","",N(M189)+N(N189))</f>
        <v/>
      </c>
      <c r="R189" s="23">
        <f>IF($C189="","",N(J189)+N(Q189))</f>
        <v/>
      </c>
      <c r="S189" s="25">
        <f>IF(OR($C189="",N($G189)=0),"",R189/$G189)</f>
        <v/>
      </c>
      <c r="T189" s="23">
        <f>IF($C189="","",N($G189)-N(R189))</f>
        <v/>
      </c>
      <c r="U189" s="24" t="n"/>
      <c r="V189" s="22" t="n"/>
    </row>
    <row r="190">
      <c r="B190" s="13">
        <f>IF($C190="","",COUNTA($C$9:$C190))</f>
        <v/>
      </c>
      <c r="C190" s="21" t="n"/>
      <c r="D190" s="14" t="n"/>
      <c r="E190" s="14" t="n"/>
      <c r="F190" s="14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3">
        <f>IF($C190="","",N(L190)-N(M190))</f>
        <v/>
      </c>
      <c r="P190" s="24" t="n"/>
      <c r="Q190" s="23">
        <f>IF($C190="","",N(M190)+N(N190))</f>
        <v/>
      </c>
      <c r="R190" s="23">
        <f>IF($C190="","",N(J190)+N(Q190))</f>
        <v/>
      </c>
      <c r="S190" s="25">
        <f>IF(OR($C190="",N($G190)=0),"",R190/$G190)</f>
        <v/>
      </c>
      <c r="T190" s="23">
        <f>IF($C190="","",N($G190)-N(R190))</f>
        <v/>
      </c>
      <c r="U190" s="24" t="n"/>
      <c r="V190" s="22" t="n"/>
    </row>
    <row r="191">
      <c r="B191" s="13">
        <f>IF($C191="","",COUNTA($C$9:$C191))</f>
        <v/>
      </c>
      <c r="C191" s="21" t="n"/>
      <c r="D191" s="14" t="n"/>
      <c r="E191" s="14" t="n"/>
      <c r="F191" s="14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3">
        <f>IF($C191="","",N(L191)-N(M191))</f>
        <v/>
      </c>
      <c r="P191" s="24" t="n"/>
      <c r="Q191" s="23">
        <f>IF($C191="","",N(M191)+N(N191))</f>
        <v/>
      </c>
      <c r="R191" s="23">
        <f>IF($C191="","",N(J191)+N(Q191))</f>
        <v/>
      </c>
      <c r="S191" s="25">
        <f>IF(OR($C191="",N($G191)=0),"",R191/$G191)</f>
        <v/>
      </c>
      <c r="T191" s="23">
        <f>IF($C191="","",N($G191)-N(R191))</f>
        <v/>
      </c>
      <c r="U191" s="24" t="n"/>
      <c r="V191" s="22" t="n"/>
    </row>
    <row r="192">
      <c r="B192" s="13">
        <f>IF($C192="","",COUNTA($C$9:$C192))</f>
        <v/>
      </c>
      <c r="C192" s="21" t="n"/>
      <c r="D192" s="14" t="n"/>
      <c r="E192" s="14" t="n"/>
      <c r="F192" s="14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3">
        <f>IF($C192="","",N(L192)-N(M192))</f>
        <v/>
      </c>
      <c r="P192" s="24" t="n"/>
      <c r="Q192" s="23">
        <f>IF($C192="","",N(M192)+N(N192))</f>
        <v/>
      </c>
      <c r="R192" s="23">
        <f>IF($C192="","",N(J192)+N(Q192))</f>
        <v/>
      </c>
      <c r="S192" s="25">
        <f>IF(OR($C192="",N($G192)=0),"",R192/$G192)</f>
        <v/>
      </c>
      <c r="T192" s="23">
        <f>IF($C192="","",N($G192)-N(R192))</f>
        <v/>
      </c>
      <c r="U192" s="24" t="n"/>
      <c r="V192" s="22" t="n"/>
    </row>
    <row r="193">
      <c r="B193" s="13">
        <f>IF($C193="","",COUNTA($C$9:$C193))</f>
        <v/>
      </c>
      <c r="C193" s="21" t="n"/>
      <c r="D193" s="14" t="n"/>
      <c r="E193" s="14" t="n"/>
      <c r="F193" s="14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3">
        <f>IF($C193="","",N(L193)-N(M193))</f>
        <v/>
      </c>
      <c r="P193" s="24" t="n"/>
      <c r="Q193" s="23">
        <f>IF($C193="","",N(M193)+N(N193))</f>
        <v/>
      </c>
      <c r="R193" s="23">
        <f>IF($C193="","",N(J193)+N(Q193))</f>
        <v/>
      </c>
      <c r="S193" s="25">
        <f>IF(OR($C193="",N($G193)=0),"",R193/$G193)</f>
        <v/>
      </c>
      <c r="T193" s="23">
        <f>IF($C193="","",N($G193)-N(R193))</f>
        <v/>
      </c>
      <c r="U193" s="24" t="n"/>
      <c r="V193" s="22" t="n"/>
    </row>
    <row r="194">
      <c r="B194" s="13">
        <f>IF($C194="","",COUNTA($C$9:$C194))</f>
        <v/>
      </c>
      <c r="C194" s="21" t="n"/>
      <c r="D194" s="14" t="n"/>
      <c r="E194" s="14" t="n"/>
      <c r="F194" s="14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3">
        <f>IF($C194="","",N(L194)-N(M194))</f>
        <v/>
      </c>
      <c r="P194" s="24" t="n"/>
      <c r="Q194" s="23">
        <f>IF($C194="","",N(M194)+N(N194))</f>
        <v/>
      </c>
      <c r="R194" s="23">
        <f>IF($C194="","",N(J194)+N(Q194))</f>
        <v/>
      </c>
      <c r="S194" s="25">
        <f>IF(OR($C194="",N($G194)=0),"",R194/$G194)</f>
        <v/>
      </c>
      <c r="T194" s="23">
        <f>IF($C194="","",N($G194)-N(R194))</f>
        <v/>
      </c>
      <c r="U194" s="24" t="n"/>
      <c r="V194" s="22" t="n"/>
    </row>
    <row r="195">
      <c r="B195" s="13">
        <f>IF($C195="","",COUNTA($C$9:$C195))</f>
        <v/>
      </c>
      <c r="C195" s="21" t="n"/>
      <c r="D195" s="14" t="n"/>
      <c r="E195" s="14" t="n"/>
      <c r="F195" s="14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3">
        <f>IF($C195="","",N(L195)-N(M195))</f>
        <v/>
      </c>
      <c r="P195" s="24" t="n"/>
      <c r="Q195" s="23">
        <f>IF($C195="","",N(M195)+N(N195))</f>
        <v/>
      </c>
      <c r="R195" s="23">
        <f>IF($C195="","",N(J195)+N(Q195))</f>
        <v/>
      </c>
      <c r="S195" s="25">
        <f>IF(OR($C195="",N($G195)=0),"",R195/$G195)</f>
        <v/>
      </c>
      <c r="T195" s="23">
        <f>IF($C195="","",N($G195)-N(R195))</f>
        <v/>
      </c>
      <c r="U195" s="24" t="n"/>
      <c r="V195" s="22" t="n"/>
    </row>
    <row r="196">
      <c r="B196" s="13">
        <f>IF($C196="","",COUNTA($C$9:$C196))</f>
        <v/>
      </c>
      <c r="C196" s="21" t="n"/>
      <c r="D196" s="14" t="n"/>
      <c r="E196" s="14" t="n"/>
      <c r="F196" s="14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3">
        <f>IF($C196="","",N(L196)-N(M196))</f>
        <v/>
      </c>
      <c r="P196" s="24" t="n"/>
      <c r="Q196" s="23">
        <f>IF($C196="","",N(M196)+N(N196))</f>
        <v/>
      </c>
      <c r="R196" s="23">
        <f>IF($C196="","",N(J196)+N(Q196))</f>
        <v/>
      </c>
      <c r="S196" s="25">
        <f>IF(OR($C196="",N($G196)=0),"",R196/$G196)</f>
        <v/>
      </c>
      <c r="T196" s="23">
        <f>IF($C196="","",N($G196)-N(R196))</f>
        <v/>
      </c>
      <c r="U196" s="24" t="n"/>
      <c r="V196" s="22" t="n"/>
    </row>
    <row r="197">
      <c r="B197" s="13">
        <f>IF($C197="","",COUNTA($C$9:$C197))</f>
        <v/>
      </c>
      <c r="C197" s="21" t="n"/>
      <c r="D197" s="14" t="n"/>
      <c r="E197" s="14" t="n"/>
      <c r="F197" s="14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3">
        <f>IF($C197="","",N(L197)-N(M197))</f>
        <v/>
      </c>
      <c r="P197" s="24" t="n"/>
      <c r="Q197" s="23">
        <f>IF($C197="","",N(M197)+N(N197))</f>
        <v/>
      </c>
      <c r="R197" s="23">
        <f>IF($C197="","",N(J197)+N(Q197))</f>
        <v/>
      </c>
      <c r="S197" s="25">
        <f>IF(OR($C197="",N($G197)=0),"",R197/$G197)</f>
        <v/>
      </c>
      <c r="T197" s="23">
        <f>IF($C197="","",N($G197)-N(R197))</f>
        <v/>
      </c>
      <c r="U197" s="24" t="n"/>
      <c r="V197" s="22" t="n"/>
    </row>
    <row r="198">
      <c r="B198" s="13">
        <f>IF($C198="","",COUNTA($C$9:$C198))</f>
        <v/>
      </c>
      <c r="C198" s="21" t="n"/>
      <c r="D198" s="14" t="n"/>
      <c r="E198" s="14" t="n"/>
      <c r="F198" s="14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3">
        <f>IF($C198="","",N(L198)-N(M198))</f>
        <v/>
      </c>
      <c r="P198" s="24" t="n"/>
      <c r="Q198" s="23">
        <f>IF($C198="","",N(M198)+N(N198))</f>
        <v/>
      </c>
      <c r="R198" s="23">
        <f>IF($C198="","",N(J198)+N(Q198))</f>
        <v/>
      </c>
      <c r="S198" s="25">
        <f>IF(OR($C198="",N($G198)=0),"",R198/$G198)</f>
        <v/>
      </c>
      <c r="T198" s="23">
        <f>IF($C198="","",N($G198)-N(R198))</f>
        <v/>
      </c>
      <c r="U198" s="24" t="n"/>
      <c r="V198" s="22" t="n"/>
    </row>
    <row r="199">
      <c r="B199" s="13">
        <f>IF($C199="","",COUNTA($C$9:$C199))</f>
        <v/>
      </c>
      <c r="C199" s="21" t="n"/>
      <c r="D199" s="14" t="n"/>
      <c r="E199" s="14" t="n"/>
      <c r="F199" s="14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3">
        <f>IF($C199="","",N(L199)-N(M199))</f>
        <v/>
      </c>
      <c r="P199" s="24" t="n"/>
      <c r="Q199" s="23">
        <f>IF($C199="","",N(M199)+N(N199))</f>
        <v/>
      </c>
      <c r="R199" s="23">
        <f>IF($C199="","",N(J199)+N(Q199))</f>
        <v/>
      </c>
      <c r="S199" s="25">
        <f>IF(OR($C199="",N($G199)=0),"",R199/$G199)</f>
        <v/>
      </c>
      <c r="T199" s="23">
        <f>IF($C199="","",N($G199)-N(R199))</f>
        <v/>
      </c>
      <c r="U199" s="24" t="n"/>
      <c r="V199" s="22" t="n"/>
    </row>
    <row r="200">
      <c r="B200" s="13">
        <f>IF($C200="","",COUNTA($C$9:$C200))</f>
        <v/>
      </c>
      <c r="C200" s="21" t="n"/>
      <c r="D200" s="14" t="n"/>
      <c r="E200" s="14" t="n"/>
      <c r="F200" s="14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3">
        <f>IF($C200="","",N(L200)-N(M200))</f>
        <v/>
      </c>
      <c r="P200" s="24" t="n"/>
      <c r="Q200" s="23">
        <f>IF($C200="","",N(M200)+N(N200))</f>
        <v/>
      </c>
      <c r="R200" s="23">
        <f>IF($C200="","",N(J200)+N(Q200))</f>
        <v/>
      </c>
      <c r="S200" s="25">
        <f>IF(OR($C200="",N($G200)=0),"",R200/$G200)</f>
        <v/>
      </c>
      <c r="T200" s="23">
        <f>IF($C200="","",N($G200)-N(R200))</f>
        <v/>
      </c>
      <c r="U200" s="24" t="n"/>
      <c r="V200" s="22" t="n"/>
    </row>
    <row r="201">
      <c r="B201" s="13">
        <f>IF($C201="","",COUNTA($C$9:$C201))</f>
        <v/>
      </c>
      <c r="C201" s="21" t="n"/>
      <c r="D201" s="14" t="n"/>
      <c r="E201" s="14" t="n"/>
      <c r="F201" s="14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3">
        <f>IF($C201="","",N(L201)-N(M201))</f>
        <v/>
      </c>
      <c r="P201" s="24" t="n"/>
      <c r="Q201" s="23">
        <f>IF($C201="","",N(M201)+N(N201))</f>
        <v/>
      </c>
      <c r="R201" s="23">
        <f>IF($C201="","",N(J201)+N(Q201))</f>
        <v/>
      </c>
      <c r="S201" s="25">
        <f>IF(OR($C201="",N($G201)=0),"",R201/$G201)</f>
        <v/>
      </c>
      <c r="T201" s="23">
        <f>IF($C201="","",N($G201)-N(R201))</f>
        <v/>
      </c>
      <c r="U201" s="24" t="n"/>
      <c r="V201" s="22" t="n"/>
    </row>
    <row r="202">
      <c r="B202" s="13">
        <f>IF($C202="","",COUNTA($C$9:$C202))</f>
        <v/>
      </c>
      <c r="C202" s="21" t="n"/>
      <c r="D202" s="14" t="n"/>
      <c r="E202" s="14" t="n"/>
      <c r="F202" s="14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3">
        <f>IF($C202="","",N(L202)-N(M202))</f>
        <v/>
      </c>
      <c r="P202" s="24" t="n"/>
      <c r="Q202" s="23">
        <f>IF($C202="","",N(M202)+N(N202))</f>
        <v/>
      </c>
      <c r="R202" s="23">
        <f>IF($C202="","",N(J202)+N(Q202))</f>
        <v/>
      </c>
      <c r="S202" s="25">
        <f>IF(OR($C202="",N($G202)=0),"",R202/$G202)</f>
        <v/>
      </c>
      <c r="T202" s="23">
        <f>IF($C202="","",N($G202)-N(R202))</f>
        <v/>
      </c>
      <c r="U202" s="24" t="n"/>
      <c r="V202" s="22" t="n"/>
    </row>
    <row r="203">
      <c r="B203" s="13">
        <f>IF($C203="","",COUNTA($C$9:$C203))</f>
        <v/>
      </c>
      <c r="C203" s="21" t="n"/>
      <c r="D203" s="14" t="n"/>
      <c r="E203" s="14" t="n"/>
      <c r="F203" s="14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3">
        <f>IF($C203="","",N(L203)-N(M203))</f>
        <v/>
      </c>
      <c r="P203" s="24" t="n"/>
      <c r="Q203" s="23">
        <f>IF($C203="","",N(M203)+N(N203))</f>
        <v/>
      </c>
      <c r="R203" s="23">
        <f>IF($C203="","",N(J203)+N(Q203))</f>
        <v/>
      </c>
      <c r="S203" s="25">
        <f>IF(OR($C203="",N($G203)=0),"",R203/$G203)</f>
        <v/>
      </c>
      <c r="T203" s="23">
        <f>IF($C203="","",N($G203)-N(R203))</f>
        <v/>
      </c>
      <c r="U203" s="24" t="n"/>
      <c r="V203" s="22" t="n"/>
    </row>
    <row r="204">
      <c r="B204" s="13">
        <f>IF($C204="","",COUNTA($C$9:$C204))</f>
        <v/>
      </c>
      <c r="C204" s="21" t="n"/>
      <c r="D204" s="14" t="n"/>
      <c r="E204" s="14" t="n"/>
      <c r="F204" s="14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3">
        <f>IF($C204="","",N(L204)-N(M204))</f>
        <v/>
      </c>
      <c r="P204" s="24" t="n"/>
      <c r="Q204" s="23">
        <f>IF($C204="","",N(M204)+N(N204))</f>
        <v/>
      </c>
      <c r="R204" s="23">
        <f>IF($C204="","",N(J204)+N(Q204))</f>
        <v/>
      </c>
      <c r="S204" s="25">
        <f>IF(OR($C204="",N($G204)=0),"",R204/$G204)</f>
        <v/>
      </c>
      <c r="T204" s="23">
        <f>IF($C204="","",N($G204)-N(R204))</f>
        <v/>
      </c>
      <c r="U204" s="24" t="n"/>
      <c r="V204" s="22" t="n"/>
    </row>
    <row r="205">
      <c r="B205" s="13">
        <f>IF($C205="","",COUNTA($C$9:$C205))</f>
        <v/>
      </c>
      <c r="C205" s="21" t="n"/>
      <c r="D205" s="14" t="n"/>
      <c r="E205" s="14" t="n"/>
      <c r="F205" s="14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3">
        <f>IF($C205="","",N(L205)-N(M205))</f>
        <v/>
      </c>
      <c r="P205" s="24" t="n"/>
      <c r="Q205" s="23">
        <f>IF($C205="","",N(M205)+N(N205))</f>
        <v/>
      </c>
      <c r="R205" s="23">
        <f>IF($C205="","",N(J205)+N(Q205))</f>
        <v/>
      </c>
      <c r="S205" s="25">
        <f>IF(OR($C205="",N($G205)=0),"",R205/$G205)</f>
        <v/>
      </c>
      <c r="T205" s="23">
        <f>IF($C205="","",N($G205)-N(R205))</f>
        <v/>
      </c>
      <c r="U205" s="24" t="n"/>
      <c r="V205" s="22" t="n"/>
    </row>
    <row r="206">
      <c r="B206" s="13">
        <f>IF($C206="","",COUNTA($C$9:$C206))</f>
        <v/>
      </c>
      <c r="C206" s="21" t="n"/>
      <c r="D206" s="14" t="n"/>
      <c r="E206" s="14" t="n"/>
      <c r="F206" s="14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3">
        <f>IF($C206="","",N(L206)-N(M206))</f>
        <v/>
      </c>
      <c r="P206" s="24" t="n"/>
      <c r="Q206" s="23">
        <f>IF($C206="","",N(M206)+N(N206))</f>
        <v/>
      </c>
      <c r="R206" s="23">
        <f>IF($C206="","",N(J206)+N(Q206))</f>
        <v/>
      </c>
      <c r="S206" s="25">
        <f>IF(OR($C206="",N($G206)=0),"",R206/$G206)</f>
        <v/>
      </c>
      <c r="T206" s="23">
        <f>IF($C206="","",N($G206)-N(R206))</f>
        <v/>
      </c>
      <c r="U206" s="24" t="n"/>
      <c r="V206" s="22" t="n"/>
    </row>
    <row r="207">
      <c r="B207" s="13">
        <f>IF($C207="","",COUNTA($C$9:$C207))</f>
        <v/>
      </c>
      <c r="C207" s="21" t="n"/>
      <c r="D207" s="14" t="n"/>
      <c r="E207" s="14" t="n"/>
      <c r="F207" s="14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3">
        <f>IF($C207="","",N(L207)-N(M207))</f>
        <v/>
      </c>
      <c r="P207" s="24" t="n"/>
      <c r="Q207" s="23">
        <f>IF($C207="","",N(M207)+N(N207))</f>
        <v/>
      </c>
      <c r="R207" s="23">
        <f>IF($C207="","",N(J207)+N(Q207))</f>
        <v/>
      </c>
      <c r="S207" s="25">
        <f>IF(OR($C207="",N($G207)=0),"",R207/$G207)</f>
        <v/>
      </c>
      <c r="T207" s="23">
        <f>IF($C207="","",N($G207)-N(R207))</f>
        <v/>
      </c>
      <c r="U207" s="24" t="n"/>
      <c r="V207" s="22" t="n"/>
    </row>
    <row r="208">
      <c r="B208" s="13">
        <f>IF($C208="","",COUNTA($C$9:$C208))</f>
        <v/>
      </c>
      <c r="C208" s="21" t="n"/>
      <c r="D208" s="14" t="n"/>
      <c r="E208" s="14" t="n"/>
      <c r="F208" s="14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3">
        <f>IF($C208="","",N(L208)-N(M208))</f>
        <v/>
      </c>
      <c r="P208" s="24" t="n"/>
      <c r="Q208" s="23">
        <f>IF($C208="","",N(M208)+N(N208))</f>
        <v/>
      </c>
      <c r="R208" s="23">
        <f>IF($C208="","",N(J208)+N(Q208))</f>
        <v/>
      </c>
      <c r="S208" s="25">
        <f>IF(OR($C208="",N($G208)=0),"",R208/$G208)</f>
        <v/>
      </c>
      <c r="T208" s="23">
        <f>IF($C208="","",N($G208)-N(R208))</f>
        <v/>
      </c>
      <c r="U208" s="24" t="n"/>
      <c r="V208" s="22" t="n"/>
    </row>
    <row r="209">
      <c r="B209" s="13">
        <f>IF($C209="","",COUNTA($C$9:$C209))</f>
        <v/>
      </c>
      <c r="C209" s="21" t="n"/>
      <c r="D209" s="14" t="n"/>
      <c r="E209" s="14" t="n"/>
      <c r="F209" s="14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3">
        <f>IF($C209="","",N(L209)-N(M209))</f>
        <v/>
      </c>
      <c r="P209" s="24" t="n"/>
      <c r="Q209" s="23">
        <f>IF($C209="","",N(M209)+N(N209))</f>
        <v/>
      </c>
      <c r="R209" s="23">
        <f>IF($C209="","",N(J209)+N(Q209))</f>
        <v/>
      </c>
      <c r="S209" s="25">
        <f>IF(OR($C209="",N($G209)=0),"",R209/$G209)</f>
        <v/>
      </c>
      <c r="T209" s="23">
        <f>IF($C209="","",N($G209)-N(R209))</f>
        <v/>
      </c>
      <c r="U209" s="24" t="n"/>
      <c r="V209" s="22" t="n"/>
    </row>
    <row r="210">
      <c r="B210" s="13">
        <f>IF($C210="","",COUNTA($C$9:$C210))</f>
        <v/>
      </c>
      <c r="C210" s="21" t="n"/>
      <c r="D210" s="14" t="n"/>
      <c r="E210" s="14" t="n"/>
      <c r="F210" s="14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3">
        <f>IF($C210="","",N(L210)-N(M210))</f>
        <v/>
      </c>
      <c r="P210" s="24" t="n"/>
      <c r="Q210" s="23">
        <f>IF($C210="","",N(M210)+N(N210))</f>
        <v/>
      </c>
      <c r="R210" s="23">
        <f>IF($C210="","",N(J210)+N(Q210))</f>
        <v/>
      </c>
      <c r="S210" s="25">
        <f>IF(OR($C210="",N($G210)=0),"",R210/$G210)</f>
        <v/>
      </c>
      <c r="T210" s="23">
        <f>IF($C210="","",N($G210)-N(R210))</f>
        <v/>
      </c>
      <c r="U210" s="24" t="n"/>
      <c r="V210" s="22" t="n"/>
    </row>
    <row r="211">
      <c r="B211" s="13">
        <f>IF($C211="","",COUNTA($C$9:$C211))</f>
        <v/>
      </c>
      <c r="C211" s="21" t="n"/>
      <c r="D211" s="14" t="n"/>
      <c r="E211" s="14" t="n"/>
      <c r="F211" s="14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3">
        <f>IF($C211="","",N(L211)-N(M211))</f>
        <v/>
      </c>
      <c r="P211" s="24" t="n"/>
      <c r="Q211" s="23">
        <f>IF($C211="","",N(M211)+N(N211))</f>
        <v/>
      </c>
      <c r="R211" s="23">
        <f>IF($C211="","",N(J211)+N(Q211))</f>
        <v/>
      </c>
      <c r="S211" s="25">
        <f>IF(OR($C211="",N($G211)=0),"",R211/$G211)</f>
        <v/>
      </c>
      <c r="T211" s="23">
        <f>IF($C211="","",N($G211)-N(R211))</f>
        <v/>
      </c>
      <c r="U211" s="24" t="n"/>
      <c r="V211" s="22" t="n"/>
    </row>
    <row r="212">
      <c r="B212" s="13">
        <f>IF($C212="","",COUNTA($C$9:$C212))</f>
        <v/>
      </c>
      <c r="C212" s="21" t="n"/>
      <c r="D212" s="14" t="n"/>
      <c r="E212" s="14" t="n"/>
      <c r="F212" s="14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3">
        <f>IF($C212="","",N(L212)-N(M212))</f>
        <v/>
      </c>
      <c r="P212" s="24" t="n"/>
      <c r="Q212" s="23">
        <f>IF($C212="","",N(M212)+N(N212))</f>
        <v/>
      </c>
      <c r="R212" s="23">
        <f>IF($C212="","",N(J212)+N(Q212))</f>
        <v/>
      </c>
      <c r="S212" s="25">
        <f>IF(OR($C212="",N($G212)=0),"",R212/$G212)</f>
        <v/>
      </c>
      <c r="T212" s="23">
        <f>IF($C212="","",N($G212)-N(R212))</f>
        <v/>
      </c>
      <c r="U212" s="24" t="n"/>
      <c r="V212" s="22" t="n"/>
    </row>
    <row r="213">
      <c r="B213" s="13">
        <f>IF($C213="","",COUNTA($C$9:$C213))</f>
        <v/>
      </c>
      <c r="C213" s="21" t="n"/>
      <c r="D213" s="14" t="n"/>
      <c r="E213" s="14" t="n"/>
      <c r="F213" s="14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3">
        <f>IF($C213="","",N(L213)-N(M213))</f>
        <v/>
      </c>
      <c r="P213" s="24" t="n"/>
      <c r="Q213" s="23">
        <f>IF($C213="","",N(M213)+N(N213))</f>
        <v/>
      </c>
      <c r="R213" s="23">
        <f>IF($C213="","",N(J213)+N(Q213))</f>
        <v/>
      </c>
      <c r="S213" s="25">
        <f>IF(OR($C213="",N($G213)=0),"",R213/$G213)</f>
        <v/>
      </c>
      <c r="T213" s="23">
        <f>IF($C213="","",N($G213)-N(R213))</f>
        <v/>
      </c>
      <c r="U213" s="24" t="n"/>
      <c r="V213" s="22" t="n"/>
    </row>
    <row r="214">
      <c r="B214" s="13">
        <f>IF($C214="","",COUNTA($C$9:$C214))</f>
        <v/>
      </c>
      <c r="C214" s="21" t="n"/>
      <c r="D214" s="14" t="n"/>
      <c r="E214" s="14" t="n"/>
      <c r="F214" s="14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3">
        <f>IF($C214="","",N(L214)-N(M214))</f>
        <v/>
      </c>
      <c r="P214" s="24" t="n"/>
      <c r="Q214" s="23">
        <f>IF($C214="","",N(M214)+N(N214))</f>
        <v/>
      </c>
      <c r="R214" s="23">
        <f>IF($C214="","",N(J214)+N(Q214))</f>
        <v/>
      </c>
      <c r="S214" s="25">
        <f>IF(OR($C214="",N($G214)=0),"",R214/$G214)</f>
        <v/>
      </c>
      <c r="T214" s="23">
        <f>IF($C214="","",N($G214)-N(R214))</f>
        <v/>
      </c>
      <c r="U214" s="24" t="n"/>
      <c r="V214" s="22" t="n"/>
    </row>
    <row r="215">
      <c r="B215" s="13">
        <f>IF($C215="","",COUNTA($C$9:$C215))</f>
        <v/>
      </c>
      <c r="C215" s="21" t="n"/>
      <c r="D215" s="14" t="n"/>
      <c r="E215" s="14" t="n"/>
      <c r="F215" s="14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3">
        <f>IF($C215="","",N(L215)-N(M215))</f>
        <v/>
      </c>
      <c r="P215" s="24" t="n"/>
      <c r="Q215" s="23">
        <f>IF($C215="","",N(M215)+N(N215))</f>
        <v/>
      </c>
      <c r="R215" s="23">
        <f>IF($C215="","",N(J215)+N(Q215))</f>
        <v/>
      </c>
      <c r="S215" s="25">
        <f>IF(OR($C215="",N($G215)=0),"",R215/$G215)</f>
        <v/>
      </c>
      <c r="T215" s="23">
        <f>IF($C215="","",N($G215)-N(R215))</f>
        <v/>
      </c>
      <c r="U215" s="24" t="n"/>
      <c r="V215" s="22" t="n"/>
    </row>
    <row r="216">
      <c r="B216" s="13">
        <f>IF($C216="","",COUNTA($C$9:$C216))</f>
        <v/>
      </c>
      <c r="C216" s="21" t="n"/>
      <c r="D216" s="14" t="n"/>
      <c r="E216" s="14" t="n"/>
      <c r="F216" s="14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3">
        <f>IF($C216="","",N(L216)-N(M216))</f>
        <v/>
      </c>
      <c r="P216" s="24" t="n"/>
      <c r="Q216" s="23">
        <f>IF($C216="","",N(M216)+N(N216))</f>
        <v/>
      </c>
      <c r="R216" s="23">
        <f>IF($C216="","",N(J216)+N(Q216))</f>
        <v/>
      </c>
      <c r="S216" s="25">
        <f>IF(OR($C216="",N($G216)=0),"",R216/$G216)</f>
        <v/>
      </c>
      <c r="T216" s="23">
        <f>IF($C216="","",N($G216)-N(R216))</f>
        <v/>
      </c>
      <c r="U216" s="24" t="n"/>
      <c r="V216" s="22" t="n"/>
    </row>
    <row r="217">
      <c r="B217" s="13">
        <f>IF($C217="","",COUNTA($C$9:$C217))</f>
        <v/>
      </c>
      <c r="C217" s="21" t="n"/>
      <c r="D217" s="14" t="n"/>
      <c r="E217" s="14" t="n"/>
      <c r="F217" s="14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3">
        <f>IF($C217="","",N(L217)-N(M217))</f>
        <v/>
      </c>
      <c r="P217" s="24" t="n"/>
      <c r="Q217" s="23">
        <f>IF($C217="","",N(M217)+N(N217))</f>
        <v/>
      </c>
      <c r="R217" s="23">
        <f>IF($C217="","",N(J217)+N(Q217))</f>
        <v/>
      </c>
      <c r="S217" s="25">
        <f>IF(OR($C217="",N($G217)=0),"",R217/$G217)</f>
        <v/>
      </c>
      <c r="T217" s="23">
        <f>IF($C217="","",N($G217)-N(R217))</f>
        <v/>
      </c>
      <c r="U217" s="24" t="n"/>
      <c r="V217" s="22" t="n"/>
    </row>
    <row r="218">
      <c r="B218" s="13">
        <f>IF($C218="","",COUNTA($C$9:$C218))</f>
        <v/>
      </c>
      <c r="C218" s="21" t="n"/>
      <c r="D218" s="14" t="n"/>
      <c r="E218" s="14" t="n"/>
      <c r="F218" s="14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3">
        <f>IF($C218="","",N(L218)-N(M218))</f>
        <v/>
      </c>
      <c r="P218" s="24" t="n"/>
      <c r="Q218" s="23">
        <f>IF($C218="","",N(M218)+N(N218))</f>
        <v/>
      </c>
      <c r="R218" s="23">
        <f>IF($C218="","",N(J218)+N(Q218))</f>
        <v/>
      </c>
      <c r="S218" s="25">
        <f>IF(OR($C218="",N($G218)=0),"",R218/$G218)</f>
        <v/>
      </c>
      <c r="T218" s="23">
        <f>IF($C218="","",N($G218)-N(R218))</f>
        <v/>
      </c>
      <c r="U218" s="24" t="n"/>
      <c r="V218" s="22" t="n"/>
    </row>
    <row r="219">
      <c r="B219" s="13">
        <f>IF($C219="","",COUNTA($C$9:$C219))</f>
        <v/>
      </c>
      <c r="C219" s="21" t="n"/>
      <c r="D219" s="14" t="n"/>
      <c r="E219" s="14" t="n"/>
      <c r="F219" s="14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3">
        <f>IF($C219="","",N(L219)-N(M219))</f>
        <v/>
      </c>
      <c r="P219" s="24" t="n"/>
      <c r="Q219" s="23">
        <f>IF($C219="","",N(M219)+N(N219))</f>
        <v/>
      </c>
      <c r="R219" s="23">
        <f>IF($C219="","",N(J219)+N(Q219))</f>
        <v/>
      </c>
      <c r="S219" s="25">
        <f>IF(OR($C219="",N($G219)=0),"",R219/$G219)</f>
        <v/>
      </c>
      <c r="T219" s="23">
        <f>IF($C219="","",N($G219)-N(R219))</f>
        <v/>
      </c>
      <c r="U219" s="24" t="n"/>
      <c r="V219" s="22" t="n"/>
    </row>
    <row r="220">
      <c r="B220" s="13">
        <f>IF($C220="","",COUNTA($C$9:$C220))</f>
        <v/>
      </c>
      <c r="C220" s="21" t="n"/>
      <c r="D220" s="14" t="n"/>
      <c r="E220" s="14" t="n"/>
      <c r="F220" s="14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3">
        <f>IF($C220="","",N(L220)-N(M220))</f>
        <v/>
      </c>
      <c r="P220" s="24" t="n"/>
      <c r="Q220" s="23">
        <f>IF($C220="","",N(M220)+N(N220))</f>
        <v/>
      </c>
      <c r="R220" s="23">
        <f>IF($C220="","",N(J220)+N(Q220))</f>
        <v/>
      </c>
      <c r="S220" s="25">
        <f>IF(OR($C220="",N($G220)=0),"",R220/$G220)</f>
        <v/>
      </c>
      <c r="T220" s="23">
        <f>IF($C220="","",N($G220)-N(R220))</f>
        <v/>
      </c>
      <c r="U220" s="24" t="n"/>
      <c r="V220" s="22" t="n"/>
    </row>
    <row r="221">
      <c r="B221" s="13">
        <f>IF($C221="","",COUNTA($C$9:$C221))</f>
        <v/>
      </c>
      <c r="C221" s="21" t="n"/>
      <c r="D221" s="14" t="n"/>
      <c r="E221" s="14" t="n"/>
      <c r="F221" s="14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3">
        <f>IF($C221="","",N(L221)-N(M221))</f>
        <v/>
      </c>
      <c r="P221" s="24" t="n"/>
      <c r="Q221" s="23">
        <f>IF($C221="","",N(M221)+N(N221))</f>
        <v/>
      </c>
      <c r="R221" s="23">
        <f>IF($C221="","",N(J221)+N(Q221))</f>
        <v/>
      </c>
      <c r="S221" s="25">
        <f>IF(OR($C221="",N($G221)=0),"",R221/$G221)</f>
        <v/>
      </c>
      <c r="T221" s="23">
        <f>IF($C221="","",N($G221)-N(R221))</f>
        <v/>
      </c>
      <c r="U221" s="24" t="n"/>
      <c r="V221" s="22" t="n"/>
    </row>
    <row r="222">
      <c r="B222" s="13">
        <f>IF($C222="","",COUNTA($C$9:$C222))</f>
        <v/>
      </c>
      <c r="C222" s="21" t="n"/>
      <c r="D222" s="14" t="n"/>
      <c r="E222" s="14" t="n"/>
      <c r="F222" s="14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3">
        <f>IF($C222="","",N(L222)-N(M222))</f>
        <v/>
      </c>
      <c r="P222" s="24" t="n"/>
      <c r="Q222" s="23">
        <f>IF($C222="","",N(M222)+N(N222))</f>
        <v/>
      </c>
      <c r="R222" s="23">
        <f>IF($C222="","",N(J222)+N(Q222))</f>
        <v/>
      </c>
      <c r="S222" s="25">
        <f>IF(OR($C222="",N($G222)=0),"",R222/$G222)</f>
        <v/>
      </c>
      <c r="T222" s="23">
        <f>IF($C222="","",N($G222)-N(R222))</f>
        <v/>
      </c>
      <c r="U222" s="24" t="n"/>
      <c r="V222" s="22" t="n"/>
    </row>
    <row r="223">
      <c r="B223" s="13">
        <f>IF($C223="","",COUNTA($C$9:$C223))</f>
        <v/>
      </c>
      <c r="C223" s="21" t="n"/>
      <c r="D223" s="14" t="n"/>
      <c r="E223" s="14" t="n"/>
      <c r="F223" s="14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3">
        <f>IF($C223="","",N(L223)-N(M223))</f>
        <v/>
      </c>
      <c r="P223" s="24" t="n"/>
      <c r="Q223" s="23">
        <f>IF($C223="","",N(M223)+N(N223))</f>
        <v/>
      </c>
      <c r="R223" s="23">
        <f>IF($C223="","",N(J223)+N(Q223))</f>
        <v/>
      </c>
      <c r="S223" s="25">
        <f>IF(OR($C223="",N($G223)=0),"",R223/$G223)</f>
        <v/>
      </c>
      <c r="T223" s="23">
        <f>IF($C223="","",N($G223)-N(R223))</f>
        <v/>
      </c>
      <c r="U223" s="24" t="n"/>
      <c r="V223" s="22" t="n"/>
    </row>
    <row r="224">
      <c r="B224" s="13">
        <f>IF($C224="","",COUNTA($C$9:$C224))</f>
        <v/>
      </c>
      <c r="C224" s="21" t="n"/>
      <c r="D224" s="14" t="n"/>
      <c r="E224" s="14" t="n"/>
      <c r="F224" s="14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3">
        <f>IF($C224="","",N(L224)-N(M224))</f>
        <v/>
      </c>
      <c r="P224" s="24" t="n"/>
      <c r="Q224" s="23">
        <f>IF($C224="","",N(M224)+N(N224))</f>
        <v/>
      </c>
      <c r="R224" s="23">
        <f>IF($C224="","",N(J224)+N(Q224))</f>
        <v/>
      </c>
      <c r="S224" s="25">
        <f>IF(OR($C224="",N($G224)=0),"",R224/$G224)</f>
        <v/>
      </c>
      <c r="T224" s="23">
        <f>IF($C224="","",N($G224)-N(R224))</f>
        <v/>
      </c>
      <c r="U224" s="24" t="n"/>
      <c r="V224" s="22" t="n"/>
    </row>
    <row r="225">
      <c r="B225" s="13">
        <f>IF($C225="","",COUNTA($C$9:$C225))</f>
        <v/>
      </c>
      <c r="C225" s="21" t="n"/>
      <c r="D225" s="14" t="n"/>
      <c r="E225" s="14" t="n"/>
      <c r="F225" s="14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3">
        <f>IF($C225="","",N(L225)-N(M225))</f>
        <v/>
      </c>
      <c r="P225" s="24" t="n"/>
      <c r="Q225" s="23">
        <f>IF($C225="","",N(M225)+N(N225))</f>
        <v/>
      </c>
      <c r="R225" s="23">
        <f>IF($C225="","",N(J225)+N(Q225))</f>
        <v/>
      </c>
      <c r="S225" s="25">
        <f>IF(OR($C225="",N($G225)=0),"",R225/$G225)</f>
        <v/>
      </c>
      <c r="T225" s="23">
        <f>IF($C225="","",N($G225)-N(R225))</f>
        <v/>
      </c>
      <c r="U225" s="24" t="n"/>
      <c r="V225" s="22" t="n"/>
    </row>
    <row r="226">
      <c r="B226" s="13">
        <f>IF($C226="","",COUNTA($C$9:$C226))</f>
        <v/>
      </c>
      <c r="C226" s="21" t="n"/>
      <c r="D226" s="14" t="n"/>
      <c r="E226" s="14" t="n"/>
      <c r="F226" s="14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3">
        <f>IF($C226="","",N(L226)-N(M226))</f>
        <v/>
      </c>
      <c r="P226" s="24" t="n"/>
      <c r="Q226" s="23">
        <f>IF($C226="","",N(M226)+N(N226))</f>
        <v/>
      </c>
      <c r="R226" s="23">
        <f>IF($C226="","",N(J226)+N(Q226))</f>
        <v/>
      </c>
      <c r="S226" s="25">
        <f>IF(OR($C226="",N($G226)=0),"",R226/$G226)</f>
        <v/>
      </c>
      <c r="T226" s="23">
        <f>IF($C226="","",N($G226)-N(R226))</f>
        <v/>
      </c>
      <c r="U226" s="24" t="n"/>
      <c r="V226" s="22" t="n"/>
    </row>
    <row r="227">
      <c r="B227" s="13">
        <f>IF($C227="","",COUNTA($C$9:$C227))</f>
        <v/>
      </c>
      <c r="C227" s="21" t="n"/>
      <c r="D227" s="14" t="n"/>
      <c r="E227" s="14" t="n"/>
      <c r="F227" s="14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3">
        <f>IF($C227="","",N(L227)-N(M227))</f>
        <v/>
      </c>
      <c r="P227" s="24" t="n"/>
      <c r="Q227" s="23">
        <f>IF($C227="","",N(M227)+N(N227))</f>
        <v/>
      </c>
      <c r="R227" s="23">
        <f>IF($C227="","",N(J227)+N(Q227))</f>
        <v/>
      </c>
      <c r="S227" s="25">
        <f>IF(OR($C227="",N($G227)=0),"",R227/$G227)</f>
        <v/>
      </c>
      <c r="T227" s="23">
        <f>IF($C227="","",N($G227)-N(R227))</f>
        <v/>
      </c>
      <c r="U227" s="24" t="n"/>
      <c r="V227" s="22" t="n"/>
    </row>
    <row r="228">
      <c r="B228" s="13">
        <f>IF($C228="","",COUNTA($C$9:$C228))</f>
        <v/>
      </c>
      <c r="C228" s="21" t="n"/>
      <c r="D228" s="14" t="n"/>
      <c r="E228" s="14" t="n"/>
      <c r="F228" s="14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3">
        <f>IF($C228="","",N(L228)-N(M228))</f>
        <v/>
      </c>
      <c r="P228" s="24" t="n"/>
      <c r="Q228" s="23">
        <f>IF($C228="","",N(M228)+N(N228))</f>
        <v/>
      </c>
      <c r="R228" s="23">
        <f>IF($C228="","",N(J228)+N(Q228))</f>
        <v/>
      </c>
      <c r="S228" s="25">
        <f>IF(OR($C228="",N($G228)=0),"",R228/$G228)</f>
        <v/>
      </c>
      <c r="T228" s="23">
        <f>IF($C228="","",N($G228)-N(R228))</f>
        <v/>
      </c>
      <c r="U228" s="24" t="n"/>
      <c r="V228" s="22" t="n"/>
    </row>
    <row r="229">
      <c r="B229" s="13">
        <f>IF($C229="","",COUNTA($C$9:$C229))</f>
        <v/>
      </c>
      <c r="C229" s="21" t="n"/>
      <c r="D229" s="14" t="n"/>
      <c r="E229" s="14" t="n"/>
      <c r="F229" s="14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3">
        <f>IF($C229="","",N(L229)-N(M229))</f>
        <v/>
      </c>
      <c r="P229" s="24" t="n"/>
      <c r="Q229" s="23">
        <f>IF($C229="","",N(M229)+N(N229))</f>
        <v/>
      </c>
      <c r="R229" s="23">
        <f>IF($C229="","",N(J229)+N(Q229))</f>
        <v/>
      </c>
      <c r="S229" s="25">
        <f>IF(OR($C229="",N($G229)=0),"",R229/$G229)</f>
        <v/>
      </c>
      <c r="T229" s="23">
        <f>IF($C229="","",N($G229)-N(R229))</f>
        <v/>
      </c>
      <c r="U229" s="24" t="n"/>
      <c r="V229" s="22" t="n"/>
    </row>
    <row r="230">
      <c r="B230" s="13">
        <f>IF($C230="","",COUNTA($C$9:$C230))</f>
        <v/>
      </c>
      <c r="C230" s="21" t="n"/>
      <c r="D230" s="14" t="n"/>
      <c r="E230" s="14" t="n"/>
      <c r="F230" s="14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3">
        <f>IF($C230="","",N(L230)-N(M230))</f>
        <v/>
      </c>
      <c r="P230" s="24" t="n"/>
      <c r="Q230" s="23">
        <f>IF($C230="","",N(M230)+N(N230))</f>
        <v/>
      </c>
      <c r="R230" s="23">
        <f>IF($C230="","",N(J230)+N(Q230))</f>
        <v/>
      </c>
      <c r="S230" s="25">
        <f>IF(OR($C230="",N($G230)=0),"",R230/$G230)</f>
        <v/>
      </c>
      <c r="T230" s="23">
        <f>IF($C230="","",N($G230)-N(R230))</f>
        <v/>
      </c>
      <c r="U230" s="24" t="n"/>
      <c r="V230" s="22" t="n"/>
    </row>
    <row r="231">
      <c r="B231" s="13">
        <f>IF($C231="","",COUNTA($C$9:$C231))</f>
        <v/>
      </c>
      <c r="C231" s="21" t="n"/>
      <c r="D231" s="14" t="n"/>
      <c r="E231" s="14" t="n"/>
      <c r="F231" s="14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3">
        <f>IF($C231="","",N(L231)-N(M231))</f>
        <v/>
      </c>
      <c r="P231" s="24" t="n"/>
      <c r="Q231" s="23">
        <f>IF($C231="","",N(M231)+N(N231))</f>
        <v/>
      </c>
      <c r="R231" s="23">
        <f>IF($C231="","",N(J231)+N(Q231))</f>
        <v/>
      </c>
      <c r="S231" s="25">
        <f>IF(OR($C231="",N($G231)=0),"",R231/$G231)</f>
        <v/>
      </c>
      <c r="T231" s="23">
        <f>IF($C231="","",N($G231)-N(R231))</f>
        <v/>
      </c>
      <c r="U231" s="24" t="n"/>
      <c r="V231" s="22" t="n"/>
    </row>
    <row r="232">
      <c r="B232" s="13">
        <f>IF($C232="","",COUNTA($C$9:$C232))</f>
        <v/>
      </c>
      <c r="C232" s="21" t="n"/>
      <c r="D232" s="14" t="n"/>
      <c r="E232" s="14" t="n"/>
      <c r="F232" s="14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3">
        <f>IF($C232="","",N(L232)-N(M232))</f>
        <v/>
      </c>
      <c r="P232" s="24" t="n"/>
      <c r="Q232" s="23">
        <f>IF($C232="","",N(M232)+N(N232))</f>
        <v/>
      </c>
      <c r="R232" s="23">
        <f>IF($C232="","",N(J232)+N(Q232))</f>
        <v/>
      </c>
      <c r="S232" s="25">
        <f>IF(OR($C232="",N($G232)=0),"",R232/$G232)</f>
        <v/>
      </c>
      <c r="T232" s="23">
        <f>IF($C232="","",N($G232)-N(R232))</f>
        <v/>
      </c>
      <c r="U232" s="24" t="n"/>
      <c r="V232" s="22" t="n"/>
    </row>
    <row r="233">
      <c r="B233" s="13">
        <f>IF($C233="","",COUNTA($C$9:$C233))</f>
        <v/>
      </c>
      <c r="C233" s="21" t="n"/>
      <c r="D233" s="14" t="n"/>
      <c r="E233" s="14" t="n"/>
      <c r="F233" s="14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3">
        <f>IF($C233="","",N(L233)-N(M233))</f>
        <v/>
      </c>
      <c r="P233" s="24" t="n"/>
      <c r="Q233" s="23">
        <f>IF($C233="","",N(M233)+N(N233))</f>
        <v/>
      </c>
      <c r="R233" s="23">
        <f>IF($C233="","",N(J233)+N(Q233))</f>
        <v/>
      </c>
      <c r="S233" s="25">
        <f>IF(OR($C233="",N($G233)=0),"",R233/$G233)</f>
        <v/>
      </c>
      <c r="T233" s="23">
        <f>IF($C233="","",N($G233)-N(R233))</f>
        <v/>
      </c>
      <c r="U233" s="24" t="n"/>
      <c r="V233" s="22" t="n"/>
    </row>
    <row r="234">
      <c r="B234" s="13">
        <f>IF($C234="","",COUNTA($C$9:$C234))</f>
        <v/>
      </c>
      <c r="C234" s="21" t="n"/>
      <c r="D234" s="14" t="n"/>
      <c r="E234" s="14" t="n"/>
      <c r="F234" s="14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3">
        <f>IF($C234="","",N(L234)-N(M234))</f>
        <v/>
      </c>
      <c r="P234" s="24" t="n"/>
      <c r="Q234" s="23">
        <f>IF($C234="","",N(M234)+N(N234))</f>
        <v/>
      </c>
      <c r="R234" s="23">
        <f>IF($C234="","",N(J234)+N(Q234))</f>
        <v/>
      </c>
      <c r="S234" s="25">
        <f>IF(OR($C234="",N($G234)=0),"",R234/$G234)</f>
        <v/>
      </c>
      <c r="T234" s="23">
        <f>IF($C234="","",N($G234)-N(R234))</f>
        <v/>
      </c>
      <c r="U234" s="24" t="n"/>
      <c r="V234" s="22" t="n"/>
    </row>
    <row r="235">
      <c r="B235" s="13">
        <f>IF($C235="","",COUNTA($C$9:$C235))</f>
        <v/>
      </c>
      <c r="C235" s="21" t="n"/>
      <c r="D235" s="14" t="n"/>
      <c r="E235" s="14" t="n"/>
      <c r="F235" s="14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3">
        <f>IF($C235="","",N(L235)-N(M235))</f>
        <v/>
      </c>
      <c r="P235" s="24" t="n"/>
      <c r="Q235" s="23">
        <f>IF($C235="","",N(M235)+N(N235))</f>
        <v/>
      </c>
      <c r="R235" s="23">
        <f>IF($C235="","",N(J235)+N(Q235))</f>
        <v/>
      </c>
      <c r="S235" s="25">
        <f>IF(OR($C235="",N($G235)=0),"",R235/$G235)</f>
        <v/>
      </c>
      <c r="T235" s="23">
        <f>IF($C235="","",N($G235)-N(R235))</f>
        <v/>
      </c>
      <c r="U235" s="24" t="n"/>
      <c r="V235" s="22" t="n"/>
    </row>
    <row r="236">
      <c r="B236" s="13">
        <f>IF($C236="","",COUNTA($C$9:$C236))</f>
        <v/>
      </c>
      <c r="C236" s="21" t="n"/>
      <c r="D236" s="14" t="n"/>
      <c r="E236" s="14" t="n"/>
      <c r="F236" s="14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3">
        <f>IF($C236="","",N(L236)-N(M236))</f>
        <v/>
      </c>
      <c r="P236" s="24" t="n"/>
      <c r="Q236" s="23">
        <f>IF($C236="","",N(M236)+N(N236))</f>
        <v/>
      </c>
      <c r="R236" s="23">
        <f>IF($C236="","",N(J236)+N(Q236))</f>
        <v/>
      </c>
      <c r="S236" s="25">
        <f>IF(OR($C236="",N($G236)=0),"",R236/$G236)</f>
        <v/>
      </c>
      <c r="T236" s="23">
        <f>IF($C236="","",N($G236)-N(R236))</f>
        <v/>
      </c>
      <c r="U236" s="24" t="n"/>
      <c r="V236" s="22" t="n"/>
    </row>
    <row r="237">
      <c r="B237" s="13">
        <f>IF($C237="","",COUNTA($C$9:$C237))</f>
        <v/>
      </c>
      <c r="C237" s="21" t="n"/>
      <c r="D237" s="14" t="n"/>
      <c r="E237" s="14" t="n"/>
      <c r="F237" s="14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3">
        <f>IF($C237="","",N(L237)-N(M237))</f>
        <v/>
      </c>
      <c r="P237" s="24" t="n"/>
      <c r="Q237" s="23">
        <f>IF($C237="","",N(M237)+N(N237))</f>
        <v/>
      </c>
      <c r="R237" s="23">
        <f>IF($C237="","",N(J237)+N(Q237))</f>
        <v/>
      </c>
      <c r="S237" s="25">
        <f>IF(OR($C237="",N($G237)=0),"",R237/$G237)</f>
        <v/>
      </c>
      <c r="T237" s="23">
        <f>IF($C237="","",N($G237)-N(R237))</f>
        <v/>
      </c>
      <c r="U237" s="24" t="n"/>
      <c r="V237" s="22" t="n"/>
    </row>
    <row r="238">
      <c r="B238" s="13">
        <f>IF($C238="","",COUNTA($C$9:$C238))</f>
        <v/>
      </c>
      <c r="C238" s="21" t="n"/>
      <c r="D238" s="14" t="n"/>
      <c r="E238" s="14" t="n"/>
      <c r="F238" s="14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3">
        <f>IF($C238="","",N(L238)-N(M238))</f>
        <v/>
      </c>
      <c r="P238" s="24" t="n"/>
      <c r="Q238" s="23">
        <f>IF($C238="","",N(M238)+N(N238))</f>
        <v/>
      </c>
      <c r="R238" s="23">
        <f>IF($C238="","",N(J238)+N(Q238))</f>
        <v/>
      </c>
      <c r="S238" s="25">
        <f>IF(OR($C238="",N($G238)=0),"",R238/$G238)</f>
        <v/>
      </c>
      <c r="T238" s="23">
        <f>IF($C238="","",N($G238)-N(R238))</f>
        <v/>
      </c>
      <c r="U238" s="24" t="n"/>
      <c r="V238" s="22" t="n"/>
    </row>
    <row r="239">
      <c r="B239" s="13">
        <f>IF($C239="","",COUNTA($C$9:$C239))</f>
        <v/>
      </c>
      <c r="C239" s="21" t="n"/>
      <c r="D239" s="14" t="n"/>
      <c r="E239" s="14" t="n"/>
      <c r="F239" s="14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3">
        <f>IF($C239="","",N(L239)-N(M239))</f>
        <v/>
      </c>
      <c r="P239" s="24" t="n"/>
      <c r="Q239" s="23">
        <f>IF($C239="","",N(M239)+N(N239))</f>
        <v/>
      </c>
      <c r="R239" s="23">
        <f>IF($C239="","",N(J239)+N(Q239))</f>
        <v/>
      </c>
      <c r="S239" s="25">
        <f>IF(OR($C239="",N($G239)=0),"",R239/$G239)</f>
        <v/>
      </c>
      <c r="T239" s="23">
        <f>IF($C239="","",N($G239)-N(R239))</f>
        <v/>
      </c>
      <c r="U239" s="24" t="n"/>
      <c r="V239" s="22" t="n"/>
    </row>
    <row r="240">
      <c r="B240" s="13">
        <f>IF($C240="","",COUNTA($C$9:$C240))</f>
        <v/>
      </c>
      <c r="C240" s="21" t="n"/>
      <c r="D240" s="14" t="n"/>
      <c r="E240" s="14" t="n"/>
      <c r="F240" s="14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3">
        <f>IF($C240="","",N(L240)-N(M240))</f>
        <v/>
      </c>
      <c r="P240" s="24" t="n"/>
      <c r="Q240" s="23">
        <f>IF($C240="","",N(M240)+N(N240))</f>
        <v/>
      </c>
      <c r="R240" s="23">
        <f>IF($C240="","",N(J240)+N(Q240))</f>
        <v/>
      </c>
      <c r="S240" s="25">
        <f>IF(OR($C240="",N($G240)=0),"",R240/$G240)</f>
        <v/>
      </c>
      <c r="T240" s="23">
        <f>IF($C240="","",N($G240)-N(R240))</f>
        <v/>
      </c>
      <c r="U240" s="24" t="n"/>
      <c r="V240" s="22" t="n"/>
    </row>
    <row r="241">
      <c r="B241" s="13">
        <f>IF($C241="","",COUNTA($C$9:$C241))</f>
        <v/>
      </c>
      <c r="C241" s="21" t="n"/>
      <c r="D241" s="14" t="n"/>
      <c r="E241" s="14" t="n"/>
      <c r="F241" s="14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3">
        <f>IF($C241="","",N(L241)-N(M241))</f>
        <v/>
      </c>
      <c r="P241" s="24" t="n"/>
      <c r="Q241" s="23">
        <f>IF($C241="","",N(M241)+N(N241))</f>
        <v/>
      </c>
      <c r="R241" s="23">
        <f>IF($C241="","",N(J241)+N(Q241))</f>
        <v/>
      </c>
      <c r="S241" s="25">
        <f>IF(OR($C241="",N($G241)=0),"",R241/$G241)</f>
        <v/>
      </c>
      <c r="T241" s="23">
        <f>IF($C241="","",N($G241)-N(R241))</f>
        <v/>
      </c>
      <c r="U241" s="24" t="n"/>
      <c r="V241" s="22" t="n"/>
    </row>
    <row r="242">
      <c r="B242" s="13">
        <f>IF($C242="","",COUNTA($C$9:$C242))</f>
        <v/>
      </c>
      <c r="C242" s="21" t="n"/>
      <c r="D242" s="14" t="n"/>
      <c r="E242" s="14" t="n"/>
      <c r="F242" s="14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3">
        <f>IF($C242="","",N(L242)-N(M242))</f>
        <v/>
      </c>
      <c r="P242" s="24" t="n"/>
      <c r="Q242" s="23">
        <f>IF($C242="","",N(M242)+N(N242))</f>
        <v/>
      </c>
      <c r="R242" s="23">
        <f>IF($C242="","",N(J242)+N(Q242))</f>
        <v/>
      </c>
      <c r="S242" s="25">
        <f>IF(OR($C242="",N($G242)=0),"",R242/$G242)</f>
        <v/>
      </c>
      <c r="T242" s="23">
        <f>IF($C242="","",N($G242)-N(R242))</f>
        <v/>
      </c>
      <c r="U242" s="24" t="n"/>
      <c r="V242" s="22" t="n"/>
    </row>
    <row r="243">
      <c r="B243" s="13">
        <f>IF($C243="","",COUNTA($C$9:$C243))</f>
        <v/>
      </c>
      <c r="C243" s="21" t="n"/>
      <c r="D243" s="14" t="n"/>
      <c r="E243" s="14" t="n"/>
      <c r="F243" s="14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3">
        <f>IF($C243="","",N(L243)-N(M243))</f>
        <v/>
      </c>
      <c r="P243" s="24" t="n"/>
      <c r="Q243" s="23">
        <f>IF($C243="","",N(M243)+N(N243))</f>
        <v/>
      </c>
      <c r="R243" s="23">
        <f>IF($C243="","",N(J243)+N(Q243))</f>
        <v/>
      </c>
      <c r="S243" s="25">
        <f>IF(OR($C243="",N($G243)=0),"",R243/$G243)</f>
        <v/>
      </c>
      <c r="T243" s="23">
        <f>IF($C243="","",N($G243)-N(R243))</f>
        <v/>
      </c>
      <c r="U243" s="24" t="n"/>
      <c r="V243" s="22" t="n"/>
    </row>
    <row r="244">
      <c r="B244" s="13">
        <f>IF($C244="","",COUNTA($C$9:$C244))</f>
        <v/>
      </c>
      <c r="C244" s="21" t="n"/>
      <c r="D244" s="14" t="n"/>
      <c r="E244" s="14" t="n"/>
      <c r="F244" s="14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3">
        <f>IF($C244="","",N(L244)-N(M244))</f>
        <v/>
      </c>
      <c r="P244" s="24" t="n"/>
      <c r="Q244" s="23">
        <f>IF($C244="","",N(M244)+N(N244))</f>
        <v/>
      </c>
      <c r="R244" s="23">
        <f>IF($C244="","",N(J244)+N(Q244))</f>
        <v/>
      </c>
      <c r="S244" s="25">
        <f>IF(OR($C244="",N($G244)=0),"",R244/$G244)</f>
        <v/>
      </c>
      <c r="T244" s="23">
        <f>IF($C244="","",N($G244)-N(R244))</f>
        <v/>
      </c>
      <c r="U244" s="24" t="n"/>
      <c r="V244" s="22" t="n"/>
    </row>
    <row r="245">
      <c r="B245" s="13">
        <f>IF($C245="","",COUNTA($C$9:$C245))</f>
        <v/>
      </c>
      <c r="C245" s="21" t="n"/>
      <c r="D245" s="14" t="n"/>
      <c r="E245" s="14" t="n"/>
      <c r="F245" s="14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3">
        <f>IF($C245="","",N(L245)-N(M245))</f>
        <v/>
      </c>
      <c r="P245" s="24" t="n"/>
      <c r="Q245" s="23">
        <f>IF($C245="","",N(M245)+N(N245))</f>
        <v/>
      </c>
      <c r="R245" s="23">
        <f>IF($C245="","",N(J245)+N(Q245))</f>
        <v/>
      </c>
      <c r="S245" s="25">
        <f>IF(OR($C245="",N($G245)=0),"",R245/$G245)</f>
        <v/>
      </c>
      <c r="T245" s="23">
        <f>IF($C245="","",N($G245)-N(R245))</f>
        <v/>
      </c>
      <c r="U245" s="24" t="n"/>
      <c r="V245" s="22" t="n"/>
    </row>
    <row r="246">
      <c r="B246" s="13">
        <f>IF($C246="","",COUNTA($C$9:$C246))</f>
        <v/>
      </c>
      <c r="C246" s="21" t="n"/>
      <c r="D246" s="14" t="n"/>
      <c r="E246" s="14" t="n"/>
      <c r="F246" s="14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3">
        <f>IF($C246="","",N(L246)-N(M246))</f>
        <v/>
      </c>
      <c r="P246" s="24" t="n"/>
      <c r="Q246" s="23">
        <f>IF($C246="","",N(M246)+N(N246))</f>
        <v/>
      </c>
      <c r="R246" s="23">
        <f>IF($C246="","",N(J246)+N(Q246))</f>
        <v/>
      </c>
      <c r="S246" s="25">
        <f>IF(OR($C246="",N($G246)=0),"",R246/$G246)</f>
        <v/>
      </c>
      <c r="T246" s="23">
        <f>IF($C246="","",N($G246)-N(R246))</f>
        <v/>
      </c>
      <c r="U246" s="24" t="n"/>
      <c r="V246" s="22" t="n"/>
    </row>
    <row r="247">
      <c r="B247" s="13">
        <f>IF($C247="","",COUNTA($C$9:$C247))</f>
        <v/>
      </c>
      <c r="C247" s="21" t="n"/>
      <c r="D247" s="14" t="n"/>
      <c r="E247" s="14" t="n"/>
      <c r="F247" s="14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3">
        <f>IF($C247="","",N(L247)-N(M247))</f>
        <v/>
      </c>
      <c r="P247" s="24" t="n"/>
      <c r="Q247" s="23">
        <f>IF($C247="","",N(M247)+N(N247))</f>
        <v/>
      </c>
      <c r="R247" s="23">
        <f>IF($C247="","",N(J247)+N(Q247))</f>
        <v/>
      </c>
      <c r="S247" s="25">
        <f>IF(OR($C247="",N($G247)=0),"",R247/$G247)</f>
        <v/>
      </c>
      <c r="T247" s="23">
        <f>IF($C247="","",N($G247)-N(R247))</f>
        <v/>
      </c>
      <c r="U247" s="24" t="n"/>
      <c r="V247" s="22" t="n"/>
    </row>
    <row r="248">
      <c r="B248" s="13">
        <f>IF($C248="","",COUNTA($C$9:$C248))</f>
        <v/>
      </c>
      <c r="C248" s="21" t="n"/>
      <c r="D248" s="14" t="n"/>
      <c r="E248" s="14" t="n"/>
      <c r="F248" s="14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3">
        <f>IF($C248="","",N(L248)-N(M248))</f>
        <v/>
      </c>
      <c r="P248" s="24" t="n"/>
      <c r="Q248" s="23">
        <f>IF($C248="","",N(M248)+N(N248))</f>
        <v/>
      </c>
      <c r="R248" s="23">
        <f>IF($C248="","",N(J248)+N(Q248))</f>
        <v/>
      </c>
      <c r="S248" s="25">
        <f>IF(OR($C248="",N($G248)=0),"",R248/$G248)</f>
        <v/>
      </c>
      <c r="T248" s="23">
        <f>IF($C248="","",N($G248)-N(R248))</f>
        <v/>
      </c>
      <c r="U248" s="24" t="n"/>
      <c r="V248" s="22" t="n"/>
    </row>
    <row r="249">
      <c r="B249" s="13">
        <f>IF($C249="","",COUNTA($C$9:$C249))</f>
        <v/>
      </c>
      <c r="C249" s="21" t="n"/>
      <c r="D249" s="14" t="n"/>
      <c r="E249" s="14" t="n"/>
      <c r="F249" s="14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3">
        <f>IF($C249="","",N(L249)-N(M249))</f>
        <v/>
      </c>
      <c r="P249" s="24" t="n"/>
      <c r="Q249" s="23">
        <f>IF($C249="","",N(M249)+N(N249))</f>
        <v/>
      </c>
      <c r="R249" s="23">
        <f>IF($C249="","",N(J249)+N(Q249))</f>
        <v/>
      </c>
      <c r="S249" s="25">
        <f>IF(OR($C249="",N($G249)=0),"",R249/$G249)</f>
        <v/>
      </c>
      <c r="T249" s="23">
        <f>IF($C249="","",N($G249)-N(R249))</f>
        <v/>
      </c>
      <c r="U249" s="24" t="n"/>
      <c r="V249" s="22" t="n"/>
    </row>
    <row r="250">
      <c r="B250" s="13">
        <f>IF($C250="","",COUNTA($C$9:$C250))</f>
        <v/>
      </c>
      <c r="C250" s="21" t="n"/>
      <c r="D250" s="14" t="n"/>
      <c r="E250" s="14" t="n"/>
      <c r="F250" s="14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3">
        <f>IF($C250="","",N(L250)-N(M250))</f>
        <v/>
      </c>
      <c r="P250" s="24" t="n"/>
      <c r="Q250" s="23">
        <f>IF($C250="","",N(M250)+N(N250))</f>
        <v/>
      </c>
      <c r="R250" s="23">
        <f>IF($C250="","",N(J250)+N(Q250))</f>
        <v/>
      </c>
      <c r="S250" s="25">
        <f>IF(OR($C250="",N($G250)=0),"",R250/$G250)</f>
        <v/>
      </c>
      <c r="T250" s="23">
        <f>IF($C250="","",N($G250)-N(R250))</f>
        <v/>
      </c>
      <c r="U250" s="24" t="n"/>
      <c r="V250" s="22" t="n"/>
    </row>
    <row r="251">
      <c r="B251" s="13">
        <f>IF($C251="","",COUNTA($C$9:$C251))</f>
        <v/>
      </c>
      <c r="C251" s="21" t="n"/>
      <c r="D251" s="14" t="n"/>
      <c r="E251" s="14" t="n"/>
      <c r="F251" s="14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3">
        <f>IF($C251="","",N(L251)-N(M251))</f>
        <v/>
      </c>
      <c r="P251" s="24" t="n"/>
      <c r="Q251" s="23">
        <f>IF($C251="","",N(M251)+N(N251))</f>
        <v/>
      </c>
      <c r="R251" s="23">
        <f>IF($C251="","",N(J251)+N(Q251))</f>
        <v/>
      </c>
      <c r="S251" s="25">
        <f>IF(OR($C251="",N($G251)=0),"",R251/$G251)</f>
        <v/>
      </c>
      <c r="T251" s="23">
        <f>IF($C251="","",N($G251)-N(R251))</f>
        <v/>
      </c>
      <c r="U251" s="24" t="n"/>
      <c r="V251" s="22" t="n"/>
    </row>
    <row r="252">
      <c r="B252" s="13">
        <f>IF($C252="","",COUNTA($C$9:$C252))</f>
        <v/>
      </c>
      <c r="C252" s="21" t="n"/>
      <c r="D252" s="14" t="n"/>
      <c r="E252" s="14" t="n"/>
      <c r="F252" s="14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3">
        <f>IF($C252="","",N(L252)-N(M252))</f>
        <v/>
      </c>
      <c r="P252" s="24" t="n"/>
      <c r="Q252" s="23">
        <f>IF($C252="","",N(M252)+N(N252))</f>
        <v/>
      </c>
      <c r="R252" s="23">
        <f>IF($C252="","",N(J252)+N(Q252))</f>
        <v/>
      </c>
      <c r="S252" s="25">
        <f>IF(OR($C252="",N($G252)=0),"",R252/$G252)</f>
        <v/>
      </c>
      <c r="T252" s="23">
        <f>IF($C252="","",N($G252)-N(R252))</f>
        <v/>
      </c>
      <c r="U252" s="24" t="n"/>
      <c r="V252" s="22" t="n"/>
    </row>
    <row r="253">
      <c r="B253" s="13">
        <f>IF($C253="","",COUNTA($C$9:$C253))</f>
        <v/>
      </c>
      <c r="C253" s="21" t="n"/>
      <c r="D253" s="14" t="n"/>
      <c r="E253" s="14" t="n"/>
      <c r="F253" s="14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3">
        <f>IF($C253="","",N(L253)-N(M253))</f>
        <v/>
      </c>
      <c r="P253" s="24" t="n"/>
      <c r="Q253" s="23">
        <f>IF($C253="","",N(M253)+N(N253))</f>
        <v/>
      </c>
      <c r="R253" s="23">
        <f>IF($C253="","",N(J253)+N(Q253))</f>
        <v/>
      </c>
      <c r="S253" s="25">
        <f>IF(OR($C253="",N($G253)=0),"",R253/$G253)</f>
        <v/>
      </c>
      <c r="T253" s="23">
        <f>IF($C253="","",N($G253)-N(R253))</f>
        <v/>
      </c>
      <c r="U253" s="24" t="n"/>
      <c r="V253" s="22" t="n"/>
    </row>
    <row r="254">
      <c r="B254" s="13">
        <f>IF($C254="","",COUNTA($C$9:$C254))</f>
        <v/>
      </c>
      <c r="C254" s="21" t="n"/>
      <c r="D254" s="14" t="n"/>
      <c r="E254" s="14" t="n"/>
      <c r="F254" s="14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3">
        <f>IF($C254="","",N(L254)-N(M254))</f>
        <v/>
      </c>
      <c r="P254" s="24" t="n"/>
      <c r="Q254" s="23">
        <f>IF($C254="","",N(M254)+N(N254))</f>
        <v/>
      </c>
      <c r="R254" s="23">
        <f>IF($C254="","",N(J254)+N(Q254))</f>
        <v/>
      </c>
      <c r="S254" s="25">
        <f>IF(OR($C254="",N($G254)=0),"",R254/$G254)</f>
        <v/>
      </c>
      <c r="T254" s="23">
        <f>IF($C254="","",N($G254)-N(R254))</f>
        <v/>
      </c>
      <c r="U254" s="24" t="n"/>
      <c r="V254" s="22" t="n"/>
    </row>
    <row r="255">
      <c r="B255" s="13">
        <f>IF($C255="","",COUNTA($C$9:$C255))</f>
        <v/>
      </c>
      <c r="C255" s="21" t="n"/>
      <c r="D255" s="14" t="n"/>
      <c r="E255" s="14" t="n"/>
      <c r="F255" s="14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3">
        <f>IF($C255="","",N(L255)-N(M255))</f>
        <v/>
      </c>
      <c r="P255" s="24" t="n"/>
      <c r="Q255" s="23">
        <f>IF($C255="","",N(M255)+N(N255))</f>
        <v/>
      </c>
      <c r="R255" s="23">
        <f>IF($C255="","",N(J255)+N(Q255))</f>
        <v/>
      </c>
      <c r="S255" s="25">
        <f>IF(OR($C255="",N($G255)=0),"",R255/$G255)</f>
        <v/>
      </c>
      <c r="T255" s="23">
        <f>IF($C255="","",N($G255)-N(R255))</f>
        <v/>
      </c>
      <c r="U255" s="24" t="n"/>
      <c r="V255" s="22" t="n"/>
    </row>
    <row r="256">
      <c r="B256" s="13">
        <f>IF($C256="","",COUNTA($C$9:$C256))</f>
        <v/>
      </c>
      <c r="C256" s="21" t="n"/>
      <c r="D256" s="14" t="n"/>
      <c r="E256" s="14" t="n"/>
      <c r="F256" s="14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3">
        <f>IF($C256="","",N(L256)-N(M256))</f>
        <v/>
      </c>
      <c r="P256" s="24" t="n"/>
      <c r="Q256" s="23">
        <f>IF($C256="","",N(M256)+N(N256))</f>
        <v/>
      </c>
      <c r="R256" s="23">
        <f>IF($C256="","",N(J256)+N(Q256))</f>
        <v/>
      </c>
      <c r="S256" s="25">
        <f>IF(OR($C256="",N($G256)=0),"",R256/$G256)</f>
        <v/>
      </c>
      <c r="T256" s="23">
        <f>IF($C256="","",N($G256)-N(R256))</f>
        <v/>
      </c>
      <c r="U256" s="24" t="n"/>
      <c r="V256" s="22" t="n"/>
    </row>
    <row r="257">
      <c r="B257" s="13">
        <f>IF($C257="","",COUNTA($C$9:$C257))</f>
        <v/>
      </c>
      <c r="C257" s="21" t="n"/>
      <c r="D257" s="14" t="n"/>
      <c r="E257" s="14" t="n"/>
      <c r="F257" s="14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3">
        <f>IF($C257="","",N(L257)-N(M257))</f>
        <v/>
      </c>
      <c r="P257" s="24" t="n"/>
      <c r="Q257" s="23">
        <f>IF($C257="","",N(M257)+N(N257))</f>
        <v/>
      </c>
      <c r="R257" s="23">
        <f>IF($C257="","",N(J257)+N(Q257))</f>
        <v/>
      </c>
      <c r="S257" s="25">
        <f>IF(OR($C257="",N($G257)=0),"",R257/$G257)</f>
        <v/>
      </c>
      <c r="T257" s="23">
        <f>IF($C257="","",N($G257)-N(R257))</f>
        <v/>
      </c>
      <c r="U257" s="24" t="n"/>
      <c r="V257" s="22" t="n"/>
    </row>
    <row r="258">
      <c r="B258" s="13">
        <f>IF($C258="","",COUNTA($C$9:$C258))</f>
        <v/>
      </c>
      <c r="C258" s="21" t="n"/>
      <c r="D258" s="14" t="n"/>
      <c r="E258" s="14" t="n"/>
      <c r="F258" s="14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3">
        <f>IF($C258="","",N(L258)-N(M258))</f>
        <v/>
      </c>
      <c r="P258" s="24" t="n"/>
      <c r="Q258" s="23">
        <f>IF($C258="","",N(M258)+N(N258))</f>
        <v/>
      </c>
      <c r="R258" s="23">
        <f>IF($C258="","",N(J258)+N(Q258))</f>
        <v/>
      </c>
      <c r="S258" s="25">
        <f>IF(OR($C258="",N($G258)=0),"",R258/$G258)</f>
        <v/>
      </c>
      <c r="T258" s="23">
        <f>IF($C258="","",N($G258)-N(R258))</f>
        <v/>
      </c>
      <c r="U258" s="24" t="n"/>
      <c r="V258" s="22" t="n"/>
    </row>
    <row r="259">
      <c r="B259" s="13">
        <f>IF($C259="","",COUNTA($C$9:$C259))</f>
        <v/>
      </c>
      <c r="C259" s="21" t="n"/>
      <c r="D259" s="14" t="n"/>
      <c r="E259" s="14" t="n"/>
      <c r="F259" s="14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3">
        <f>IF($C259="","",N(L259)-N(M259))</f>
        <v/>
      </c>
      <c r="P259" s="24" t="n"/>
      <c r="Q259" s="23">
        <f>IF($C259="","",N(M259)+N(N259))</f>
        <v/>
      </c>
      <c r="R259" s="23">
        <f>IF($C259="","",N(J259)+N(Q259))</f>
        <v/>
      </c>
      <c r="S259" s="25">
        <f>IF(OR($C259="",N($G259)=0),"",R259/$G259)</f>
        <v/>
      </c>
      <c r="T259" s="23">
        <f>IF($C259="","",N($G259)-N(R259))</f>
        <v/>
      </c>
      <c r="U259" s="24" t="n"/>
      <c r="V259" s="22" t="n"/>
    </row>
    <row r="260">
      <c r="B260" s="13">
        <f>IF($C260="","",COUNTA($C$9:$C260))</f>
        <v/>
      </c>
      <c r="C260" s="21" t="n"/>
      <c r="D260" s="14" t="n"/>
      <c r="E260" s="14" t="n"/>
      <c r="F260" s="14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3">
        <f>IF($C260="","",N(L260)-N(M260))</f>
        <v/>
      </c>
      <c r="P260" s="24" t="n"/>
      <c r="Q260" s="23">
        <f>IF($C260="","",N(M260)+N(N260))</f>
        <v/>
      </c>
      <c r="R260" s="23">
        <f>IF($C260="","",N(J260)+N(Q260))</f>
        <v/>
      </c>
      <c r="S260" s="25">
        <f>IF(OR($C260="",N($G260)=0),"",R260/$G260)</f>
        <v/>
      </c>
      <c r="T260" s="23">
        <f>IF($C260="","",N($G260)-N(R260))</f>
        <v/>
      </c>
      <c r="U260" s="24" t="n"/>
      <c r="V260" s="22" t="n"/>
    </row>
    <row r="261">
      <c r="B261" s="13">
        <f>IF($C261="","",COUNTA($C$9:$C261))</f>
        <v/>
      </c>
      <c r="C261" s="21" t="n"/>
      <c r="D261" s="14" t="n"/>
      <c r="E261" s="14" t="n"/>
      <c r="F261" s="14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3">
        <f>IF($C261="","",N(L261)-N(M261))</f>
        <v/>
      </c>
      <c r="P261" s="24" t="n"/>
      <c r="Q261" s="23">
        <f>IF($C261="","",N(M261)+N(N261))</f>
        <v/>
      </c>
      <c r="R261" s="23">
        <f>IF($C261="","",N(J261)+N(Q261))</f>
        <v/>
      </c>
      <c r="S261" s="25">
        <f>IF(OR($C261="",N($G261)=0),"",R261/$G261)</f>
        <v/>
      </c>
      <c r="T261" s="23">
        <f>IF($C261="","",N($G261)-N(R261))</f>
        <v/>
      </c>
      <c r="U261" s="24" t="n"/>
      <c r="V261" s="22" t="n"/>
    </row>
    <row r="262">
      <c r="B262" s="13">
        <f>IF($C262="","",COUNTA($C$9:$C262))</f>
        <v/>
      </c>
      <c r="C262" s="21" t="n"/>
      <c r="D262" s="14" t="n"/>
      <c r="E262" s="14" t="n"/>
      <c r="F262" s="14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3">
        <f>IF($C262="","",N(L262)-N(M262))</f>
        <v/>
      </c>
      <c r="P262" s="24" t="n"/>
      <c r="Q262" s="23">
        <f>IF($C262="","",N(M262)+N(N262))</f>
        <v/>
      </c>
      <c r="R262" s="23">
        <f>IF($C262="","",N(J262)+N(Q262))</f>
        <v/>
      </c>
      <c r="S262" s="25">
        <f>IF(OR($C262="",N($G262)=0),"",R262/$G262)</f>
        <v/>
      </c>
      <c r="T262" s="23">
        <f>IF($C262="","",N($G262)-N(R262))</f>
        <v/>
      </c>
      <c r="U262" s="24" t="n"/>
      <c r="V262" s="22" t="n"/>
    </row>
    <row r="263">
      <c r="B263" s="13">
        <f>IF($C263="","",COUNTA($C$9:$C263))</f>
        <v/>
      </c>
      <c r="C263" s="21" t="n"/>
      <c r="D263" s="14" t="n"/>
      <c r="E263" s="14" t="n"/>
      <c r="F263" s="14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3">
        <f>IF($C263="","",N(L263)-N(M263))</f>
        <v/>
      </c>
      <c r="P263" s="24" t="n"/>
      <c r="Q263" s="23">
        <f>IF($C263="","",N(M263)+N(N263))</f>
        <v/>
      </c>
      <c r="R263" s="23">
        <f>IF($C263="","",N(J263)+N(Q263))</f>
        <v/>
      </c>
      <c r="S263" s="25">
        <f>IF(OR($C263="",N($G263)=0),"",R263/$G263)</f>
        <v/>
      </c>
      <c r="T263" s="23">
        <f>IF($C263="","",N($G263)-N(R263))</f>
        <v/>
      </c>
      <c r="U263" s="24" t="n"/>
      <c r="V263" s="22" t="n"/>
    </row>
    <row r="264">
      <c r="B264" s="13">
        <f>IF($C264="","",COUNTA($C$9:$C264))</f>
        <v/>
      </c>
      <c r="C264" s="21" t="n"/>
      <c r="D264" s="14" t="n"/>
      <c r="E264" s="14" t="n"/>
      <c r="F264" s="14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3">
        <f>IF($C264="","",N(L264)-N(M264))</f>
        <v/>
      </c>
      <c r="P264" s="24" t="n"/>
      <c r="Q264" s="23">
        <f>IF($C264="","",N(M264)+N(N264))</f>
        <v/>
      </c>
      <c r="R264" s="23">
        <f>IF($C264="","",N(J264)+N(Q264))</f>
        <v/>
      </c>
      <c r="S264" s="25">
        <f>IF(OR($C264="",N($G264)=0),"",R264/$G264)</f>
        <v/>
      </c>
      <c r="T264" s="23">
        <f>IF($C264="","",N($G264)-N(R264))</f>
        <v/>
      </c>
      <c r="U264" s="24" t="n"/>
      <c r="V264" s="22" t="n"/>
    </row>
    <row r="265">
      <c r="B265" s="13">
        <f>IF($C265="","",COUNTA($C$9:$C265))</f>
        <v/>
      </c>
      <c r="C265" s="21" t="n"/>
      <c r="D265" s="14" t="n"/>
      <c r="E265" s="14" t="n"/>
      <c r="F265" s="14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3">
        <f>IF($C265="","",N(L265)-N(M265))</f>
        <v/>
      </c>
      <c r="P265" s="24" t="n"/>
      <c r="Q265" s="23">
        <f>IF($C265="","",N(M265)+N(N265))</f>
        <v/>
      </c>
      <c r="R265" s="23">
        <f>IF($C265="","",N(J265)+N(Q265))</f>
        <v/>
      </c>
      <c r="S265" s="25">
        <f>IF(OR($C265="",N($G265)=0),"",R265/$G265)</f>
        <v/>
      </c>
      <c r="T265" s="23">
        <f>IF($C265="","",N($G265)-N(R265))</f>
        <v/>
      </c>
      <c r="U265" s="24" t="n"/>
      <c r="V265" s="22" t="n"/>
    </row>
    <row r="266">
      <c r="B266" s="13">
        <f>IF($C266="","",COUNTA($C$9:$C266))</f>
        <v/>
      </c>
      <c r="C266" s="21" t="n"/>
      <c r="D266" s="14" t="n"/>
      <c r="E266" s="14" t="n"/>
      <c r="F266" s="14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3">
        <f>IF($C266="","",N(L266)-N(M266))</f>
        <v/>
      </c>
      <c r="P266" s="24" t="n"/>
      <c r="Q266" s="23">
        <f>IF($C266="","",N(M266)+N(N266))</f>
        <v/>
      </c>
      <c r="R266" s="23">
        <f>IF($C266="","",N(J266)+N(Q266))</f>
        <v/>
      </c>
      <c r="S266" s="25">
        <f>IF(OR($C266="",N($G266)=0),"",R266/$G266)</f>
        <v/>
      </c>
      <c r="T266" s="23">
        <f>IF($C266="","",N($G266)-N(R266))</f>
        <v/>
      </c>
      <c r="U266" s="24" t="n"/>
      <c r="V266" s="22" t="n"/>
    </row>
    <row r="267">
      <c r="B267" s="13">
        <f>IF($C267="","",COUNTA($C$9:$C267))</f>
        <v/>
      </c>
      <c r="C267" s="21" t="n"/>
      <c r="D267" s="14" t="n"/>
      <c r="E267" s="14" t="n"/>
      <c r="F267" s="14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3">
        <f>IF($C267="","",N(L267)-N(M267))</f>
        <v/>
      </c>
      <c r="P267" s="24" t="n"/>
      <c r="Q267" s="23">
        <f>IF($C267="","",N(M267)+N(N267))</f>
        <v/>
      </c>
      <c r="R267" s="23">
        <f>IF($C267="","",N(J267)+N(Q267))</f>
        <v/>
      </c>
      <c r="S267" s="25">
        <f>IF(OR($C267="",N($G267)=0),"",R267/$G267)</f>
        <v/>
      </c>
      <c r="T267" s="23">
        <f>IF($C267="","",N($G267)-N(R267))</f>
        <v/>
      </c>
      <c r="U267" s="24" t="n"/>
      <c r="V267" s="22" t="n"/>
    </row>
    <row r="268">
      <c r="B268" s="13">
        <f>IF($C268="","",COUNTA($C$9:$C268))</f>
        <v/>
      </c>
      <c r="C268" s="21" t="n"/>
      <c r="D268" s="14" t="n"/>
      <c r="E268" s="14" t="n"/>
      <c r="F268" s="14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3">
        <f>IF($C268="","",N(L268)-N(M268))</f>
        <v/>
      </c>
      <c r="P268" s="24" t="n"/>
      <c r="Q268" s="23">
        <f>IF($C268="","",N(M268)+N(N268))</f>
        <v/>
      </c>
      <c r="R268" s="23">
        <f>IF($C268="","",N(J268)+N(Q268))</f>
        <v/>
      </c>
      <c r="S268" s="25">
        <f>IF(OR($C268="",N($G268)=0),"",R268/$G268)</f>
        <v/>
      </c>
      <c r="T268" s="23">
        <f>IF($C268="","",N($G268)-N(R268))</f>
        <v/>
      </c>
      <c r="U268" s="24" t="n"/>
      <c r="V268" s="22" t="n"/>
    </row>
    <row r="269">
      <c r="B269" s="13">
        <f>IF($C269="","",COUNTA($C$9:$C269))</f>
        <v/>
      </c>
      <c r="C269" s="21" t="n"/>
      <c r="D269" s="14" t="n"/>
      <c r="E269" s="14" t="n"/>
      <c r="F269" s="14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3">
        <f>IF($C269="","",N(L269)-N(M269))</f>
        <v/>
      </c>
      <c r="P269" s="24" t="n"/>
      <c r="Q269" s="23">
        <f>IF($C269="","",N(M269)+N(N269))</f>
        <v/>
      </c>
      <c r="R269" s="23">
        <f>IF($C269="","",N(J269)+N(Q269))</f>
        <v/>
      </c>
      <c r="S269" s="25">
        <f>IF(OR($C269="",N($G269)=0),"",R269/$G269)</f>
        <v/>
      </c>
      <c r="T269" s="23">
        <f>IF($C269="","",N($G269)-N(R269))</f>
        <v/>
      </c>
      <c r="U269" s="24" t="n"/>
      <c r="V269" s="22" t="n"/>
    </row>
    <row r="270">
      <c r="B270" s="13">
        <f>IF($C270="","",COUNTA($C$9:$C270))</f>
        <v/>
      </c>
      <c r="C270" s="21" t="n"/>
      <c r="D270" s="14" t="n"/>
      <c r="E270" s="14" t="n"/>
      <c r="F270" s="14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3">
        <f>IF($C270="","",N(L270)-N(M270))</f>
        <v/>
      </c>
      <c r="P270" s="24" t="n"/>
      <c r="Q270" s="23">
        <f>IF($C270="","",N(M270)+N(N270))</f>
        <v/>
      </c>
      <c r="R270" s="23">
        <f>IF($C270="","",N(J270)+N(Q270))</f>
        <v/>
      </c>
      <c r="S270" s="25">
        <f>IF(OR($C270="",N($G270)=0),"",R270/$G270)</f>
        <v/>
      </c>
      <c r="T270" s="23">
        <f>IF($C270="","",N($G270)-N(R270))</f>
        <v/>
      </c>
      <c r="U270" s="24" t="n"/>
      <c r="V270" s="22" t="n"/>
    </row>
    <row r="271">
      <c r="B271" s="13">
        <f>IF($C271="","",COUNTA($C$9:$C271))</f>
        <v/>
      </c>
      <c r="C271" s="21" t="n"/>
      <c r="D271" s="14" t="n"/>
      <c r="E271" s="14" t="n"/>
      <c r="F271" s="14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3">
        <f>IF($C271="","",N(L271)-N(M271))</f>
        <v/>
      </c>
      <c r="P271" s="24" t="n"/>
      <c r="Q271" s="23">
        <f>IF($C271="","",N(M271)+N(N271))</f>
        <v/>
      </c>
      <c r="R271" s="23">
        <f>IF($C271="","",N(J271)+N(Q271))</f>
        <v/>
      </c>
      <c r="S271" s="25">
        <f>IF(OR($C271="",N($G271)=0),"",R271/$G271)</f>
        <v/>
      </c>
      <c r="T271" s="23">
        <f>IF($C271="","",N($G271)-N(R271))</f>
        <v/>
      </c>
      <c r="U271" s="24" t="n"/>
      <c r="V271" s="22" t="n"/>
    </row>
    <row r="272">
      <c r="B272" s="13">
        <f>IF($C272="","",COUNTA($C$9:$C272))</f>
        <v/>
      </c>
      <c r="C272" s="21" t="n"/>
      <c r="D272" s="14" t="n"/>
      <c r="E272" s="14" t="n"/>
      <c r="F272" s="14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3">
        <f>IF($C272="","",N(L272)-N(M272))</f>
        <v/>
      </c>
      <c r="P272" s="24" t="n"/>
      <c r="Q272" s="23">
        <f>IF($C272="","",N(M272)+N(N272))</f>
        <v/>
      </c>
      <c r="R272" s="23">
        <f>IF($C272="","",N(J272)+N(Q272))</f>
        <v/>
      </c>
      <c r="S272" s="25">
        <f>IF(OR($C272="",N($G272)=0),"",R272/$G272)</f>
        <v/>
      </c>
      <c r="T272" s="23">
        <f>IF($C272="","",N($G272)-N(R272))</f>
        <v/>
      </c>
      <c r="U272" s="24" t="n"/>
      <c r="V272" s="22" t="n"/>
    </row>
    <row r="273">
      <c r="B273" s="13">
        <f>IF($C273="","",COUNTA($C$9:$C273))</f>
        <v/>
      </c>
      <c r="C273" s="21" t="n"/>
      <c r="D273" s="14" t="n"/>
      <c r="E273" s="14" t="n"/>
      <c r="F273" s="14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3">
        <f>IF($C273="","",N(L273)-N(M273))</f>
        <v/>
      </c>
      <c r="P273" s="24" t="n"/>
      <c r="Q273" s="23">
        <f>IF($C273="","",N(M273)+N(N273))</f>
        <v/>
      </c>
      <c r="R273" s="23">
        <f>IF($C273="","",N(J273)+N(Q273))</f>
        <v/>
      </c>
      <c r="S273" s="25">
        <f>IF(OR($C273="",N($G273)=0),"",R273/$G273)</f>
        <v/>
      </c>
      <c r="T273" s="23">
        <f>IF($C273="","",N($G273)-N(R273))</f>
        <v/>
      </c>
      <c r="U273" s="24" t="n"/>
      <c r="V273" s="22" t="n"/>
    </row>
    <row r="274">
      <c r="B274" s="13">
        <f>IF($C274="","",COUNTA($C$9:$C274))</f>
        <v/>
      </c>
      <c r="C274" s="21" t="n"/>
      <c r="D274" s="14" t="n"/>
      <c r="E274" s="14" t="n"/>
      <c r="F274" s="14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3">
        <f>IF($C274="","",N(L274)-N(M274))</f>
        <v/>
      </c>
      <c r="P274" s="24" t="n"/>
      <c r="Q274" s="23">
        <f>IF($C274="","",N(M274)+N(N274))</f>
        <v/>
      </c>
      <c r="R274" s="23">
        <f>IF($C274="","",N(J274)+N(Q274))</f>
        <v/>
      </c>
      <c r="S274" s="25">
        <f>IF(OR($C274="",N($G274)=0),"",R274/$G274)</f>
        <v/>
      </c>
      <c r="T274" s="23">
        <f>IF($C274="","",N($G274)-N(R274))</f>
        <v/>
      </c>
      <c r="U274" s="24" t="n"/>
      <c r="V274" s="22" t="n"/>
    </row>
    <row r="275">
      <c r="B275" s="13">
        <f>IF($C275="","",COUNTA($C$9:$C275))</f>
        <v/>
      </c>
      <c r="C275" s="21" t="n"/>
      <c r="D275" s="14" t="n"/>
      <c r="E275" s="14" t="n"/>
      <c r="F275" s="14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3">
        <f>IF($C275="","",N(L275)-N(M275))</f>
        <v/>
      </c>
      <c r="P275" s="24" t="n"/>
      <c r="Q275" s="23">
        <f>IF($C275="","",N(M275)+N(N275))</f>
        <v/>
      </c>
      <c r="R275" s="23">
        <f>IF($C275="","",N(J275)+N(Q275))</f>
        <v/>
      </c>
      <c r="S275" s="25">
        <f>IF(OR($C275="",N($G275)=0),"",R275/$G275)</f>
        <v/>
      </c>
      <c r="T275" s="23">
        <f>IF($C275="","",N($G275)-N(R275))</f>
        <v/>
      </c>
      <c r="U275" s="24" t="n"/>
      <c r="V275" s="22" t="n"/>
    </row>
    <row r="276">
      <c r="B276" s="13">
        <f>IF($C276="","",COUNTA($C$9:$C276))</f>
        <v/>
      </c>
      <c r="C276" s="21" t="n"/>
      <c r="D276" s="14" t="n"/>
      <c r="E276" s="14" t="n"/>
      <c r="F276" s="14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3">
        <f>IF($C276="","",N(L276)-N(M276))</f>
        <v/>
      </c>
      <c r="P276" s="24" t="n"/>
      <c r="Q276" s="23">
        <f>IF($C276="","",N(M276)+N(N276))</f>
        <v/>
      </c>
      <c r="R276" s="23">
        <f>IF($C276="","",N(J276)+N(Q276))</f>
        <v/>
      </c>
      <c r="S276" s="25">
        <f>IF(OR($C276="",N($G276)=0),"",R276/$G276)</f>
        <v/>
      </c>
      <c r="T276" s="23">
        <f>IF($C276="","",N($G276)-N(R276))</f>
        <v/>
      </c>
      <c r="U276" s="24" t="n"/>
      <c r="V276" s="22" t="n"/>
    </row>
    <row r="277">
      <c r="B277" s="13">
        <f>IF($C277="","",COUNTA($C$9:$C277))</f>
        <v/>
      </c>
      <c r="C277" s="21" t="n"/>
      <c r="D277" s="14" t="n"/>
      <c r="E277" s="14" t="n"/>
      <c r="F277" s="14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3">
        <f>IF($C277="","",N(L277)-N(M277))</f>
        <v/>
      </c>
      <c r="P277" s="24" t="n"/>
      <c r="Q277" s="23">
        <f>IF($C277="","",N(M277)+N(N277))</f>
        <v/>
      </c>
      <c r="R277" s="23">
        <f>IF($C277="","",N(J277)+N(Q277))</f>
        <v/>
      </c>
      <c r="S277" s="25">
        <f>IF(OR($C277="",N($G277)=0),"",R277/$G277)</f>
        <v/>
      </c>
      <c r="T277" s="23">
        <f>IF($C277="","",N($G277)-N(R277))</f>
        <v/>
      </c>
      <c r="U277" s="24" t="n"/>
      <c r="V277" s="22" t="n"/>
    </row>
    <row r="278">
      <c r="B278" s="13">
        <f>IF($C278="","",COUNTA($C$9:$C278))</f>
        <v/>
      </c>
      <c r="C278" s="21" t="n"/>
      <c r="D278" s="14" t="n"/>
      <c r="E278" s="14" t="n"/>
      <c r="F278" s="14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3">
        <f>IF($C278="","",N(L278)-N(M278))</f>
        <v/>
      </c>
      <c r="P278" s="24" t="n"/>
      <c r="Q278" s="23">
        <f>IF($C278="","",N(M278)+N(N278))</f>
        <v/>
      </c>
      <c r="R278" s="23">
        <f>IF($C278="","",N(J278)+N(Q278))</f>
        <v/>
      </c>
      <c r="S278" s="25">
        <f>IF(OR($C278="",N($G278)=0),"",R278/$G278)</f>
        <v/>
      </c>
      <c r="T278" s="23">
        <f>IF($C278="","",N($G278)-N(R278))</f>
        <v/>
      </c>
      <c r="U278" s="24" t="n"/>
      <c r="V278" s="22" t="n"/>
    </row>
    <row r="279">
      <c r="B279" s="13">
        <f>IF($C279="","",COUNTA($C$9:$C279))</f>
        <v/>
      </c>
      <c r="C279" s="21" t="n"/>
      <c r="D279" s="14" t="n"/>
      <c r="E279" s="14" t="n"/>
      <c r="F279" s="14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3">
        <f>IF($C279="","",N(L279)-N(M279))</f>
        <v/>
      </c>
      <c r="P279" s="24" t="n"/>
      <c r="Q279" s="23">
        <f>IF($C279="","",N(M279)+N(N279))</f>
        <v/>
      </c>
      <c r="R279" s="23">
        <f>IF($C279="","",N(J279)+N(Q279))</f>
        <v/>
      </c>
      <c r="S279" s="25">
        <f>IF(OR($C279="",N($G279)=0),"",R279/$G279)</f>
        <v/>
      </c>
      <c r="T279" s="23">
        <f>IF($C279="","",N($G279)-N(R279))</f>
        <v/>
      </c>
      <c r="U279" s="24" t="n"/>
      <c r="V279" s="22" t="n"/>
    </row>
    <row r="280">
      <c r="B280" s="13">
        <f>IF($C280="","",COUNTA($C$9:$C280))</f>
        <v/>
      </c>
      <c r="C280" s="21" t="n"/>
      <c r="D280" s="14" t="n"/>
      <c r="E280" s="14" t="n"/>
      <c r="F280" s="14" t="n"/>
      <c r="G280" s="22" t="n"/>
      <c r="H280" s="22" t="n"/>
      <c r="I280" s="22" t="n"/>
      <c r="J280" s="22" t="n"/>
      <c r="K280" s="22" t="n"/>
      <c r="L280" s="22" t="n"/>
      <c r="M280" s="22" t="n"/>
      <c r="N280" s="22" t="n"/>
      <c r="O280" s="23">
        <f>IF($C280="","",N(L280)-N(M280))</f>
        <v/>
      </c>
      <c r="P280" s="24" t="n"/>
      <c r="Q280" s="23">
        <f>IF($C280="","",N(M280)+N(N280))</f>
        <v/>
      </c>
      <c r="R280" s="23">
        <f>IF($C280="","",N(J280)+N(Q280))</f>
        <v/>
      </c>
      <c r="S280" s="25">
        <f>IF(OR($C280="",N($G280)=0),"",R280/$G280)</f>
        <v/>
      </c>
      <c r="T280" s="23">
        <f>IF($C280="","",N($G280)-N(R280))</f>
        <v/>
      </c>
      <c r="U280" s="24" t="n"/>
      <c r="V280" s="22" t="n"/>
    </row>
    <row r="281">
      <c r="B281" s="13">
        <f>IF($C281="","",COUNTA($C$9:$C281))</f>
        <v/>
      </c>
      <c r="C281" s="21" t="n"/>
      <c r="D281" s="14" t="n"/>
      <c r="E281" s="14" t="n"/>
      <c r="F281" s="14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3">
        <f>IF($C281="","",N(L281)-N(M281))</f>
        <v/>
      </c>
      <c r="P281" s="24" t="n"/>
      <c r="Q281" s="23">
        <f>IF($C281="","",N(M281)+N(N281))</f>
        <v/>
      </c>
      <c r="R281" s="23">
        <f>IF($C281="","",N(J281)+N(Q281))</f>
        <v/>
      </c>
      <c r="S281" s="25">
        <f>IF(OR($C281="",N($G281)=0),"",R281/$G281)</f>
        <v/>
      </c>
      <c r="T281" s="23">
        <f>IF($C281="","",N($G281)-N(R281))</f>
        <v/>
      </c>
      <c r="U281" s="24" t="n"/>
      <c r="V281" s="22" t="n"/>
    </row>
    <row r="282">
      <c r="B282" s="13">
        <f>IF($C282="","",COUNTA($C$9:$C282))</f>
        <v/>
      </c>
      <c r="C282" s="21" t="n"/>
      <c r="D282" s="14" t="n"/>
      <c r="E282" s="14" t="n"/>
      <c r="F282" s="14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3">
        <f>IF($C282="","",N(L282)-N(M282))</f>
        <v/>
      </c>
      <c r="P282" s="24" t="n"/>
      <c r="Q282" s="23">
        <f>IF($C282="","",N(M282)+N(N282))</f>
        <v/>
      </c>
      <c r="R282" s="23">
        <f>IF($C282="","",N(J282)+N(Q282))</f>
        <v/>
      </c>
      <c r="S282" s="25">
        <f>IF(OR($C282="",N($G282)=0),"",R282/$G282)</f>
        <v/>
      </c>
      <c r="T282" s="23">
        <f>IF($C282="","",N($G282)-N(R282))</f>
        <v/>
      </c>
      <c r="U282" s="24" t="n"/>
      <c r="V282" s="22" t="n"/>
    </row>
    <row r="283">
      <c r="B283" s="13">
        <f>IF($C283="","",COUNTA($C$9:$C283))</f>
        <v/>
      </c>
      <c r="C283" s="21" t="n"/>
      <c r="D283" s="14" t="n"/>
      <c r="E283" s="14" t="n"/>
      <c r="F283" s="14" t="n"/>
      <c r="G283" s="22" t="n"/>
      <c r="H283" s="22" t="n"/>
      <c r="I283" s="22" t="n"/>
      <c r="J283" s="22" t="n"/>
      <c r="K283" s="22" t="n"/>
      <c r="L283" s="22" t="n"/>
      <c r="M283" s="22" t="n"/>
      <c r="N283" s="22" t="n"/>
      <c r="O283" s="23">
        <f>IF($C283="","",N(L283)-N(M283))</f>
        <v/>
      </c>
      <c r="P283" s="24" t="n"/>
      <c r="Q283" s="23">
        <f>IF($C283="","",N(M283)+N(N283))</f>
        <v/>
      </c>
      <c r="R283" s="23">
        <f>IF($C283="","",N(J283)+N(Q283))</f>
        <v/>
      </c>
      <c r="S283" s="25">
        <f>IF(OR($C283="",N($G283)=0),"",R283/$G283)</f>
        <v/>
      </c>
      <c r="T283" s="23">
        <f>IF($C283="","",N($G283)-N(R283))</f>
        <v/>
      </c>
      <c r="U283" s="24" t="n"/>
      <c r="V283" s="22" t="n"/>
    </row>
    <row r="284">
      <c r="B284" s="13">
        <f>IF($C284="","",COUNTA($C$9:$C284))</f>
        <v/>
      </c>
      <c r="C284" s="21" t="n"/>
      <c r="D284" s="14" t="n"/>
      <c r="E284" s="14" t="n"/>
      <c r="F284" s="14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3">
        <f>IF($C284="","",N(L284)-N(M284))</f>
        <v/>
      </c>
      <c r="P284" s="24" t="n"/>
      <c r="Q284" s="23">
        <f>IF($C284="","",N(M284)+N(N284))</f>
        <v/>
      </c>
      <c r="R284" s="23">
        <f>IF($C284="","",N(J284)+N(Q284))</f>
        <v/>
      </c>
      <c r="S284" s="25">
        <f>IF(OR($C284="",N($G284)=0),"",R284/$G284)</f>
        <v/>
      </c>
      <c r="T284" s="23">
        <f>IF($C284="","",N($G284)-N(R284))</f>
        <v/>
      </c>
      <c r="U284" s="24" t="n"/>
      <c r="V284" s="22" t="n"/>
    </row>
    <row r="285">
      <c r="B285" s="13">
        <f>IF($C285="","",COUNTA($C$9:$C285))</f>
        <v/>
      </c>
      <c r="C285" s="21" t="n"/>
      <c r="D285" s="14" t="n"/>
      <c r="E285" s="14" t="n"/>
      <c r="F285" s="14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3">
        <f>IF($C285="","",N(L285)-N(M285))</f>
        <v/>
      </c>
      <c r="P285" s="24" t="n"/>
      <c r="Q285" s="23">
        <f>IF($C285="","",N(M285)+N(N285))</f>
        <v/>
      </c>
      <c r="R285" s="23">
        <f>IF($C285="","",N(J285)+N(Q285))</f>
        <v/>
      </c>
      <c r="S285" s="25">
        <f>IF(OR($C285="",N($G285)=0),"",R285/$G285)</f>
        <v/>
      </c>
      <c r="T285" s="23">
        <f>IF($C285="","",N($G285)-N(R285))</f>
        <v/>
      </c>
      <c r="U285" s="24" t="n"/>
      <c r="V285" s="22" t="n"/>
    </row>
    <row r="286">
      <c r="B286" s="13">
        <f>IF($C286="","",COUNTA($C$9:$C286))</f>
        <v/>
      </c>
      <c r="C286" s="21" t="n"/>
      <c r="D286" s="14" t="n"/>
      <c r="E286" s="14" t="n"/>
      <c r="F286" s="14" t="n"/>
      <c r="G286" s="22" t="n"/>
      <c r="H286" s="22" t="n"/>
      <c r="I286" s="22" t="n"/>
      <c r="J286" s="22" t="n"/>
      <c r="K286" s="22" t="n"/>
      <c r="L286" s="22" t="n"/>
      <c r="M286" s="22" t="n"/>
      <c r="N286" s="22" t="n"/>
      <c r="O286" s="23">
        <f>IF($C286="","",N(L286)-N(M286))</f>
        <v/>
      </c>
      <c r="P286" s="24" t="n"/>
      <c r="Q286" s="23">
        <f>IF($C286="","",N(M286)+N(N286))</f>
        <v/>
      </c>
      <c r="R286" s="23">
        <f>IF($C286="","",N(J286)+N(Q286))</f>
        <v/>
      </c>
      <c r="S286" s="25">
        <f>IF(OR($C286="",N($G286)=0),"",R286/$G286)</f>
        <v/>
      </c>
      <c r="T286" s="23">
        <f>IF($C286="","",N($G286)-N(R286))</f>
        <v/>
      </c>
      <c r="U286" s="24" t="n"/>
      <c r="V286" s="22" t="n"/>
    </row>
    <row r="287">
      <c r="B287" s="13">
        <f>IF($C287="","",COUNTA($C$9:$C287))</f>
        <v/>
      </c>
      <c r="C287" s="21" t="n"/>
      <c r="D287" s="14" t="n"/>
      <c r="E287" s="14" t="n"/>
      <c r="F287" s="14" t="n"/>
      <c r="G287" s="22" t="n"/>
      <c r="H287" s="22" t="n"/>
      <c r="I287" s="22" t="n"/>
      <c r="J287" s="22" t="n"/>
      <c r="K287" s="22" t="n"/>
      <c r="L287" s="22" t="n"/>
      <c r="M287" s="22" t="n"/>
      <c r="N287" s="22" t="n"/>
      <c r="O287" s="23">
        <f>IF($C287="","",N(L287)-N(M287))</f>
        <v/>
      </c>
      <c r="P287" s="24" t="n"/>
      <c r="Q287" s="23">
        <f>IF($C287="","",N(M287)+N(N287))</f>
        <v/>
      </c>
      <c r="R287" s="23">
        <f>IF($C287="","",N(J287)+N(Q287))</f>
        <v/>
      </c>
      <c r="S287" s="25">
        <f>IF(OR($C287="",N($G287)=0),"",R287/$G287)</f>
        <v/>
      </c>
      <c r="T287" s="23">
        <f>IF($C287="","",N($G287)-N(R287))</f>
        <v/>
      </c>
      <c r="U287" s="24" t="n"/>
      <c r="V287" s="22" t="n"/>
    </row>
    <row r="288">
      <c r="B288" s="13">
        <f>IF($C288="","",COUNTA($C$9:$C288))</f>
        <v/>
      </c>
      <c r="C288" s="21" t="n"/>
      <c r="D288" s="14" t="n"/>
      <c r="E288" s="14" t="n"/>
      <c r="F288" s="14" t="n"/>
      <c r="G288" s="22" t="n"/>
      <c r="H288" s="22" t="n"/>
      <c r="I288" s="22" t="n"/>
      <c r="J288" s="22" t="n"/>
      <c r="K288" s="22" t="n"/>
      <c r="L288" s="22" t="n"/>
      <c r="M288" s="22" t="n"/>
      <c r="N288" s="22" t="n"/>
      <c r="O288" s="23">
        <f>IF($C288="","",N(L288)-N(M288))</f>
        <v/>
      </c>
      <c r="P288" s="24" t="n"/>
      <c r="Q288" s="23">
        <f>IF($C288="","",N(M288)+N(N288))</f>
        <v/>
      </c>
      <c r="R288" s="23">
        <f>IF($C288="","",N(J288)+N(Q288))</f>
        <v/>
      </c>
      <c r="S288" s="25">
        <f>IF(OR($C288="",N($G288)=0),"",R288/$G288)</f>
        <v/>
      </c>
      <c r="T288" s="23">
        <f>IF($C288="","",N($G288)-N(R288))</f>
        <v/>
      </c>
      <c r="U288" s="24" t="n"/>
      <c r="V288" s="22" t="n"/>
    </row>
    <row r="289">
      <c r="B289" s="13">
        <f>IF($C289="","",COUNTA($C$9:$C289))</f>
        <v/>
      </c>
      <c r="C289" s="21" t="n"/>
      <c r="D289" s="14" t="n"/>
      <c r="E289" s="14" t="n"/>
      <c r="F289" s="14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3">
        <f>IF($C289="","",N(L289)-N(M289))</f>
        <v/>
      </c>
      <c r="P289" s="24" t="n"/>
      <c r="Q289" s="23">
        <f>IF($C289="","",N(M289)+N(N289))</f>
        <v/>
      </c>
      <c r="R289" s="23">
        <f>IF($C289="","",N(J289)+N(Q289))</f>
        <v/>
      </c>
      <c r="S289" s="25">
        <f>IF(OR($C289="",N($G289)=0),"",R289/$G289)</f>
        <v/>
      </c>
      <c r="T289" s="23">
        <f>IF($C289="","",N($G289)-N(R289))</f>
        <v/>
      </c>
      <c r="U289" s="24" t="n"/>
      <c r="V289" s="22" t="n"/>
    </row>
    <row r="290">
      <c r="B290" s="13">
        <f>IF($C290="","",COUNTA($C$9:$C290))</f>
        <v/>
      </c>
      <c r="C290" s="21" t="n"/>
      <c r="D290" s="14" t="n"/>
      <c r="E290" s="14" t="n"/>
      <c r="F290" s="14" t="n"/>
      <c r="G290" s="22" t="n"/>
      <c r="H290" s="22" t="n"/>
      <c r="I290" s="22" t="n"/>
      <c r="J290" s="22" t="n"/>
      <c r="K290" s="22" t="n"/>
      <c r="L290" s="22" t="n"/>
      <c r="M290" s="22" t="n"/>
      <c r="N290" s="22" t="n"/>
      <c r="O290" s="23">
        <f>IF($C290="","",N(L290)-N(M290))</f>
        <v/>
      </c>
      <c r="P290" s="24" t="n"/>
      <c r="Q290" s="23">
        <f>IF($C290="","",N(M290)+N(N290))</f>
        <v/>
      </c>
      <c r="R290" s="23">
        <f>IF($C290="","",N(J290)+N(Q290))</f>
        <v/>
      </c>
      <c r="S290" s="25">
        <f>IF(OR($C290="",N($G290)=0),"",R290/$G290)</f>
        <v/>
      </c>
      <c r="T290" s="23">
        <f>IF($C290="","",N($G290)-N(R290))</f>
        <v/>
      </c>
      <c r="U290" s="24" t="n"/>
      <c r="V290" s="22" t="n"/>
    </row>
    <row r="291">
      <c r="B291" s="13">
        <f>IF($C291="","",COUNTA($C$9:$C291))</f>
        <v/>
      </c>
      <c r="C291" s="21" t="n"/>
      <c r="D291" s="14" t="n"/>
      <c r="E291" s="14" t="n"/>
      <c r="F291" s="14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3">
        <f>IF($C291="","",N(L291)-N(M291))</f>
        <v/>
      </c>
      <c r="P291" s="24" t="n"/>
      <c r="Q291" s="23">
        <f>IF($C291="","",N(M291)+N(N291))</f>
        <v/>
      </c>
      <c r="R291" s="23">
        <f>IF($C291="","",N(J291)+N(Q291))</f>
        <v/>
      </c>
      <c r="S291" s="25">
        <f>IF(OR($C291="",N($G291)=0),"",R291/$G291)</f>
        <v/>
      </c>
      <c r="T291" s="23">
        <f>IF($C291="","",N($G291)-N(R291))</f>
        <v/>
      </c>
      <c r="U291" s="24" t="n"/>
      <c r="V291" s="22" t="n"/>
    </row>
    <row r="292">
      <c r="B292" s="13">
        <f>IF($C292="","",COUNTA($C$9:$C292))</f>
        <v/>
      </c>
      <c r="C292" s="21" t="n"/>
      <c r="D292" s="14" t="n"/>
      <c r="E292" s="14" t="n"/>
      <c r="F292" s="14" t="n"/>
      <c r="G292" s="22" t="n"/>
      <c r="H292" s="22" t="n"/>
      <c r="I292" s="22" t="n"/>
      <c r="J292" s="22" t="n"/>
      <c r="K292" s="22" t="n"/>
      <c r="L292" s="22" t="n"/>
      <c r="M292" s="22" t="n"/>
      <c r="N292" s="22" t="n"/>
      <c r="O292" s="23">
        <f>IF($C292="","",N(L292)-N(M292))</f>
        <v/>
      </c>
      <c r="P292" s="24" t="n"/>
      <c r="Q292" s="23">
        <f>IF($C292="","",N(M292)+N(N292))</f>
        <v/>
      </c>
      <c r="R292" s="23">
        <f>IF($C292="","",N(J292)+N(Q292))</f>
        <v/>
      </c>
      <c r="S292" s="25">
        <f>IF(OR($C292="",N($G292)=0),"",R292/$G292)</f>
        <v/>
      </c>
      <c r="T292" s="23">
        <f>IF($C292="","",N($G292)-N(R292))</f>
        <v/>
      </c>
      <c r="U292" s="24" t="n"/>
      <c r="V292" s="22" t="n"/>
    </row>
    <row r="293">
      <c r="B293" s="13">
        <f>IF($C293="","",COUNTA($C$9:$C293))</f>
        <v/>
      </c>
      <c r="C293" s="21" t="n"/>
      <c r="D293" s="14" t="n"/>
      <c r="E293" s="14" t="n"/>
      <c r="F293" s="14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3">
        <f>IF($C293="","",N(L293)-N(M293))</f>
        <v/>
      </c>
      <c r="P293" s="24" t="n"/>
      <c r="Q293" s="23">
        <f>IF($C293="","",N(M293)+N(N293))</f>
        <v/>
      </c>
      <c r="R293" s="23">
        <f>IF($C293="","",N(J293)+N(Q293))</f>
        <v/>
      </c>
      <c r="S293" s="25">
        <f>IF(OR($C293="",N($G293)=0),"",R293/$G293)</f>
        <v/>
      </c>
      <c r="T293" s="23">
        <f>IF($C293="","",N($G293)-N(R293))</f>
        <v/>
      </c>
      <c r="U293" s="24" t="n"/>
      <c r="V293" s="22" t="n"/>
    </row>
    <row r="294">
      <c r="B294" s="13">
        <f>IF($C294="","",COUNTA($C$9:$C294))</f>
        <v/>
      </c>
      <c r="C294" s="21" t="n"/>
      <c r="D294" s="14" t="n"/>
      <c r="E294" s="14" t="n"/>
      <c r="F294" s="14" t="n"/>
      <c r="G294" s="22" t="n"/>
      <c r="H294" s="22" t="n"/>
      <c r="I294" s="22" t="n"/>
      <c r="J294" s="22" t="n"/>
      <c r="K294" s="22" t="n"/>
      <c r="L294" s="22" t="n"/>
      <c r="M294" s="22" t="n"/>
      <c r="N294" s="22" t="n"/>
      <c r="O294" s="23">
        <f>IF($C294="","",N(L294)-N(M294))</f>
        <v/>
      </c>
      <c r="P294" s="24" t="n"/>
      <c r="Q294" s="23">
        <f>IF($C294="","",N(M294)+N(N294))</f>
        <v/>
      </c>
      <c r="R294" s="23">
        <f>IF($C294="","",N(J294)+N(Q294))</f>
        <v/>
      </c>
      <c r="S294" s="25">
        <f>IF(OR($C294="",N($G294)=0),"",R294/$G294)</f>
        <v/>
      </c>
      <c r="T294" s="23">
        <f>IF($C294="","",N($G294)-N(R294))</f>
        <v/>
      </c>
      <c r="U294" s="24" t="n"/>
      <c r="V294" s="22" t="n"/>
    </row>
    <row r="295">
      <c r="B295" s="13">
        <f>IF($C295="","",COUNTA($C$9:$C295))</f>
        <v/>
      </c>
      <c r="C295" s="21" t="n"/>
      <c r="D295" s="14" t="n"/>
      <c r="E295" s="14" t="n"/>
      <c r="F295" s="14" t="n"/>
      <c r="G295" s="22" t="n"/>
      <c r="H295" s="22" t="n"/>
      <c r="I295" s="22" t="n"/>
      <c r="J295" s="22" t="n"/>
      <c r="K295" s="22" t="n"/>
      <c r="L295" s="22" t="n"/>
      <c r="M295" s="22" t="n"/>
      <c r="N295" s="22" t="n"/>
      <c r="O295" s="23">
        <f>IF($C295="","",N(L295)-N(M295))</f>
        <v/>
      </c>
      <c r="P295" s="24" t="n"/>
      <c r="Q295" s="23">
        <f>IF($C295="","",N(M295)+N(N295))</f>
        <v/>
      </c>
      <c r="R295" s="23">
        <f>IF($C295="","",N(J295)+N(Q295))</f>
        <v/>
      </c>
      <c r="S295" s="25">
        <f>IF(OR($C295="",N($G295)=0),"",R295/$G295)</f>
        <v/>
      </c>
      <c r="T295" s="23">
        <f>IF($C295="","",N($G295)-N(R295))</f>
        <v/>
      </c>
      <c r="U295" s="24" t="n"/>
      <c r="V295" s="22" t="n"/>
    </row>
    <row r="296">
      <c r="B296" s="13">
        <f>IF($C296="","",COUNTA($C$9:$C296))</f>
        <v/>
      </c>
      <c r="C296" s="21" t="n"/>
      <c r="D296" s="14" t="n"/>
      <c r="E296" s="14" t="n"/>
      <c r="F296" s="14" t="n"/>
      <c r="G296" s="22" t="n"/>
      <c r="H296" s="22" t="n"/>
      <c r="I296" s="22" t="n"/>
      <c r="J296" s="22" t="n"/>
      <c r="K296" s="22" t="n"/>
      <c r="L296" s="22" t="n"/>
      <c r="M296" s="22" t="n"/>
      <c r="N296" s="22" t="n"/>
      <c r="O296" s="23">
        <f>IF($C296="","",N(L296)-N(M296))</f>
        <v/>
      </c>
      <c r="P296" s="24" t="n"/>
      <c r="Q296" s="23">
        <f>IF($C296="","",N(M296)+N(N296))</f>
        <v/>
      </c>
      <c r="R296" s="23">
        <f>IF($C296="","",N(J296)+N(Q296))</f>
        <v/>
      </c>
      <c r="S296" s="25">
        <f>IF(OR($C296="",N($G296)=0),"",R296/$G296)</f>
        <v/>
      </c>
      <c r="T296" s="23">
        <f>IF($C296="","",N($G296)-N(R296))</f>
        <v/>
      </c>
      <c r="U296" s="24" t="n"/>
      <c r="V296" s="22" t="n"/>
    </row>
    <row r="297">
      <c r="B297" s="13">
        <f>IF($C297="","",COUNTA($C$9:$C297))</f>
        <v/>
      </c>
      <c r="C297" s="21" t="n"/>
      <c r="D297" s="14" t="n"/>
      <c r="E297" s="14" t="n"/>
      <c r="F297" s="14" t="n"/>
      <c r="G297" s="22" t="n"/>
      <c r="H297" s="22" t="n"/>
      <c r="I297" s="22" t="n"/>
      <c r="J297" s="22" t="n"/>
      <c r="K297" s="22" t="n"/>
      <c r="L297" s="22" t="n"/>
      <c r="M297" s="22" t="n"/>
      <c r="N297" s="22" t="n"/>
      <c r="O297" s="23">
        <f>IF($C297="","",N(L297)-N(M297))</f>
        <v/>
      </c>
      <c r="P297" s="24" t="n"/>
      <c r="Q297" s="23">
        <f>IF($C297="","",N(M297)+N(N297))</f>
        <v/>
      </c>
      <c r="R297" s="23">
        <f>IF($C297="","",N(J297)+N(Q297))</f>
        <v/>
      </c>
      <c r="S297" s="25">
        <f>IF(OR($C297="",N($G297)=0),"",R297/$G297)</f>
        <v/>
      </c>
      <c r="T297" s="23">
        <f>IF($C297="","",N($G297)-N(R297))</f>
        <v/>
      </c>
      <c r="U297" s="24" t="n"/>
      <c r="V297" s="22" t="n"/>
    </row>
    <row r="298">
      <c r="B298" s="13">
        <f>IF($C298="","",COUNTA($C$9:$C298))</f>
        <v/>
      </c>
      <c r="C298" s="21" t="n"/>
      <c r="D298" s="14" t="n"/>
      <c r="E298" s="14" t="n"/>
      <c r="F298" s="14" t="n"/>
      <c r="G298" s="22" t="n"/>
      <c r="H298" s="22" t="n"/>
      <c r="I298" s="22" t="n"/>
      <c r="J298" s="22" t="n"/>
      <c r="K298" s="22" t="n"/>
      <c r="L298" s="22" t="n"/>
      <c r="M298" s="22" t="n"/>
      <c r="N298" s="22" t="n"/>
      <c r="O298" s="23">
        <f>IF($C298="","",N(L298)-N(M298))</f>
        <v/>
      </c>
      <c r="P298" s="24" t="n"/>
      <c r="Q298" s="23">
        <f>IF($C298="","",N(M298)+N(N298))</f>
        <v/>
      </c>
      <c r="R298" s="23">
        <f>IF($C298="","",N(J298)+N(Q298))</f>
        <v/>
      </c>
      <c r="S298" s="25">
        <f>IF(OR($C298="",N($G298)=0),"",R298/$G298)</f>
        <v/>
      </c>
      <c r="T298" s="23">
        <f>IF($C298="","",N($G298)-N(R298))</f>
        <v/>
      </c>
      <c r="U298" s="24" t="n"/>
      <c r="V298" s="22" t="n"/>
    </row>
    <row r="299">
      <c r="B299" s="13">
        <f>IF($C299="","",COUNTA($C$9:$C299))</f>
        <v/>
      </c>
      <c r="C299" s="21" t="n"/>
      <c r="D299" s="14" t="n"/>
      <c r="E299" s="14" t="n"/>
      <c r="F299" s="14" t="n"/>
      <c r="G299" s="22" t="n"/>
      <c r="H299" s="22" t="n"/>
      <c r="I299" s="22" t="n"/>
      <c r="J299" s="22" t="n"/>
      <c r="K299" s="22" t="n"/>
      <c r="L299" s="22" t="n"/>
      <c r="M299" s="22" t="n"/>
      <c r="N299" s="22" t="n"/>
      <c r="O299" s="23">
        <f>IF($C299="","",N(L299)-N(M299))</f>
        <v/>
      </c>
      <c r="P299" s="24" t="n"/>
      <c r="Q299" s="23">
        <f>IF($C299="","",N(M299)+N(N299))</f>
        <v/>
      </c>
      <c r="R299" s="23">
        <f>IF($C299="","",N(J299)+N(Q299))</f>
        <v/>
      </c>
      <c r="S299" s="25">
        <f>IF(OR($C299="",N($G299)=0),"",R299/$G299)</f>
        <v/>
      </c>
      <c r="T299" s="23">
        <f>IF($C299="","",N($G299)-N(R299))</f>
        <v/>
      </c>
      <c r="U299" s="24" t="n"/>
      <c r="V299" s="22" t="n"/>
    </row>
    <row r="300">
      <c r="B300" s="13">
        <f>IF($C300="","",COUNTA($C$9:$C300))</f>
        <v/>
      </c>
      <c r="C300" s="21" t="n"/>
      <c r="D300" s="14" t="n"/>
      <c r="E300" s="14" t="n"/>
      <c r="F300" s="14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3">
        <f>IF($C300="","",N(L300)-N(M300))</f>
        <v/>
      </c>
      <c r="P300" s="24" t="n"/>
      <c r="Q300" s="23">
        <f>IF($C300="","",N(M300)+N(N300))</f>
        <v/>
      </c>
      <c r="R300" s="23">
        <f>IF($C300="","",N(J300)+N(Q300))</f>
        <v/>
      </c>
      <c r="S300" s="25">
        <f>IF(OR($C300="",N($G300)=0),"",R300/$G300)</f>
        <v/>
      </c>
      <c r="T300" s="23">
        <f>IF($C300="","",N($G300)-N(R300))</f>
        <v/>
      </c>
      <c r="U300" s="24" t="n"/>
      <c r="V300" s="22" t="n"/>
    </row>
    <row r="301">
      <c r="B301" s="13">
        <f>IF($C301="","",COUNTA($C$9:$C301))</f>
        <v/>
      </c>
      <c r="C301" s="21" t="n"/>
      <c r="D301" s="14" t="n"/>
      <c r="E301" s="14" t="n"/>
      <c r="F301" s="14" t="n"/>
      <c r="G301" s="22" t="n"/>
      <c r="H301" s="22" t="n"/>
      <c r="I301" s="22" t="n"/>
      <c r="J301" s="22" t="n"/>
      <c r="K301" s="22" t="n"/>
      <c r="L301" s="22" t="n"/>
      <c r="M301" s="22" t="n"/>
      <c r="N301" s="22" t="n"/>
      <c r="O301" s="23">
        <f>IF($C301="","",N(L301)-N(M301))</f>
        <v/>
      </c>
      <c r="P301" s="24" t="n"/>
      <c r="Q301" s="23">
        <f>IF($C301="","",N(M301)+N(N301))</f>
        <v/>
      </c>
      <c r="R301" s="23">
        <f>IF($C301="","",N(J301)+N(Q301))</f>
        <v/>
      </c>
      <c r="S301" s="25">
        <f>IF(OR($C301="",N($G301)=0),"",R301/$G301)</f>
        <v/>
      </c>
      <c r="T301" s="23">
        <f>IF($C301="","",N($G301)-N(R301))</f>
        <v/>
      </c>
      <c r="U301" s="24" t="n"/>
      <c r="V301" s="22" t="n"/>
    </row>
    <row r="302">
      <c r="B302" s="13">
        <f>IF($C302="","",COUNTA($C$9:$C302))</f>
        <v/>
      </c>
      <c r="C302" s="21" t="n"/>
      <c r="D302" s="14" t="n"/>
      <c r="E302" s="14" t="n"/>
      <c r="F302" s="14" t="n"/>
      <c r="G302" s="22" t="n"/>
      <c r="H302" s="22" t="n"/>
      <c r="I302" s="22" t="n"/>
      <c r="J302" s="22" t="n"/>
      <c r="K302" s="22" t="n"/>
      <c r="L302" s="22" t="n"/>
      <c r="M302" s="22" t="n"/>
      <c r="N302" s="22" t="n"/>
      <c r="O302" s="23">
        <f>IF($C302="","",N(L302)-N(M302))</f>
        <v/>
      </c>
      <c r="P302" s="24" t="n"/>
      <c r="Q302" s="23">
        <f>IF($C302="","",N(M302)+N(N302))</f>
        <v/>
      </c>
      <c r="R302" s="23">
        <f>IF($C302="","",N(J302)+N(Q302))</f>
        <v/>
      </c>
      <c r="S302" s="25">
        <f>IF(OR($C302="",N($G302)=0),"",R302/$G302)</f>
        <v/>
      </c>
      <c r="T302" s="23">
        <f>IF($C302="","",N($G302)-N(R302))</f>
        <v/>
      </c>
      <c r="U302" s="24" t="n"/>
      <c r="V302" s="22" t="n"/>
    </row>
    <row r="303">
      <c r="B303" s="13">
        <f>IF($C303="","",COUNTA($C$9:$C303))</f>
        <v/>
      </c>
      <c r="C303" s="21" t="n"/>
      <c r="D303" s="14" t="n"/>
      <c r="E303" s="14" t="n"/>
      <c r="F303" s="14" t="n"/>
      <c r="G303" s="22" t="n"/>
      <c r="H303" s="22" t="n"/>
      <c r="I303" s="22" t="n"/>
      <c r="J303" s="22" t="n"/>
      <c r="K303" s="22" t="n"/>
      <c r="L303" s="22" t="n"/>
      <c r="M303" s="22" t="n"/>
      <c r="N303" s="22" t="n"/>
      <c r="O303" s="23">
        <f>IF($C303="","",N(L303)-N(M303))</f>
        <v/>
      </c>
      <c r="P303" s="24" t="n"/>
      <c r="Q303" s="23">
        <f>IF($C303="","",N(M303)+N(N303))</f>
        <v/>
      </c>
      <c r="R303" s="23">
        <f>IF($C303="","",N(J303)+N(Q303))</f>
        <v/>
      </c>
      <c r="S303" s="25">
        <f>IF(OR($C303="",N($G303)=0),"",R303/$G303)</f>
        <v/>
      </c>
      <c r="T303" s="23">
        <f>IF($C303="","",N($G303)-N(R303))</f>
        <v/>
      </c>
      <c r="U303" s="24" t="n"/>
      <c r="V303" s="22" t="n"/>
    </row>
    <row r="304">
      <c r="B304" s="13">
        <f>IF($C304="","",COUNTA($C$9:$C304))</f>
        <v/>
      </c>
      <c r="C304" s="21" t="n"/>
      <c r="D304" s="14" t="n"/>
      <c r="E304" s="14" t="n"/>
      <c r="F304" s="14" t="n"/>
      <c r="G304" s="22" t="n"/>
      <c r="H304" s="22" t="n"/>
      <c r="I304" s="22" t="n"/>
      <c r="J304" s="22" t="n"/>
      <c r="K304" s="22" t="n"/>
      <c r="L304" s="22" t="n"/>
      <c r="M304" s="22" t="n"/>
      <c r="N304" s="22" t="n"/>
      <c r="O304" s="23">
        <f>IF($C304="","",N(L304)-N(M304))</f>
        <v/>
      </c>
      <c r="P304" s="24" t="n"/>
      <c r="Q304" s="23">
        <f>IF($C304="","",N(M304)+N(N304))</f>
        <v/>
      </c>
      <c r="R304" s="23">
        <f>IF($C304="","",N(J304)+N(Q304))</f>
        <v/>
      </c>
      <c r="S304" s="25">
        <f>IF(OR($C304="",N($G304)=0),"",R304/$G304)</f>
        <v/>
      </c>
      <c r="T304" s="23">
        <f>IF($C304="","",N($G304)-N(R304))</f>
        <v/>
      </c>
      <c r="U304" s="24" t="n"/>
      <c r="V304" s="22" t="n"/>
    </row>
    <row r="305">
      <c r="B305" s="13">
        <f>IF($C305="","",COUNTA($C$9:$C305))</f>
        <v/>
      </c>
      <c r="C305" s="21" t="n"/>
      <c r="D305" s="14" t="n"/>
      <c r="E305" s="14" t="n"/>
      <c r="F305" s="14" t="n"/>
      <c r="G305" s="22" t="n"/>
      <c r="H305" s="22" t="n"/>
      <c r="I305" s="22" t="n"/>
      <c r="J305" s="22" t="n"/>
      <c r="K305" s="22" t="n"/>
      <c r="L305" s="22" t="n"/>
      <c r="M305" s="22" t="n"/>
      <c r="N305" s="22" t="n"/>
      <c r="O305" s="23">
        <f>IF($C305="","",N(L305)-N(M305))</f>
        <v/>
      </c>
      <c r="P305" s="24" t="n"/>
      <c r="Q305" s="23">
        <f>IF($C305="","",N(M305)+N(N305))</f>
        <v/>
      </c>
      <c r="R305" s="23">
        <f>IF($C305="","",N(J305)+N(Q305))</f>
        <v/>
      </c>
      <c r="S305" s="25">
        <f>IF(OR($C305="",N($G305)=0),"",R305/$G305)</f>
        <v/>
      </c>
      <c r="T305" s="23">
        <f>IF($C305="","",N($G305)-N(R305))</f>
        <v/>
      </c>
      <c r="U305" s="24" t="n"/>
      <c r="V305" s="22" t="n"/>
    </row>
    <row r="306">
      <c r="B306" s="13">
        <f>IF($C306="","",COUNTA($C$9:$C306))</f>
        <v/>
      </c>
      <c r="C306" s="21" t="n"/>
      <c r="D306" s="14" t="n"/>
      <c r="E306" s="14" t="n"/>
      <c r="F306" s="14" t="n"/>
      <c r="G306" s="22" t="n"/>
      <c r="H306" s="22" t="n"/>
      <c r="I306" s="22" t="n"/>
      <c r="J306" s="22" t="n"/>
      <c r="K306" s="22" t="n"/>
      <c r="L306" s="22" t="n"/>
      <c r="M306" s="22" t="n"/>
      <c r="N306" s="22" t="n"/>
      <c r="O306" s="23">
        <f>IF($C306="","",N(L306)-N(M306))</f>
        <v/>
      </c>
      <c r="P306" s="24" t="n"/>
      <c r="Q306" s="23">
        <f>IF($C306="","",N(M306)+N(N306))</f>
        <v/>
      </c>
      <c r="R306" s="23">
        <f>IF($C306="","",N(J306)+N(Q306))</f>
        <v/>
      </c>
      <c r="S306" s="25">
        <f>IF(OR($C306="",N($G306)=0),"",R306/$G306)</f>
        <v/>
      </c>
      <c r="T306" s="23">
        <f>IF($C306="","",N($G306)-N(R306))</f>
        <v/>
      </c>
      <c r="U306" s="24" t="n"/>
      <c r="V306" s="22" t="n"/>
    </row>
    <row r="307">
      <c r="B307" s="13">
        <f>IF($C307="","",COUNTA($C$9:$C307))</f>
        <v/>
      </c>
      <c r="C307" s="21" t="n"/>
      <c r="D307" s="14" t="n"/>
      <c r="E307" s="14" t="n"/>
      <c r="F307" s="14" t="n"/>
      <c r="G307" s="22" t="n"/>
      <c r="H307" s="22" t="n"/>
      <c r="I307" s="22" t="n"/>
      <c r="J307" s="22" t="n"/>
      <c r="K307" s="22" t="n"/>
      <c r="L307" s="22" t="n"/>
      <c r="M307" s="22" t="n"/>
      <c r="N307" s="22" t="n"/>
      <c r="O307" s="23">
        <f>IF($C307="","",N(L307)-N(M307))</f>
        <v/>
      </c>
      <c r="P307" s="24" t="n"/>
      <c r="Q307" s="23">
        <f>IF($C307="","",N(M307)+N(N307))</f>
        <v/>
      </c>
      <c r="R307" s="23">
        <f>IF($C307="","",N(J307)+N(Q307))</f>
        <v/>
      </c>
      <c r="S307" s="25">
        <f>IF(OR($C307="",N($G307)=0),"",R307/$G307)</f>
        <v/>
      </c>
      <c r="T307" s="23">
        <f>IF($C307="","",N($G307)-N(R307))</f>
        <v/>
      </c>
      <c r="U307" s="24" t="n"/>
      <c r="V307" s="22" t="n"/>
    </row>
    <row r="308">
      <c r="B308" s="13">
        <f>IF($C308="","",COUNTA($C$9:$C308))</f>
        <v/>
      </c>
      <c r="C308" s="21" t="n"/>
      <c r="D308" s="14" t="n"/>
      <c r="E308" s="14" t="n"/>
      <c r="F308" s="14" t="n"/>
      <c r="G308" s="22" t="n"/>
      <c r="H308" s="22" t="n"/>
      <c r="I308" s="22" t="n"/>
      <c r="J308" s="22" t="n"/>
      <c r="K308" s="22" t="n"/>
      <c r="L308" s="22" t="n"/>
      <c r="M308" s="22" t="n"/>
      <c r="N308" s="22" t="n"/>
      <c r="O308" s="23">
        <f>IF($C308="","",N(L308)-N(M308))</f>
        <v/>
      </c>
      <c r="P308" s="24" t="n"/>
      <c r="Q308" s="23">
        <f>IF($C308="","",N(M308)+N(N308))</f>
        <v/>
      </c>
      <c r="R308" s="23">
        <f>IF($C308="","",N(J308)+N(Q308))</f>
        <v/>
      </c>
      <c r="S308" s="25">
        <f>IF(OR($C308="",N($G308)=0),"",R308/$G308)</f>
        <v/>
      </c>
      <c r="T308" s="23">
        <f>IF($C308="","",N($G308)-N(R308))</f>
        <v/>
      </c>
      <c r="U308" s="24" t="n"/>
      <c r="V308" s="22" t="n"/>
    </row>
    <row r="309">
      <c r="B309" s="13">
        <f>IF($C309="","",COUNTA($C$9:$C309))</f>
        <v/>
      </c>
      <c r="C309" s="21" t="n"/>
      <c r="D309" s="14" t="n"/>
      <c r="E309" s="14" t="n"/>
      <c r="F309" s="14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3">
        <f>IF($C309="","",N(L309)-N(M309))</f>
        <v/>
      </c>
      <c r="P309" s="24" t="n"/>
      <c r="Q309" s="23">
        <f>IF($C309="","",N(M309)+N(N309))</f>
        <v/>
      </c>
      <c r="R309" s="23">
        <f>IF($C309="","",N(J309)+N(Q309))</f>
        <v/>
      </c>
      <c r="S309" s="25">
        <f>IF(OR($C309="",N($G309)=0),"",R309/$G309)</f>
        <v/>
      </c>
      <c r="T309" s="23">
        <f>IF($C309="","",N($G309)-N(R309))</f>
        <v/>
      </c>
      <c r="U309" s="24" t="n"/>
      <c r="V309" s="22" t="n"/>
    </row>
    <row r="310">
      <c r="B310" s="13">
        <f>IF($C310="","",COUNTA($C$9:$C310))</f>
        <v/>
      </c>
      <c r="C310" s="21" t="n"/>
      <c r="D310" s="14" t="n"/>
      <c r="E310" s="14" t="n"/>
      <c r="F310" s="14" t="n"/>
      <c r="G310" s="22" t="n"/>
      <c r="H310" s="22" t="n"/>
      <c r="I310" s="22" t="n"/>
      <c r="J310" s="22" t="n"/>
      <c r="K310" s="22" t="n"/>
      <c r="L310" s="22" t="n"/>
      <c r="M310" s="22" t="n"/>
      <c r="N310" s="22" t="n"/>
      <c r="O310" s="23">
        <f>IF($C310="","",N(L310)-N(M310))</f>
        <v/>
      </c>
      <c r="P310" s="24" t="n"/>
      <c r="Q310" s="23">
        <f>IF($C310="","",N(M310)+N(N310))</f>
        <v/>
      </c>
      <c r="R310" s="23">
        <f>IF($C310="","",N(J310)+N(Q310))</f>
        <v/>
      </c>
      <c r="S310" s="25">
        <f>IF(OR($C310="",N($G310)=0),"",R310/$G310)</f>
        <v/>
      </c>
      <c r="T310" s="23">
        <f>IF($C310="","",N($G310)-N(R310))</f>
        <v/>
      </c>
      <c r="U310" s="24" t="n"/>
      <c r="V310" s="22" t="n"/>
    </row>
    <row r="311">
      <c r="B311" s="13">
        <f>IF($C311="","",COUNTA($C$9:$C311))</f>
        <v/>
      </c>
      <c r="C311" s="21" t="n"/>
      <c r="D311" s="14" t="n"/>
      <c r="E311" s="14" t="n"/>
      <c r="F311" s="14" t="n"/>
      <c r="G311" s="22" t="n"/>
      <c r="H311" s="22" t="n"/>
      <c r="I311" s="22" t="n"/>
      <c r="J311" s="22" t="n"/>
      <c r="K311" s="22" t="n"/>
      <c r="L311" s="22" t="n"/>
      <c r="M311" s="22" t="n"/>
      <c r="N311" s="22" t="n"/>
      <c r="O311" s="23">
        <f>IF($C311="","",N(L311)-N(M311))</f>
        <v/>
      </c>
      <c r="P311" s="24" t="n"/>
      <c r="Q311" s="23">
        <f>IF($C311="","",N(M311)+N(N311))</f>
        <v/>
      </c>
      <c r="R311" s="23">
        <f>IF($C311="","",N(J311)+N(Q311))</f>
        <v/>
      </c>
      <c r="S311" s="25">
        <f>IF(OR($C311="",N($G311)=0),"",R311/$G311)</f>
        <v/>
      </c>
      <c r="T311" s="23">
        <f>IF($C311="","",N($G311)-N(R311))</f>
        <v/>
      </c>
      <c r="U311" s="24" t="n"/>
      <c r="V311" s="22" t="n"/>
    </row>
    <row r="312">
      <c r="B312" s="13">
        <f>IF($C312="","",COUNTA($C$9:$C312))</f>
        <v/>
      </c>
      <c r="C312" s="21" t="n"/>
      <c r="D312" s="14" t="n"/>
      <c r="E312" s="14" t="n"/>
      <c r="F312" s="14" t="n"/>
      <c r="G312" s="22" t="n"/>
      <c r="H312" s="22" t="n"/>
      <c r="I312" s="22" t="n"/>
      <c r="J312" s="22" t="n"/>
      <c r="K312" s="22" t="n"/>
      <c r="L312" s="22" t="n"/>
      <c r="M312" s="22" t="n"/>
      <c r="N312" s="22" t="n"/>
      <c r="O312" s="23">
        <f>IF($C312="","",N(L312)-N(M312))</f>
        <v/>
      </c>
      <c r="P312" s="24" t="n"/>
      <c r="Q312" s="23">
        <f>IF($C312="","",N(M312)+N(N312))</f>
        <v/>
      </c>
      <c r="R312" s="23">
        <f>IF($C312="","",N(J312)+N(Q312))</f>
        <v/>
      </c>
      <c r="S312" s="25">
        <f>IF(OR($C312="",N($G312)=0),"",R312/$G312)</f>
        <v/>
      </c>
      <c r="T312" s="23">
        <f>IF($C312="","",N($G312)-N(R312))</f>
        <v/>
      </c>
      <c r="U312" s="24" t="n"/>
      <c r="V312" s="22" t="n"/>
    </row>
    <row r="313">
      <c r="B313" s="13">
        <f>IF($C313="","",COUNTA($C$9:$C313))</f>
        <v/>
      </c>
      <c r="C313" s="21" t="n"/>
      <c r="D313" s="14" t="n"/>
      <c r="E313" s="14" t="n"/>
      <c r="F313" s="14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3">
        <f>IF($C313="","",N(L313)-N(M313))</f>
        <v/>
      </c>
      <c r="P313" s="24" t="n"/>
      <c r="Q313" s="23">
        <f>IF($C313="","",N(M313)+N(N313))</f>
        <v/>
      </c>
      <c r="R313" s="23">
        <f>IF($C313="","",N(J313)+N(Q313))</f>
        <v/>
      </c>
      <c r="S313" s="25">
        <f>IF(OR($C313="",N($G313)=0),"",R313/$G313)</f>
        <v/>
      </c>
      <c r="T313" s="23">
        <f>IF($C313="","",N($G313)-N(R313))</f>
        <v/>
      </c>
      <c r="U313" s="24" t="n"/>
      <c r="V313" s="22" t="n"/>
    </row>
    <row r="314">
      <c r="B314" s="13">
        <f>IF($C314="","",COUNTA($C$9:$C314))</f>
        <v/>
      </c>
      <c r="C314" s="21" t="n"/>
      <c r="D314" s="14" t="n"/>
      <c r="E314" s="14" t="n"/>
      <c r="F314" s="14" t="n"/>
      <c r="G314" s="22" t="n"/>
      <c r="H314" s="22" t="n"/>
      <c r="I314" s="22" t="n"/>
      <c r="J314" s="22" t="n"/>
      <c r="K314" s="22" t="n"/>
      <c r="L314" s="22" t="n"/>
      <c r="M314" s="22" t="n"/>
      <c r="N314" s="22" t="n"/>
      <c r="O314" s="23">
        <f>IF($C314="","",N(L314)-N(M314))</f>
        <v/>
      </c>
      <c r="P314" s="24" t="n"/>
      <c r="Q314" s="23">
        <f>IF($C314="","",N(M314)+N(N314))</f>
        <v/>
      </c>
      <c r="R314" s="23">
        <f>IF($C314="","",N(J314)+N(Q314))</f>
        <v/>
      </c>
      <c r="S314" s="25">
        <f>IF(OR($C314="",N($G314)=0),"",R314/$G314)</f>
        <v/>
      </c>
      <c r="T314" s="23">
        <f>IF($C314="","",N($G314)-N(R314))</f>
        <v/>
      </c>
      <c r="U314" s="24" t="n"/>
      <c r="V314" s="22" t="n"/>
    </row>
    <row r="315">
      <c r="B315" s="13">
        <f>IF($C315="","",COUNTA($C$9:$C315))</f>
        <v/>
      </c>
      <c r="C315" s="21" t="n"/>
      <c r="D315" s="14" t="n"/>
      <c r="E315" s="14" t="n"/>
      <c r="F315" s="14" t="n"/>
      <c r="G315" s="22" t="n"/>
      <c r="H315" s="22" t="n"/>
      <c r="I315" s="22" t="n"/>
      <c r="J315" s="22" t="n"/>
      <c r="K315" s="22" t="n"/>
      <c r="L315" s="22" t="n"/>
      <c r="M315" s="22" t="n"/>
      <c r="N315" s="22" t="n"/>
      <c r="O315" s="23">
        <f>IF($C315="","",N(L315)-N(M315))</f>
        <v/>
      </c>
      <c r="P315" s="24" t="n"/>
      <c r="Q315" s="23">
        <f>IF($C315="","",N(M315)+N(N315))</f>
        <v/>
      </c>
      <c r="R315" s="23">
        <f>IF($C315="","",N(J315)+N(Q315))</f>
        <v/>
      </c>
      <c r="S315" s="25">
        <f>IF(OR($C315="",N($G315)=0),"",R315/$G315)</f>
        <v/>
      </c>
      <c r="T315" s="23">
        <f>IF($C315="","",N($G315)-N(R315))</f>
        <v/>
      </c>
      <c r="U315" s="24" t="n"/>
      <c r="V315" s="22" t="n"/>
    </row>
    <row r="316">
      <c r="B316" s="13">
        <f>IF($C316="","",COUNTA($C$9:$C316))</f>
        <v/>
      </c>
      <c r="C316" s="21" t="n"/>
      <c r="D316" s="14" t="n"/>
      <c r="E316" s="14" t="n"/>
      <c r="F316" s="14" t="n"/>
      <c r="G316" s="22" t="n"/>
      <c r="H316" s="22" t="n"/>
      <c r="I316" s="22" t="n"/>
      <c r="J316" s="22" t="n"/>
      <c r="K316" s="22" t="n"/>
      <c r="L316" s="22" t="n"/>
      <c r="M316" s="22" t="n"/>
      <c r="N316" s="22" t="n"/>
      <c r="O316" s="23">
        <f>IF($C316="","",N(L316)-N(M316))</f>
        <v/>
      </c>
      <c r="P316" s="24" t="n"/>
      <c r="Q316" s="23">
        <f>IF($C316="","",N(M316)+N(N316))</f>
        <v/>
      </c>
      <c r="R316" s="23">
        <f>IF($C316="","",N(J316)+N(Q316))</f>
        <v/>
      </c>
      <c r="S316" s="25">
        <f>IF(OR($C316="",N($G316)=0),"",R316/$G316)</f>
        <v/>
      </c>
      <c r="T316" s="23">
        <f>IF($C316="","",N($G316)-N(R316))</f>
        <v/>
      </c>
      <c r="U316" s="24" t="n"/>
      <c r="V316" s="22" t="n"/>
    </row>
    <row r="317">
      <c r="B317" s="13">
        <f>IF($C317="","",COUNTA($C$9:$C317))</f>
        <v/>
      </c>
      <c r="C317" s="21" t="n"/>
      <c r="D317" s="14" t="n"/>
      <c r="E317" s="14" t="n"/>
      <c r="F317" s="14" t="n"/>
      <c r="G317" s="22" t="n"/>
      <c r="H317" s="22" t="n"/>
      <c r="I317" s="22" t="n"/>
      <c r="J317" s="22" t="n"/>
      <c r="K317" s="22" t="n"/>
      <c r="L317" s="22" t="n"/>
      <c r="M317" s="22" t="n"/>
      <c r="N317" s="22" t="n"/>
      <c r="O317" s="23">
        <f>IF($C317="","",N(L317)-N(M317))</f>
        <v/>
      </c>
      <c r="P317" s="24" t="n"/>
      <c r="Q317" s="23">
        <f>IF($C317="","",N(M317)+N(N317))</f>
        <v/>
      </c>
      <c r="R317" s="23">
        <f>IF($C317="","",N(J317)+N(Q317))</f>
        <v/>
      </c>
      <c r="S317" s="25">
        <f>IF(OR($C317="",N($G317)=0),"",R317/$G317)</f>
        <v/>
      </c>
      <c r="T317" s="23">
        <f>IF($C317="","",N($G317)-N(R317))</f>
        <v/>
      </c>
      <c r="U317" s="24" t="n"/>
      <c r="V317" s="22" t="n"/>
    </row>
    <row r="318">
      <c r="B318" s="13">
        <f>IF($C318="","",COUNTA($C$9:$C318))</f>
        <v/>
      </c>
      <c r="C318" s="21" t="n"/>
      <c r="D318" s="14" t="n"/>
      <c r="E318" s="14" t="n"/>
      <c r="F318" s="14" t="n"/>
      <c r="G318" s="22" t="n"/>
      <c r="H318" s="22" t="n"/>
      <c r="I318" s="22" t="n"/>
      <c r="J318" s="22" t="n"/>
      <c r="K318" s="22" t="n"/>
      <c r="L318" s="22" t="n"/>
      <c r="M318" s="22" t="n"/>
      <c r="N318" s="22" t="n"/>
      <c r="O318" s="23">
        <f>IF($C318="","",N(L318)-N(M318))</f>
        <v/>
      </c>
      <c r="P318" s="24" t="n"/>
      <c r="Q318" s="23">
        <f>IF($C318="","",N(M318)+N(N318))</f>
        <v/>
      </c>
      <c r="R318" s="23">
        <f>IF($C318="","",N(J318)+N(Q318))</f>
        <v/>
      </c>
      <c r="S318" s="25">
        <f>IF(OR($C318="",N($G318)=0),"",R318/$G318)</f>
        <v/>
      </c>
      <c r="T318" s="23">
        <f>IF($C318="","",N($G318)-N(R318))</f>
        <v/>
      </c>
      <c r="U318" s="24" t="n"/>
      <c r="V318" s="22" t="n"/>
    </row>
    <row r="319">
      <c r="B319" s="13">
        <f>IF($C319="","",COUNTA($C$9:$C319))</f>
        <v/>
      </c>
      <c r="C319" s="21" t="n"/>
      <c r="D319" s="14" t="n"/>
      <c r="E319" s="14" t="n"/>
      <c r="F319" s="14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3">
        <f>IF($C319="","",N(L319)-N(M319))</f>
        <v/>
      </c>
      <c r="P319" s="24" t="n"/>
      <c r="Q319" s="23">
        <f>IF($C319="","",N(M319)+N(N319))</f>
        <v/>
      </c>
      <c r="R319" s="23">
        <f>IF($C319="","",N(J319)+N(Q319))</f>
        <v/>
      </c>
      <c r="S319" s="25">
        <f>IF(OR($C319="",N($G319)=0),"",R319/$G319)</f>
        <v/>
      </c>
      <c r="T319" s="23">
        <f>IF($C319="","",N($G319)-N(R319))</f>
        <v/>
      </c>
      <c r="U319" s="24" t="n"/>
      <c r="V319" s="22" t="n"/>
    </row>
    <row r="320">
      <c r="B320" s="13">
        <f>IF($C320="","",COUNTA($C$9:$C320))</f>
        <v/>
      </c>
      <c r="C320" s="21" t="n"/>
      <c r="D320" s="14" t="n"/>
      <c r="E320" s="14" t="n"/>
      <c r="F320" s="14" t="n"/>
      <c r="G320" s="22" t="n"/>
      <c r="H320" s="22" t="n"/>
      <c r="I320" s="22" t="n"/>
      <c r="J320" s="22" t="n"/>
      <c r="K320" s="22" t="n"/>
      <c r="L320" s="22" t="n"/>
      <c r="M320" s="22" t="n"/>
      <c r="N320" s="22" t="n"/>
      <c r="O320" s="23">
        <f>IF($C320="","",N(L320)-N(M320))</f>
        <v/>
      </c>
      <c r="P320" s="24" t="n"/>
      <c r="Q320" s="23">
        <f>IF($C320="","",N(M320)+N(N320))</f>
        <v/>
      </c>
      <c r="R320" s="23">
        <f>IF($C320="","",N(J320)+N(Q320))</f>
        <v/>
      </c>
      <c r="S320" s="25">
        <f>IF(OR($C320="",N($G320)=0),"",R320/$G320)</f>
        <v/>
      </c>
      <c r="T320" s="23">
        <f>IF($C320="","",N($G320)-N(R320))</f>
        <v/>
      </c>
      <c r="U320" s="24" t="n"/>
      <c r="V320" s="22" t="n"/>
    </row>
    <row r="321">
      <c r="B321" s="13">
        <f>IF($C321="","",COUNTA($C$9:$C321))</f>
        <v/>
      </c>
      <c r="C321" s="21" t="n"/>
      <c r="D321" s="14" t="n"/>
      <c r="E321" s="14" t="n"/>
      <c r="F321" s="14" t="n"/>
      <c r="G321" s="22" t="n"/>
      <c r="H321" s="22" t="n"/>
      <c r="I321" s="22" t="n"/>
      <c r="J321" s="22" t="n"/>
      <c r="K321" s="22" t="n"/>
      <c r="L321" s="22" t="n"/>
      <c r="M321" s="22" t="n"/>
      <c r="N321" s="22" t="n"/>
      <c r="O321" s="23">
        <f>IF($C321="","",N(L321)-N(M321))</f>
        <v/>
      </c>
      <c r="P321" s="24" t="n"/>
      <c r="Q321" s="23">
        <f>IF($C321="","",N(M321)+N(N321))</f>
        <v/>
      </c>
      <c r="R321" s="23">
        <f>IF($C321="","",N(J321)+N(Q321))</f>
        <v/>
      </c>
      <c r="S321" s="25">
        <f>IF(OR($C321="",N($G321)=0),"",R321/$G321)</f>
        <v/>
      </c>
      <c r="T321" s="23">
        <f>IF($C321="","",N($G321)-N(R321))</f>
        <v/>
      </c>
      <c r="U321" s="24" t="n"/>
      <c r="V321" s="22" t="n"/>
    </row>
    <row r="322">
      <c r="B322" s="13">
        <f>IF($C322="","",COUNTA($C$9:$C322))</f>
        <v/>
      </c>
      <c r="C322" s="21" t="n"/>
      <c r="D322" s="14" t="n"/>
      <c r="E322" s="14" t="n"/>
      <c r="F322" s="14" t="n"/>
      <c r="G322" s="22" t="n"/>
      <c r="H322" s="22" t="n"/>
      <c r="I322" s="22" t="n"/>
      <c r="J322" s="22" t="n"/>
      <c r="K322" s="22" t="n"/>
      <c r="L322" s="22" t="n"/>
      <c r="M322" s="22" t="n"/>
      <c r="N322" s="22" t="n"/>
      <c r="O322" s="23">
        <f>IF($C322="","",N(L322)-N(M322))</f>
        <v/>
      </c>
      <c r="P322" s="24" t="n"/>
      <c r="Q322" s="23">
        <f>IF($C322="","",N(M322)+N(N322))</f>
        <v/>
      </c>
      <c r="R322" s="23">
        <f>IF($C322="","",N(J322)+N(Q322))</f>
        <v/>
      </c>
      <c r="S322" s="25">
        <f>IF(OR($C322="",N($G322)=0),"",R322/$G322)</f>
        <v/>
      </c>
      <c r="T322" s="23">
        <f>IF($C322="","",N($G322)-N(R322))</f>
        <v/>
      </c>
      <c r="U322" s="24" t="n"/>
      <c r="V322" s="22" t="n"/>
    </row>
    <row r="323">
      <c r="B323" s="13">
        <f>IF($C323="","",COUNTA($C$9:$C323))</f>
        <v/>
      </c>
      <c r="C323" s="21" t="n"/>
      <c r="D323" s="14" t="n"/>
      <c r="E323" s="14" t="n"/>
      <c r="F323" s="14" t="n"/>
      <c r="G323" s="22" t="n"/>
      <c r="H323" s="22" t="n"/>
      <c r="I323" s="22" t="n"/>
      <c r="J323" s="22" t="n"/>
      <c r="K323" s="22" t="n"/>
      <c r="L323" s="22" t="n"/>
      <c r="M323" s="22" t="n"/>
      <c r="N323" s="22" t="n"/>
      <c r="O323" s="23">
        <f>IF($C323="","",N(L323)-N(M323))</f>
        <v/>
      </c>
      <c r="P323" s="24" t="n"/>
      <c r="Q323" s="23">
        <f>IF($C323="","",N(M323)+N(N323))</f>
        <v/>
      </c>
      <c r="R323" s="23">
        <f>IF($C323="","",N(J323)+N(Q323))</f>
        <v/>
      </c>
      <c r="S323" s="25">
        <f>IF(OR($C323="",N($G323)=0),"",R323/$G323)</f>
        <v/>
      </c>
      <c r="T323" s="23">
        <f>IF($C323="","",N($G323)-N(R323))</f>
        <v/>
      </c>
      <c r="U323" s="24" t="n"/>
      <c r="V323" s="22" t="n"/>
    </row>
    <row r="324">
      <c r="B324" s="13">
        <f>IF($C324="","",COUNTA($C$9:$C324))</f>
        <v/>
      </c>
      <c r="C324" s="21" t="n"/>
      <c r="D324" s="14" t="n"/>
      <c r="E324" s="14" t="n"/>
      <c r="F324" s="14" t="n"/>
      <c r="G324" s="22" t="n"/>
      <c r="H324" s="22" t="n"/>
      <c r="I324" s="22" t="n"/>
      <c r="J324" s="22" t="n"/>
      <c r="K324" s="22" t="n"/>
      <c r="L324" s="22" t="n"/>
      <c r="M324" s="22" t="n"/>
      <c r="N324" s="22" t="n"/>
      <c r="O324" s="23">
        <f>IF($C324="","",N(L324)-N(M324))</f>
        <v/>
      </c>
      <c r="P324" s="24" t="n"/>
      <c r="Q324" s="23">
        <f>IF($C324="","",N(M324)+N(N324))</f>
        <v/>
      </c>
      <c r="R324" s="23">
        <f>IF($C324="","",N(J324)+N(Q324))</f>
        <v/>
      </c>
      <c r="S324" s="25">
        <f>IF(OR($C324="",N($G324)=0),"",R324/$G324)</f>
        <v/>
      </c>
      <c r="T324" s="23">
        <f>IF($C324="","",N($G324)-N(R324))</f>
        <v/>
      </c>
      <c r="U324" s="24" t="n"/>
      <c r="V324" s="22" t="n"/>
    </row>
    <row r="325">
      <c r="B325" s="13">
        <f>IF($C325="","",COUNTA($C$9:$C325))</f>
        <v/>
      </c>
      <c r="C325" s="21" t="n"/>
      <c r="D325" s="14" t="n"/>
      <c r="E325" s="14" t="n"/>
      <c r="F325" s="14" t="n"/>
      <c r="G325" s="22" t="n"/>
      <c r="H325" s="22" t="n"/>
      <c r="I325" s="22" t="n"/>
      <c r="J325" s="22" t="n"/>
      <c r="K325" s="22" t="n"/>
      <c r="L325" s="22" t="n"/>
      <c r="M325" s="22" t="n"/>
      <c r="N325" s="22" t="n"/>
      <c r="O325" s="23">
        <f>IF($C325="","",N(L325)-N(M325))</f>
        <v/>
      </c>
      <c r="P325" s="24" t="n"/>
      <c r="Q325" s="23">
        <f>IF($C325="","",N(M325)+N(N325))</f>
        <v/>
      </c>
      <c r="R325" s="23">
        <f>IF($C325="","",N(J325)+N(Q325))</f>
        <v/>
      </c>
      <c r="S325" s="25">
        <f>IF(OR($C325="",N($G325)=0),"",R325/$G325)</f>
        <v/>
      </c>
      <c r="T325" s="23">
        <f>IF($C325="","",N($G325)-N(R325))</f>
        <v/>
      </c>
      <c r="U325" s="24" t="n"/>
      <c r="V325" s="22" t="n"/>
    </row>
    <row r="326">
      <c r="B326" s="13">
        <f>IF($C326="","",COUNTA($C$9:$C326))</f>
        <v/>
      </c>
      <c r="C326" s="21" t="n"/>
      <c r="D326" s="14" t="n"/>
      <c r="E326" s="14" t="n"/>
      <c r="F326" s="14" t="n"/>
      <c r="G326" s="22" t="n"/>
      <c r="H326" s="22" t="n"/>
      <c r="I326" s="22" t="n"/>
      <c r="J326" s="22" t="n"/>
      <c r="K326" s="22" t="n"/>
      <c r="L326" s="22" t="n"/>
      <c r="M326" s="22" t="n"/>
      <c r="N326" s="22" t="n"/>
      <c r="O326" s="23">
        <f>IF($C326="","",N(L326)-N(M326))</f>
        <v/>
      </c>
      <c r="P326" s="24" t="n"/>
      <c r="Q326" s="23">
        <f>IF($C326="","",N(M326)+N(N326))</f>
        <v/>
      </c>
      <c r="R326" s="23">
        <f>IF($C326="","",N(J326)+N(Q326))</f>
        <v/>
      </c>
      <c r="S326" s="25">
        <f>IF(OR($C326="",N($G326)=0),"",R326/$G326)</f>
        <v/>
      </c>
      <c r="T326" s="23">
        <f>IF($C326="","",N($G326)-N(R326))</f>
        <v/>
      </c>
      <c r="U326" s="24" t="n"/>
      <c r="V326" s="22" t="n"/>
    </row>
    <row r="327">
      <c r="B327" s="13">
        <f>IF($C327="","",COUNTA($C$9:$C327))</f>
        <v/>
      </c>
      <c r="C327" s="21" t="n"/>
      <c r="D327" s="14" t="n"/>
      <c r="E327" s="14" t="n"/>
      <c r="F327" s="14" t="n"/>
      <c r="G327" s="22" t="n"/>
      <c r="H327" s="22" t="n"/>
      <c r="I327" s="22" t="n"/>
      <c r="J327" s="22" t="n"/>
      <c r="K327" s="22" t="n"/>
      <c r="L327" s="22" t="n"/>
      <c r="M327" s="22" t="n"/>
      <c r="N327" s="22" t="n"/>
      <c r="O327" s="23">
        <f>IF($C327="","",N(L327)-N(M327))</f>
        <v/>
      </c>
      <c r="P327" s="24" t="n"/>
      <c r="Q327" s="23">
        <f>IF($C327="","",N(M327)+N(N327))</f>
        <v/>
      </c>
      <c r="R327" s="23">
        <f>IF($C327="","",N(J327)+N(Q327))</f>
        <v/>
      </c>
      <c r="S327" s="25">
        <f>IF(OR($C327="",N($G327)=0),"",R327/$G327)</f>
        <v/>
      </c>
      <c r="T327" s="23">
        <f>IF($C327="","",N($G327)-N(R327))</f>
        <v/>
      </c>
      <c r="U327" s="24" t="n"/>
      <c r="V327" s="22" t="n"/>
    </row>
    <row r="328">
      <c r="B328" s="13">
        <f>IF($C328="","",COUNTA($C$9:$C328))</f>
        <v/>
      </c>
      <c r="C328" s="21" t="n"/>
      <c r="D328" s="14" t="n"/>
      <c r="E328" s="14" t="n"/>
      <c r="F328" s="14" t="n"/>
      <c r="G328" s="22" t="n"/>
      <c r="H328" s="22" t="n"/>
      <c r="I328" s="22" t="n"/>
      <c r="J328" s="22" t="n"/>
      <c r="K328" s="22" t="n"/>
      <c r="L328" s="22" t="n"/>
      <c r="M328" s="22" t="n"/>
      <c r="N328" s="22" t="n"/>
      <c r="O328" s="23">
        <f>IF($C328="","",N(L328)-N(M328))</f>
        <v/>
      </c>
      <c r="P328" s="24" t="n"/>
      <c r="Q328" s="23">
        <f>IF($C328="","",N(M328)+N(N328))</f>
        <v/>
      </c>
      <c r="R328" s="23">
        <f>IF($C328="","",N(J328)+N(Q328))</f>
        <v/>
      </c>
      <c r="S328" s="25">
        <f>IF(OR($C328="",N($G328)=0),"",R328/$G328)</f>
        <v/>
      </c>
      <c r="T328" s="23">
        <f>IF($C328="","",N($G328)-N(R328))</f>
        <v/>
      </c>
      <c r="U328" s="24" t="n"/>
      <c r="V328" s="22" t="n"/>
    </row>
    <row r="329">
      <c r="B329" s="13">
        <f>IF($C329="","",COUNTA($C$9:$C329))</f>
        <v/>
      </c>
      <c r="C329" s="21" t="n"/>
      <c r="D329" s="14" t="n"/>
      <c r="E329" s="14" t="n"/>
      <c r="F329" s="14" t="n"/>
      <c r="G329" s="22" t="n"/>
      <c r="H329" s="22" t="n"/>
      <c r="I329" s="22" t="n"/>
      <c r="J329" s="22" t="n"/>
      <c r="K329" s="22" t="n"/>
      <c r="L329" s="22" t="n"/>
      <c r="M329" s="22" t="n"/>
      <c r="N329" s="22" t="n"/>
      <c r="O329" s="23">
        <f>IF($C329="","",N(L329)-N(M329))</f>
        <v/>
      </c>
      <c r="P329" s="24" t="n"/>
      <c r="Q329" s="23">
        <f>IF($C329="","",N(M329)+N(N329))</f>
        <v/>
      </c>
      <c r="R329" s="23">
        <f>IF($C329="","",N(J329)+N(Q329))</f>
        <v/>
      </c>
      <c r="S329" s="25">
        <f>IF(OR($C329="",N($G329)=0),"",R329/$G329)</f>
        <v/>
      </c>
      <c r="T329" s="23">
        <f>IF($C329="","",N($G329)-N(R329))</f>
        <v/>
      </c>
      <c r="U329" s="24" t="n"/>
      <c r="V329" s="22" t="n"/>
    </row>
    <row r="330">
      <c r="B330" s="13">
        <f>IF($C330="","",COUNTA($C$9:$C330))</f>
        <v/>
      </c>
      <c r="C330" s="21" t="n"/>
      <c r="D330" s="14" t="n"/>
      <c r="E330" s="14" t="n"/>
      <c r="F330" s="14" t="n"/>
      <c r="G330" s="22" t="n"/>
      <c r="H330" s="22" t="n"/>
      <c r="I330" s="22" t="n"/>
      <c r="J330" s="22" t="n"/>
      <c r="K330" s="22" t="n"/>
      <c r="L330" s="22" t="n"/>
      <c r="M330" s="22" t="n"/>
      <c r="N330" s="22" t="n"/>
      <c r="O330" s="23">
        <f>IF($C330="","",N(L330)-N(M330))</f>
        <v/>
      </c>
      <c r="P330" s="24" t="n"/>
      <c r="Q330" s="23">
        <f>IF($C330="","",N(M330)+N(N330))</f>
        <v/>
      </c>
      <c r="R330" s="23">
        <f>IF($C330="","",N(J330)+N(Q330))</f>
        <v/>
      </c>
      <c r="S330" s="25">
        <f>IF(OR($C330="",N($G330)=0),"",R330/$G330)</f>
        <v/>
      </c>
      <c r="T330" s="23">
        <f>IF($C330="","",N($G330)-N(R330))</f>
        <v/>
      </c>
      <c r="U330" s="24" t="n"/>
      <c r="V330" s="22" t="n"/>
    </row>
    <row r="331">
      <c r="B331" s="13">
        <f>IF($C331="","",COUNTA($C$9:$C331))</f>
        <v/>
      </c>
      <c r="C331" s="21" t="n"/>
      <c r="D331" s="14" t="n"/>
      <c r="E331" s="14" t="n"/>
      <c r="F331" s="14" t="n"/>
      <c r="G331" s="22" t="n"/>
      <c r="H331" s="22" t="n"/>
      <c r="I331" s="22" t="n"/>
      <c r="J331" s="22" t="n"/>
      <c r="K331" s="22" t="n"/>
      <c r="L331" s="22" t="n"/>
      <c r="M331" s="22" t="n"/>
      <c r="N331" s="22" t="n"/>
      <c r="O331" s="23">
        <f>IF($C331="","",N(L331)-N(M331))</f>
        <v/>
      </c>
      <c r="P331" s="24" t="n"/>
      <c r="Q331" s="23">
        <f>IF($C331="","",N(M331)+N(N331))</f>
        <v/>
      </c>
      <c r="R331" s="23">
        <f>IF($C331="","",N(J331)+N(Q331))</f>
        <v/>
      </c>
      <c r="S331" s="25">
        <f>IF(OR($C331="",N($G331)=0),"",R331/$G331)</f>
        <v/>
      </c>
      <c r="T331" s="23">
        <f>IF($C331="","",N($G331)-N(R331))</f>
        <v/>
      </c>
      <c r="U331" s="24" t="n"/>
      <c r="V331" s="22" t="n"/>
    </row>
    <row r="332">
      <c r="B332" s="13">
        <f>IF($C332="","",COUNTA($C$9:$C332))</f>
        <v/>
      </c>
      <c r="C332" s="21" t="n"/>
      <c r="D332" s="14" t="n"/>
      <c r="E332" s="14" t="n"/>
      <c r="F332" s="14" t="n"/>
      <c r="G332" s="22" t="n"/>
      <c r="H332" s="22" t="n"/>
      <c r="I332" s="22" t="n"/>
      <c r="J332" s="22" t="n"/>
      <c r="K332" s="22" t="n"/>
      <c r="L332" s="22" t="n"/>
      <c r="M332" s="22" t="n"/>
      <c r="N332" s="22" t="n"/>
      <c r="O332" s="23">
        <f>IF($C332="","",N(L332)-N(M332))</f>
        <v/>
      </c>
      <c r="P332" s="24" t="n"/>
      <c r="Q332" s="23">
        <f>IF($C332="","",N(M332)+N(N332))</f>
        <v/>
      </c>
      <c r="R332" s="23">
        <f>IF($C332="","",N(J332)+N(Q332))</f>
        <v/>
      </c>
      <c r="S332" s="25">
        <f>IF(OR($C332="",N($G332)=0),"",R332/$G332)</f>
        <v/>
      </c>
      <c r="T332" s="23">
        <f>IF($C332="","",N($G332)-N(R332))</f>
        <v/>
      </c>
      <c r="U332" s="24" t="n"/>
      <c r="V332" s="22" t="n"/>
    </row>
    <row r="333">
      <c r="B333" s="13">
        <f>IF($C333="","",COUNTA($C$9:$C333))</f>
        <v/>
      </c>
      <c r="C333" s="21" t="n"/>
      <c r="D333" s="14" t="n"/>
      <c r="E333" s="14" t="n"/>
      <c r="F333" s="14" t="n"/>
      <c r="G333" s="22" t="n"/>
      <c r="H333" s="22" t="n"/>
      <c r="I333" s="22" t="n"/>
      <c r="J333" s="22" t="n"/>
      <c r="K333" s="22" t="n"/>
      <c r="L333" s="22" t="n"/>
      <c r="M333" s="22" t="n"/>
      <c r="N333" s="22" t="n"/>
      <c r="O333" s="23">
        <f>IF($C333="","",N(L333)-N(M333))</f>
        <v/>
      </c>
      <c r="P333" s="24" t="n"/>
      <c r="Q333" s="23">
        <f>IF($C333="","",N(M333)+N(N333))</f>
        <v/>
      </c>
      <c r="R333" s="23">
        <f>IF($C333="","",N(J333)+N(Q333))</f>
        <v/>
      </c>
      <c r="S333" s="25">
        <f>IF(OR($C333="",N($G333)=0),"",R333/$G333)</f>
        <v/>
      </c>
      <c r="T333" s="23">
        <f>IF($C333="","",N($G333)-N(R333))</f>
        <v/>
      </c>
      <c r="U333" s="24" t="n"/>
      <c r="V333" s="22" t="n"/>
    </row>
    <row r="334">
      <c r="B334" s="13">
        <f>IF($C334="","",COUNTA($C$9:$C334))</f>
        <v/>
      </c>
      <c r="C334" s="21" t="n"/>
      <c r="D334" s="14" t="n"/>
      <c r="E334" s="14" t="n"/>
      <c r="F334" s="14" t="n"/>
      <c r="G334" s="22" t="n"/>
      <c r="H334" s="22" t="n"/>
      <c r="I334" s="22" t="n"/>
      <c r="J334" s="22" t="n"/>
      <c r="K334" s="22" t="n"/>
      <c r="L334" s="22" t="n"/>
      <c r="M334" s="22" t="n"/>
      <c r="N334" s="22" t="n"/>
      <c r="O334" s="23">
        <f>IF($C334="","",N(L334)-N(M334))</f>
        <v/>
      </c>
      <c r="P334" s="24" t="n"/>
      <c r="Q334" s="23">
        <f>IF($C334="","",N(M334)+N(N334))</f>
        <v/>
      </c>
      <c r="R334" s="23">
        <f>IF($C334="","",N(J334)+N(Q334))</f>
        <v/>
      </c>
      <c r="S334" s="25">
        <f>IF(OR($C334="",N($G334)=0),"",R334/$G334)</f>
        <v/>
      </c>
      <c r="T334" s="23">
        <f>IF($C334="","",N($G334)-N(R334))</f>
        <v/>
      </c>
      <c r="U334" s="24" t="n"/>
      <c r="V334" s="22" t="n"/>
    </row>
    <row r="335">
      <c r="B335" s="13">
        <f>IF($C335="","",COUNTA($C$9:$C335))</f>
        <v/>
      </c>
      <c r="C335" s="21" t="n"/>
      <c r="D335" s="14" t="n"/>
      <c r="E335" s="14" t="n"/>
      <c r="F335" s="14" t="n"/>
      <c r="G335" s="22" t="n"/>
      <c r="H335" s="22" t="n"/>
      <c r="I335" s="22" t="n"/>
      <c r="J335" s="22" t="n"/>
      <c r="K335" s="22" t="n"/>
      <c r="L335" s="22" t="n"/>
      <c r="M335" s="22" t="n"/>
      <c r="N335" s="22" t="n"/>
      <c r="O335" s="23">
        <f>IF($C335="","",N(L335)-N(M335))</f>
        <v/>
      </c>
      <c r="P335" s="24" t="n"/>
      <c r="Q335" s="23">
        <f>IF($C335="","",N(M335)+N(N335))</f>
        <v/>
      </c>
      <c r="R335" s="23">
        <f>IF($C335="","",N(J335)+N(Q335))</f>
        <v/>
      </c>
      <c r="S335" s="25">
        <f>IF(OR($C335="",N($G335)=0),"",R335/$G335)</f>
        <v/>
      </c>
      <c r="T335" s="23">
        <f>IF($C335="","",N($G335)-N(R335))</f>
        <v/>
      </c>
      <c r="U335" s="24" t="n"/>
      <c r="V335" s="22" t="n"/>
    </row>
    <row r="336">
      <c r="B336" s="13">
        <f>IF($C336="","",COUNTA($C$9:$C336))</f>
        <v/>
      </c>
      <c r="C336" s="21" t="n"/>
      <c r="D336" s="14" t="n"/>
      <c r="E336" s="14" t="n"/>
      <c r="F336" s="14" t="n"/>
      <c r="G336" s="22" t="n"/>
      <c r="H336" s="22" t="n"/>
      <c r="I336" s="22" t="n"/>
      <c r="J336" s="22" t="n"/>
      <c r="K336" s="22" t="n"/>
      <c r="L336" s="22" t="n"/>
      <c r="M336" s="22" t="n"/>
      <c r="N336" s="22" t="n"/>
      <c r="O336" s="23">
        <f>IF($C336="","",N(L336)-N(M336))</f>
        <v/>
      </c>
      <c r="P336" s="24" t="n"/>
      <c r="Q336" s="23">
        <f>IF($C336="","",N(M336)+N(N336))</f>
        <v/>
      </c>
      <c r="R336" s="23">
        <f>IF($C336="","",N(J336)+N(Q336))</f>
        <v/>
      </c>
      <c r="S336" s="25">
        <f>IF(OR($C336="",N($G336)=0),"",R336/$G336)</f>
        <v/>
      </c>
      <c r="T336" s="23">
        <f>IF($C336="","",N($G336)-N(R336))</f>
        <v/>
      </c>
      <c r="U336" s="24" t="n"/>
      <c r="V336" s="22" t="n"/>
    </row>
    <row r="337">
      <c r="B337" s="13">
        <f>IF($C337="","",COUNTA($C$9:$C337))</f>
        <v/>
      </c>
      <c r="C337" s="21" t="n"/>
      <c r="D337" s="14" t="n"/>
      <c r="E337" s="14" t="n"/>
      <c r="F337" s="14" t="n"/>
      <c r="G337" s="22" t="n"/>
      <c r="H337" s="22" t="n"/>
      <c r="I337" s="22" t="n"/>
      <c r="J337" s="22" t="n"/>
      <c r="K337" s="22" t="n"/>
      <c r="L337" s="22" t="n"/>
      <c r="M337" s="22" t="n"/>
      <c r="N337" s="22" t="n"/>
      <c r="O337" s="23">
        <f>IF($C337="","",N(L337)-N(M337))</f>
        <v/>
      </c>
      <c r="P337" s="24" t="n"/>
      <c r="Q337" s="23">
        <f>IF($C337="","",N(M337)+N(N337))</f>
        <v/>
      </c>
      <c r="R337" s="23">
        <f>IF($C337="","",N(J337)+N(Q337))</f>
        <v/>
      </c>
      <c r="S337" s="25">
        <f>IF(OR($C337="",N($G337)=0),"",R337/$G337)</f>
        <v/>
      </c>
      <c r="T337" s="23">
        <f>IF($C337="","",N($G337)-N(R337))</f>
        <v/>
      </c>
      <c r="U337" s="24" t="n"/>
      <c r="V337" s="22" t="n"/>
    </row>
    <row r="338">
      <c r="B338" s="13">
        <f>IF($C338="","",COUNTA($C$9:$C338))</f>
        <v/>
      </c>
      <c r="C338" s="21" t="n"/>
      <c r="D338" s="14" t="n"/>
      <c r="E338" s="14" t="n"/>
      <c r="F338" s="14" t="n"/>
      <c r="G338" s="22" t="n"/>
      <c r="H338" s="22" t="n"/>
      <c r="I338" s="22" t="n"/>
      <c r="J338" s="22" t="n"/>
      <c r="K338" s="22" t="n"/>
      <c r="L338" s="22" t="n"/>
      <c r="M338" s="22" t="n"/>
      <c r="N338" s="22" t="n"/>
      <c r="O338" s="23">
        <f>IF($C338="","",N(L338)-N(M338))</f>
        <v/>
      </c>
      <c r="P338" s="24" t="n"/>
      <c r="Q338" s="23">
        <f>IF($C338="","",N(M338)+N(N338))</f>
        <v/>
      </c>
      <c r="R338" s="23">
        <f>IF($C338="","",N(J338)+N(Q338))</f>
        <v/>
      </c>
      <c r="S338" s="25">
        <f>IF(OR($C338="",N($G338)=0),"",R338/$G338)</f>
        <v/>
      </c>
      <c r="T338" s="23">
        <f>IF($C338="","",N($G338)-N(R338))</f>
        <v/>
      </c>
      <c r="U338" s="24" t="n"/>
      <c r="V338" s="22" t="n"/>
    </row>
    <row r="339">
      <c r="B339" s="13">
        <f>IF($C339="","",COUNTA($C$9:$C339))</f>
        <v/>
      </c>
      <c r="C339" s="21" t="n"/>
      <c r="D339" s="14" t="n"/>
      <c r="E339" s="14" t="n"/>
      <c r="F339" s="14" t="n"/>
      <c r="G339" s="22" t="n"/>
      <c r="H339" s="22" t="n"/>
      <c r="I339" s="22" t="n"/>
      <c r="J339" s="22" t="n"/>
      <c r="K339" s="22" t="n"/>
      <c r="L339" s="22" t="n"/>
      <c r="M339" s="22" t="n"/>
      <c r="N339" s="22" t="n"/>
      <c r="O339" s="23">
        <f>IF($C339="","",N(L339)-N(M339))</f>
        <v/>
      </c>
      <c r="P339" s="24" t="n"/>
      <c r="Q339" s="23">
        <f>IF($C339="","",N(M339)+N(N339))</f>
        <v/>
      </c>
      <c r="R339" s="23">
        <f>IF($C339="","",N(J339)+N(Q339))</f>
        <v/>
      </c>
      <c r="S339" s="25">
        <f>IF(OR($C339="",N($G339)=0),"",R339/$G339)</f>
        <v/>
      </c>
      <c r="T339" s="23">
        <f>IF($C339="","",N($G339)-N(R339))</f>
        <v/>
      </c>
      <c r="U339" s="24" t="n"/>
      <c r="V339" s="22" t="n"/>
    </row>
    <row r="340">
      <c r="B340" s="13">
        <f>IF($C340="","",COUNTA($C$9:$C340))</f>
        <v/>
      </c>
      <c r="C340" s="21" t="n"/>
      <c r="D340" s="14" t="n"/>
      <c r="E340" s="14" t="n"/>
      <c r="F340" s="14" t="n"/>
      <c r="G340" s="22" t="n"/>
      <c r="H340" s="22" t="n"/>
      <c r="I340" s="22" t="n"/>
      <c r="J340" s="22" t="n"/>
      <c r="K340" s="22" t="n"/>
      <c r="L340" s="22" t="n"/>
      <c r="M340" s="22" t="n"/>
      <c r="N340" s="22" t="n"/>
      <c r="O340" s="23">
        <f>IF($C340="","",N(L340)-N(M340))</f>
        <v/>
      </c>
      <c r="P340" s="24" t="n"/>
      <c r="Q340" s="23">
        <f>IF($C340="","",N(M340)+N(N340))</f>
        <v/>
      </c>
      <c r="R340" s="23">
        <f>IF($C340="","",N(J340)+N(Q340))</f>
        <v/>
      </c>
      <c r="S340" s="25">
        <f>IF(OR($C340="",N($G340)=0),"",R340/$G340)</f>
        <v/>
      </c>
      <c r="T340" s="23">
        <f>IF($C340="","",N($G340)-N(R340))</f>
        <v/>
      </c>
      <c r="U340" s="24" t="n"/>
      <c r="V340" s="22" t="n"/>
    </row>
    <row r="341">
      <c r="B341" s="13">
        <f>IF($C341="","",COUNTA($C$9:$C341))</f>
        <v/>
      </c>
      <c r="C341" s="21" t="n"/>
      <c r="D341" s="14" t="n"/>
      <c r="E341" s="14" t="n"/>
      <c r="F341" s="14" t="n"/>
      <c r="G341" s="22" t="n"/>
      <c r="H341" s="22" t="n"/>
      <c r="I341" s="22" t="n"/>
      <c r="J341" s="22" t="n"/>
      <c r="K341" s="22" t="n"/>
      <c r="L341" s="22" t="n"/>
      <c r="M341" s="22" t="n"/>
      <c r="N341" s="22" t="n"/>
      <c r="O341" s="23">
        <f>IF($C341="","",N(L341)-N(M341))</f>
        <v/>
      </c>
      <c r="P341" s="24" t="n"/>
      <c r="Q341" s="23">
        <f>IF($C341="","",N(M341)+N(N341))</f>
        <v/>
      </c>
      <c r="R341" s="23">
        <f>IF($C341="","",N(J341)+N(Q341))</f>
        <v/>
      </c>
      <c r="S341" s="25">
        <f>IF(OR($C341="",N($G341)=0),"",R341/$G341)</f>
        <v/>
      </c>
      <c r="T341" s="23">
        <f>IF($C341="","",N($G341)-N(R341))</f>
        <v/>
      </c>
      <c r="U341" s="24" t="n"/>
      <c r="V341" s="22" t="n"/>
    </row>
    <row r="342">
      <c r="B342" s="13">
        <f>IF($C342="","",COUNTA($C$9:$C342))</f>
        <v/>
      </c>
      <c r="C342" s="21" t="n"/>
      <c r="D342" s="14" t="n"/>
      <c r="E342" s="14" t="n"/>
      <c r="F342" s="14" t="n"/>
      <c r="G342" s="22" t="n"/>
      <c r="H342" s="22" t="n"/>
      <c r="I342" s="22" t="n"/>
      <c r="J342" s="22" t="n"/>
      <c r="K342" s="22" t="n"/>
      <c r="L342" s="22" t="n"/>
      <c r="M342" s="22" t="n"/>
      <c r="N342" s="22" t="n"/>
      <c r="O342" s="23">
        <f>IF($C342="","",N(L342)-N(M342))</f>
        <v/>
      </c>
      <c r="P342" s="24" t="n"/>
      <c r="Q342" s="23">
        <f>IF($C342="","",N(M342)+N(N342))</f>
        <v/>
      </c>
      <c r="R342" s="23">
        <f>IF($C342="","",N(J342)+N(Q342))</f>
        <v/>
      </c>
      <c r="S342" s="25">
        <f>IF(OR($C342="",N($G342)=0),"",R342/$G342)</f>
        <v/>
      </c>
      <c r="T342" s="23">
        <f>IF($C342="","",N($G342)-N(R342))</f>
        <v/>
      </c>
      <c r="U342" s="24" t="n"/>
      <c r="V342" s="22" t="n"/>
    </row>
    <row r="343">
      <c r="B343" s="13">
        <f>IF($C343="","",COUNTA($C$9:$C343))</f>
        <v/>
      </c>
      <c r="C343" s="21" t="n"/>
      <c r="D343" s="14" t="n"/>
      <c r="E343" s="14" t="n"/>
      <c r="F343" s="14" t="n"/>
      <c r="G343" s="22" t="n"/>
      <c r="H343" s="22" t="n"/>
      <c r="I343" s="22" t="n"/>
      <c r="J343" s="22" t="n"/>
      <c r="K343" s="22" t="n"/>
      <c r="L343" s="22" t="n"/>
      <c r="M343" s="22" t="n"/>
      <c r="N343" s="22" t="n"/>
      <c r="O343" s="23">
        <f>IF($C343="","",N(L343)-N(M343))</f>
        <v/>
      </c>
      <c r="P343" s="24" t="n"/>
      <c r="Q343" s="23">
        <f>IF($C343="","",N(M343)+N(N343))</f>
        <v/>
      </c>
      <c r="R343" s="23">
        <f>IF($C343="","",N(J343)+N(Q343))</f>
        <v/>
      </c>
      <c r="S343" s="25">
        <f>IF(OR($C343="",N($G343)=0),"",R343/$G343)</f>
        <v/>
      </c>
      <c r="T343" s="23">
        <f>IF($C343="","",N($G343)-N(R343))</f>
        <v/>
      </c>
      <c r="U343" s="24" t="n"/>
      <c r="V343" s="22" t="n"/>
    </row>
    <row r="344">
      <c r="B344" s="13">
        <f>IF($C344="","",COUNTA($C$9:$C344))</f>
        <v/>
      </c>
      <c r="C344" s="21" t="n"/>
      <c r="D344" s="14" t="n"/>
      <c r="E344" s="14" t="n"/>
      <c r="F344" s="14" t="n"/>
      <c r="G344" s="22" t="n"/>
      <c r="H344" s="22" t="n"/>
      <c r="I344" s="22" t="n"/>
      <c r="J344" s="22" t="n"/>
      <c r="K344" s="22" t="n"/>
      <c r="L344" s="22" t="n"/>
      <c r="M344" s="22" t="n"/>
      <c r="N344" s="22" t="n"/>
      <c r="O344" s="23">
        <f>IF($C344="","",N(L344)-N(M344))</f>
        <v/>
      </c>
      <c r="P344" s="24" t="n"/>
      <c r="Q344" s="23">
        <f>IF($C344="","",N(M344)+N(N344))</f>
        <v/>
      </c>
      <c r="R344" s="23">
        <f>IF($C344="","",N(J344)+N(Q344))</f>
        <v/>
      </c>
      <c r="S344" s="25">
        <f>IF(OR($C344="",N($G344)=0),"",R344/$G344)</f>
        <v/>
      </c>
      <c r="T344" s="23">
        <f>IF($C344="","",N($G344)-N(R344))</f>
        <v/>
      </c>
      <c r="U344" s="24" t="n"/>
      <c r="V344" s="22" t="n"/>
    </row>
    <row r="345">
      <c r="B345" s="13">
        <f>IF($C345="","",COUNTA($C$9:$C345))</f>
        <v/>
      </c>
      <c r="C345" s="21" t="n"/>
      <c r="D345" s="14" t="n"/>
      <c r="E345" s="14" t="n"/>
      <c r="F345" s="14" t="n"/>
      <c r="G345" s="22" t="n"/>
      <c r="H345" s="22" t="n"/>
      <c r="I345" s="22" t="n"/>
      <c r="J345" s="22" t="n"/>
      <c r="K345" s="22" t="n"/>
      <c r="L345" s="22" t="n"/>
      <c r="M345" s="22" t="n"/>
      <c r="N345" s="22" t="n"/>
      <c r="O345" s="23">
        <f>IF($C345="","",N(L345)-N(M345))</f>
        <v/>
      </c>
      <c r="P345" s="24" t="n"/>
      <c r="Q345" s="23">
        <f>IF($C345="","",N(M345)+N(N345))</f>
        <v/>
      </c>
      <c r="R345" s="23">
        <f>IF($C345="","",N(J345)+N(Q345))</f>
        <v/>
      </c>
      <c r="S345" s="25">
        <f>IF(OR($C345="",N($G345)=0),"",R345/$G345)</f>
        <v/>
      </c>
      <c r="T345" s="23">
        <f>IF($C345="","",N($G345)-N(R345))</f>
        <v/>
      </c>
      <c r="U345" s="24" t="n"/>
      <c r="V345" s="22" t="n"/>
    </row>
    <row r="346">
      <c r="B346" s="13">
        <f>IF($C346="","",COUNTA($C$9:$C346))</f>
        <v/>
      </c>
      <c r="C346" s="21" t="n"/>
      <c r="D346" s="14" t="n"/>
      <c r="E346" s="14" t="n"/>
      <c r="F346" s="14" t="n"/>
      <c r="G346" s="22" t="n"/>
      <c r="H346" s="22" t="n"/>
      <c r="I346" s="22" t="n"/>
      <c r="J346" s="22" t="n"/>
      <c r="K346" s="22" t="n"/>
      <c r="L346" s="22" t="n"/>
      <c r="M346" s="22" t="n"/>
      <c r="N346" s="22" t="n"/>
      <c r="O346" s="23">
        <f>IF($C346="","",N(L346)-N(M346))</f>
        <v/>
      </c>
      <c r="P346" s="24" t="n"/>
      <c r="Q346" s="23">
        <f>IF($C346="","",N(M346)+N(N346))</f>
        <v/>
      </c>
      <c r="R346" s="23">
        <f>IF($C346="","",N(J346)+N(Q346))</f>
        <v/>
      </c>
      <c r="S346" s="25">
        <f>IF(OR($C346="",N($G346)=0),"",R346/$G346)</f>
        <v/>
      </c>
      <c r="T346" s="23">
        <f>IF($C346="","",N($G346)-N(R346))</f>
        <v/>
      </c>
      <c r="U346" s="24" t="n"/>
      <c r="V346" s="22" t="n"/>
    </row>
    <row r="347">
      <c r="B347" s="13">
        <f>IF($C347="","",COUNTA($C$9:$C347))</f>
        <v/>
      </c>
      <c r="C347" s="21" t="n"/>
      <c r="D347" s="14" t="n"/>
      <c r="E347" s="14" t="n"/>
      <c r="F347" s="14" t="n"/>
      <c r="G347" s="22" t="n"/>
      <c r="H347" s="22" t="n"/>
      <c r="I347" s="22" t="n"/>
      <c r="J347" s="22" t="n"/>
      <c r="K347" s="22" t="n"/>
      <c r="L347" s="22" t="n"/>
      <c r="M347" s="22" t="n"/>
      <c r="N347" s="22" t="n"/>
      <c r="O347" s="23">
        <f>IF($C347="","",N(L347)-N(M347))</f>
        <v/>
      </c>
      <c r="P347" s="24" t="n"/>
      <c r="Q347" s="23">
        <f>IF($C347="","",N(M347)+N(N347))</f>
        <v/>
      </c>
      <c r="R347" s="23">
        <f>IF($C347="","",N(J347)+N(Q347))</f>
        <v/>
      </c>
      <c r="S347" s="25">
        <f>IF(OR($C347="",N($G347)=0),"",R347/$G347)</f>
        <v/>
      </c>
      <c r="T347" s="23">
        <f>IF($C347="","",N($G347)-N(R347))</f>
        <v/>
      </c>
      <c r="U347" s="24" t="n"/>
      <c r="V347" s="22" t="n"/>
    </row>
    <row r="348">
      <c r="B348" s="13">
        <f>IF($C348="","",COUNTA($C$9:$C348))</f>
        <v/>
      </c>
      <c r="C348" s="21" t="n"/>
      <c r="D348" s="14" t="n"/>
      <c r="E348" s="14" t="n"/>
      <c r="F348" s="14" t="n"/>
      <c r="G348" s="22" t="n"/>
      <c r="H348" s="22" t="n"/>
      <c r="I348" s="22" t="n"/>
      <c r="J348" s="22" t="n"/>
      <c r="K348" s="22" t="n"/>
      <c r="L348" s="22" t="n"/>
      <c r="M348" s="22" t="n"/>
      <c r="N348" s="22" t="n"/>
      <c r="O348" s="23">
        <f>IF($C348="","",N(L348)-N(M348))</f>
        <v/>
      </c>
      <c r="P348" s="24" t="n"/>
      <c r="Q348" s="23">
        <f>IF($C348="","",N(M348)+N(N348))</f>
        <v/>
      </c>
      <c r="R348" s="23">
        <f>IF($C348="","",N(J348)+N(Q348))</f>
        <v/>
      </c>
      <c r="S348" s="25">
        <f>IF(OR($C348="",N($G348)=0),"",R348/$G348)</f>
        <v/>
      </c>
      <c r="T348" s="23">
        <f>IF($C348="","",N($G348)-N(R348))</f>
        <v/>
      </c>
      <c r="U348" s="24" t="n"/>
      <c r="V348" s="22" t="n"/>
    </row>
    <row r="349">
      <c r="B349" s="13">
        <f>IF($C349="","",COUNTA($C$9:$C349))</f>
        <v/>
      </c>
      <c r="C349" s="21" t="n"/>
      <c r="D349" s="14" t="n"/>
      <c r="E349" s="14" t="n"/>
      <c r="F349" s="14" t="n"/>
      <c r="G349" s="22" t="n"/>
      <c r="H349" s="22" t="n"/>
      <c r="I349" s="22" t="n"/>
      <c r="J349" s="22" t="n"/>
      <c r="K349" s="22" t="n"/>
      <c r="L349" s="22" t="n"/>
      <c r="M349" s="22" t="n"/>
      <c r="N349" s="22" t="n"/>
      <c r="O349" s="23">
        <f>IF($C349="","",N(L349)-N(M349))</f>
        <v/>
      </c>
      <c r="P349" s="24" t="n"/>
      <c r="Q349" s="23">
        <f>IF($C349="","",N(M349)+N(N349))</f>
        <v/>
      </c>
      <c r="R349" s="23">
        <f>IF($C349="","",N(J349)+N(Q349))</f>
        <v/>
      </c>
      <c r="S349" s="25">
        <f>IF(OR($C349="",N($G349)=0),"",R349/$G349)</f>
        <v/>
      </c>
      <c r="T349" s="23">
        <f>IF($C349="","",N($G349)-N(R349))</f>
        <v/>
      </c>
      <c r="U349" s="24" t="n"/>
      <c r="V349" s="22" t="n"/>
    </row>
    <row r="350">
      <c r="B350" s="13">
        <f>IF($C350="","",COUNTA($C$9:$C350))</f>
        <v/>
      </c>
      <c r="C350" s="21" t="n"/>
      <c r="D350" s="14" t="n"/>
      <c r="E350" s="14" t="n"/>
      <c r="F350" s="14" t="n"/>
      <c r="G350" s="22" t="n"/>
      <c r="H350" s="22" t="n"/>
      <c r="I350" s="22" t="n"/>
      <c r="J350" s="22" t="n"/>
      <c r="K350" s="22" t="n"/>
      <c r="L350" s="22" t="n"/>
      <c r="M350" s="22" t="n"/>
      <c r="N350" s="22" t="n"/>
      <c r="O350" s="23">
        <f>IF($C350="","",N(L350)-N(M350))</f>
        <v/>
      </c>
      <c r="P350" s="24" t="n"/>
      <c r="Q350" s="23">
        <f>IF($C350="","",N(M350)+N(N350))</f>
        <v/>
      </c>
      <c r="R350" s="23">
        <f>IF($C350="","",N(J350)+N(Q350))</f>
        <v/>
      </c>
      <c r="S350" s="25">
        <f>IF(OR($C350="",N($G350)=0),"",R350/$G350)</f>
        <v/>
      </c>
      <c r="T350" s="23">
        <f>IF($C350="","",N($G350)-N(R350))</f>
        <v/>
      </c>
      <c r="U350" s="24" t="n"/>
      <c r="V350" s="22" t="n"/>
    </row>
    <row r="351">
      <c r="B351" s="13">
        <f>IF($C351="","",COUNTA($C$9:$C351))</f>
        <v/>
      </c>
      <c r="C351" s="21" t="n"/>
      <c r="D351" s="14" t="n"/>
      <c r="E351" s="14" t="n"/>
      <c r="F351" s="14" t="n"/>
      <c r="G351" s="22" t="n"/>
      <c r="H351" s="22" t="n"/>
      <c r="I351" s="22" t="n"/>
      <c r="J351" s="22" t="n"/>
      <c r="K351" s="22" t="n"/>
      <c r="L351" s="22" t="n"/>
      <c r="M351" s="22" t="n"/>
      <c r="N351" s="22" t="n"/>
      <c r="O351" s="23">
        <f>IF($C351="","",N(L351)-N(M351))</f>
        <v/>
      </c>
      <c r="P351" s="24" t="n"/>
      <c r="Q351" s="23">
        <f>IF($C351="","",N(M351)+N(N351))</f>
        <v/>
      </c>
      <c r="R351" s="23">
        <f>IF($C351="","",N(J351)+N(Q351))</f>
        <v/>
      </c>
      <c r="S351" s="25">
        <f>IF(OR($C351="",N($G351)=0),"",R351/$G351)</f>
        <v/>
      </c>
      <c r="T351" s="23">
        <f>IF($C351="","",N($G351)-N(R351))</f>
        <v/>
      </c>
      <c r="U351" s="24" t="n"/>
      <c r="V351" s="22" t="n"/>
    </row>
    <row r="352">
      <c r="B352" s="13">
        <f>IF($C352="","",COUNTA($C$9:$C352))</f>
        <v/>
      </c>
      <c r="C352" s="21" t="n"/>
      <c r="D352" s="14" t="n"/>
      <c r="E352" s="14" t="n"/>
      <c r="F352" s="14" t="n"/>
      <c r="G352" s="22" t="n"/>
      <c r="H352" s="22" t="n"/>
      <c r="I352" s="22" t="n"/>
      <c r="J352" s="22" t="n"/>
      <c r="K352" s="22" t="n"/>
      <c r="L352" s="22" t="n"/>
      <c r="M352" s="22" t="n"/>
      <c r="N352" s="22" t="n"/>
      <c r="O352" s="23">
        <f>IF($C352="","",N(L352)-N(M352))</f>
        <v/>
      </c>
      <c r="P352" s="24" t="n"/>
      <c r="Q352" s="23">
        <f>IF($C352="","",N(M352)+N(N352))</f>
        <v/>
      </c>
      <c r="R352" s="23">
        <f>IF($C352="","",N(J352)+N(Q352))</f>
        <v/>
      </c>
      <c r="S352" s="25">
        <f>IF(OR($C352="",N($G352)=0),"",R352/$G352)</f>
        <v/>
      </c>
      <c r="T352" s="23">
        <f>IF($C352="","",N($G352)-N(R352))</f>
        <v/>
      </c>
      <c r="U352" s="24" t="n"/>
      <c r="V352" s="22" t="n"/>
    </row>
    <row r="353">
      <c r="B353" s="13">
        <f>IF($C353="","",COUNTA($C$9:$C353))</f>
        <v/>
      </c>
      <c r="C353" s="21" t="n"/>
      <c r="D353" s="14" t="n"/>
      <c r="E353" s="14" t="n"/>
      <c r="F353" s="14" t="n"/>
      <c r="G353" s="22" t="n"/>
      <c r="H353" s="22" t="n"/>
      <c r="I353" s="22" t="n"/>
      <c r="J353" s="22" t="n"/>
      <c r="K353" s="22" t="n"/>
      <c r="L353" s="22" t="n"/>
      <c r="M353" s="22" t="n"/>
      <c r="N353" s="22" t="n"/>
      <c r="O353" s="23">
        <f>IF($C353="","",N(L353)-N(M353))</f>
        <v/>
      </c>
      <c r="P353" s="24" t="n"/>
      <c r="Q353" s="23">
        <f>IF($C353="","",N(M353)+N(N353))</f>
        <v/>
      </c>
      <c r="R353" s="23">
        <f>IF($C353="","",N(J353)+N(Q353))</f>
        <v/>
      </c>
      <c r="S353" s="25">
        <f>IF(OR($C353="",N($G353)=0),"",R353/$G353)</f>
        <v/>
      </c>
      <c r="T353" s="23">
        <f>IF($C353="","",N($G353)-N(R353))</f>
        <v/>
      </c>
      <c r="U353" s="24" t="n"/>
      <c r="V353" s="22" t="n"/>
    </row>
    <row r="354">
      <c r="B354" s="13">
        <f>IF($C354="","",COUNTA($C$9:$C354))</f>
        <v/>
      </c>
      <c r="C354" s="21" t="n"/>
      <c r="D354" s="14" t="n"/>
      <c r="E354" s="14" t="n"/>
      <c r="F354" s="14" t="n"/>
      <c r="G354" s="22" t="n"/>
      <c r="H354" s="22" t="n"/>
      <c r="I354" s="22" t="n"/>
      <c r="J354" s="22" t="n"/>
      <c r="K354" s="22" t="n"/>
      <c r="L354" s="22" t="n"/>
      <c r="M354" s="22" t="n"/>
      <c r="N354" s="22" t="n"/>
      <c r="O354" s="23">
        <f>IF($C354="","",N(L354)-N(M354))</f>
        <v/>
      </c>
      <c r="P354" s="24" t="n"/>
      <c r="Q354" s="23">
        <f>IF($C354="","",N(M354)+N(N354))</f>
        <v/>
      </c>
      <c r="R354" s="23">
        <f>IF($C354="","",N(J354)+N(Q354))</f>
        <v/>
      </c>
      <c r="S354" s="25">
        <f>IF(OR($C354="",N($G354)=0),"",R354/$G354)</f>
        <v/>
      </c>
      <c r="T354" s="23">
        <f>IF($C354="","",N($G354)-N(R354))</f>
        <v/>
      </c>
      <c r="U354" s="24" t="n"/>
      <c r="V354" s="22" t="n"/>
    </row>
    <row r="355">
      <c r="B355" s="13">
        <f>IF($C355="","",COUNTA($C$9:$C355))</f>
        <v/>
      </c>
      <c r="C355" s="21" t="n"/>
      <c r="D355" s="14" t="n"/>
      <c r="E355" s="14" t="n"/>
      <c r="F355" s="14" t="n"/>
      <c r="G355" s="22" t="n"/>
      <c r="H355" s="22" t="n"/>
      <c r="I355" s="22" t="n"/>
      <c r="J355" s="22" t="n"/>
      <c r="K355" s="22" t="n"/>
      <c r="L355" s="22" t="n"/>
      <c r="M355" s="22" t="n"/>
      <c r="N355" s="22" t="n"/>
      <c r="O355" s="23">
        <f>IF($C355="","",N(L355)-N(M355))</f>
        <v/>
      </c>
      <c r="P355" s="24" t="n"/>
      <c r="Q355" s="23">
        <f>IF($C355="","",N(M355)+N(N355))</f>
        <v/>
      </c>
      <c r="R355" s="23">
        <f>IF($C355="","",N(J355)+N(Q355))</f>
        <v/>
      </c>
      <c r="S355" s="25">
        <f>IF(OR($C355="",N($G355)=0),"",R355/$G355)</f>
        <v/>
      </c>
      <c r="T355" s="23">
        <f>IF($C355="","",N($G355)-N(R355))</f>
        <v/>
      </c>
      <c r="U355" s="24" t="n"/>
      <c r="V355" s="22" t="n"/>
    </row>
    <row r="356">
      <c r="B356" s="13">
        <f>IF($C356="","",COUNTA($C$9:$C356))</f>
        <v/>
      </c>
      <c r="C356" s="21" t="n"/>
      <c r="D356" s="14" t="n"/>
      <c r="E356" s="14" t="n"/>
      <c r="F356" s="14" t="n"/>
      <c r="G356" s="22" t="n"/>
      <c r="H356" s="22" t="n"/>
      <c r="I356" s="22" t="n"/>
      <c r="J356" s="22" t="n"/>
      <c r="K356" s="22" t="n"/>
      <c r="L356" s="22" t="n"/>
      <c r="M356" s="22" t="n"/>
      <c r="N356" s="22" t="n"/>
      <c r="O356" s="23">
        <f>IF($C356="","",N(L356)-N(M356))</f>
        <v/>
      </c>
      <c r="P356" s="24" t="n"/>
      <c r="Q356" s="23">
        <f>IF($C356="","",N(M356)+N(N356))</f>
        <v/>
      </c>
      <c r="R356" s="23">
        <f>IF($C356="","",N(J356)+N(Q356))</f>
        <v/>
      </c>
      <c r="S356" s="25">
        <f>IF(OR($C356="",N($G356)=0),"",R356/$G356)</f>
        <v/>
      </c>
      <c r="T356" s="23">
        <f>IF($C356="","",N($G356)-N(R356))</f>
        <v/>
      </c>
      <c r="U356" s="24" t="n"/>
      <c r="V356" s="22" t="n"/>
    </row>
    <row r="357">
      <c r="B357" s="13">
        <f>IF($C357="","",COUNTA($C$9:$C357))</f>
        <v/>
      </c>
      <c r="C357" s="21" t="n"/>
      <c r="D357" s="14" t="n"/>
      <c r="E357" s="14" t="n"/>
      <c r="F357" s="14" t="n"/>
      <c r="G357" s="22" t="n"/>
      <c r="H357" s="22" t="n"/>
      <c r="I357" s="22" t="n"/>
      <c r="J357" s="22" t="n"/>
      <c r="K357" s="22" t="n"/>
      <c r="L357" s="22" t="n"/>
      <c r="M357" s="22" t="n"/>
      <c r="N357" s="22" t="n"/>
      <c r="O357" s="23">
        <f>IF($C357="","",N(L357)-N(M357))</f>
        <v/>
      </c>
      <c r="P357" s="24" t="n"/>
      <c r="Q357" s="23">
        <f>IF($C357="","",N(M357)+N(N357))</f>
        <v/>
      </c>
      <c r="R357" s="23">
        <f>IF($C357="","",N(J357)+N(Q357))</f>
        <v/>
      </c>
      <c r="S357" s="25">
        <f>IF(OR($C357="",N($G357)=0),"",R357/$G357)</f>
        <v/>
      </c>
      <c r="T357" s="23">
        <f>IF($C357="","",N($G357)-N(R357))</f>
        <v/>
      </c>
      <c r="U357" s="24" t="n"/>
      <c r="V357" s="22" t="n"/>
    </row>
    <row r="358">
      <c r="B358" s="13">
        <f>IF($C358="","",COUNTA($C$9:$C358))</f>
        <v/>
      </c>
      <c r="C358" s="21" t="n"/>
      <c r="D358" s="14" t="n"/>
      <c r="E358" s="14" t="n"/>
      <c r="F358" s="14" t="n"/>
      <c r="G358" s="22" t="n"/>
      <c r="H358" s="22" t="n"/>
      <c r="I358" s="22" t="n"/>
      <c r="J358" s="22" t="n"/>
      <c r="K358" s="22" t="n"/>
      <c r="L358" s="22" t="n"/>
      <c r="M358" s="22" t="n"/>
      <c r="N358" s="22" t="n"/>
      <c r="O358" s="23">
        <f>IF($C358="","",N(L358)-N(M358))</f>
        <v/>
      </c>
      <c r="P358" s="24" t="n"/>
      <c r="Q358" s="23">
        <f>IF($C358="","",N(M358)+N(N358))</f>
        <v/>
      </c>
      <c r="R358" s="23">
        <f>IF($C358="","",N(J358)+N(Q358))</f>
        <v/>
      </c>
      <c r="S358" s="25">
        <f>IF(OR($C358="",N($G358)=0),"",R358/$G358)</f>
        <v/>
      </c>
      <c r="T358" s="23">
        <f>IF($C358="","",N($G358)-N(R358))</f>
        <v/>
      </c>
      <c r="U358" s="24" t="n"/>
      <c r="V358" s="22" t="n"/>
    </row>
    <row r="359">
      <c r="B359" s="13">
        <f>IF($C359="","",COUNTA($C$9:$C359))</f>
        <v/>
      </c>
      <c r="C359" s="21" t="n"/>
      <c r="D359" s="14" t="n"/>
      <c r="E359" s="14" t="n"/>
      <c r="F359" s="14" t="n"/>
      <c r="G359" s="22" t="n"/>
      <c r="H359" s="22" t="n"/>
      <c r="I359" s="22" t="n"/>
      <c r="J359" s="22" t="n"/>
      <c r="K359" s="22" t="n"/>
      <c r="L359" s="22" t="n"/>
      <c r="M359" s="22" t="n"/>
      <c r="N359" s="22" t="n"/>
      <c r="O359" s="23">
        <f>IF($C359="","",N(L359)-N(M359))</f>
        <v/>
      </c>
      <c r="P359" s="24" t="n"/>
      <c r="Q359" s="23">
        <f>IF($C359="","",N(M359)+N(N359))</f>
        <v/>
      </c>
      <c r="R359" s="23">
        <f>IF($C359="","",N(J359)+N(Q359))</f>
        <v/>
      </c>
      <c r="S359" s="25">
        <f>IF(OR($C359="",N($G359)=0),"",R359/$G359)</f>
        <v/>
      </c>
      <c r="T359" s="23">
        <f>IF($C359="","",N($G359)-N(R359))</f>
        <v/>
      </c>
      <c r="U359" s="24" t="n"/>
      <c r="V359" s="22" t="n"/>
    </row>
    <row r="360">
      <c r="B360" s="13">
        <f>IF($C360="","",COUNTA($C$9:$C360))</f>
        <v/>
      </c>
      <c r="C360" s="21" t="n"/>
      <c r="D360" s="14" t="n"/>
      <c r="E360" s="14" t="n"/>
      <c r="F360" s="14" t="n"/>
      <c r="G360" s="22" t="n"/>
      <c r="H360" s="22" t="n"/>
      <c r="I360" s="22" t="n"/>
      <c r="J360" s="22" t="n"/>
      <c r="K360" s="22" t="n"/>
      <c r="L360" s="22" t="n"/>
      <c r="M360" s="22" t="n"/>
      <c r="N360" s="22" t="n"/>
      <c r="O360" s="23">
        <f>IF($C360="","",N(L360)-N(M360))</f>
        <v/>
      </c>
      <c r="P360" s="24" t="n"/>
      <c r="Q360" s="23">
        <f>IF($C360="","",N(M360)+N(N360))</f>
        <v/>
      </c>
      <c r="R360" s="23">
        <f>IF($C360="","",N(J360)+N(Q360))</f>
        <v/>
      </c>
      <c r="S360" s="25">
        <f>IF(OR($C360="",N($G360)=0),"",R360/$G360)</f>
        <v/>
      </c>
      <c r="T360" s="23">
        <f>IF($C360="","",N($G360)-N(R360))</f>
        <v/>
      </c>
      <c r="U360" s="24" t="n"/>
      <c r="V360" s="22" t="n"/>
    </row>
    <row r="361">
      <c r="B361" s="13">
        <f>IF($C361="","",COUNTA($C$9:$C361))</f>
        <v/>
      </c>
      <c r="C361" s="21" t="n"/>
      <c r="D361" s="14" t="n"/>
      <c r="E361" s="14" t="n"/>
      <c r="F361" s="14" t="n"/>
      <c r="G361" s="22" t="n"/>
      <c r="H361" s="22" t="n"/>
      <c r="I361" s="22" t="n"/>
      <c r="J361" s="22" t="n"/>
      <c r="K361" s="22" t="n"/>
      <c r="L361" s="22" t="n"/>
      <c r="M361" s="22" t="n"/>
      <c r="N361" s="22" t="n"/>
      <c r="O361" s="23">
        <f>IF($C361="","",N(L361)-N(M361))</f>
        <v/>
      </c>
      <c r="P361" s="24" t="n"/>
      <c r="Q361" s="23">
        <f>IF($C361="","",N(M361)+N(N361))</f>
        <v/>
      </c>
      <c r="R361" s="23">
        <f>IF($C361="","",N(J361)+N(Q361))</f>
        <v/>
      </c>
      <c r="S361" s="25">
        <f>IF(OR($C361="",N($G361)=0),"",R361/$G361)</f>
        <v/>
      </c>
      <c r="T361" s="23">
        <f>IF($C361="","",N($G361)-N(R361))</f>
        <v/>
      </c>
      <c r="U361" s="24" t="n"/>
      <c r="V361" s="22" t="n"/>
    </row>
    <row r="362">
      <c r="B362" s="13">
        <f>IF($C362="","",COUNTA($C$9:$C362))</f>
        <v/>
      </c>
      <c r="C362" s="21" t="n"/>
      <c r="D362" s="14" t="n"/>
      <c r="E362" s="14" t="n"/>
      <c r="F362" s="14" t="n"/>
      <c r="G362" s="22" t="n"/>
      <c r="H362" s="22" t="n"/>
      <c r="I362" s="22" t="n"/>
      <c r="J362" s="22" t="n"/>
      <c r="K362" s="22" t="n"/>
      <c r="L362" s="22" t="n"/>
      <c r="M362" s="22" t="n"/>
      <c r="N362" s="22" t="n"/>
      <c r="O362" s="23">
        <f>IF($C362="","",N(L362)-N(M362))</f>
        <v/>
      </c>
      <c r="P362" s="24" t="n"/>
      <c r="Q362" s="23">
        <f>IF($C362="","",N(M362)+N(N362))</f>
        <v/>
      </c>
      <c r="R362" s="23">
        <f>IF($C362="","",N(J362)+N(Q362))</f>
        <v/>
      </c>
      <c r="S362" s="25">
        <f>IF(OR($C362="",N($G362)=0),"",R362/$G362)</f>
        <v/>
      </c>
      <c r="T362" s="23">
        <f>IF($C362="","",N($G362)-N(R362))</f>
        <v/>
      </c>
      <c r="U362" s="24" t="n"/>
      <c r="V362" s="22" t="n"/>
    </row>
    <row r="363">
      <c r="B363" s="13">
        <f>IF($C363="","",COUNTA($C$9:$C363))</f>
        <v/>
      </c>
      <c r="C363" s="21" t="n"/>
      <c r="D363" s="14" t="n"/>
      <c r="E363" s="14" t="n"/>
      <c r="F363" s="14" t="n"/>
      <c r="G363" s="22" t="n"/>
      <c r="H363" s="22" t="n"/>
      <c r="I363" s="22" t="n"/>
      <c r="J363" s="22" t="n"/>
      <c r="K363" s="22" t="n"/>
      <c r="L363" s="22" t="n"/>
      <c r="M363" s="22" t="n"/>
      <c r="N363" s="22" t="n"/>
      <c r="O363" s="23">
        <f>IF($C363="","",N(L363)-N(M363))</f>
        <v/>
      </c>
      <c r="P363" s="24" t="n"/>
      <c r="Q363" s="23">
        <f>IF($C363="","",N(M363)+N(N363))</f>
        <v/>
      </c>
      <c r="R363" s="23">
        <f>IF($C363="","",N(J363)+N(Q363))</f>
        <v/>
      </c>
      <c r="S363" s="25">
        <f>IF(OR($C363="",N($G363)=0),"",R363/$G363)</f>
        <v/>
      </c>
      <c r="T363" s="23">
        <f>IF($C363="","",N($G363)-N(R363))</f>
        <v/>
      </c>
      <c r="U363" s="24" t="n"/>
      <c r="V363" s="22" t="n"/>
    </row>
    <row r="364">
      <c r="B364" s="13">
        <f>IF($C364="","",COUNTA($C$9:$C364))</f>
        <v/>
      </c>
      <c r="C364" s="21" t="n"/>
      <c r="D364" s="14" t="n"/>
      <c r="E364" s="14" t="n"/>
      <c r="F364" s="14" t="n"/>
      <c r="G364" s="22" t="n"/>
      <c r="H364" s="22" t="n"/>
      <c r="I364" s="22" t="n"/>
      <c r="J364" s="22" t="n"/>
      <c r="K364" s="22" t="n"/>
      <c r="L364" s="22" t="n"/>
      <c r="M364" s="22" t="n"/>
      <c r="N364" s="22" t="n"/>
      <c r="O364" s="23">
        <f>IF($C364="","",N(L364)-N(M364))</f>
        <v/>
      </c>
      <c r="P364" s="24" t="n"/>
      <c r="Q364" s="23">
        <f>IF($C364="","",N(M364)+N(N364))</f>
        <v/>
      </c>
      <c r="R364" s="23">
        <f>IF($C364="","",N(J364)+N(Q364))</f>
        <v/>
      </c>
      <c r="S364" s="25">
        <f>IF(OR($C364="",N($G364)=0),"",R364/$G364)</f>
        <v/>
      </c>
      <c r="T364" s="23">
        <f>IF($C364="","",N($G364)-N(R364))</f>
        <v/>
      </c>
      <c r="U364" s="24" t="n"/>
      <c r="V364" s="22" t="n"/>
    </row>
    <row r="365">
      <c r="B365" s="13">
        <f>IF($C365="","",COUNTA($C$9:$C365))</f>
        <v/>
      </c>
      <c r="C365" s="21" t="n"/>
      <c r="D365" s="14" t="n"/>
      <c r="E365" s="14" t="n"/>
      <c r="F365" s="14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3">
        <f>IF($C365="","",N(L365)-N(M365))</f>
        <v/>
      </c>
      <c r="P365" s="24" t="n"/>
      <c r="Q365" s="23">
        <f>IF($C365="","",N(M365)+N(N365))</f>
        <v/>
      </c>
      <c r="R365" s="23">
        <f>IF($C365="","",N(J365)+N(Q365))</f>
        <v/>
      </c>
      <c r="S365" s="25">
        <f>IF(OR($C365="",N($G365)=0),"",R365/$G365)</f>
        <v/>
      </c>
      <c r="T365" s="23">
        <f>IF($C365="","",N($G365)-N(R365))</f>
        <v/>
      </c>
      <c r="U365" s="24" t="n"/>
      <c r="V365" s="22" t="n"/>
    </row>
    <row r="366">
      <c r="B366" s="13">
        <f>IF($C366="","",COUNTA($C$9:$C366))</f>
        <v/>
      </c>
      <c r="C366" s="21" t="n"/>
      <c r="D366" s="14" t="n"/>
      <c r="E366" s="14" t="n"/>
      <c r="F366" s="14" t="n"/>
      <c r="G366" s="22" t="n"/>
      <c r="H366" s="22" t="n"/>
      <c r="I366" s="22" t="n"/>
      <c r="J366" s="22" t="n"/>
      <c r="K366" s="22" t="n"/>
      <c r="L366" s="22" t="n"/>
      <c r="M366" s="22" t="n"/>
      <c r="N366" s="22" t="n"/>
      <c r="O366" s="23">
        <f>IF($C366="","",N(L366)-N(M366))</f>
        <v/>
      </c>
      <c r="P366" s="24" t="n"/>
      <c r="Q366" s="23">
        <f>IF($C366="","",N(M366)+N(N366))</f>
        <v/>
      </c>
      <c r="R366" s="23">
        <f>IF($C366="","",N(J366)+N(Q366))</f>
        <v/>
      </c>
      <c r="S366" s="25">
        <f>IF(OR($C366="",N($G366)=0),"",R366/$G366)</f>
        <v/>
      </c>
      <c r="T366" s="23">
        <f>IF($C366="","",N($G366)-N(R366))</f>
        <v/>
      </c>
      <c r="U366" s="24" t="n"/>
      <c r="V366" s="22" t="n"/>
    </row>
    <row r="367">
      <c r="B367" s="13">
        <f>IF($C367="","",COUNTA($C$9:$C367))</f>
        <v/>
      </c>
      <c r="C367" s="21" t="n"/>
      <c r="D367" s="14" t="n"/>
      <c r="E367" s="14" t="n"/>
      <c r="F367" s="14" t="n"/>
      <c r="G367" s="22" t="n"/>
      <c r="H367" s="22" t="n"/>
      <c r="I367" s="22" t="n"/>
      <c r="J367" s="22" t="n"/>
      <c r="K367" s="22" t="n"/>
      <c r="L367" s="22" t="n"/>
      <c r="M367" s="22" t="n"/>
      <c r="N367" s="22" t="n"/>
      <c r="O367" s="23">
        <f>IF($C367="","",N(L367)-N(M367))</f>
        <v/>
      </c>
      <c r="P367" s="24" t="n"/>
      <c r="Q367" s="23">
        <f>IF($C367="","",N(M367)+N(N367))</f>
        <v/>
      </c>
      <c r="R367" s="23">
        <f>IF($C367="","",N(J367)+N(Q367))</f>
        <v/>
      </c>
      <c r="S367" s="25">
        <f>IF(OR($C367="",N($G367)=0),"",R367/$G367)</f>
        <v/>
      </c>
      <c r="T367" s="23">
        <f>IF($C367="","",N($G367)-N(R367))</f>
        <v/>
      </c>
      <c r="U367" s="24" t="n"/>
      <c r="V367" s="22" t="n"/>
    </row>
    <row r="368">
      <c r="B368" s="13">
        <f>IF($C368="","",COUNTA($C$9:$C368))</f>
        <v/>
      </c>
      <c r="C368" s="21" t="n"/>
      <c r="D368" s="14" t="n"/>
      <c r="E368" s="14" t="n"/>
      <c r="F368" s="14" t="n"/>
      <c r="G368" s="22" t="n"/>
      <c r="H368" s="22" t="n"/>
      <c r="I368" s="22" t="n"/>
      <c r="J368" s="22" t="n"/>
      <c r="K368" s="22" t="n"/>
      <c r="L368" s="22" t="n"/>
      <c r="M368" s="22" t="n"/>
      <c r="N368" s="22" t="n"/>
      <c r="O368" s="23">
        <f>IF($C368="","",N(L368)-N(M368))</f>
        <v/>
      </c>
      <c r="P368" s="24" t="n"/>
      <c r="Q368" s="23">
        <f>IF($C368="","",N(M368)+N(N368))</f>
        <v/>
      </c>
      <c r="R368" s="23">
        <f>IF($C368="","",N(J368)+N(Q368))</f>
        <v/>
      </c>
      <c r="S368" s="25">
        <f>IF(OR($C368="",N($G368)=0),"",R368/$G368)</f>
        <v/>
      </c>
      <c r="T368" s="23">
        <f>IF($C368="","",N($G368)-N(R368))</f>
        <v/>
      </c>
      <c r="U368" s="24" t="n"/>
      <c r="V368" s="22" t="n"/>
    </row>
    <row r="369">
      <c r="B369" s="13">
        <f>IF($C369="","",COUNTA($C$9:$C369))</f>
        <v/>
      </c>
      <c r="C369" s="21" t="n"/>
      <c r="D369" s="14" t="n"/>
      <c r="E369" s="14" t="n"/>
      <c r="F369" s="14" t="n"/>
      <c r="G369" s="22" t="n"/>
      <c r="H369" s="22" t="n"/>
      <c r="I369" s="22" t="n"/>
      <c r="J369" s="22" t="n"/>
      <c r="K369" s="22" t="n"/>
      <c r="L369" s="22" t="n"/>
      <c r="M369" s="22" t="n"/>
      <c r="N369" s="22" t="n"/>
      <c r="O369" s="23">
        <f>IF($C369="","",N(L369)-N(M369))</f>
        <v/>
      </c>
      <c r="P369" s="24" t="n"/>
      <c r="Q369" s="23">
        <f>IF($C369="","",N(M369)+N(N369))</f>
        <v/>
      </c>
      <c r="R369" s="23">
        <f>IF($C369="","",N(J369)+N(Q369))</f>
        <v/>
      </c>
      <c r="S369" s="25">
        <f>IF(OR($C369="",N($G369)=0),"",R369/$G369)</f>
        <v/>
      </c>
      <c r="T369" s="23">
        <f>IF($C369="","",N($G369)-N(R369))</f>
        <v/>
      </c>
      <c r="U369" s="24" t="n"/>
      <c r="V369" s="22" t="n"/>
    </row>
    <row r="370">
      <c r="B370" s="13">
        <f>IF($C370="","",COUNTA($C$9:$C370))</f>
        <v/>
      </c>
      <c r="C370" s="21" t="n"/>
      <c r="D370" s="14" t="n"/>
      <c r="E370" s="14" t="n"/>
      <c r="F370" s="14" t="n"/>
      <c r="G370" s="22" t="n"/>
      <c r="H370" s="22" t="n"/>
      <c r="I370" s="22" t="n"/>
      <c r="J370" s="22" t="n"/>
      <c r="K370" s="22" t="n"/>
      <c r="L370" s="22" t="n"/>
      <c r="M370" s="22" t="n"/>
      <c r="N370" s="22" t="n"/>
      <c r="O370" s="23">
        <f>IF($C370="","",N(L370)-N(M370))</f>
        <v/>
      </c>
      <c r="P370" s="24" t="n"/>
      <c r="Q370" s="23">
        <f>IF($C370="","",N(M370)+N(N370))</f>
        <v/>
      </c>
      <c r="R370" s="23">
        <f>IF($C370="","",N(J370)+N(Q370))</f>
        <v/>
      </c>
      <c r="S370" s="25">
        <f>IF(OR($C370="",N($G370)=0),"",R370/$G370)</f>
        <v/>
      </c>
      <c r="T370" s="23">
        <f>IF($C370="","",N($G370)-N(R370))</f>
        <v/>
      </c>
      <c r="U370" s="24" t="n"/>
      <c r="V370" s="22" t="n"/>
    </row>
    <row r="371">
      <c r="B371" s="13">
        <f>IF($C371="","",COUNTA($C$9:$C371))</f>
        <v/>
      </c>
      <c r="C371" s="21" t="n"/>
      <c r="D371" s="14" t="n"/>
      <c r="E371" s="14" t="n"/>
      <c r="F371" s="14" t="n"/>
      <c r="G371" s="22" t="n"/>
      <c r="H371" s="22" t="n"/>
      <c r="I371" s="22" t="n"/>
      <c r="J371" s="22" t="n"/>
      <c r="K371" s="22" t="n"/>
      <c r="L371" s="22" t="n"/>
      <c r="M371" s="22" t="n"/>
      <c r="N371" s="22" t="n"/>
      <c r="O371" s="23">
        <f>IF($C371="","",N(L371)-N(M371))</f>
        <v/>
      </c>
      <c r="P371" s="24" t="n"/>
      <c r="Q371" s="23">
        <f>IF($C371="","",N(M371)+N(N371))</f>
        <v/>
      </c>
      <c r="R371" s="23">
        <f>IF($C371="","",N(J371)+N(Q371))</f>
        <v/>
      </c>
      <c r="S371" s="25">
        <f>IF(OR($C371="",N($G371)=0),"",R371/$G371)</f>
        <v/>
      </c>
      <c r="T371" s="23">
        <f>IF($C371="","",N($G371)-N(R371))</f>
        <v/>
      </c>
      <c r="U371" s="24" t="n"/>
      <c r="V371" s="22" t="n"/>
    </row>
    <row r="372">
      <c r="B372" s="13">
        <f>IF($C372="","",COUNTA($C$9:$C372))</f>
        <v/>
      </c>
      <c r="C372" s="21" t="n"/>
      <c r="D372" s="14" t="n"/>
      <c r="E372" s="14" t="n"/>
      <c r="F372" s="14" t="n"/>
      <c r="G372" s="22" t="n"/>
      <c r="H372" s="22" t="n"/>
      <c r="I372" s="22" t="n"/>
      <c r="J372" s="22" t="n"/>
      <c r="K372" s="22" t="n"/>
      <c r="L372" s="22" t="n"/>
      <c r="M372" s="22" t="n"/>
      <c r="N372" s="22" t="n"/>
      <c r="O372" s="23">
        <f>IF($C372="","",N(L372)-N(M372))</f>
        <v/>
      </c>
      <c r="P372" s="24" t="n"/>
      <c r="Q372" s="23">
        <f>IF($C372="","",N(M372)+N(N372))</f>
        <v/>
      </c>
      <c r="R372" s="23">
        <f>IF($C372="","",N(J372)+N(Q372))</f>
        <v/>
      </c>
      <c r="S372" s="25">
        <f>IF(OR($C372="",N($G372)=0),"",R372/$G372)</f>
        <v/>
      </c>
      <c r="T372" s="23">
        <f>IF($C372="","",N($G372)-N(R372))</f>
        <v/>
      </c>
      <c r="U372" s="24" t="n"/>
      <c r="V372" s="22" t="n"/>
    </row>
    <row r="373">
      <c r="B373" s="13">
        <f>IF($C373="","",COUNTA($C$9:$C373))</f>
        <v/>
      </c>
      <c r="C373" s="21" t="n"/>
      <c r="D373" s="14" t="n"/>
      <c r="E373" s="14" t="n"/>
      <c r="F373" s="14" t="n"/>
      <c r="G373" s="22" t="n"/>
      <c r="H373" s="22" t="n"/>
      <c r="I373" s="22" t="n"/>
      <c r="J373" s="22" t="n"/>
      <c r="K373" s="22" t="n"/>
      <c r="L373" s="22" t="n"/>
      <c r="M373" s="22" t="n"/>
      <c r="N373" s="22" t="n"/>
      <c r="O373" s="23">
        <f>IF($C373="","",N(L373)-N(M373))</f>
        <v/>
      </c>
      <c r="P373" s="24" t="n"/>
      <c r="Q373" s="23">
        <f>IF($C373="","",N(M373)+N(N373))</f>
        <v/>
      </c>
      <c r="R373" s="23">
        <f>IF($C373="","",N(J373)+N(Q373))</f>
        <v/>
      </c>
      <c r="S373" s="25">
        <f>IF(OR($C373="",N($G373)=0),"",R373/$G373)</f>
        <v/>
      </c>
      <c r="T373" s="23">
        <f>IF($C373="","",N($G373)-N(R373))</f>
        <v/>
      </c>
      <c r="U373" s="24" t="n"/>
      <c r="V373" s="22" t="n"/>
    </row>
    <row r="374">
      <c r="B374" s="13">
        <f>IF($C374="","",COUNTA($C$9:$C374))</f>
        <v/>
      </c>
      <c r="C374" s="21" t="n"/>
      <c r="D374" s="14" t="n"/>
      <c r="E374" s="14" t="n"/>
      <c r="F374" s="14" t="n"/>
      <c r="G374" s="22" t="n"/>
      <c r="H374" s="22" t="n"/>
      <c r="I374" s="22" t="n"/>
      <c r="J374" s="22" t="n"/>
      <c r="K374" s="22" t="n"/>
      <c r="L374" s="22" t="n"/>
      <c r="M374" s="22" t="n"/>
      <c r="N374" s="22" t="n"/>
      <c r="O374" s="23">
        <f>IF($C374="","",N(L374)-N(M374))</f>
        <v/>
      </c>
      <c r="P374" s="24" t="n"/>
      <c r="Q374" s="23">
        <f>IF($C374="","",N(M374)+N(N374))</f>
        <v/>
      </c>
      <c r="R374" s="23">
        <f>IF($C374="","",N(J374)+N(Q374))</f>
        <v/>
      </c>
      <c r="S374" s="25">
        <f>IF(OR($C374="",N($G374)=0),"",R374/$G374)</f>
        <v/>
      </c>
      <c r="T374" s="23">
        <f>IF($C374="","",N($G374)-N(R374))</f>
        <v/>
      </c>
      <c r="U374" s="24" t="n"/>
      <c r="V374" s="22" t="n"/>
    </row>
    <row r="375">
      <c r="B375" s="13">
        <f>IF($C375="","",COUNTA($C$9:$C375))</f>
        <v/>
      </c>
      <c r="C375" s="21" t="n"/>
      <c r="D375" s="14" t="n"/>
      <c r="E375" s="14" t="n"/>
      <c r="F375" s="14" t="n"/>
      <c r="G375" s="22" t="n"/>
      <c r="H375" s="22" t="n"/>
      <c r="I375" s="22" t="n"/>
      <c r="J375" s="22" t="n"/>
      <c r="K375" s="22" t="n"/>
      <c r="L375" s="22" t="n"/>
      <c r="M375" s="22" t="n"/>
      <c r="N375" s="22" t="n"/>
      <c r="O375" s="23">
        <f>IF($C375="","",N(L375)-N(M375))</f>
        <v/>
      </c>
      <c r="P375" s="24" t="n"/>
      <c r="Q375" s="23">
        <f>IF($C375="","",N(M375)+N(N375))</f>
        <v/>
      </c>
      <c r="R375" s="23">
        <f>IF($C375="","",N(J375)+N(Q375))</f>
        <v/>
      </c>
      <c r="S375" s="25">
        <f>IF(OR($C375="",N($G375)=0),"",R375/$G375)</f>
        <v/>
      </c>
      <c r="T375" s="23">
        <f>IF($C375="","",N($G375)-N(R375))</f>
        <v/>
      </c>
      <c r="U375" s="24" t="n"/>
      <c r="V375" s="22" t="n"/>
    </row>
    <row r="376">
      <c r="B376" s="13">
        <f>IF($C376="","",COUNTA($C$9:$C376))</f>
        <v/>
      </c>
      <c r="C376" s="21" t="n"/>
      <c r="D376" s="14" t="n"/>
      <c r="E376" s="14" t="n"/>
      <c r="F376" s="14" t="n"/>
      <c r="G376" s="22" t="n"/>
      <c r="H376" s="22" t="n"/>
      <c r="I376" s="22" t="n"/>
      <c r="J376" s="22" t="n"/>
      <c r="K376" s="22" t="n"/>
      <c r="L376" s="22" t="n"/>
      <c r="M376" s="22" t="n"/>
      <c r="N376" s="22" t="n"/>
      <c r="O376" s="23">
        <f>IF($C376="","",N(L376)-N(M376))</f>
        <v/>
      </c>
      <c r="P376" s="24" t="n"/>
      <c r="Q376" s="23">
        <f>IF($C376="","",N(M376)+N(N376))</f>
        <v/>
      </c>
      <c r="R376" s="23">
        <f>IF($C376="","",N(J376)+N(Q376))</f>
        <v/>
      </c>
      <c r="S376" s="25">
        <f>IF(OR($C376="",N($G376)=0),"",R376/$G376)</f>
        <v/>
      </c>
      <c r="T376" s="23">
        <f>IF($C376="","",N($G376)-N(R376))</f>
        <v/>
      </c>
      <c r="U376" s="24" t="n"/>
      <c r="V376" s="22" t="n"/>
    </row>
    <row r="377">
      <c r="B377" s="13">
        <f>IF($C377="","",COUNTA($C$9:$C377))</f>
        <v/>
      </c>
      <c r="C377" s="21" t="n"/>
      <c r="D377" s="14" t="n"/>
      <c r="E377" s="14" t="n"/>
      <c r="F377" s="14" t="n"/>
      <c r="G377" s="22" t="n"/>
      <c r="H377" s="22" t="n"/>
      <c r="I377" s="22" t="n"/>
      <c r="J377" s="22" t="n"/>
      <c r="K377" s="22" t="n"/>
      <c r="L377" s="22" t="n"/>
      <c r="M377" s="22" t="n"/>
      <c r="N377" s="22" t="n"/>
      <c r="O377" s="23">
        <f>IF($C377="","",N(L377)-N(M377))</f>
        <v/>
      </c>
      <c r="P377" s="24" t="n"/>
      <c r="Q377" s="23">
        <f>IF($C377="","",N(M377)+N(N377))</f>
        <v/>
      </c>
      <c r="R377" s="23">
        <f>IF($C377="","",N(J377)+N(Q377))</f>
        <v/>
      </c>
      <c r="S377" s="25">
        <f>IF(OR($C377="",N($G377)=0),"",R377/$G377)</f>
        <v/>
      </c>
      <c r="T377" s="23">
        <f>IF($C377="","",N($G377)-N(R377))</f>
        <v/>
      </c>
      <c r="U377" s="24" t="n"/>
      <c r="V377" s="22" t="n"/>
    </row>
    <row r="378">
      <c r="B378" s="13">
        <f>IF($C378="","",COUNTA($C$9:$C378))</f>
        <v/>
      </c>
      <c r="C378" s="21" t="n"/>
      <c r="D378" s="14" t="n"/>
      <c r="E378" s="14" t="n"/>
      <c r="F378" s="14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3">
        <f>IF($C378="","",N(L378)-N(M378))</f>
        <v/>
      </c>
      <c r="P378" s="24" t="n"/>
      <c r="Q378" s="23">
        <f>IF($C378="","",N(M378)+N(N378))</f>
        <v/>
      </c>
      <c r="R378" s="23">
        <f>IF($C378="","",N(J378)+N(Q378))</f>
        <v/>
      </c>
      <c r="S378" s="25">
        <f>IF(OR($C378="",N($G378)=0),"",R378/$G378)</f>
        <v/>
      </c>
      <c r="T378" s="23">
        <f>IF($C378="","",N($G378)-N(R378))</f>
        <v/>
      </c>
      <c r="U378" s="24" t="n"/>
      <c r="V378" s="22" t="n"/>
    </row>
    <row r="379">
      <c r="B379" s="13">
        <f>IF($C379="","",COUNTA($C$9:$C379))</f>
        <v/>
      </c>
      <c r="C379" s="21" t="n"/>
      <c r="D379" s="14" t="n"/>
      <c r="E379" s="14" t="n"/>
      <c r="F379" s="14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3">
        <f>IF($C379="","",N(L379)-N(M379))</f>
        <v/>
      </c>
      <c r="P379" s="24" t="n"/>
      <c r="Q379" s="23">
        <f>IF($C379="","",N(M379)+N(N379))</f>
        <v/>
      </c>
      <c r="R379" s="23">
        <f>IF($C379="","",N(J379)+N(Q379))</f>
        <v/>
      </c>
      <c r="S379" s="25">
        <f>IF(OR($C379="",N($G379)=0),"",R379/$G379)</f>
        <v/>
      </c>
      <c r="T379" s="23">
        <f>IF($C379="","",N($G379)-N(R379))</f>
        <v/>
      </c>
      <c r="U379" s="24" t="n"/>
      <c r="V379" s="22" t="n"/>
    </row>
    <row r="380">
      <c r="B380" s="13">
        <f>IF($C380="","",COUNTA($C$9:$C380))</f>
        <v/>
      </c>
      <c r="C380" s="21" t="n"/>
      <c r="D380" s="14" t="n"/>
      <c r="E380" s="14" t="n"/>
      <c r="F380" s="14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3">
        <f>IF($C380="","",N(L380)-N(M380))</f>
        <v/>
      </c>
      <c r="P380" s="24" t="n"/>
      <c r="Q380" s="23">
        <f>IF($C380="","",N(M380)+N(N380))</f>
        <v/>
      </c>
      <c r="R380" s="23">
        <f>IF($C380="","",N(J380)+N(Q380))</f>
        <v/>
      </c>
      <c r="S380" s="25">
        <f>IF(OR($C380="",N($G380)=0),"",R380/$G380)</f>
        <v/>
      </c>
      <c r="T380" s="23">
        <f>IF($C380="","",N($G380)-N(R380))</f>
        <v/>
      </c>
      <c r="U380" s="24" t="n"/>
      <c r="V380" s="22" t="n"/>
    </row>
    <row r="381">
      <c r="B381" s="13">
        <f>IF($C381="","",COUNTA($C$9:$C381))</f>
        <v/>
      </c>
      <c r="C381" s="21" t="n"/>
      <c r="D381" s="14" t="n"/>
      <c r="E381" s="14" t="n"/>
      <c r="F381" s="14" t="n"/>
      <c r="G381" s="22" t="n"/>
      <c r="H381" s="22" t="n"/>
      <c r="I381" s="22" t="n"/>
      <c r="J381" s="22" t="n"/>
      <c r="K381" s="22" t="n"/>
      <c r="L381" s="22" t="n"/>
      <c r="M381" s="22" t="n"/>
      <c r="N381" s="22" t="n"/>
      <c r="O381" s="23">
        <f>IF($C381="","",N(L381)-N(M381))</f>
        <v/>
      </c>
      <c r="P381" s="24" t="n"/>
      <c r="Q381" s="23">
        <f>IF($C381="","",N(M381)+N(N381))</f>
        <v/>
      </c>
      <c r="R381" s="23">
        <f>IF($C381="","",N(J381)+N(Q381))</f>
        <v/>
      </c>
      <c r="S381" s="25">
        <f>IF(OR($C381="",N($G381)=0),"",R381/$G381)</f>
        <v/>
      </c>
      <c r="T381" s="23">
        <f>IF($C381="","",N($G381)-N(R381))</f>
        <v/>
      </c>
      <c r="U381" s="24" t="n"/>
      <c r="V381" s="22" t="n"/>
    </row>
    <row r="382">
      <c r="B382" s="13">
        <f>IF($C382="","",COUNTA($C$9:$C382))</f>
        <v/>
      </c>
      <c r="C382" s="21" t="n"/>
      <c r="D382" s="14" t="n"/>
      <c r="E382" s="14" t="n"/>
      <c r="F382" s="14" t="n"/>
      <c r="G382" s="22" t="n"/>
      <c r="H382" s="22" t="n"/>
      <c r="I382" s="22" t="n"/>
      <c r="J382" s="22" t="n"/>
      <c r="K382" s="22" t="n"/>
      <c r="L382" s="22" t="n"/>
      <c r="M382" s="22" t="n"/>
      <c r="N382" s="22" t="n"/>
      <c r="O382" s="23">
        <f>IF($C382="","",N(L382)-N(M382))</f>
        <v/>
      </c>
      <c r="P382" s="24" t="n"/>
      <c r="Q382" s="23">
        <f>IF($C382="","",N(M382)+N(N382))</f>
        <v/>
      </c>
      <c r="R382" s="23">
        <f>IF($C382="","",N(J382)+N(Q382))</f>
        <v/>
      </c>
      <c r="S382" s="25">
        <f>IF(OR($C382="",N($G382)=0),"",R382/$G382)</f>
        <v/>
      </c>
      <c r="T382" s="23">
        <f>IF($C382="","",N($G382)-N(R382))</f>
        <v/>
      </c>
      <c r="U382" s="24" t="n"/>
      <c r="V382" s="22" t="n"/>
    </row>
    <row r="383">
      <c r="B383" s="13">
        <f>IF($C383="","",COUNTA($C$9:$C383))</f>
        <v/>
      </c>
      <c r="C383" s="21" t="n"/>
      <c r="D383" s="14" t="n"/>
      <c r="E383" s="14" t="n"/>
      <c r="F383" s="14" t="n"/>
      <c r="G383" s="22" t="n"/>
      <c r="H383" s="22" t="n"/>
      <c r="I383" s="22" t="n"/>
      <c r="J383" s="22" t="n"/>
      <c r="K383" s="22" t="n"/>
      <c r="L383" s="22" t="n"/>
      <c r="M383" s="22" t="n"/>
      <c r="N383" s="22" t="n"/>
      <c r="O383" s="23">
        <f>IF($C383="","",N(L383)-N(M383))</f>
        <v/>
      </c>
      <c r="P383" s="24" t="n"/>
      <c r="Q383" s="23">
        <f>IF($C383="","",N(M383)+N(N383))</f>
        <v/>
      </c>
      <c r="R383" s="23">
        <f>IF($C383="","",N(J383)+N(Q383))</f>
        <v/>
      </c>
      <c r="S383" s="25">
        <f>IF(OR($C383="",N($G383)=0),"",R383/$G383)</f>
        <v/>
      </c>
      <c r="T383" s="23">
        <f>IF($C383="","",N($G383)-N(R383))</f>
        <v/>
      </c>
      <c r="U383" s="24" t="n"/>
      <c r="V383" s="22" t="n"/>
    </row>
    <row r="384">
      <c r="B384" s="13">
        <f>IF($C384="","",COUNTA($C$9:$C384))</f>
        <v/>
      </c>
      <c r="C384" s="21" t="n"/>
      <c r="D384" s="14" t="n"/>
      <c r="E384" s="14" t="n"/>
      <c r="F384" s="14" t="n"/>
      <c r="G384" s="22" t="n"/>
      <c r="H384" s="22" t="n"/>
      <c r="I384" s="22" t="n"/>
      <c r="J384" s="22" t="n"/>
      <c r="K384" s="22" t="n"/>
      <c r="L384" s="22" t="n"/>
      <c r="M384" s="22" t="n"/>
      <c r="N384" s="22" t="n"/>
      <c r="O384" s="23">
        <f>IF($C384="","",N(L384)-N(M384))</f>
        <v/>
      </c>
      <c r="P384" s="24" t="n"/>
      <c r="Q384" s="23">
        <f>IF($C384="","",N(M384)+N(N384))</f>
        <v/>
      </c>
      <c r="R384" s="23">
        <f>IF($C384="","",N(J384)+N(Q384))</f>
        <v/>
      </c>
      <c r="S384" s="25">
        <f>IF(OR($C384="",N($G384)=0),"",R384/$G384)</f>
        <v/>
      </c>
      <c r="T384" s="23">
        <f>IF($C384="","",N($G384)-N(R384))</f>
        <v/>
      </c>
      <c r="U384" s="24" t="n"/>
      <c r="V384" s="22" t="n"/>
    </row>
    <row r="385">
      <c r="B385" s="13">
        <f>IF($C385="","",COUNTA($C$9:$C385))</f>
        <v/>
      </c>
      <c r="C385" s="21" t="n"/>
      <c r="D385" s="14" t="n"/>
      <c r="E385" s="14" t="n"/>
      <c r="F385" s="14" t="n"/>
      <c r="G385" s="22" t="n"/>
      <c r="H385" s="22" t="n"/>
      <c r="I385" s="22" t="n"/>
      <c r="J385" s="22" t="n"/>
      <c r="K385" s="22" t="n"/>
      <c r="L385" s="22" t="n"/>
      <c r="M385" s="22" t="n"/>
      <c r="N385" s="22" t="n"/>
      <c r="O385" s="23">
        <f>IF($C385="","",N(L385)-N(M385))</f>
        <v/>
      </c>
      <c r="P385" s="24" t="n"/>
      <c r="Q385" s="23">
        <f>IF($C385="","",N(M385)+N(N385))</f>
        <v/>
      </c>
      <c r="R385" s="23">
        <f>IF($C385="","",N(J385)+N(Q385))</f>
        <v/>
      </c>
      <c r="S385" s="25">
        <f>IF(OR($C385="",N($G385)=0),"",R385/$G385)</f>
        <v/>
      </c>
      <c r="T385" s="23">
        <f>IF($C385="","",N($G385)-N(R385))</f>
        <v/>
      </c>
      <c r="U385" s="24" t="n"/>
      <c r="V385" s="22" t="n"/>
    </row>
    <row r="386">
      <c r="B386" s="13">
        <f>IF($C386="","",COUNTA($C$9:$C386))</f>
        <v/>
      </c>
      <c r="C386" s="21" t="n"/>
      <c r="D386" s="14" t="n"/>
      <c r="E386" s="14" t="n"/>
      <c r="F386" s="14" t="n"/>
      <c r="G386" s="22" t="n"/>
      <c r="H386" s="22" t="n"/>
      <c r="I386" s="22" t="n"/>
      <c r="J386" s="22" t="n"/>
      <c r="K386" s="22" t="n"/>
      <c r="L386" s="22" t="n"/>
      <c r="M386" s="22" t="n"/>
      <c r="N386" s="22" t="n"/>
      <c r="O386" s="23">
        <f>IF($C386="","",N(L386)-N(M386))</f>
        <v/>
      </c>
      <c r="P386" s="24" t="n"/>
      <c r="Q386" s="23">
        <f>IF($C386="","",N(M386)+N(N386))</f>
        <v/>
      </c>
      <c r="R386" s="23">
        <f>IF($C386="","",N(J386)+N(Q386))</f>
        <v/>
      </c>
      <c r="S386" s="25">
        <f>IF(OR($C386="",N($G386)=0),"",R386/$G386)</f>
        <v/>
      </c>
      <c r="T386" s="23">
        <f>IF($C386="","",N($G386)-N(R386))</f>
        <v/>
      </c>
      <c r="U386" s="24" t="n"/>
      <c r="V386" s="22" t="n"/>
    </row>
    <row r="387">
      <c r="B387" s="13">
        <f>IF($C387="","",COUNTA($C$9:$C387))</f>
        <v/>
      </c>
      <c r="C387" s="21" t="n"/>
      <c r="D387" s="14" t="n"/>
      <c r="E387" s="14" t="n"/>
      <c r="F387" s="14" t="n"/>
      <c r="G387" s="22" t="n"/>
      <c r="H387" s="22" t="n"/>
      <c r="I387" s="22" t="n"/>
      <c r="J387" s="22" t="n"/>
      <c r="K387" s="22" t="n"/>
      <c r="L387" s="22" t="n"/>
      <c r="M387" s="22" t="n"/>
      <c r="N387" s="22" t="n"/>
      <c r="O387" s="23">
        <f>IF($C387="","",N(L387)-N(M387))</f>
        <v/>
      </c>
      <c r="P387" s="24" t="n"/>
      <c r="Q387" s="23">
        <f>IF($C387="","",N(M387)+N(N387))</f>
        <v/>
      </c>
      <c r="R387" s="23">
        <f>IF($C387="","",N(J387)+N(Q387))</f>
        <v/>
      </c>
      <c r="S387" s="25">
        <f>IF(OR($C387="",N($G387)=0),"",R387/$G387)</f>
        <v/>
      </c>
      <c r="T387" s="23">
        <f>IF($C387="","",N($G387)-N(R387))</f>
        <v/>
      </c>
      <c r="U387" s="24" t="n"/>
      <c r="V387" s="22" t="n"/>
    </row>
    <row r="388">
      <c r="B388" s="13">
        <f>IF($C388="","",COUNTA($C$9:$C388))</f>
        <v/>
      </c>
      <c r="C388" s="21" t="n"/>
      <c r="D388" s="14" t="n"/>
      <c r="E388" s="14" t="n"/>
      <c r="F388" s="14" t="n"/>
      <c r="G388" s="22" t="n"/>
      <c r="H388" s="22" t="n"/>
      <c r="I388" s="22" t="n"/>
      <c r="J388" s="22" t="n"/>
      <c r="K388" s="22" t="n"/>
      <c r="L388" s="22" t="n"/>
      <c r="M388" s="22" t="n"/>
      <c r="N388" s="22" t="n"/>
      <c r="O388" s="23">
        <f>IF($C388="","",N(L388)-N(M388))</f>
        <v/>
      </c>
      <c r="P388" s="24" t="n"/>
      <c r="Q388" s="23">
        <f>IF($C388="","",N(M388)+N(N388))</f>
        <v/>
      </c>
      <c r="R388" s="23">
        <f>IF($C388="","",N(J388)+N(Q388))</f>
        <v/>
      </c>
      <c r="S388" s="25">
        <f>IF(OR($C388="",N($G388)=0),"",R388/$G388)</f>
        <v/>
      </c>
      <c r="T388" s="23">
        <f>IF($C388="","",N($G388)-N(R388))</f>
        <v/>
      </c>
      <c r="U388" s="24" t="n"/>
      <c r="V388" s="22" t="n"/>
    </row>
    <row r="389">
      <c r="B389" s="13">
        <f>IF($C389="","",COUNTA($C$9:$C389))</f>
        <v/>
      </c>
      <c r="C389" s="21" t="n"/>
      <c r="D389" s="14" t="n"/>
      <c r="E389" s="14" t="n"/>
      <c r="F389" s="14" t="n"/>
      <c r="G389" s="22" t="n"/>
      <c r="H389" s="22" t="n"/>
      <c r="I389" s="22" t="n"/>
      <c r="J389" s="22" t="n"/>
      <c r="K389" s="22" t="n"/>
      <c r="L389" s="22" t="n"/>
      <c r="M389" s="22" t="n"/>
      <c r="N389" s="22" t="n"/>
      <c r="O389" s="23">
        <f>IF($C389="","",N(L389)-N(M389))</f>
        <v/>
      </c>
      <c r="P389" s="24" t="n"/>
      <c r="Q389" s="23">
        <f>IF($C389="","",N(M389)+N(N389))</f>
        <v/>
      </c>
      <c r="R389" s="23">
        <f>IF($C389="","",N(J389)+N(Q389))</f>
        <v/>
      </c>
      <c r="S389" s="25">
        <f>IF(OR($C389="",N($G389)=0),"",R389/$G389)</f>
        <v/>
      </c>
      <c r="T389" s="23">
        <f>IF($C389="","",N($G389)-N(R389))</f>
        <v/>
      </c>
      <c r="U389" s="24" t="n"/>
      <c r="V389" s="22" t="n"/>
    </row>
    <row r="390">
      <c r="B390" s="13">
        <f>IF($C390="","",COUNTA($C$9:$C390))</f>
        <v/>
      </c>
      <c r="C390" s="21" t="n"/>
      <c r="D390" s="14" t="n"/>
      <c r="E390" s="14" t="n"/>
      <c r="F390" s="14" t="n"/>
      <c r="G390" s="22" t="n"/>
      <c r="H390" s="22" t="n"/>
      <c r="I390" s="22" t="n"/>
      <c r="J390" s="22" t="n"/>
      <c r="K390" s="22" t="n"/>
      <c r="L390" s="22" t="n"/>
      <c r="M390" s="22" t="n"/>
      <c r="N390" s="22" t="n"/>
      <c r="O390" s="23">
        <f>IF($C390="","",N(L390)-N(M390))</f>
        <v/>
      </c>
      <c r="P390" s="24" t="n"/>
      <c r="Q390" s="23">
        <f>IF($C390="","",N(M390)+N(N390))</f>
        <v/>
      </c>
      <c r="R390" s="23">
        <f>IF($C390="","",N(J390)+N(Q390))</f>
        <v/>
      </c>
      <c r="S390" s="25">
        <f>IF(OR($C390="",N($G390)=0),"",R390/$G390)</f>
        <v/>
      </c>
      <c r="T390" s="23">
        <f>IF($C390="","",N($G390)-N(R390))</f>
        <v/>
      </c>
      <c r="U390" s="24" t="n"/>
      <c r="V390" s="22" t="n"/>
    </row>
    <row r="391">
      <c r="B391" s="13">
        <f>IF($C391="","",COUNTA($C$9:$C391))</f>
        <v/>
      </c>
      <c r="C391" s="21" t="n"/>
      <c r="D391" s="14" t="n"/>
      <c r="E391" s="14" t="n"/>
      <c r="F391" s="14" t="n"/>
      <c r="G391" s="22" t="n"/>
      <c r="H391" s="22" t="n"/>
      <c r="I391" s="22" t="n"/>
      <c r="J391" s="22" t="n"/>
      <c r="K391" s="22" t="n"/>
      <c r="L391" s="22" t="n"/>
      <c r="M391" s="22" t="n"/>
      <c r="N391" s="22" t="n"/>
      <c r="O391" s="23">
        <f>IF($C391="","",N(L391)-N(M391))</f>
        <v/>
      </c>
      <c r="P391" s="24" t="n"/>
      <c r="Q391" s="23">
        <f>IF($C391="","",N(M391)+N(N391))</f>
        <v/>
      </c>
      <c r="R391" s="23">
        <f>IF($C391="","",N(J391)+N(Q391))</f>
        <v/>
      </c>
      <c r="S391" s="25">
        <f>IF(OR($C391="",N($G391)=0),"",R391/$G391)</f>
        <v/>
      </c>
      <c r="T391" s="23">
        <f>IF($C391="","",N($G391)-N(R391))</f>
        <v/>
      </c>
      <c r="U391" s="24" t="n"/>
      <c r="V391" s="22" t="n"/>
    </row>
    <row r="392">
      <c r="B392" s="13">
        <f>IF($C392="","",COUNTA($C$9:$C392))</f>
        <v/>
      </c>
      <c r="C392" s="21" t="n"/>
      <c r="D392" s="14" t="n"/>
      <c r="E392" s="14" t="n"/>
      <c r="F392" s="14" t="n"/>
      <c r="G392" s="22" t="n"/>
      <c r="H392" s="22" t="n"/>
      <c r="I392" s="22" t="n"/>
      <c r="J392" s="22" t="n"/>
      <c r="K392" s="22" t="n"/>
      <c r="L392" s="22" t="n"/>
      <c r="M392" s="22" t="n"/>
      <c r="N392" s="22" t="n"/>
      <c r="O392" s="23">
        <f>IF($C392="","",N(L392)-N(M392))</f>
        <v/>
      </c>
      <c r="P392" s="24" t="n"/>
      <c r="Q392" s="23">
        <f>IF($C392="","",N(M392)+N(N392))</f>
        <v/>
      </c>
      <c r="R392" s="23">
        <f>IF($C392="","",N(J392)+N(Q392))</f>
        <v/>
      </c>
      <c r="S392" s="25">
        <f>IF(OR($C392="",N($G392)=0),"",R392/$G392)</f>
        <v/>
      </c>
      <c r="T392" s="23">
        <f>IF($C392="","",N($G392)-N(R392))</f>
        <v/>
      </c>
      <c r="U392" s="24" t="n"/>
      <c r="V392" s="22" t="n"/>
    </row>
    <row r="393">
      <c r="B393" s="13">
        <f>IF($C393="","",COUNTA($C$9:$C393))</f>
        <v/>
      </c>
      <c r="C393" s="21" t="n"/>
      <c r="D393" s="14" t="n"/>
      <c r="E393" s="14" t="n"/>
      <c r="F393" s="14" t="n"/>
      <c r="G393" s="22" t="n"/>
      <c r="H393" s="22" t="n"/>
      <c r="I393" s="22" t="n"/>
      <c r="J393" s="22" t="n"/>
      <c r="K393" s="22" t="n"/>
      <c r="L393" s="22" t="n"/>
      <c r="M393" s="22" t="n"/>
      <c r="N393" s="22" t="n"/>
      <c r="O393" s="23">
        <f>IF($C393="","",N(L393)-N(M393))</f>
        <v/>
      </c>
      <c r="P393" s="24" t="n"/>
      <c r="Q393" s="23">
        <f>IF($C393="","",N(M393)+N(N393))</f>
        <v/>
      </c>
      <c r="R393" s="23">
        <f>IF($C393="","",N(J393)+N(Q393))</f>
        <v/>
      </c>
      <c r="S393" s="25">
        <f>IF(OR($C393="",N($G393)=0),"",R393/$G393)</f>
        <v/>
      </c>
      <c r="T393" s="23">
        <f>IF($C393="","",N($G393)-N(R393))</f>
        <v/>
      </c>
      <c r="U393" s="24" t="n"/>
      <c r="V393" s="22" t="n"/>
    </row>
    <row r="394">
      <c r="B394" s="13">
        <f>IF($C394="","",COUNTA($C$9:$C394))</f>
        <v/>
      </c>
      <c r="C394" s="21" t="n"/>
      <c r="D394" s="14" t="n"/>
      <c r="E394" s="14" t="n"/>
      <c r="F394" s="14" t="n"/>
      <c r="G394" s="22" t="n"/>
      <c r="H394" s="22" t="n"/>
      <c r="I394" s="22" t="n"/>
      <c r="J394" s="22" t="n"/>
      <c r="K394" s="22" t="n"/>
      <c r="L394" s="22" t="n"/>
      <c r="M394" s="22" t="n"/>
      <c r="N394" s="22" t="n"/>
      <c r="O394" s="23">
        <f>IF($C394="","",N(L394)-N(M394))</f>
        <v/>
      </c>
      <c r="P394" s="24" t="n"/>
      <c r="Q394" s="23">
        <f>IF($C394="","",N(M394)+N(N394))</f>
        <v/>
      </c>
      <c r="R394" s="23">
        <f>IF($C394="","",N(J394)+N(Q394))</f>
        <v/>
      </c>
      <c r="S394" s="25">
        <f>IF(OR($C394="",N($G394)=0),"",R394/$G394)</f>
        <v/>
      </c>
      <c r="T394" s="23">
        <f>IF($C394="","",N($G394)-N(R394))</f>
        <v/>
      </c>
      <c r="U394" s="24" t="n"/>
      <c r="V394" s="22" t="n"/>
    </row>
    <row r="395">
      <c r="B395" s="13">
        <f>IF($C395="","",COUNTA($C$9:$C395))</f>
        <v/>
      </c>
      <c r="C395" s="21" t="n"/>
      <c r="D395" s="14" t="n"/>
      <c r="E395" s="14" t="n"/>
      <c r="F395" s="14" t="n"/>
      <c r="G395" s="22" t="n"/>
      <c r="H395" s="22" t="n"/>
      <c r="I395" s="22" t="n"/>
      <c r="J395" s="22" t="n"/>
      <c r="K395" s="22" t="n"/>
      <c r="L395" s="22" t="n"/>
      <c r="M395" s="22" t="n"/>
      <c r="N395" s="22" t="n"/>
      <c r="O395" s="23">
        <f>IF($C395="","",N(L395)-N(M395))</f>
        <v/>
      </c>
      <c r="P395" s="24" t="n"/>
      <c r="Q395" s="23">
        <f>IF($C395="","",N(M395)+N(N395))</f>
        <v/>
      </c>
      <c r="R395" s="23">
        <f>IF($C395="","",N(J395)+N(Q395))</f>
        <v/>
      </c>
      <c r="S395" s="25">
        <f>IF(OR($C395="",N($G395)=0),"",R395/$G395)</f>
        <v/>
      </c>
      <c r="T395" s="23">
        <f>IF($C395="","",N($G395)-N(R395))</f>
        <v/>
      </c>
      <c r="U395" s="24" t="n"/>
      <c r="V395" s="22" t="n"/>
    </row>
    <row r="396">
      <c r="B396" s="13">
        <f>IF($C396="","",COUNTA($C$9:$C396))</f>
        <v/>
      </c>
      <c r="C396" s="21" t="n"/>
      <c r="D396" s="14" t="n"/>
      <c r="E396" s="14" t="n"/>
      <c r="F396" s="14" t="n"/>
      <c r="G396" s="22" t="n"/>
      <c r="H396" s="22" t="n"/>
      <c r="I396" s="22" t="n"/>
      <c r="J396" s="22" t="n"/>
      <c r="K396" s="22" t="n"/>
      <c r="L396" s="22" t="n"/>
      <c r="M396" s="22" t="n"/>
      <c r="N396" s="22" t="n"/>
      <c r="O396" s="23">
        <f>IF($C396="","",N(L396)-N(M396))</f>
        <v/>
      </c>
      <c r="P396" s="24" t="n"/>
      <c r="Q396" s="23">
        <f>IF($C396="","",N(M396)+N(N396))</f>
        <v/>
      </c>
      <c r="R396" s="23">
        <f>IF($C396="","",N(J396)+N(Q396))</f>
        <v/>
      </c>
      <c r="S396" s="25">
        <f>IF(OR($C396="",N($G396)=0),"",R396/$G396)</f>
        <v/>
      </c>
      <c r="T396" s="23">
        <f>IF($C396="","",N($G396)-N(R396))</f>
        <v/>
      </c>
      <c r="U396" s="24" t="n"/>
      <c r="V396" s="22" t="n"/>
    </row>
    <row r="397">
      <c r="B397" s="13">
        <f>IF($C397="","",COUNTA($C$9:$C397))</f>
        <v/>
      </c>
      <c r="C397" s="21" t="n"/>
      <c r="D397" s="14" t="n"/>
      <c r="E397" s="14" t="n"/>
      <c r="F397" s="14" t="n"/>
      <c r="G397" s="22" t="n"/>
      <c r="H397" s="22" t="n"/>
      <c r="I397" s="22" t="n"/>
      <c r="J397" s="22" t="n"/>
      <c r="K397" s="22" t="n"/>
      <c r="L397" s="22" t="n"/>
      <c r="M397" s="22" t="n"/>
      <c r="N397" s="22" t="n"/>
      <c r="O397" s="23">
        <f>IF($C397="","",N(L397)-N(M397))</f>
        <v/>
      </c>
      <c r="P397" s="24" t="n"/>
      <c r="Q397" s="23">
        <f>IF($C397="","",N(M397)+N(N397))</f>
        <v/>
      </c>
      <c r="R397" s="23">
        <f>IF($C397="","",N(J397)+N(Q397))</f>
        <v/>
      </c>
      <c r="S397" s="25">
        <f>IF(OR($C397="",N($G397)=0),"",R397/$G397)</f>
        <v/>
      </c>
      <c r="T397" s="23">
        <f>IF($C397="","",N($G397)-N(R397))</f>
        <v/>
      </c>
      <c r="U397" s="24" t="n"/>
      <c r="V397" s="22" t="n"/>
    </row>
    <row r="398">
      <c r="B398" s="13">
        <f>IF($C398="","",COUNTA($C$9:$C398))</f>
        <v/>
      </c>
      <c r="C398" s="21" t="n"/>
      <c r="D398" s="14" t="n"/>
      <c r="E398" s="14" t="n"/>
      <c r="F398" s="14" t="n"/>
      <c r="G398" s="22" t="n"/>
      <c r="H398" s="22" t="n"/>
      <c r="I398" s="22" t="n"/>
      <c r="J398" s="22" t="n"/>
      <c r="K398" s="22" t="n"/>
      <c r="L398" s="22" t="n"/>
      <c r="M398" s="22" t="n"/>
      <c r="N398" s="22" t="n"/>
      <c r="O398" s="23">
        <f>IF($C398="","",N(L398)-N(M398))</f>
        <v/>
      </c>
      <c r="P398" s="24" t="n"/>
      <c r="Q398" s="23">
        <f>IF($C398="","",N(M398)+N(N398))</f>
        <v/>
      </c>
      <c r="R398" s="23">
        <f>IF($C398="","",N(J398)+N(Q398))</f>
        <v/>
      </c>
      <c r="S398" s="25">
        <f>IF(OR($C398="",N($G398)=0),"",R398/$G398)</f>
        <v/>
      </c>
      <c r="T398" s="23">
        <f>IF($C398="","",N($G398)-N(R398))</f>
        <v/>
      </c>
      <c r="U398" s="24" t="n"/>
      <c r="V398" s="22" t="n"/>
    </row>
    <row r="399">
      <c r="B399" s="13">
        <f>IF($C399="","",COUNTA($C$9:$C399))</f>
        <v/>
      </c>
      <c r="C399" s="21" t="n"/>
      <c r="D399" s="14" t="n"/>
      <c r="E399" s="14" t="n"/>
      <c r="F399" s="14" t="n"/>
      <c r="G399" s="22" t="n"/>
      <c r="H399" s="22" t="n"/>
      <c r="I399" s="22" t="n"/>
      <c r="J399" s="22" t="n"/>
      <c r="K399" s="22" t="n"/>
      <c r="L399" s="22" t="n"/>
      <c r="M399" s="22" t="n"/>
      <c r="N399" s="22" t="n"/>
      <c r="O399" s="23">
        <f>IF($C399="","",N(L399)-N(M399))</f>
        <v/>
      </c>
      <c r="P399" s="24" t="n"/>
      <c r="Q399" s="23">
        <f>IF($C399="","",N(M399)+N(N399))</f>
        <v/>
      </c>
      <c r="R399" s="23">
        <f>IF($C399="","",N(J399)+N(Q399))</f>
        <v/>
      </c>
      <c r="S399" s="25">
        <f>IF(OR($C399="",N($G399)=0),"",R399/$G399)</f>
        <v/>
      </c>
      <c r="T399" s="23">
        <f>IF($C399="","",N($G399)-N(R399))</f>
        <v/>
      </c>
      <c r="U399" s="24" t="n"/>
      <c r="V399" s="22" t="n"/>
    </row>
    <row r="400">
      <c r="B400" s="13">
        <f>IF($C400="","",COUNTA($C$9:$C400))</f>
        <v/>
      </c>
      <c r="C400" s="21" t="n"/>
      <c r="D400" s="14" t="n"/>
      <c r="E400" s="14" t="n"/>
      <c r="F400" s="14" t="n"/>
      <c r="G400" s="22" t="n"/>
      <c r="H400" s="22" t="n"/>
      <c r="I400" s="22" t="n"/>
      <c r="J400" s="22" t="n"/>
      <c r="K400" s="22" t="n"/>
      <c r="L400" s="22" t="n"/>
      <c r="M400" s="22" t="n"/>
      <c r="N400" s="22" t="n"/>
      <c r="O400" s="23">
        <f>IF($C400="","",N(L400)-N(M400))</f>
        <v/>
      </c>
      <c r="P400" s="24" t="n"/>
      <c r="Q400" s="23">
        <f>IF($C400="","",N(M400)+N(N400))</f>
        <v/>
      </c>
      <c r="R400" s="23">
        <f>IF($C400="","",N(J400)+N(Q400))</f>
        <v/>
      </c>
      <c r="S400" s="25">
        <f>IF(OR($C400="",N($G400)=0),"",R400/$G400)</f>
        <v/>
      </c>
      <c r="T400" s="23">
        <f>IF($C400="","",N($G400)-N(R400))</f>
        <v/>
      </c>
      <c r="U400" s="24" t="n"/>
      <c r="V400" s="22" t="n"/>
    </row>
    <row r="401">
      <c r="B401" s="13">
        <f>IF($C401="","",COUNTA($C$9:$C401))</f>
        <v/>
      </c>
      <c r="C401" s="21" t="n"/>
      <c r="D401" s="14" t="n"/>
      <c r="E401" s="14" t="n"/>
      <c r="F401" s="14" t="n"/>
      <c r="G401" s="22" t="n"/>
      <c r="H401" s="22" t="n"/>
      <c r="I401" s="22" t="n"/>
      <c r="J401" s="22" t="n"/>
      <c r="K401" s="22" t="n"/>
      <c r="L401" s="22" t="n"/>
      <c r="M401" s="22" t="n"/>
      <c r="N401" s="22" t="n"/>
      <c r="O401" s="23">
        <f>IF($C401="","",N(L401)-N(M401))</f>
        <v/>
      </c>
      <c r="P401" s="24" t="n"/>
      <c r="Q401" s="23">
        <f>IF($C401="","",N(M401)+N(N401))</f>
        <v/>
      </c>
      <c r="R401" s="23">
        <f>IF($C401="","",N(J401)+N(Q401))</f>
        <v/>
      </c>
      <c r="S401" s="25">
        <f>IF(OR($C401="",N($G401)=0),"",R401/$G401)</f>
        <v/>
      </c>
      <c r="T401" s="23">
        <f>IF($C401="","",N($G401)-N(R401))</f>
        <v/>
      </c>
      <c r="U401" s="24" t="n"/>
      <c r="V401" s="22" t="n"/>
    </row>
    <row r="402">
      <c r="B402" s="13">
        <f>IF($C402="","",COUNTA($C$9:$C402))</f>
        <v/>
      </c>
      <c r="C402" s="21" t="n"/>
      <c r="D402" s="14" t="n"/>
      <c r="E402" s="14" t="n"/>
      <c r="F402" s="14" t="n"/>
      <c r="G402" s="22" t="n"/>
      <c r="H402" s="22" t="n"/>
      <c r="I402" s="22" t="n"/>
      <c r="J402" s="22" t="n"/>
      <c r="K402" s="22" t="n"/>
      <c r="L402" s="22" t="n"/>
      <c r="M402" s="22" t="n"/>
      <c r="N402" s="22" t="n"/>
      <c r="O402" s="23">
        <f>IF($C402="","",N(L402)-N(M402))</f>
        <v/>
      </c>
      <c r="P402" s="24" t="n"/>
      <c r="Q402" s="23">
        <f>IF($C402="","",N(M402)+N(N402))</f>
        <v/>
      </c>
      <c r="R402" s="23">
        <f>IF($C402="","",N(J402)+N(Q402))</f>
        <v/>
      </c>
      <c r="S402" s="25">
        <f>IF(OR($C402="",N($G402)=0),"",R402/$G402)</f>
        <v/>
      </c>
      <c r="T402" s="23">
        <f>IF($C402="","",N($G402)-N(R402))</f>
        <v/>
      </c>
      <c r="U402" s="24" t="n"/>
      <c r="V402" s="22" t="n"/>
    </row>
    <row r="403">
      <c r="B403" s="13">
        <f>IF($C403="","",COUNTA($C$9:$C403))</f>
        <v/>
      </c>
      <c r="C403" s="21" t="n"/>
      <c r="D403" s="14" t="n"/>
      <c r="E403" s="14" t="n"/>
      <c r="F403" s="14" t="n"/>
      <c r="G403" s="22" t="n"/>
      <c r="H403" s="22" t="n"/>
      <c r="I403" s="22" t="n"/>
      <c r="J403" s="22" t="n"/>
      <c r="K403" s="22" t="n"/>
      <c r="L403" s="22" t="n"/>
      <c r="M403" s="22" t="n"/>
      <c r="N403" s="22" t="n"/>
      <c r="O403" s="23">
        <f>IF($C403="","",N(L403)-N(M403))</f>
        <v/>
      </c>
      <c r="P403" s="24" t="n"/>
      <c r="Q403" s="23">
        <f>IF($C403="","",N(M403)+N(N403))</f>
        <v/>
      </c>
      <c r="R403" s="23">
        <f>IF($C403="","",N(J403)+N(Q403))</f>
        <v/>
      </c>
      <c r="S403" s="25">
        <f>IF(OR($C403="",N($G403)=0),"",R403/$G403)</f>
        <v/>
      </c>
      <c r="T403" s="23">
        <f>IF($C403="","",N($G403)-N(R403))</f>
        <v/>
      </c>
      <c r="U403" s="24" t="n"/>
      <c r="V403" s="22" t="n"/>
    </row>
    <row r="404">
      <c r="B404" s="13">
        <f>IF($C404="","",COUNTA($C$9:$C404))</f>
        <v/>
      </c>
      <c r="C404" s="21" t="n"/>
      <c r="D404" s="14" t="n"/>
      <c r="E404" s="14" t="n"/>
      <c r="F404" s="14" t="n"/>
      <c r="G404" s="22" t="n"/>
      <c r="H404" s="22" t="n"/>
      <c r="I404" s="22" t="n"/>
      <c r="J404" s="22" t="n"/>
      <c r="K404" s="22" t="n"/>
      <c r="L404" s="22" t="n"/>
      <c r="M404" s="22" t="n"/>
      <c r="N404" s="22" t="n"/>
      <c r="O404" s="23">
        <f>IF($C404="","",N(L404)-N(M404))</f>
        <v/>
      </c>
      <c r="P404" s="24" t="n"/>
      <c r="Q404" s="23">
        <f>IF($C404="","",N(M404)+N(N404))</f>
        <v/>
      </c>
      <c r="R404" s="23">
        <f>IF($C404="","",N(J404)+N(Q404))</f>
        <v/>
      </c>
      <c r="S404" s="25">
        <f>IF(OR($C404="",N($G404)=0),"",R404/$G404)</f>
        <v/>
      </c>
      <c r="T404" s="23">
        <f>IF($C404="","",N($G404)-N(R404))</f>
        <v/>
      </c>
      <c r="U404" s="24" t="n"/>
      <c r="V404" s="22" t="n"/>
    </row>
    <row r="405">
      <c r="B405" s="13">
        <f>IF($C405="","",COUNTA($C$9:$C405))</f>
        <v/>
      </c>
      <c r="C405" s="21" t="n"/>
      <c r="D405" s="14" t="n"/>
      <c r="E405" s="14" t="n"/>
      <c r="F405" s="14" t="n"/>
      <c r="G405" s="22" t="n"/>
      <c r="H405" s="22" t="n"/>
      <c r="I405" s="22" t="n"/>
      <c r="J405" s="22" t="n"/>
      <c r="K405" s="22" t="n"/>
      <c r="L405" s="22" t="n"/>
      <c r="M405" s="22" t="n"/>
      <c r="N405" s="22" t="n"/>
      <c r="O405" s="23">
        <f>IF($C405="","",N(L405)-N(M405))</f>
        <v/>
      </c>
      <c r="P405" s="24" t="n"/>
      <c r="Q405" s="23">
        <f>IF($C405="","",N(M405)+N(N405))</f>
        <v/>
      </c>
      <c r="R405" s="23">
        <f>IF($C405="","",N(J405)+N(Q405))</f>
        <v/>
      </c>
      <c r="S405" s="25">
        <f>IF(OR($C405="",N($G405)=0),"",R405/$G405)</f>
        <v/>
      </c>
      <c r="T405" s="23">
        <f>IF($C405="","",N($G405)-N(R405))</f>
        <v/>
      </c>
      <c r="U405" s="24" t="n"/>
      <c r="V405" s="22" t="n"/>
    </row>
    <row r="406">
      <c r="B406" s="13">
        <f>IF($C406="","",COUNTA($C$9:$C406))</f>
        <v/>
      </c>
      <c r="C406" s="21" t="n"/>
      <c r="D406" s="14" t="n"/>
      <c r="E406" s="14" t="n"/>
      <c r="F406" s="14" t="n"/>
      <c r="G406" s="22" t="n"/>
      <c r="H406" s="22" t="n"/>
      <c r="I406" s="22" t="n"/>
      <c r="J406" s="22" t="n"/>
      <c r="K406" s="22" t="n"/>
      <c r="L406" s="22" t="n"/>
      <c r="M406" s="22" t="n"/>
      <c r="N406" s="22" t="n"/>
      <c r="O406" s="23">
        <f>IF($C406="","",N(L406)-N(M406))</f>
        <v/>
      </c>
      <c r="P406" s="24" t="n"/>
      <c r="Q406" s="23">
        <f>IF($C406="","",N(M406)+N(N406))</f>
        <v/>
      </c>
      <c r="R406" s="23">
        <f>IF($C406="","",N(J406)+N(Q406))</f>
        <v/>
      </c>
      <c r="S406" s="25">
        <f>IF(OR($C406="",N($G406)=0),"",R406/$G406)</f>
        <v/>
      </c>
      <c r="T406" s="23">
        <f>IF($C406="","",N($G406)-N(R406))</f>
        <v/>
      </c>
      <c r="U406" s="24" t="n"/>
      <c r="V406" s="22" t="n"/>
    </row>
    <row r="407">
      <c r="B407" s="13">
        <f>IF($C407="","",COUNTA($C$9:$C407))</f>
        <v/>
      </c>
      <c r="C407" s="21" t="n"/>
      <c r="D407" s="14" t="n"/>
      <c r="E407" s="14" t="n"/>
      <c r="F407" s="14" t="n"/>
      <c r="G407" s="22" t="n"/>
      <c r="H407" s="22" t="n"/>
      <c r="I407" s="22" t="n"/>
      <c r="J407" s="22" t="n"/>
      <c r="K407" s="22" t="n"/>
      <c r="L407" s="22" t="n"/>
      <c r="M407" s="22" t="n"/>
      <c r="N407" s="22" t="n"/>
      <c r="O407" s="23">
        <f>IF($C407="","",N(L407)-N(M407))</f>
        <v/>
      </c>
      <c r="P407" s="24" t="n"/>
      <c r="Q407" s="23">
        <f>IF($C407="","",N(M407)+N(N407))</f>
        <v/>
      </c>
      <c r="R407" s="23">
        <f>IF($C407="","",N(J407)+N(Q407))</f>
        <v/>
      </c>
      <c r="S407" s="25">
        <f>IF(OR($C407="",N($G407)=0),"",R407/$G407)</f>
        <v/>
      </c>
      <c r="T407" s="23">
        <f>IF($C407="","",N($G407)-N(R407))</f>
        <v/>
      </c>
      <c r="U407" s="24" t="n"/>
      <c r="V407" s="22" t="n"/>
    </row>
    <row r="408">
      <c r="B408" s="13">
        <f>IF($C408="","",COUNTA($C$9:$C408))</f>
        <v/>
      </c>
      <c r="C408" s="21" t="n"/>
      <c r="D408" s="14" t="n"/>
      <c r="E408" s="14" t="n"/>
      <c r="F408" s="14" t="n"/>
      <c r="G408" s="22" t="n"/>
      <c r="H408" s="22" t="n"/>
      <c r="I408" s="22" t="n"/>
      <c r="J408" s="22" t="n"/>
      <c r="K408" s="22" t="n"/>
      <c r="L408" s="22" t="n"/>
      <c r="M408" s="22" t="n"/>
      <c r="N408" s="22" t="n"/>
      <c r="O408" s="23">
        <f>IF($C408="","",N(L408)-N(M408))</f>
        <v/>
      </c>
      <c r="P408" s="24" t="n"/>
      <c r="Q408" s="23">
        <f>IF($C408="","",N(M408)+N(N408))</f>
        <v/>
      </c>
      <c r="R408" s="23">
        <f>IF($C408="","",N(J408)+N(Q408))</f>
        <v/>
      </c>
      <c r="S408" s="25">
        <f>IF(OR($C408="",N($G408)=0),"",R408/$G408)</f>
        <v/>
      </c>
      <c r="T408" s="23">
        <f>IF($C408="","",N($G408)-N(R408))</f>
        <v/>
      </c>
      <c r="U408" s="24" t="n"/>
      <c r="V408" s="22" t="n"/>
    </row>
  </sheetData>
  <autoFilter ref="B7:V408"/>
  <mergeCells count="2">
    <mergeCell ref="C4:V4"/>
    <mergeCell ref="C3:V3"/>
  </mergeCells>
  <conditionalFormatting sqref="O9:O408">
    <cfRule type="cellIs" priority="1" operator="greaterThan" dxfId="0">
      <formula>0</formula>
    </cfRule>
  </conditionalFormatting>
  <conditionalFormatting sqref="S9:S408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dataValidations count="3">
    <dataValidation sqref="D9:D408" showDropDown="0" showInputMessage="0" showErrorMessage="0" allowBlank="1" type="list">
      <formula1>=Areas</formula1>
    </dataValidation>
    <dataValidation sqref="E9:E408" showDropDown="0" showInputMessage="0" showErrorMessage="0" allowBlank="1" type="list">
      <formula1>=Activities</formula1>
    </dataValidation>
    <dataValidation sqref="F9:F408" showDropDown="0" showInputMessage="0" showErrorMessage="0" allowBlank="1" type="list">
      <formula1>=Agencies</formula1>
    </dataValidation>
  </dataValidation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B1:V408"/>
  <sheetViews>
    <sheetView zoomScale="85" workbookViewId="0">
      <pane xSplit="6" ySplit="8" topLeftCell="G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6" customWidth="1" min="2" max="2"/>
    <col width="38" customWidth="1" min="3" max="3"/>
    <col width="22" customWidth="1" min="4" max="4"/>
    <col width="24" customWidth="1" min="5" max="5"/>
    <col width="22" customWidth="1" min="6" max="6"/>
    <col width="11" customWidth="1" min="7" max="7"/>
    <col width="12" customWidth="1" min="8" max="8"/>
    <col width="12" customWidth="1" min="9" max="9"/>
    <col width="13" customWidth="1" min="10" max="10"/>
    <col width="11" customWidth="1" min="11" max="11"/>
    <col width="11" customWidth="1" min="12" max="12"/>
    <col width="11" customWidth="1" min="13" max="13"/>
    <col width="13" customWidth="1" min="14" max="14"/>
    <col width="12" customWidth="1" min="15" max="15"/>
    <col width="26" customWidth="1" min="16" max="16"/>
    <col width="13" customWidth="1" min="17" max="17"/>
    <col width="13" customWidth="1" min="18" max="18"/>
    <col width="10" customWidth="1" min="19" max="19"/>
    <col width="11" customWidth="1" min="20" max="20"/>
    <col width="30" customWidth="1" min="21" max="21"/>
    <col width="11" customWidth="1" min="22" max="22"/>
  </cols>
  <sheetData>
    <row r="1" ht="15" customHeight="1"/>
    <row r="2" ht="15" customHeight="1">
      <c r="B2" s="5" t="inlineStr">
        <is>
          <t>JSW</t>
        </is>
      </c>
    </row>
    <row r="3" ht="15" customHeight="1">
      <c r="C3" s="18" t="inlineStr">
        <is>
          <t>Piping  —  Backup Sheet   (UOM: Inch-Mtr)</t>
        </is>
      </c>
    </row>
    <row r="4" ht="15" customHeight="1">
      <c r="C4" s="19">
        <f>Config!$C$4</f>
        <v/>
      </c>
    </row>
    <row r="5" ht="15" customHeight="1">
      <c r="S5" s="8" t="inlineStr">
        <is>
          <t>Data date:</t>
        </is>
      </c>
      <c r="T5" s="9">
        <f>Config!$C$6</f>
        <v/>
      </c>
    </row>
    <row r="6" ht="15" customHeight="1">
      <c r="S6" s="8" t="inlineStr">
        <is>
          <t>Reporting date:</t>
        </is>
      </c>
      <c r="T6" s="9">
        <f>Config!$C$7</f>
        <v/>
      </c>
    </row>
    <row r="7" ht="34" customHeight="1">
      <c r="B7" s="20" t="inlineStr">
        <is>
          <t>SL.</t>
        </is>
      </c>
      <c r="C7" s="20" t="inlineStr">
        <is>
          <t>Name of the Structures</t>
        </is>
      </c>
      <c r="D7" s="20" t="inlineStr">
        <is>
          <t>Area</t>
        </is>
      </c>
      <c r="E7" s="20" t="inlineStr">
        <is>
          <t>Activity</t>
        </is>
      </c>
      <c r="F7" s="20" t="inlineStr">
        <is>
          <t>Agency / Contractor</t>
        </is>
      </c>
      <c r="G7" s="20" t="inlineStr">
        <is>
          <t>Scope</t>
        </is>
      </c>
      <c r="H7" s="20" t="inlineStr">
        <is>
          <t>Drawing Released</t>
        </is>
      </c>
      <c r="I7" s="20" t="inlineStr">
        <is>
          <t>Cum Front Available</t>
        </is>
      </c>
      <c r="J7" s="20" t="inlineStr">
        <is>
          <t>Achieved till last month</t>
        </is>
      </c>
      <c r="K7" s="20" t="inlineStr">
        <is>
          <t>Plan FTM</t>
        </is>
      </c>
      <c r="L7" s="20" t="inlineStr">
        <is>
          <t>Plan FTD</t>
        </is>
      </c>
      <c r="M7" s="20" t="inlineStr">
        <is>
          <t>Achieved FTD</t>
        </is>
      </c>
      <c r="N7" s="20" t="inlineStr">
        <is>
          <t>Achieved FTM till previous date</t>
        </is>
      </c>
      <c r="O7" s="20" t="inlineStr">
        <is>
          <t>Variance for the Day</t>
        </is>
      </c>
      <c r="P7" s="20" t="inlineStr">
        <is>
          <t>Reason(s) for Variance</t>
        </is>
      </c>
      <c r="Q7" s="20" t="inlineStr">
        <is>
          <t>Achieved FTM till date</t>
        </is>
      </c>
      <c r="R7" s="20" t="inlineStr">
        <is>
          <t>Workdone Till Date</t>
        </is>
      </c>
      <c r="S7" s="20" t="inlineStr">
        <is>
          <t>% Complete</t>
        </is>
      </c>
      <c r="T7" s="20" t="inlineStr">
        <is>
          <t>Balance</t>
        </is>
      </c>
      <c r="U7" s="20" t="inlineStr">
        <is>
          <t>Remarks</t>
        </is>
      </c>
      <c r="V7" s="20" t="inlineStr">
        <is>
          <t>Available Manpower</t>
        </is>
      </c>
    </row>
    <row r="8" ht="15" customHeight="1">
      <c r="B8" s="12" t="inlineStr">
        <is>
          <t>a</t>
        </is>
      </c>
      <c r="C8" s="12" t="inlineStr">
        <is>
          <t>b</t>
        </is>
      </c>
      <c r="D8" s="12" t="inlineStr">
        <is>
          <t>c</t>
        </is>
      </c>
      <c r="E8" s="12" t="inlineStr">
        <is>
          <t>d</t>
        </is>
      </c>
      <c r="F8" s="12" t="inlineStr">
        <is>
          <t>e</t>
        </is>
      </c>
      <c r="G8" s="12" t="inlineStr">
        <is>
          <t>f</t>
        </is>
      </c>
      <c r="H8" s="12" t="inlineStr">
        <is>
          <t>g</t>
        </is>
      </c>
      <c r="I8" s="12" t="inlineStr">
        <is>
          <t>h</t>
        </is>
      </c>
      <c r="J8" s="12" t="inlineStr">
        <is>
          <t>i</t>
        </is>
      </c>
      <c r="K8" s="12" t="inlineStr">
        <is>
          <t>j</t>
        </is>
      </c>
      <c r="L8" s="12" t="inlineStr">
        <is>
          <t>k</t>
        </is>
      </c>
      <c r="M8" s="12" t="inlineStr">
        <is>
          <t>l</t>
        </is>
      </c>
      <c r="N8" s="12" t="inlineStr">
        <is>
          <t>m</t>
        </is>
      </c>
      <c r="O8" s="12" t="inlineStr">
        <is>
          <t>n = k-l</t>
        </is>
      </c>
      <c r="P8" s="12" t="inlineStr">
        <is>
          <t>o</t>
        </is>
      </c>
      <c r="Q8" s="12" t="inlineStr">
        <is>
          <t>p = l+m</t>
        </is>
      </c>
      <c r="R8" s="12" t="inlineStr">
        <is>
          <t>q = i+p</t>
        </is>
      </c>
      <c r="S8" s="12" t="inlineStr">
        <is>
          <t>r = (q/f)x100</t>
        </is>
      </c>
      <c r="T8" s="12" t="inlineStr">
        <is>
          <t>s = f-q</t>
        </is>
      </c>
      <c r="U8" s="12" t="inlineStr">
        <is>
          <t>t</t>
        </is>
      </c>
      <c r="V8" s="12" t="inlineStr">
        <is>
          <t>u</t>
        </is>
      </c>
    </row>
    <row r="9">
      <c r="B9" s="13">
        <f>IF($C9="","",COUNTA($C$9:$C9))</f>
        <v/>
      </c>
      <c r="C9" s="21" t="n"/>
      <c r="D9" s="14" t="n"/>
      <c r="E9" s="14" t="n"/>
      <c r="F9" s="14" t="n"/>
      <c r="G9" s="22" t="n"/>
      <c r="H9" s="22" t="n"/>
      <c r="I9" s="22" t="n"/>
      <c r="J9" s="22" t="n"/>
      <c r="K9" s="22" t="n"/>
      <c r="L9" s="22" t="n"/>
      <c r="M9" s="22" t="n"/>
      <c r="N9" s="22" t="n"/>
      <c r="O9" s="23">
        <f>IF($C9="","",N(L9)-N(M9))</f>
        <v/>
      </c>
      <c r="P9" s="24" t="n"/>
      <c r="Q9" s="23">
        <f>IF($C9="","",N(M9)+N(N9))</f>
        <v/>
      </c>
      <c r="R9" s="23">
        <f>IF($C9="","",N(J9)+N(Q9))</f>
        <v/>
      </c>
      <c r="S9" s="25">
        <f>IF(OR($C9="",N($G9)=0),"",R9/$G9)</f>
        <v/>
      </c>
      <c r="T9" s="23">
        <f>IF($C9="","",N($G9)-N(R9))</f>
        <v/>
      </c>
      <c r="U9" s="24" t="n"/>
      <c r="V9" s="22" t="n"/>
    </row>
    <row r="10">
      <c r="B10" s="13">
        <f>IF($C10="","",COUNTA($C$9:$C10))</f>
        <v/>
      </c>
      <c r="C10" s="21" t="n"/>
      <c r="D10" s="14" t="n"/>
      <c r="E10" s="14" t="n"/>
      <c r="F10" s="14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3">
        <f>IF($C10="","",N(L10)-N(M10))</f>
        <v/>
      </c>
      <c r="P10" s="24" t="n"/>
      <c r="Q10" s="23">
        <f>IF($C10="","",N(M10)+N(N10))</f>
        <v/>
      </c>
      <c r="R10" s="23">
        <f>IF($C10="","",N(J10)+N(Q10))</f>
        <v/>
      </c>
      <c r="S10" s="25">
        <f>IF(OR($C10="",N($G10)=0),"",R10/$G10)</f>
        <v/>
      </c>
      <c r="T10" s="23">
        <f>IF($C10="","",N($G10)-N(R10))</f>
        <v/>
      </c>
      <c r="U10" s="24" t="n"/>
      <c r="V10" s="22" t="n"/>
    </row>
    <row r="11">
      <c r="B11" s="13">
        <f>IF($C11="","",COUNTA($C$9:$C11))</f>
        <v/>
      </c>
      <c r="C11" s="21" t="n"/>
      <c r="D11" s="14" t="n"/>
      <c r="E11" s="14" t="n"/>
      <c r="F11" s="14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3">
        <f>IF($C11="","",N(L11)-N(M11))</f>
        <v/>
      </c>
      <c r="P11" s="24" t="n"/>
      <c r="Q11" s="23">
        <f>IF($C11="","",N(M11)+N(N11))</f>
        <v/>
      </c>
      <c r="R11" s="23">
        <f>IF($C11="","",N(J11)+N(Q11))</f>
        <v/>
      </c>
      <c r="S11" s="25">
        <f>IF(OR($C11="",N($G11)=0),"",R11/$G11)</f>
        <v/>
      </c>
      <c r="T11" s="23">
        <f>IF($C11="","",N($G11)-N(R11))</f>
        <v/>
      </c>
      <c r="U11" s="24" t="n"/>
      <c r="V11" s="22" t="n"/>
    </row>
    <row r="12">
      <c r="B12" s="13">
        <f>IF($C12="","",COUNTA($C$9:$C12))</f>
        <v/>
      </c>
      <c r="C12" s="21" t="n"/>
      <c r="D12" s="14" t="n"/>
      <c r="E12" s="14" t="n"/>
      <c r="F12" s="14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3">
        <f>IF($C12="","",N(L12)-N(M12))</f>
        <v/>
      </c>
      <c r="P12" s="24" t="n"/>
      <c r="Q12" s="23">
        <f>IF($C12="","",N(M12)+N(N12))</f>
        <v/>
      </c>
      <c r="R12" s="23">
        <f>IF($C12="","",N(J12)+N(Q12))</f>
        <v/>
      </c>
      <c r="S12" s="25">
        <f>IF(OR($C12="",N($G12)=0),"",R12/$G12)</f>
        <v/>
      </c>
      <c r="T12" s="23">
        <f>IF($C12="","",N($G12)-N(R12))</f>
        <v/>
      </c>
      <c r="U12" s="24" t="n"/>
      <c r="V12" s="22" t="n"/>
    </row>
    <row r="13">
      <c r="B13" s="13">
        <f>IF($C13="","",COUNTA($C$9:$C13))</f>
        <v/>
      </c>
      <c r="C13" s="21" t="n"/>
      <c r="D13" s="14" t="n"/>
      <c r="E13" s="14" t="n"/>
      <c r="F13" s="14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3">
        <f>IF($C13="","",N(L13)-N(M13))</f>
        <v/>
      </c>
      <c r="P13" s="24" t="n"/>
      <c r="Q13" s="23">
        <f>IF($C13="","",N(M13)+N(N13))</f>
        <v/>
      </c>
      <c r="R13" s="23">
        <f>IF($C13="","",N(J13)+N(Q13))</f>
        <v/>
      </c>
      <c r="S13" s="25">
        <f>IF(OR($C13="",N($G13)=0),"",R13/$G13)</f>
        <v/>
      </c>
      <c r="T13" s="23">
        <f>IF($C13="","",N($G13)-N(R13))</f>
        <v/>
      </c>
      <c r="U13" s="24" t="n"/>
      <c r="V13" s="22" t="n"/>
    </row>
    <row r="14">
      <c r="B14" s="13">
        <f>IF($C14="","",COUNTA($C$9:$C14))</f>
        <v/>
      </c>
      <c r="C14" s="21" t="n"/>
      <c r="D14" s="14" t="n"/>
      <c r="E14" s="14" t="n"/>
      <c r="F14" s="14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3">
        <f>IF($C14="","",N(L14)-N(M14))</f>
        <v/>
      </c>
      <c r="P14" s="24" t="n"/>
      <c r="Q14" s="23">
        <f>IF($C14="","",N(M14)+N(N14))</f>
        <v/>
      </c>
      <c r="R14" s="23">
        <f>IF($C14="","",N(J14)+N(Q14))</f>
        <v/>
      </c>
      <c r="S14" s="25">
        <f>IF(OR($C14="",N($G14)=0),"",R14/$G14)</f>
        <v/>
      </c>
      <c r="T14" s="23">
        <f>IF($C14="","",N($G14)-N(R14))</f>
        <v/>
      </c>
      <c r="U14" s="24" t="n"/>
      <c r="V14" s="22" t="n"/>
    </row>
    <row r="15">
      <c r="B15" s="13">
        <f>IF($C15="","",COUNTA($C$9:$C15))</f>
        <v/>
      </c>
      <c r="C15" s="21" t="n"/>
      <c r="D15" s="14" t="n"/>
      <c r="E15" s="14" t="n"/>
      <c r="F15" s="14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3">
        <f>IF($C15="","",N(L15)-N(M15))</f>
        <v/>
      </c>
      <c r="P15" s="24" t="n"/>
      <c r="Q15" s="23">
        <f>IF($C15="","",N(M15)+N(N15))</f>
        <v/>
      </c>
      <c r="R15" s="23">
        <f>IF($C15="","",N(J15)+N(Q15))</f>
        <v/>
      </c>
      <c r="S15" s="25">
        <f>IF(OR($C15="",N($G15)=0),"",R15/$G15)</f>
        <v/>
      </c>
      <c r="T15" s="23">
        <f>IF($C15="","",N($G15)-N(R15))</f>
        <v/>
      </c>
      <c r="U15" s="24" t="n"/>
      <c r="V15" s="22" t="n"/>
    </row>
    <row r="16">
      <c r="B16" s="13">
        <f>IF($C16="","",COUNTA($C$9:$C16))</f>
        <v/>
      </c>
      <c r="C16" s="21" t="n"/>
      <c r="D16" s="14" t="n"/>
      <c r="E16" s="14" t="n"/>
      <c r="F16" s="14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3">
        <f>IF($C16="","",N(L16)-N(M16))</f>
        <v/>
      </c>
      <c r="P16" s="24" t="n"/>
      <c r="Q16" s="23">
        <f>IF($C16="","",N(M16)+N(N16))</f>
        <v/>
      </c>
      <c r="R16" s="23">
        <f>IF($C16="","",N(J16)+N(Q16))</f>
        <v/>
      </c>
      <c r="S16" s="25">
        <f>IF(OR($C16="",N($G16)=0),"",R16/$G16)</f>
        <v/>
      </c>
      <c r="T16" s="23">
        <f>IF($C16="","",N($G16)-N(R16))</f>
        <v/>
      </c>
      <c r="U16" s="24" t="n"/>
      <c r="V16" s="22" t="n"/>
    </row>
    <row r="17">
      <c r="B17" s="13">
        <f>IF($C17="","",COUNTA($C$9:$C17))</f>
        <v/>
      </c>
      <c r="C17" s="21" t="n"/>
      <c r="D17" s="14" t="n"/>
      <c r="E17" s="14" t="n"/>
      <c r="F17" s="14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3">
        <f>IF($C17="","",N(L17)-N(M17))</f>
        <v/>
      </c>
      <c r="P17" s="24" t="n"/>
      <c r="Q17" s="23">
        <f>IF($C17="","",N(M17)+N(N17))</f>
        <v/>
      </c>
      <c r="R17" s="23">
        <f>IF($C17="","",N(J17)+N(Q17))</f>
        <v/>
      </c>
      <c r="S17" s="25">
        <f>IF(OR($C17="",N($G17)=0),"",R17/$G17)</f>
        <v/>
      </c>
      <c r="T17" s="23">
        <f>IF($C17="","",N($G17)-N(R17))</f>
        <v/>
      </c>
      <c r="U17" s="24" t="n"/>
      <c r="V17" s="22" t="n"/>
    </row>
    <row r="18">
      <c r="B18" s="13">
        <f>IF($C18="","",COUNTA($C$9:$C18))</f>
        <v/>
      </c>
      <c r="C18" s="21" t="n"/>
      <c r="D18" s="14" t="n"/>
      <c r="E18" s="14" t="n"/>
      <c r="F18" s="14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3">
        <f>IF($C18="","",N(L18)-N(M18))</f>
        <v/>
      </c>
      <c r="P18" s="24" t="n"/>
      <c r="Q18" s="23">
        <f>IF($C18="","",N(M18)+N(N18))</f>
        <v/>
      </c>
      <c r="R18" s="23">
        <f>IF($C18="","",N(J18)+N(Q18))</f>
        <v/>
      </c>
      <c r="S18" s="25">
        <f>IF(OR($C18="",N($G18)=0),"",R18/$G18)</f>
        <v/>
      </c>
      <c r="T18" s="23">
        <f>IF($C18="","",N($G18)-N(R18))</f>
        <v/>
      </c>
      <c r="U18" s="24" t="n"/>
      <c r="V18" s="22" t="n"/>
    </row>
    <row r="19">
      <c r="B19" s="13">
        <f>IF($C19="","",COUNTA($C$9:$C19))</f>
        <v/>
      </c>
      <c r="C19" s="21" t="n"/>
      <c r="D19" s="14" t="n"/>
      <c r="E19" s="14" t="n"/>
      <c r="F19" s="14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3">
        <f>IF($C19="","",N(L19)-N(M19))</f>
        <v/>
      </c>
      <c r="P19" s="24" t="n"/>
      <c r="Q19" s="23">
        <f>IF($C19="","",N(M19)+N(N19))</f>
        <v/>
      </c>
      <c r="R19" s="23">
        <f>IF($C19="","",N(J19)+N(Q19))</f>
        <v/>
      </c>
      <c r="S19" s="25">
        <f>IF(OR($C19="",N($G19)=0),"",R19/$G19)</f>
        <v/>
      </c>
      <c r="T19" s="23">
        <f>IF($C19="","",N($G19)-N(R19))</f>
        <v/>
      </c>
      <c r="U19" s="24" t="n"/>
      <c r="V19" s="22" t="n"/>
    </row>
    <row r="20">
      <c r="B20" s="13">
        <f>IF($C20="","",COUNTA($C$9:$C20))</f>
        <v/>
      </c>
      <c r="C20" s="21" t="n"/>
      <c r="D20" s="14" t="n"/>
      <c r="E20" s="14" t="n"/>
      <c r="F20" s="14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3">
        <f>IF($C20="","",N(L20)-N(M20))</f>
        <v/>
      </c>
      <c r="P20" s="24" t="n"/>
      <c r="Q20" s="23">
        <f>IF($C20="","",N(M20)+N(N20))</f>
        <v/>
      </c>
      <c r="R20" s="23">
        <f>IF($C20="","",N(J20)+N(Q20))</f>
        <v/>
      </c>
      <c r="S20" s="25">
        <f>IF(OR($C20="",N($G20)=0),"",R20/$G20)</f>
        <v/>
      </c>
      <c r="T20" s="23">
        <f>IF($C20="","",N($G20)-N(R20))</f>
        <v/>
      </c>
      <c r="U20" s="24" t="n"/>
      <c r="V20" s="22" t="n"/>
    </row>
    <row r="21">
      <c r="B21" s="13">
        <f>IF($C21="","",COUNTA($C$9:$C21))</f>
        <v/>
      </c>
      <c r="C21" s="21" t="n"/>
      <c r="D21" s="14" t="n"/>
      <c r="E21" s="14" t="n"/>
      <c r="F21" s="14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3">
        <f>IF($C21="","",N(L21)-N(M21))</f>
        <v/>
      </c>
      <c r="P21" s="24" t="n"/>
      <c r="Q21" s="23">
        <f>IF($C21="","",N(M21)+N(N21))</f>
        <v/>
      </c>
      <c r="R21" s="23">
        <f>IF($C21="","",N(J21)+N(Q21))</f>
        <v/>
      </c>
      <c r="S21" s="25">
        <f>IF(OR($C21="",N($G21)=0),"",R21/$G21)</f>
        <v/>
      </c>
      <c r="T21" s="23">
        <f>IF($C21="","",N($G21)-N(R21))</f>
        <v/>
      </c>
      <c r="U21" s="24" t="n"/>
      <c r="V21" s="22" t="n"/>
    </row>
    <row r="22">
      <c r="B22" s="13">
        <f>IF($C22="","",COUNTA($C$9:$C22))</f>
        <v/>
      </c>
      <c r="C22" s="21" t="n"/>
      <c r="D22" s="14" t="n"/>
      <c r="E22" s="14" t="n"/>
      <c r="F22" s="14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3">
        <f>IF($C22="","",N(L22)-N(M22))</f>
        <v/>
      </c>
      <c r="P22" s="24" t="n"/>
      <c r="Q22" s="23">
        <f>IF($C22="","",N(M22)+N(N22))</f>
        <v/>
      </c>
      <c r="R22" s="23">
        <f>IF($C22="","",N(J22)+N(Q22))</f>
        <v/>
      </c>
      <c r="S22" s="25">
        <f>IF(OR($C22="",N($G22)=0),"",R22/$G22)</f>
        <v/>
      </c>
      <c r="T22" s="23">
        <f>IF($C22="","",N($G22)-N(R22))</f>
        <v/>
      </c>
      <c r="U22" s="24" t="n"/>
      <c r="V22" s="22" t="n"/>
    </row>
    <row r="23">
      <c r="B23" s="13">
        <f>IF($C23="","",COUNTA($C$9:$C23))</f>
        <v/>
      </c>
      <c r="C23" s="21" t="n"/>
      <c r="D23" s="14" t="n"/>
      <c r="E23" s="14" t="n"/>
      <c r="F23" s="14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3">
        <f>IF($C23="","",N(L23)-N(M23))</f>
        <v/>
      </c>
      <c r="P23" s="24" t="n"/>
      <c r="Q23" s="23">
        <f>IF($C23="","",N(M23)+N(N23))</f>
        <v/>
      </c>
      <c r="R23" s="23">
        <f>IF($C23="","",N(J23)+N(Q23))</f>
        <v/>
      </c>
      <c r="S23" s="25">
        <f>IF(OR($C23="",N($G23)=0),"",R23/$G23)</f>
        <v/>
      </c>
      <c r="T23" s="23">
        <f>IF($C23="","",N($G23)-N(R23))</f>
        <v/>
      </c>
      <c r="U23" s="24" t="n"/>
      <c r="V23" s="22" t="n"/>
    </row>
    <row r="24">
      <c r="B24" s="13">
        <f>IF($C24="","",COUNTA($C$9:$C24))</f>
        <v/>
      </c>
      <c r="C24" s="21" t="n"/>
      <c r="D24" s="14" t="n"/>
      <c r="E24" s="14" t="n"/>
      <c r="F24" s="14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3">
        <f>IF($C24="","",N(L24)-N(M24))</f>
        <v/>
      </c>
      <c r="P24" s="24" t="n"/>
      <c r="Q24" s="23">
        <f>IF($C24="","",N(M24)+N(N24))</f>
        <v/>
      </c>
      <c r="R24" s="23">
        <f>IF($C24="","",N(J24)+N(Q24))</f>
        <v/>
      </c>
      <c r="S24" s="25">
        <f>IF(OR($C24="",N($G24)=0),"",R24/$G24)</f>
        <v/>
      </c>
      <c r="T24" s="23">
        <f>IF($C24="","",N($G24)-N(R24))</f>
        <v/>
      </c>
      <c r="U24" s="24" t="n"/>
      <c r="V24" s="22" t="n"/>
    </row>
    <row r="25">
      <c r="B25" s="13">
        <f>IF($C25="","",COUNTA($C$9:$C25))</f>
        <v/>
      </c>
      <c r="C25" s="21" t="n"/>
      <c r="D25" s="14" t="n"/>
      <c r="E25" s="14" t="n"/>
      <c r="F25" s="14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3">
        <f>IF($C25="","",N(L25)-N(M25))</f>
        <v/>
      </c>
      <c r="P25" s="24" t="n"/>
      <c r="Q25" s="23">
        <f>IF($C25="","",N(M25)+N(N25))</f>
        <v/>
      </c>
      <c r="R25" s="23">
        <f>IF($C25="","",N(J25)+N(Q25))</f>
        <v/>
      </c>
      <c r="S25" s="25">
        <f>IF(OR($C25="",N($G25)=0),"",R25/$G25)</f>
        <v/>
      </c>
      <c r="T25" s="23">
        <f>IF($C25="","",N($G25)-N(R25))</f>
        <v/>
      </c>
      <c r="U25" s="24" t="n"/>
      <c r="V25" s="22" t="n"/>
    </row>
    <row r="26">
      <c r="B26" s="13">
        <f>IF($C26="","",COUNTA($C$9:$C26))</f>
        <v/>
      </c>
      <c r="C26" s="21" t="n"/>
      <c r="D26" s="14" t="n"/>
      <c r="E26" s="14" t="n"/>
      <c r="F26" s="14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3">
        <f>IF($C26="","",N(L26)-N(M26))</f>
        <v/>
      </c>
      <c r="P26" s="24" t="n"/>
      <c r="Q26" s="23">
        <f>IF($C26="","",N(M26)+N(N26))</f>
        <v/>
      </c>
      <c r="R26" s="23">
        <f>IF($C26="","",N(J26)+N(Q26))</f>
        <v/>
      </c>
      <c r="S26" s="25">
        <f>IF(OR($C26="",N($G26)=0),"",R26/$G26)</f>
        <v/>
      </c>
      <c r="T26" s="23">
        <f>IF($C26="","",N($G26)-N(R26))</f>
        <v/>
      </c>
      <c r="U26" s="24" t="n"/>
      <c r="V26" s="22" t="n"/>
    </row>
    <row r="27">
      <c r="B27" s="13">
        <f>IF($C27="","",COUNTA($C$9:$C27))</f>
        <v/>
      </c>
      <c r="C27" s="21" t="n"/>
      <c r="D27" s="14" t="n"/>
      <c r="E27" s="14" t="n"/>
      <c r="F27" s="14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3">
        <f>IF($C27="","",N(L27)-N(M27))</f>
        <v/>
      </c>
      <c r="P27" s="24" t="n"/>
      <c r="Q27" s="23">
        <f>IF($C27="","",N(M27)+N(N27))</f>
        <v/>
      </c>
      <c r="R27" s="23">
        <f>IF($C27="","",N(J27)+N(Q27))</f>
        <v/>
      </c>
      <c r="S27" s="25">
        <f>IF(OR($C27="",N($G27)=0),"",R27/$G27)</f>
        <v/>
      </c>
      <c r="T27" s="23">
        <f>IF($C27="","",N($G27)-N(R27))</f>
        <v/>
      </c>
      <c r="U27" s="24" t="n"/>
      <c r="V27" s="22" t="n"/>
    </row>
    <row r="28">
      <c r="B28" s="13">
        <f>IF($C28="","",COUNTA($C$9:$C28))</f>
        <v/>
      </c>
      <c r="C28" s="21" t="n"/>
      <c r="D28" s="14" t="n"/>
      <c r="E28" s="14" t="n"/>
      <c r="F28" s="14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3">
        <f>IF($C28="","",N(L28)-N(M28))</f>
        <v/>
      </c>
      <c r="P28" s="24" t="n"/>
      <c r="Q28" s="23">
        <f>IF($C28="","",N(M28)+N(N28))</f>
        <v/>
      </c>
      <c r="R28" s="23">
        <f>IF($C28="","",N(J28)+N(Q28))</f>
        <v/>
      </c>
      <c r="S28" s="25">
        <f>IF(OR($C28="",N($G28)=0),"",R28/$G28)</f>
        <v/>
      </c>
      <c r="T28" s="23">
        <f>IF($C28="","",N($G28)-N(R28))</f>
        <v/>
      </c>
      <c r="U28" s="24" t="n"/>
      <c r="V28" s="22" t="n"/>
    </row>
    <row r="29">
      <c r="B29" s="13">
        <f>IF($C29="","",COUNTA($C$9:$C29))</f>
        <v/>
      </c>
      <c r="C29" s="21" t="n"/>
      <c r="D29" s="14" t="n"/>
      <c r="E29" s="14" t="n"/>
      <c r="F29" s="14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3">
        <f>IF($C29="","",N(L29)-N(M29))</f>
        <v/>
      </c>
      <c r="P29" s="24" t="n"/>
      <c r="Q29" s="23">
        <f>IF($C29="","",N(M29)+N(N29))</f>
        <v/>
      </c>
      <c r="R29" s="23">
        <f>IF($C29="","",N(J29)+N(Q29))</f>
        <v/>
      </c>
      <c r="S29" s="25">
        <f>IF(OR($C29="",N($G29)=0),"",R29/$G29)</f>
        <v/>
      </c>
      <c r="T29" s="23">
        <f>IF($C29="","",N($G29)-N(R29))</f>
        <v/>
      </c>
      <c r="U29" s="24" t="n"/>
      <c r="V29" s="22" t="n"/>
    </row>
    <row r="30">
      <c r="B30" s="13">
        <f>IF($C30="","",COUNTA($C$9:$C30))</f>
        <v/>
      </c>
      <c r="C30" s="21" t="n"/>
      <c r="D30" s="14" t="n"/>
      <c r="E30" s="14" t="n"/>
      <c r="F30" s="14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3">
        <f>IF($C30="","",N(L30)-N(M30))</f>
        <v/>
      </c>
      <c r="P30" s="24" t="n"/>
      <c r="Q30" s="23">
        <f>IF($C30="","",N(M30)+N(N30))</f>
        <v/>
      </c>
      <c r="R30" s="23">
        <f>IF($C30="","",N(J30)+N(Q30))</f>
        <v/>
      </c>
      <c r="S30" s="25">
        <f>IF(OR($C30="",N($G30)=0),"",R30/$G30)</f>
        <v/>
      </c>
      <c r="T30" s="23">
        <f>IF($C30="","",N($G30)-N(R30))</f>
        <v/>
      </c>
      <c r="U30" s="24" t="n"/>
      <c r="V30" s="22" t="n"/>
    </row>
    <row r="31">
      <c r="B31" s="13">
        <f>IF($C31="","",COUNTA($C$9:$C31))</f>
        <v/>
      </c>
      <c r="C31" s="21" t="n"/>
      <c r="D31" s="14" t="n"/>
      <c r="E31" s="14" t="n"/>
      <c r="F31" s="14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3">
        <f>IF($C31="","",N(L31)-N(M31))</f>
        <v/>
      </c>
      <c r="P31" s="24" t="n"/>
      <c r="Q31" s="23">
        <f>IF($C31="","",N(M31)+N(N31))</f>
        <v/>
      </c>
      <c r="R31" s="23">
        <f>IF($C31="","",N(J31)+N(Q31))</f>
        <v/>
      </c>
      <c r="S31" s="25">
        <f>IF(OR($C31="",N($G31)=0),"",R31/$G31)</f>
        <v/>
      </c>
      <c r="T31" s="23">
        <f>IF($C31="","",N($G31)-N(R31))</f>
        <v/>
      </c>
      <c r="U31" s="24" t="n"/>
      <c r="V31" s="22" t="n"/>
    </row>
    <row r="32">
      <c r="B32" s="13">
        <f>IF($C32="","",COUNTA($C$9:$C32))</f>
        <v/>
      </c>
      <c r="C32" s="21" t="n"/>
      <c r="D32" s="14" t="n"/>
      <c r="E32" s="14" t="n"/>
      <c r="F32" s="14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3">
        <f>IF($C32="","",N(L32)-N(M32))</f>
        <v/>
      </c>
      <c r="P32" s="24" t="n"/>
      <c r="Q32" s="23">
        <f>IF($C32="","",N(M32)+N(N32))</f>
        <v/>
      </c>
      <c r="R32" s="23">
        <f>IF($C32="","",N(J32)+N(Q32))</f>
        <v/>
      </c>
      <c r="S32" s="25">
        <f>IF(OR($C32="",N($G32)=0),"",R32/$G32)</f>
        <v/>
      </c>
      <c r="T32" s="23">
        <f>IF($C32="","",N($G32)-N(R32))</f>
        <v/>
      </c>
      <c r="U32" s="24" t="n"/>
      <c r="V32" s="22" t="n"/>
    </row>
    <row r="33">
      <c r="B33" s="13">
        <f>IF($C33="","",COUNTA($C$9:$C33))</f>
        <v/>
      </c>
      <c r="C33" s="21" t="n"/>
      <c r="D33" s="14" t="n"/>
      <c r="E33" s="14" t="n"/>
      <c r="F33" s="14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3">
        <f>IF($C33="","",N(L33)-N(M33))</f>
        <v/>
      </c>
      <c r="P33" s="24" t="n"/>
      <c r="Q33" s="23">
        <f>IF($C33="","",N(M33)+N(N33))</f>
        <v/>
      </c>
      <c r="R33" s="23">
        <f>IF($C33="","",N(J33)+N(Q33))</f>
        <v/>
      </c>
      <c r="S33" s="25">
        <f>IF(OR($C33="",N($G33)=0),"",R33/$G33)</f>
        <v/>
      </c>
      <c r="T33" s="23">
        <f>IF($C33="","",N($G33)-N(R33))</f>
        <v/>
      </c>
      <c r="U33" s="24" t="n"/>
      <c r="V33" s="22" t="n"/>
    </row>
    <row r="34">
      <c r="B34" s="13">
        <f>IF($C34="","",COUNTA($C$9:$C34))</f>
        <v/>
      </c>
      <c r="C34" s="21" t="n"/>
      <c r="D34" s="14" t="n"/>
      <c r="E34" s="14" t="n"/>
      <c r="F34" s="14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3">
        <f>IF($C34="","",N(L34)-N(M34))</f>
        <v/>
      </c>
      <c r="P34" s="24" t="n"/>
      <c r="Q34" s="23">
        <f>IF($C34="","",N(M34)+N(N34))</f>
        <v/>
      </c>
      <c r="R34" s="23">
        <f>IF($C34="","",N(J34)+N(Q34))</f>
        <v/>
      </c>
      <c r="S34" s="25">
        <f>IF(OR($C34="",N($G34)=0),"",R34/$G34)</f>
        <v/>
      </c>
      <c r="T34" s="23">
        <f>IF($C34="","",N($G34)-N(R34))</f>
        <v/>
      </c>
      <c r="U34" s="24" t="n"/>
      <c r="V34" s="22" t="n"/>
    </row>
    <row r="35">
      <c r="B35" s="13">
        <f>IF($C35="","",COUNTA($C$9:$C35))</f>
        <v/>
      </c>
      <c r="C35" s="21" t="n"/>
      <c r="D35" s="14" t="n"/>
      <c r="E35" s="14" t="n"/>
      <c r="F35" s="14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3">
        <f>IF($C35="","",N(L35)-N(M35))</f>
        <v/>
      </c>
      <c r="P35" s="24" t="n"/>
      <c r="Q35" s="23">
        <f>IF($C35="","",N(M35)+N(N35))</f>
        <v/>
      </c>
      <c r="R35" s="23">
        <f>IF($C35="","",N(J35)+N(Q35))</f>
        <v/>
      </c>
      <c r="S35" s="25">
        <f>IF(OR($C35="",N($G35)=0),"",R35/$G35)</f>
        <v/>
      </c>
      <c r="T35" s="23">
        <f>IF($C35="","",N($G35)-N(R35))</f>
        <v/>
      </c>
      <c r="U35" s="24" t="n"/>
      <c r="V35" s="22" t="n"/>
    </row>
    <row r="36">
      <c r="B36" s="13">
        <f>IF($C36="","",COUNTA($C$9:$C36))</f>
        <v/>
      </c>
      <c r="C36" s="21" t="n"/>
      <c r="D36" s="14" t="n"/>
      <c r="E36" s="14" t="n"/>
      <c r="F36" s="14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3">
        <f>IF($C36="","",N(L36)-N(M36))</f>
        <v/>
      </c>
      <c r="P36" s="24" t="n"/>
      <c r="Q36" s="23">
        <f>IF($C36="","",N(M36)+N(N36))</f>
        <v/>
      </c>
      <c r="R36" s="23">
        <f>IF($C36="","",N(J36)+N(Q36))</f>
        <v/>
      </c>
      <c r="S36" s="25">
        <f>IF(OR($C36="",N($G36)=0),"",R36/$G36)</f>
        <v/>
      </c>
      <c r="T36" s="23">
        <f>IF($C36="","",N($G36)-N(R36))</f>
        <v/>
      </c>
      <c r="U36" s="24" t="n"/>
      <c r="V36" s="22" t="n"/>
    </row>
    <row r="37">
      <c r="B37" s="13">
        <f>IF($C37="","",COUNTA($C$9:$C37))</f>
        <v/>
      </c>
      <c r="C37" s="21" t="n"/>
      <c r="D37" s="14" t="n"/>
      <c r="E37" s="14" t="n"/>
      <c r="F37" s="14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3">
        <f>IF($C37="","",N(L37)-N(M37))</f>
        <v/>
      </c>
      <c r="P37" s="24" t="n"/>
      <c r="Q37" s="23">
        <f>IF($C37="","",N(M37)+N(N37))</f>
        <v/>
      </c>
      <c r="R37" s="23">
        <f>IF($C37="","",N(J37)+N(Q37))</f>
        <v/>
      </c>
      <c r="S37" s="25">
        <f>IF(OR($C37="",N($G37)=0),"",R37/$G37)</f>
        <v/>
      </c>
      <c r="T37" s="23">
        <f>IF($C37="","",N($G37)-N(R37))</f>
        <v/>
      </c>
      <c r="U37" s="24" t="n"/>
      <c r="V37" s="22" t="n"/>
    </row>
    <row r="38">
      <c r="B38" s="13">
        <f>IF($C38="","",COUNTA($C$9:$C38))</f>
        <v/>
      </c>
      <c r="C38" s="21" t="n"/>
      <c r="D38" s="14" t="n"/>
      <c r="E38" s="14" t="n"/>
      <c r="F38" s="14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3">
        <f>IF($C38="","",N(L38)-N(M38))</f>
        <v/>
      </c>
      <c r="P38" s="24" t="n"/>
      <c r="Q38" s="23">
        <f>IF($C38="","",N(M38)+N(N38))</f>
        <v/>
      </c>
      <c r="R38" s="23">
        <f>IF($C38="","",N(J38)+N(Q38))</f>
        <v/>
      </c>
      <c r="S38" s="25">
        <f>IF(OR($C38="",N($G38)=0),"",R38/$G38)</f>
        <v/>
      </c>
      <c r="T38" s="23">
        <f>IF($C38="","",N($G38)-N(R38))</f>
        <v/>
      </c>
      <c r="U38" s="24" t="n"/>
      <c r="V38" s="22" t="n"/>
    </row>
    <row r="39">
      <c r="B39" s="13">
        <f>IF($C39="","",COUNTA($C$9:$C39))</f>
        <v/>
      </c>
      <c r="C39" s="21" t="n"/>
      <c r="D39" s="14" t="n"/>
      <c r="E39" s="14" t="n"/>
      <c r="F39" s="14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3">
        <f>IF($C39="","",N(L39)-N(M39))</f>
        <v/>
      </c>
      <c r="P39" s="24" t="n"/>
      <c r="Q39" s="23">
        <f>IF($C39="","",N(M39)+N(N39))</f>
        <v/>
      </c>
      <c r="R39" s="23">
        <f>IF($C39="","",N(J39)+N(Q39))</f>
        <v/>
      </c>
      <c r="S39" s="25">
        <f>IF(OR($C39="",N($G39)=0),"",R39/$G39)</f>
        <v/>
      </c>
      <c r="T39" s="23">
        <f>IF($C39="","",N($G39)-N(R39))</f>
        <v/>
      </c>
      <c r="U39" s="24" t="n"/>
      <c r="V39" s="22" t="n"/>
    </row>
    <row r="40">
      <c r="B40" s="13">
        <f>IF($C40="","",COUNTA($C$9:$C40))</f>
        <v/>
      </c>
      <c r="C40" s="21" t="n"/>
      <c r="D40" s="14" t="n"/>
      <c r="E40" s="14" t="n"/>
      <c r="F40" s="14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3">
        <f>IF($C40="","",N(L40)-N(M40))</f>
        <v/>
      </c>
      <c r="P40" s="24" t="n"/>
      <c r="Q40" s="23">
        <f>IF($C40="","",N(M40)+N(N40))</f>
        <v/>
      </c>
      <c r="R40" s="23">
        <f>IF($C40="","",N(J40)+N(Q40))</f>
        <v/>
      </c>
      <c r="S40" s="25">
        <f>IF(OR($C40="",N($G40)=0),"",R40/$G40)</f>
        <v/>
      </c>
      <c r="T40" s="23">
        <f>IF($C40="","",N($G40)-N(R40))</f>
        <v/>
      </c>
      <c r="U40" s="24" t="n"/>
      <c r="V40" s="22" t="n"/>
    </row>
    <row r="41">
      <c r="B41" s="13">
        <f>IF($C41="","",COUNTA($C$9:$C41))</f>
        <v/>
      </c>
      <c r="C41" s="21" t="n"/>
      <c r="D41" s="14" t="n"/>
      <c r="E41" s="14" t="n"/>
      <c r="F41" s="14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3">
        <f>IF($C41="","",N(L41)-N(M41))</f>
        <v/>
      </c>
      <c r="P41" s="24" t="n"/>
      <c r="Q41" s="23">
        <f>IF($C41="","",N(M41)+N(N41))</f>
        <v/>
      </c>
      <c r="R41" s="23">
        <f>IF($C41="","",N(J41)+N(Q41))</f>
        <v/>
      </c>
      <c r="S41" s="25">
        <f>IF(OR($C41="",N($G41)=0),"",R41/$G41)</f>
        <v/>
      </c>
      <c r="T41" s="23">
        <f>IF($C41="","",N($G41)-N(R41))</f>
        <v/>
      </c>
      <c r="U41" s="24" t="n"/>
      <c r="V41" s="22" t="n"/>
    </row>
    <row r="42">
      <c r="B42" s="13">
        <f>IF($C42="","",COUNTA($C$9:$C42))</f>
        <v/>
      </c>
      <c r="C42" s="21" t="n"/>
      <c r="D42" s="14" t="n"/>
      <c r="E42" s="14" t="n"/>
      <c r="F42" s="14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3">
        <f>IF($C42="","",N(L42)-N(M42))</f>
        <v/>
      </c>
      <c r="P42" s="24" t="n"/>
      <c r="Q42" s="23">
        <f>IF($C42="","",N(M42)+N(N42))</f>
        <v/>
      </c>
      <c r="R42" s="23">
        <f>IF($C42="","",N(J42)+N(Q42))</f>
        <v/>
      </c>
      <c r="S42" s="25">
        <f>IF(OR($C42="",N($G42)=0),"",R42/$G42)</f>
        <v/>
      </c>
      <c r="T42" s="23">
        <f>IF($C42="","",N($G42)-N(R42))</f>
        <v/>
      </c>
      <c r="U42" s="24" t="n"/>
      <c r="V42" s="22" t="n"/>
    </row>
    <row r="43">
      <c r="B43" s="13">
        <f>IF($C43="","",COUNTA($C$9:$C43))</f>
        <v/>
      </c>
      <c r="C43" s="21" t="n"/>
      <c r="D43" s="14" t="n"/>
      <c r="E43" s="14" t="n"/>
      <c r="F43" s="14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3">
        <f>IF($C43="","",N(L43)-N(M43))</f>
        <v/>
      </c>
      <c r="P43" s="24" t="n"/>
      <c r="Q43" s="23">
        <f>IF($C43="","",N(M43)+N(N43))</f>
        <v/>
      </c>
      <c r="R43" s="23">
        <f>IF($C43="","",N(J43)+N(Q43))</f>
        <v/>
      </c>
      <c r="S43" s="25">
        <f>IF(OR($C43="",N($G43)=0),"",R43/$G43)</f>
        <v/>
      </c>
      <c r="T43" s="23">
        <f>IF($C43="","",N($G43)-N(R43))</f>
        <v/>
      </c>
      <c r="U43" s="24" t="n"/>
      <c r="V43" s="22" t="n"/>
    </row>
    <row r="44">
      <c r="B44" s="13">
        <f>IF($C44="","",COUNTA($C$9:$C44))</f>
        <v/>
      </c>
      <c r="C44" s="21" t="n"/>
      <c r="D44" s="14" t="n"/>
      <c r="E44" s="14" t="n"/>
      <c r="F44" s="14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3">
        <f>IF($C44="","",N(L44)-N(M44))</f>
        <v/>
      </c>
      <c r="P44" s="24" t="n"/>
      <c r="Q44" s="23">
        <f>IF($C44="","",N(M44)+N(N44))</f>
        <v/>
      </c>
      <c r="R44" s="23">
        <f>IF($C44="","",N(J44)+N(Q44))</f>
        <v/>
      </c>
      <c r="S44" s="25">
        <f>IF(OR($C44="",N($G44)=0),"",R44/$G44)</f>
        <v/>
      </c>
      <c r="T44" s="23">
        <f>IF($C44="","",N($G44)-N(R44))</f>
        <v/>
      </c>
      <c r="U44" s="24" t="n"/>
      <c r="V44" s="22" t="n"/>
    </row>
    <row r="45">
      <c r="B45" s="13">
        <f>IF($C45="","",COUNTA($C$9:$C45))</f>
        <v/>
      </c>
      <c r="C45" s="21" t="n"/>
      <c r="D45" s="14" t="n"/>
      <c r="E45" s="14" t="n"/>
      <c r="F45" s="14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3">
        <f>IF($C45="","",N(L45)-N(M45))</f>
        <v/>
      </c>
      <c r="P45" s="24" t="n"/>
      <c r="Q45" s="23">
        <f>IF($C45="","",N(M45)+N(N45))</f>
        <v/>
      </c>
      <c r="R45" s="23">
        <f>IF($C45="","",N(J45)+N(Q45))</f>
        <v/>
      </c>
      <c r="S45" s="25">
        <f>IF(OR($C45="",N($G45)=0),"",R45/$G45)</f>
        <v/>
      </c>
      <c r="T45" s="23">
        <f>IF($C45="","",N($G45)-N(R45))</f>
        <v/>
      </c>
      <c r="U45" s="24" t="n"/>
      <c r="V45" s="22" t="n"/>
    </row>
    <row r="46">
      <c r="B46" s="13">
        <f>IF($C46="","",COUNTA($C$9:$C46))</f>
        <v/>
      </c>
      <c r="C46" s="21" t="n"/>
      <c r="D46" s="14" t="n"/>
      <c r="E46" s="14" t="n"/>
      <c r="F46" s="14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3">
        <f>IF($C46="","",N(L46)-N(M46))</f>
        <v/>
      </c>
      <c r="P46" s="24" t="n"/>
      <c r="Q46" s="23">
        <f>IF($C46="","",N(M46)+N(N46))</f>
        <v/>
      </c>
      <c r="R46" s="23">
        <f>IF($C46="","",N(J46)+N(Q46))</f>
        <v/>
      </c>
      <c r="S46" s="25">
        <f>IF(OR($C46="",N($G46)=0),"",R46/$G46)</f>
        <v/>
      </c>
      <c r="T46" s="23">
        <f>IF($C46="","",N($G46)-N(R46))</f>
        <v/>
      </c>
      <c r="U46" s="24" t="n"/>
      <c r="V46" s="22" t="n"/>
    </row>
    <row r="47">
      <c r="B47" s="13">
        <f>IF($C47="","",COUNTA($C$9:$C47))</f>
        <v/>
      </c>
      <c r="C47" s="21" t="n"/>
      <c r="D47" s="14" t="n"/>
      <c r="E47" s="14" t="n"/>
      <c r="F47" s="14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3">
        <f>IF($C47="","",N(L47)-N(M47))</f>
        <v/>
      </c>
      <c r="P47" s="24" t="n"/>
      <c r="Q47" s="23">
        <f>IF($C47="","",N(M47)+N(N47))</f>
        <v/>
      </c>
      <c r="R47" s="23">
        <f>IF($C47="","",N(J47)+N(Q47))</f>
        <v/>
      </c>
      <c r="S47" s="25">
        <f>IF(OR($C47="",N($G47)=0),"",R47/$G47)</f>
        <v/>
      </c>
      <c r="T47" s="23">
        <f>IF($C47="","",N($G47)-N(R47))</f>
        <v/>
      </c>
      <c r="U47" s="24" t="n"/>
      <c r="V47" s="22" t="n"/>
    </row>
    <row r="48">
      <c r="B48" s="13">
        <f>IF($C48="","",COUNTA($C$9:$C48))</f>
        <v/>
      </c>
      <c r="C48" s="21" t="n"/>
      <c r="D48" s="14" t="n"/>
      <c r="E48" s="14" t="n"/>
      <c r="F48" s="14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3">
        <f>IF($C48="","",N(L48)-N(M48))</f>
        <v/>
      </c>
      <c r="P48" s="24" t="n"/>
      <c r="Q48" s="23">
        <f>IF($C48="","",N(M48)+N(N48))</f>
        <v/>
      </c>
      <c r="R48" s="23">
        <f>IF($C48="","",N(J48)+N(Q48))</f>
        <v/>
      </c>
      <c r="S48" s="25">
        <f>IF(OR($C48="",N($G48)=0),"",R48/$G48)</f>
        <v/>
      </c>
      <c r="T48" s="23">
        <f>IF($C48="","",N($G48)-N(R48))</f>
        <v/>
      </c>
      <c r="U48" s="24" t="n"/>
      <c r="V48" s="22" t="n"/>
    </row>
    <row r="49">
      <c r="B49" s="13">
        <f>IF($C49="","",COUNTA($C$9:$C49))</f>
        <v/>
      </c>
      <c r="C49" s="21" t="n"/>
      <c r="D49" s="14" t="n"/>
      <c r="E49" s="14" t="n"/>
      <c r="F49" s="14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3">
        <f>IF($C49="","",N(L49)-N(M49))</f>
        <v/>
      </c>
      <c r="P49" s="24" t="n"/>
      <c r="Q49" s="23">
        <f>IF($C49="","",N(M49)+N(N49))</f>
        <v/>
      </c>
      <c r="R49" s="23">
        <f>IF($C49="","",N(J49)+N(Q49))</f>
        <v/>
      </c>
      <c r="S49" s="25">
        <f>IF(OR($C49="",N($G49)=0),"",R49/$G49)</f>
        <v/>
      </c>
      <c r="T49" s="23">
        <f>IF($C49="","",N($G49)-N(R49))</f>
        <v/>
      </c>
      <c r="U49" s="24" t="n"/>
      <c r="V49" s="22" t="n"/>
    </row>
    <row r="50">
      <c r="B50" s="13">
        <f>IF($C50="","",COUNTA($C$9:$C50))</f>
        <v/>
      </c>
      <c r="C50" s="21" t="n"/>
      <c r="D50" s="14" t="n"/>
      <c r="E50" s="14" t="n"/>
      <c r="F50" s="14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3">
        <f>IF($C50="","",N(L50)-N(M50))</f>
        <v/>
      </c>
      <c r="P50" s="24" t="n"/>
      <c r="Q50" s="23">
        <f>IF($C50="","",N(M50)+N(N50))</f>
        <v/>
      </c>
      <c r="R50" s="23">
        <f>IF($C50="","",N(J50)+N(Q50))</f>
        <v/>
      </c>
      <c r="S50" s="25">
        <f>IF(OR($C50="",N($G50)=0),"",R50/$G50)</f>
        <v/>
      </c>
      <c r="T50" s="23">
        <f>IF($C50="","",N($G50)-N(R50))</f>
        <v/>
      </c>
      <c r="U50" s="24" t="n"/>
      <c r="V50" s="22" t="n"/>
    </row>
    <row r="51">
      <c r="B51" s="13">
        <f>IF($C51="","",COUNTA($C$9:$C51))</f>
        <v/>
      </c>
      <c r="C51" s="21" t="n"/>
      <c r="D51" s="14" t="n"/>
      <c r="E51" s="14" t="n"/>
      <c r="F51" s="14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3">
        <f>IF($C51="","",N(L51)-N(M51))</f>
        <v/>
      </c>
      <c r="P51" s="24" t="n"/>
      <c r="Q51" s="23">
        <f>IF($C51="","",N(M51)+N(N51))</f>
        <v/>
      </c>
      <c r="R51" s="23">
        <f>IF($C51="","",N(J51)+N(Q51))</f>
        <v/>
      </c>
      <c r="S51" s="25">
        <f>IF(OR($C51="",N($G51)=0),"",R51/$G51)</f>
        <v/>
      </c>
      <c r="T51" s="23">
        <f>IF($C51="","",N($G51)-N(R51))</f>
        <v/>
      </c>
      <c r="U51" s="24" t="n"/>
      <c r="V51" s="22" t="n"/>
    </row>
    <row r="52">
      <c r="B52" s="13">
        <f>IF($C52="","",COUNTA($C$9:$C52))</f>
        <v/>
      </c>
      <c r="C52" s="21" t="n"/>
      <c r="D52" s="14" t="n"/>
      <c r="E52" s="14" t="n"/>
      <c r="F52" s="14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3">
        <f>IF($C52="","",N(L52)-N(M52))</f>
        <v/>
      </c>
      <c r="P52" s="24" t="n"/>
      <c r="Q52" s="23">
        <f>IF($C52="","",N(M52)+N(N52))</f>
        <v/>
      </c>
      <c r="R52" s="23">
        <f>IF($C52="","",N(J52)+N(Q52))</f>
        <v/>
      </c>
      <c r="S52" s="25">
        <f>IF(OR($C52="",N($G52)=0),"",R52/$G52)</f>
        <v/>
      </c>
      <c r="T52" s="23">
        <f>IF($C52="","",N($G52)-N(R52))</f>
        <v/>
      </c>
      <c r="U52" s="24" t="n"/>
      <c r="V52" s="22" t="n"/>
    </row>
    <row r="53">
      <c r="B53" s="13">
        <f>IF($C53="","",COUNTA($C$9:$C53))</f>
        <v/>
      </c>
      <c r="C53" s="21" t="n"/>
      <c r="D53" s="14" t="n"/>
      <c r="E53" s="14" t="n"/>
      <c r="F53" s="14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3">
        <f>IF($C53="","",N(L53)-N(M53))</f>
        <v/>
      </c>
      <c r="P53" s="24" t="n"/>
      <c r="Q53" s="23">
        <f>IF($C53="","",N(M53)+N(N53))</f>
        <v/>
      </c>
      <c r="R53" s="23">
        <f>IF($C53="","",N(J53)+N(Q53))</f>
        <v/>
      </c>
      <c r="S53" s="25">
        <f>IF(OR($C53="",N($G53)=0),"",R53/$G53)</f>
        <v/>
      </c>
      <c r="T53" s="23">
        <f>IF($C53="","",N($G53)-N(R53))</f>
        <v/>
      </c>
      <c r="U53" s="24" t="n"/>
      <c r="V53" s="22" t="n"/>
    </row>
    <row r="54">
      <c r="B54" s="13">
        <f>IF($C54="","",COUNTA($C$9:$C54))</f>
        <v/>
      </c>
      <c r="C54" s="21" t="n"/>
      <c r="D54" s="14" t="n"/>
      <c r="E54" s="14" t="n"/>
      <c r="F54" s="14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3">
        <f>IF($C54="","",N(L54)-N(M54))</f>
        <v/>
      </c>
      <c r="P54" s="24" t="n"/>
      <c r="Q54" s="23">
        <f>IF($C54="","",N(M54)+N(N54))</f>
        <v/>
      </c>
      <c r="R54" s="23">
        <f>IF($C54="","",N(J54)+N(Q54))</f>
        <v/>
      </c>
      <c r="S54" s="25">
        <f>IF(OR($C54="",N($G54)=0),"",R54/$G54)</f>
        <v/>
      </c>
      <c r="T54" s="23">
        <f>IF($C54="","",N($G54)-N(R54))</f>
        <v/>
      </c>
      <c r="U54" s="24" t="n"/>
      <c r="V54" s="22" t="n"/>
    </row>
    <row r="55">
      <c r="B55" s="13">
        <f>IF($C55="","",COUNTA($C$9:$C55))</f>
        <v/>
      </c>
      <c r="C55" s="21" t="n"/>
      <c r="D55" s="14" t="n"/>
      <c r="E55" s="14" t="n"/>
      <c r="F55" s="14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3">
        <f>IF($C55="","",N(L55)-N(M55))</f>
        <v/>
      </c>
      <c r="P55" s="24" t="n"/>
      <c r="Q55" s="23">
        <f>IF($C55="","",N(M55)+N(N55))</f>
        <v/>
      </c>
      <c r="R55" s="23">
        <f>IF($C55="","",N(J55)+N(Q55))</f>
        <v/>
      </c>
      <c r="S55" s="25">
        <f>IF(OR($C55="",N($G55)=0),"",R55/$G55)</f>
        <v/>
      </c>
      <c r="T55" s="23">
        <f>IF($C55="","",N($G55)-N(R55))</f>
        <v/>
      </c>
      <c r="U55" s="24" t="n"/>
      <c r="V55" s="22" t="n"/>
    </row>
    <row r="56">
      <c r="B56" s="13">
        <f>IF($C56="","",COUNTA($C$9:$C56))</f>
        <v/>
      </c>
      <c r="C56" s="21" t="n"/>
      <c r="D56" s="14" t="n"/>
      <c r="E56" s="14" t="n"/>
      <c r="F56" s="14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3">
        <f>IF($C56="","",N(L56)-N(M56))</f>
        <v/>
      </c>
      <c r="P56" s="24" t="n"/>
      <c r="Q56" s="23">
        <f>IF($C56="","",N(M56)+N(N56))</f>
        <v/>
      </c>
      <c r="R56" s="23">
        <f>IF($C56="","",N(J56)+N(Q56))</f>
        <v/>
      </c>
      <c r="S56" s="25">
        <f>IF(OR($C56="",N($G56)=0),"",R56/$G56)</f>
        <v/>
      </c>
      <c r="T56" s="23">
        <f>IF($C56="","",N($G56)-N(R56))</f>
        <v/>
      </c>
      <c r="U56" s="24" t="n"/>
      <c r="V56" s="22" t="n"/>
    </row>
    <row r="57">
      <c r="B57" s="13">
        <f>IF($C57="","",COUNTA($C$9:$C57))</f>
        <v/>
      </c>
      <c r="C57" s="21" t="n"/>
      <c r="D57" s="14" t="n"/>
      <c r="E57" s="14" t="n"/>
      <c r="F57" s="14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3">
        <f>IF($C57="","",N(L57)-N(M57))</f>
        <v/>
      </c>
      <c r="P57" s="24" t="n"/>
      <c r="Q57" s="23">
        <f>IF($C57="","",N(M57)+N(N57))</f>
        <v/>
      </c>
      <c r="R57" s="23">
        <f>IF($C57="","",N(J57)+N(Q57))</f>
        <v/>
      </c>
      <c r="S57" s="25">
        <f>IF(OR($C57="",N($G57)=0),"",R57/$G57)</f>
        <v/>
      </c>
      <c r="T57" s="23">
        <f>IF($C57="","",N($G57)-N(R57))</f>
        <v/>
      </c>
      <c r="U57" s="24" t="n"/>
      <c r="V57" s="22" t="n"/>
    </row>
    <row r="58">
      <c r="B58" s="13">
        <f>IF($C58="","",COUNTA($C$9:$C58))</f>
        <v/>
      </c>
      <c r="C58" s="21" t="n"/>
      <c r="D58" s="14" t="n"/>
      <c r="E58" s="14" t="n"/>
      <c r="F58" s="14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3">
        <f>IF($C58="","",N(L58)-N(M58))</f>
        <v/>
      </c>
      <c r="P58" s="24" t="n"/>
      <c r="Q58" s="23">
        <f>IF($C58="","",N(M58)+N(N58))</f>
        <v/>
      </c>
      <c r="R58" s="23">
        <f>IF($C58="","",N(J58)+N(Q58))</f>
        <v/>
      </c>
      <c r="S58" s="25">
        <f>IF(OR($C58="",N($G58)=0),"",R58/$G58)</f>
        <v/>
      </c>
      <c r="T58" s="23">
        <f>IF($C58="","",N($G58)-N(R58))</f>
        <v/>
      </c>
      <c r="U58" s="24" t="n"/>
      <c r="V58" s="22" t="n"/>
    </row>
    <row r="59">
      <c r="B59" s="13">
        <f>IF($C59="","",COUNTA($C$9:$C59))</f>
        <v/>
      </c>
      <c r="C59" s="21" t="n"/>
      <c r="D59" s="14" t="n"/>
      <c r="E59" s="14" t="n"/>
      <c r="F59" s="14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3">
        <f>IF($C59="","",N(L59)-N(M59))</f>
        <v/>
      </c>
      <c r="P59" s="24" t="n"/>
      <c r="Q59" s="23">
        <f>IF($C59="","",N(M59)+N(N59))</f>
        <v/>
      </c>
      <c r="R59" s="23">
        <f>IF($C59="","",N(J59)+N(Q59))</f>
        <v/>
      </c>
      <c r="S59" s="25">
        <f>IF(OR($C59="",N($G59)=0),"",R59/$G59)</f>
        <v/>
      </c>
      <c r="T59" s="23">
        <f>IF($C59="","",N($G59)-N(R59))</f>
        <v/>
      </c>
      <c r="U59" s="24" t="n"/>
      <c r="V59" s="22" t="n"/>
    </row>
    <row r="60">
      <c r="B60" s="13">
        <f>IF($C60="","",COUNTA($C$9:$C60))</f>
        <v/>
      </c>
      <c r="C60" s="21" t="n"/>
      <c r="D60" s="14" t="n"/>
      <c r="E60" s="14" t="n"/>
      <c r="F60" s="14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3">
        <f>IF($C60="","",N(L60)-N(M60))</f>
        <v/>
      </c>
      <c r="P60" s="24" t="n"/>
      <c r="Q60" s="23">
        <f>IF($C60="","",N(M60)+N(N60))</f>
        <v/>
      </c>
      <c r="R60" s="23">
        <f>IF($C60="","",N(J60)+N(Q60))</f>
        <v/>
      </c>
      <c r="S60" s="25">
        <f>IF(OR($C60="",N($G60)=0),"",R60/$G60)</f>
        <v/>
      </c>
      <c r="T60" s="23">
        <f>IF($C60="","",N($G60)-N(R60))</f>
        <v/>
      </c>
      <c r="U60" s="24" t="n"/>
      <c r="V60" s="22" t="n"/>
    </row>
    <row r="61">
      <c r="B61" s="13">
        <f>IF($C61="","",COUNTA($C$9:$C61))</f>
        <v/>
      </c>
      <c r="C61" s="21" t="n"/>
      <c r="D61" s="14" t="n"/>
      <c r="E61" s="14" t="n"/>
      <c r="F61" s="14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3">
        <f>IF($C61="","",N(L61)-N(M61))</f>
        <v/>
      </c>
      <c r="P61" s="24" t="n"/>
      <c r="Q61" s="23">
        <f>IF($C61="","",N(M61)+N(N61))</f>
        <v/>
      </c>
      <c r="R61" s="23">
        <f>IF($C61="","",N(J61)+N(Q61))</f>
        <v/>
      </c>
      <c r="S61" s="25">
        <f>IF(OR($C61="",N($G61)=0),"",R61/$G61)</f>
        <v/>
      </c>
      <c r="T61" s="23">
        <f>IF($C61="","",N($G61)-N(R61))</f>
        <v/>
      </c>
      <c r="U61" s="24" t="n"/>
      <c r="V61" s="22" t="n"/>
    </row>
    <row r="62">
      <c r="B62" s="13">
        <f>IF($C62="","",COUNTA($C$9:$C62))</f>
        <v/>
      </c>
      <c r="C62" s="21" t="n"/>
      <c r="D62" s="14" t="n"/>
      <c r="E62" s="14" t="n"/>
      <c r="F62" s="14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3">
        <f>IF($C62="","",N(L62)-N(M62))</f>
        <v/>
      </c>
      <c r="P62" s="24" t="n"/>
      <c r="Q62" s="23">
        <f>IF($C62="","",N(M62)+N(N62))</f>
        <v/>
      </c>
      <c r="R62" s="23">
        <f>IF($C62="","",N(J62)+N(Q62))</f>
        <v/>
      </c>
      <c r="S62" s="25">
        <f>IF(OR($C62="",N($G62)=0),"",R62/$G62)</f>
        <v/>
      </c>
      <c r="T62" s="23">
        <f>IF($C62="","",N($G62)-N(R62))</f>
        <v/>
      </c>
      <c r="U62" s="24" t="n"/>
      <c r="V62" s="22" t="n"/>
    </row>
    <row r="63">
      <c r="B63" s="13">
        <f>IF($C63="","",COUNTA($C$9:$C63))</f>
        <v/>
      </c>
      <c r="C63" s="21" t="n"/>
      <c r="D63" s="14" t="n"/>
      <c r="E63" s="14" t="n"/>
      <c r="F63" s="14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3">
        <f>IF($C63="","",N(L63)-N(M63))</f>
        <v/>
      </c>
      <c r="P63" s="24" t="n"/>
      <c r="Q63" s="23">
        <f>IF($C63="","",N(M63)+N(N63))</f>
        <v/>
      </c>
      <c r="R63" s="23">
        <f>IF($C63="","",N(J63)+N(Q63))</f>
        <v/>
      </c>
      <c r="S63" s="25">
        <f>IF(OR($C63="",N($G63)=0),"",R63/$G63)</f>
        <v/>
      </c>
      <c r="T63" s="23">
        <f>IF($C63="","",N($G63)-N(R63))</f>
        <v/>
      </c>
      <c r="U63" s="24" t="n"/>
      <c r="V63" s="22" t="n"/>
    </row>
    <row r="64">
      <c r="B64" s="13">
        <f>IF($C64="","",COUNTA($C$9:$C64))</f>
        <v/>
      </c>
      <c r="C64" s="21" t="n"/>
      <c r="D64" s="14" t="n"/>
      <c r="E64" s="14" t="n"/>
      <c r="F64" s="14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3">
        <f>IF($C64="","",N(L64)-N(M64))</f>
        <v/>
      </c>
      <c r="P64" s="24" t="n"/>
      <c r="Q64" s="23">
        <f>IF($C64="","",N(M64)+N(N64))</f>
        <v/>
      </c>
      <c r="R64" s="23">
        <f>IF($C64="","",N(J64)+N(Q64))</f>
        <v/>
      </c>
      <c r="S64" s="25">
        <f>IF(OR($C64="",N($G64)=0),"",R64/$G64)</f>
        <v/>
      </c>
      <c r="T64" s="23">
        <f>IF($C64="","",N($G64)-N(R64))</f>
        <v/>
      </c>
      <c r="U64" s="24" t="n"/>
      <c r="V64" s="22" t="n"/>
    </row>
    <row r="65">
      <c r="B65" s="13">
        <f>IF($C65="","",COUNTA($C$9:$C65))</f>
        <v/>
      </c>
      <c r="C65" s="21" t="n"/>
      <c r="D65" s="14" t="n"/>
      <c r="E65" s="14" t="n"/>
      <c r="F65" s="14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3">
        <f>IF($C65="","",N(L65)-N(M65))</f>
        <v/>
      </c>
      <c r="P65" s="24" t="n"/>
      <c r="Q65" s="23">
        <f>IF($C65="","",N(M65)+N(N65))</f>
        <v/>
      </c>
      <c r="R65" s="23">
        <f>IF($C65="","",N(J65)+N(Q65))</f>
        <v/>
      </c>
      <c r="S65" s="25">
        <f>IF(OR($C65="",N($G65)=0),"",R65/$G65)</f>
        <v/>
      </c>
      <c r="T65" s="23">
        <f>IF($C65="","",N($G65)-N(R65))</f>
        <v/>
      </c>
      <c r="U65" s="24" t="n"/>
      <c r="V65" s="22" t="n"/>
    </row>
    <row r="66">
      <c r="B66" s="13">
        <f>IF($C66="","",COUNTA($C$9:$C66))</f>
        <v/>
      </c>
      <c r="C66" s="21" t="n"/>
      <c r="D66" s="14" t="n"/>
      <c r="E66" s="14" t="n"/>
      <c r="F66" s="14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3">
        <f>IF($C66="","",N(L66)-N(M66))</f>
        <v/>
      </c>
      <c r="P66" s="24" t="n"/>
      <c r="Q66" s="23">
        <f>IF($C66="","",N(M66)+N(N66))</f>
        <v/>
      </c>
      <c r="R66" s="23">
        <f>IF($C66="","",N(J66)+N(Q66))</f>
        <v/>
      </c>
      <c r="S66" s="25">
        <f>IF(OR($C66="",N($G66)=0),"",R66/$G66)</f>
        <v/>
      </c>
      <c r="T66" s="23">
        <f>IF($C66="","",N($G66)-N(R66))</f>
        <v/>
      </c>
      <c r="U66" s="24" t="n"/>
      <c r="V66" s="22" t="n"/>
    </row>
    <row r="67">
      <c r="B67" s="13">
        <f>IF($C67="","",COUNTA($C$9:$C67))</f>
        <v/>
      </c>
      <c r="C67" s="21" t="n"/>
      <c r="D67" s="14" t="n"/>
      <c r="E67" s="14" t="n"/>
      <c r="F67" s="14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3">
        <f>IF($C67="","",N(L67)-N(M67))</f>
        <v/>
      </c>
      <c r="P67" s="24" t="n"/>
      <c r="Q67" s="23">
        <f>IF($C67="","",N(M67)+N(N67))</f>
        <v/>
      </c>
      <c r="R67" s="23">
        <f>IF($C67="","",N(J67)+N(Q67))</f>
        <v/>
      </c>
      <c r="S67" s="25">
        <f>IF(OR($C67="",N($G67)=0),"",R67/$G67)</f>
        <v/>
      </c>
      <c r="T67" s="23">
        <f>IF($C67="","",N($G67)-N(R67))</f>
        <v/>
      </c>
      <c r="U67" s="24" t="n"/>
      <c r="V67" s="22" t="n"/>
    </row>
    <row r="68">
      <c r="B68" s="13">
        <f>IF($C68="","",COUNTA($C$9:$C68))</f>
        <v/>
      </c>
      <c r="C68" s="21" t="n"/>
      <c r="D68" s="14" t="n"/>
      <c r="E68" s="14" t="n"/>
      <c r="F68" s="14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3">
        <f>IF($C68="","",N(L68)-N(M68))</f>
        <v/>
      </c>
      <c r="P68" s="24" t="n"/>
      <c r="Q68" s="23">
        <f>IF($C68="","",N(M68)+N(N68))</f>
        <v/>
      </c>
      <c r="R68" s="23">
        <f>IF($C68="","",N(J68)+N(Q68))</f>
        <v/>
      </c>
      <c r="S68" s="25">
        <f>IF(OR($C68="",N($G68)=0),"",R68/$G68)</f>
        <v/>
      </c>
      <c r="T68" s="23">
        <f>IF($C68="","",N($G68)-N(R68))</f>
        <v/>
      </c>
      <c r="U68" s="24" t="n"/>
      <c r="V68" s="22" t="n"/>
    </row>
    <row r="69">
      <c r="B69" s="13">
        <f>IF($C69="","",COUNTA($C$9:$C69))</f>
        <v/>
      </c>
      <c r="C69" s="21" t="n"/>
      <c r="D69" s="14" t="n"/>
      <c r="E69" s="14" t="n"/>
      <c r="F69" s="14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3">
        <f>IF($C69="","",N(L69)-N(M69))</f>
        <v/>
      </c>
      <c r="P69" s="24" t="n"/>
      <c r="Q69" s="23">
        <f>IF($C69="","",N(M69)+N(N69))</f>
        <v/>
      </c>
      <c r="R69" s="23">
        <f>IF($C69="","",N(J69)+N(Q69))</f>
        <v/>
      </c>
      <c r="S69" s="25">
        <f>IF(OR($C69="",N($G69)=0),"",R69/$G69)</f>
        <v/>
      </c>
      <c r="T69" s="23">
        <f>IF($C69="","",N($G69)-N(R69))</f>
        <v/>
      </c>
      <c r="U69" s="24" t="n"/>
      <c r="V69" s="22" t="n"/>
    </row>
    <row r="70">
      <c r="B70" s="13">
        <f>IF($C70="","",COUNTA($C$9:$C70))</f>
        <v/>
      </c>
      <c r="C70" s="21" t="n"/>
      <c r="D70" s="14" t="n"/>
      <c r="E70" s="14" t="n"/>
      <c r="F70" s="14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3">
        <f>IF($C70="","",N(L70)-N(M70))</f>
        <v/>
      </c>
      <c r="P70" s="24" t="n"/>
      <c r="Q70" s="23">
        <f>IF($C70="","",N(M70)+N(N70))</f>
        <v/>
      </c>
      <c r="R70" s="23">
        <f>IF($C70="","",N(J70)+N(Q70))</f>
        <v/>
      </c>
      <c r="S70" s="25">
        <f>IF(OR($C70="",N($G70)=0),"",R70/$G70)</f>
        <v/>
      </c>
      <c r="T70" s="23">
        <f>IF($C70="","",N($G70)-N(R70))</f>
        <v/>
      </c>
      <c r="U70" s="24" t="n"/>
      <c r="V70" s="22" t="n"/>
    </row>
    <row r="71">
      <c r="B71" s="13">
        <f>IF($C71="","",COUNTA($C$9:$C71))</f>
        <v/>
      </c>
      <c r="C71" s="21" t="n"/>
      <c r="D71" s="14" t="n"/>
      <c r="E71" s="14" t="n"/>
      <c r="F71" s="14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3">
        <f>IF($C71="","",N(L71)-N(M71))</f>
        <v/>
      </c>
      <c r="P71" s="24" t="n"/>
      <c r="Q71" s="23">
        <f>IF($C71="","",N(M71)+N(N71))</f>
        <v/>
      </c>
      <c r="R71" s="23">
        <f>IF($C71="","",N(J71)+N(Q71))</f>
        <v/>
      </c>
      <c r="S71" s="25">
        <f>IF(OR($C71="",N($G71)=0),"",R71/$G71)</f>
        <v/>
      </c>
      <c r="T71" s="23">
        <f>IF($C71="","",N($G71)-N(R71))</f>
        <v/>
      </c>
      <c r="U71" s="24" t="n"/>
      <c r="V71" s="22" t="n"/>
    </row>
    <row r="72">
      <c r="B72" s="13">
        <f>IF($C72="","",COUNTA($C$9:$C72))</f>
        <v/>
      </c>
      <c r="C72" s="21" t="n"/>
      <c r="D72" s="14" t="n"/>
      <c r="E72" s="14" t="n"/>
      <c r="F72" s="14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3">
        <f>IF($C72="","",N(L72)-N(M72))</f>
        <v/>
      </c>
      <c r="P72" s="24" t="n"/>
      <c r="Q72" s="23">
        <f>IF($C72="","",N(M72)+N(N72))</f>
        <v/>
      </c>
      <c r="R72" s="23">
        <f>IF($C72="","",N(J72)+N(Q72))</f>
        <v/>
      </c>
      <c r="S72" s="25">
        <f>IF(OR($C72="",N($G72)=0),"",R72/$G72)</f>
        <v/>
      </c>
      <c r="T72" s="23">
        <f>IF($C72="","",N($G72)-N(R72))</f>
        <v/>
      </c>
      <c r="U72" s="24" t="n"/>
      <c r="V72" s="22" t="n"/>
    </row>
    <row r="73">
      <c r="B73" s="13">
        <f>IF($C73="","",COUNTA($C$9:$C73))</f>
        <v/>
      </c>
      <c r="C73" s="21" t="n"/>
      <c r="D73" s="14" t="n"/>
      <c r="E73" s="14" t="n"/>
      <c r="F73" s="14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3">
        <f>IF($C73="","",N(L73)-N(M73))</f>
        <v/>
      </c>
      <c r="P73" s="24" t="n"/>
      <c r="Q73" s="23">
        <f>IF($C73="","",N(M73)+N(N73))</f>
        <v/>
      </c>
      <c r="R73" s="23">
        <f>IF($C73="","",N(J73)+N(Q73))</f>
        <v/>
      </c>
      <c r="S73" s="25">
        <f>IF(OR($C73="",N($G73)=0),"",R73/$G73)</f>
        <v/>
      </c>
      <c r="T73" s="23">
        <f>IF($C73="","",N($G73)-N(R73))</f>
        <v/>
      </c>
      <c r="U73" s="24" t="n"/>
      <c r="V73" s="22" t="n"/>
    </row>
    <row r="74">
      <c r="B74" s="13">
        <f>IF($C74="","",COUNTA($C$9:$C74))</f>
        <v/>
      </c>
      <c r="C74" s="21" t="n"/>
      <c r="D74" s="14" t="n"/>
      <c r="E74" s="14" t="n"/>
      <c r="F74" s="14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3">
        <f>IF($C74="","",N(L74)-N(M74))</f>
        <v/>
      </c>
      <c r="P74" s="24" t="n"/>
      <c r="Q74" s="23">
        <f>IF($C74="","",N(M74)+N(N74))</f>
        <v/>
      </c>
      <c r="R74" s="23">
        <f>IF($C74="","",N(J74)+N(Q74))</f>
        <v/>
      </c>
      <c r="S74" s="25">
        <f>IF(OR($C74="",N($G74)=0),"",R74/$G74)</f>
        <v/>
      </c>
      <c r="T74" s="23">
        <f>IF($C74="","",N($G74)-N(R74))</f>
        <v/>
      </c>
      <c r="U74" s="24" t="n"/>
      <c r="V74" s="22" t="n"/>
    </row>
    <row r="75">
      <c r="B75" s="13">
        <f>IF($C75="","",COUNTA($C$9:$C75))</f>
        <v/>
      </c>
      <c r="C75" s="21" t="n"/>
      <c r="D75" s="14" t="n"/>
      <c r="E75" s="14" t="n"/>
      <c r="F75" s="14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3">
        <f>IF($C75="","",N(L75)-N(M75))</f>
        <v/>
      </c>
      <c r="P75" s="24" t="n"/>
      <c r="Q75" s="23">
        <f>IF($C75="","",N(M75)+N(N75))</f>
        <v/>
      </c>
      <c r="R75" s="23">
        <f>IF($C75="","",N(J75)+N(Q75))</f>
        <v/>
      </c>
      <c r="S75" s="25">
        <f>IF(OR($C75="",N($G75)=0),"",R75/$G75)</f>
        <v/>
      </c>
      <c r="T75" s="23">
        <f>IF($C75="","",N($G75)-N(R75))</f>
        <v/>
      </c>
      <c r="U75" s="24" t="n"/>
      <c r="V75" s="22" t="n"/>
    </row>
    <row r="76">
      <c r="B76" s="13">
        <f>IF($C76="","",COUNTA($C$9:$C76))</f>
        <v/>
      </c>
      <c r="C76" s="21" t="n"/>
      <c r="D76" s="14" t="n"/>
      <c r="E76" s="14" t="n"/>
      <c r="F76" s="14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3">
        <f>IF($C76="","",N(L76)-N(M76))</f>
        <v/>
      </c>
      <c r="P76" s="24" t="n"/>
      <c r="Q76" s="23">
        <f>IF($C76="","",N(M76)+N(N76))</f>
        <v/>
      </c>
      <c r="R76" s="23">
        <f>IF($C76="","",N(J76)+N(Q76))</f>
        <v/>
      </c>
      <c r="S76" s="25">
        <f>IF(OR($C76="",N($G76)=0),"",R76/$G76)</f>
        <v/>
      </c>
      <c r="T76" s="23">
        <f>IF($C76="","",N($G76)-N(R76))</f>
        <v/>
      </c>
      <c r="U76" s="24" t="n"/>
      <c r="V76" s="22" t="n"/>
    </row>
    <row r="77">
      <c r="B77" s="13">
        <f>IF($C77="","",COUNTA($C$9:$C77))</f>
        <v/>
      </c>
      <c r="C77" s="21" t="n"/>
      <c r="D77" s="14" t="n"/>
      <c r="E77" s="14" t="n"/>
      <c r="F77" s="14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3">
        <f>IF($C77="","",N(L77)-N(M77))</f>
        <v/>
      </c>
      <c r="P77" s="24" t="n"/>
      <c r="Q77" s="23">
        <f>IF($C77="","",N(M77)+N(N77))</f>
        <v/>
      </c>
      <c r="R77" s="23">
        <f>IF($C77="","",N(J77)+N(Q77))</f>
        <v/>
      </c>
      <c r="S77" s="25">
        <f>IF(OR($C77="",N($G77)=0),"",R77/$G77)</f>
        <v/>
      </c>
      <c r="T77" s="23">
        <f>IF($C77="","",N($G77)-N(R77))</f>
        <v/>
      </c>
      <c r="U77" s="24" t="n"/>
      <c r="V77" s="22" t="n"/>
    </row>
    <row r="78">
      <c r="B78" s="13">
        <f>IF($C78="","",COUNTA($C$9:$C78))</f>
        <v/>
      </c>
      <c r="C78" s="21" t="n"/>
      <c r="D78" s="14" t="n"/>
      <c r="E78" s="14" t="n"/>
      <c r="F78" s="14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3">
        <f>IF($C78="","",N(L78)-N(M78))</f>
        <v/>
      </c>
      <c r="P78" s="24" t="n"/>
      <c r="Q78" s="23">
        <f>IF($C78="","",N(M78)+N(N78))</f>
        <v/>
      </c>
      <c r="R78" s="23">
        <f>IF($C78="","",N(J78)+N(Q78))</f>
        <v/>
      </c>
      <c r="S78" s="25">
        <f>IF(OR($C78="",N($G78)=0),"",R78/$G78)</f>
        <v/>
      </c>
      <c r="T78" s="23">
        <f>IF($C78="","",N($G78)-N(R78))</f>
        <v/>
      </c>
      <c r="U78" s="24" t="n"/>
      <c r="V78" s="22" t="n"/>
    </row>
    <row r="79">
      <c r="B79" s="13">
        <f>IF($C79="","",COUNTA($C$9:$C79))</f>
        <v/>
      </c>
      <c r="C79" s="21" t="n"/>
      <c r="D79" s="14" t="n"/>
      <c r="E79" s="14" t="n"/>
      <c r="F79" s="14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3">
        <f>IF($C79="","",N(L79)-N(M79))</f>
        <v/>
      </c>
      <c r="P79" s="24" t="n"/>
      <c r="Q79" s="23">
        <f>IF($C79="","",N(M79)+N(N79))</f>
        <v/>
      </c>
      <c r="R79" s="23">
        <f>IF($C79="","",N(J79)+N(Q79))</f>
        <v/>
      </c>
      <c r="S79" s="25">
        <f>IF(OR($C79="",N($G79)=0),"",R79/$G79)</f>
        <v/>
      </c>
      <c r="T79" s="23">
        <f>IF($C79="","",N($G79)-N(R79))</f>
        <v/>
      </c>
      <c r="U79" s="24" t="n"/>
      <c r="V79" s="22" t="n"/>
    </row>
    <row r="80">
      <c r="B80" s="13">
        <f>IF($C80="","",COUNTA($C$9:$C80))</f>
        <v/>
      </c>
      <c r="C80" s="21" t="n"/>
      <c r="D80" s="14" t="n"/>
      <c r="E80" s="14" t="n"/>
      <c r="F80" s="14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3">
        <f>IF($C80="","",N(L80)-N(M80))</f>
        <v/>
      </c>
      <c r="P80" s="24" t="n"/>
      <c r="Q80" s="23">
        <f>IF($C80="","",N(M80)+N(N80))</f>
        <v/>
      </c>
      <c r="R80" s="23">
        <f>IF($C80="","",N(J80)+N(Q80))</f>
        <v/>
      </c>
      <c r="S80" s="25">
        <f>IF(OR($C80="",N($G80)=0),"",R80/$G80)</f>
        <v/>
      </c>
      <c r="T80" s="23">
        <f>IF($C80="","",N($G80)-N(R80))</f>
        <v/>
      </c>
      <c r="U80" s="24" t="n"/>
      <c r="V80" s="22" t="n"/>
    </row>
    <row r="81">
      <c r="B81" s="13">
        <f>IF($C81="","",COUNTA($C$9:$C81))</f>
        <v/>
      </c>
      <c r="C81" s="21" t="n"/>
      <c r="D81" s="14" t="n"/>
      <c r="E81" s="14" t="n"/>
      <c r="F81" s="14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3">
        <f>IF($C81="","",N(L81)-N(M81))</f>
        <v/>
      </c>
      <c r="P81" s="24" t="n"/>
      <c r="Q81" s="23">
        <f>IF($C81="","",N(M81)+N(N81))</f>
        <v/>
      </c>
      <c r="R81" s="23">
        <f>IF($C81="","",N(J81)+N(Q81))</f>
        <v/>
      </c>
      <c r="S81" s="25">
        <f>IF(OR($C81="",N($G81)=0),"",R81/$G81)</f>
        <v/>
      </c>
      <c r="T81" s="23">
        <f>IF($C81="","",N($G81)-N(R81))</f>
        <v/>
      </c>
      <c r="U81" s="24" t="n"/>
      <c r="V81" s="22" t="n"/>
    </row>
    <row r="82">
      <c r="B82" s="13">
        <f>IF($C82="","",COUNTA($C$9:$C82))</f>
        <v/>
      </c>
      <c r="C82" s="21" t="n"/>
      <c r="D82" s="14" t="n"/>
      <c r="E82" s="14" t="n"/>
      <c r="F82" s="14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3">
        <f>IF($C82="","",N(L82)-N(M82))</f>
        <v/>
      </c>
      <c r="P82" s="24" t="n"/>
      <c r="Q82" s="23">
        <f>IF($C82="","",N(M82)+N(N82))</f>
        <v/>
      </c>
      <c r="R82" s="23">
        <f>IF($C82="","",N(J82)+N(Q82))</f>
        <v/>
      </c>
      <c r="S82" s="25">
        <f>IF(OR($C82="",N($G82)=0),"",R82/$G82)</f>
        <v/>
      </c>
      <c r="T82" s="23">
        <f>IF($C82="","",N($G82)-N(R82))</f>
        <v/>
      </c>
      <c r="U82" s="24" t="n"/>
      <c r="V82" s="22" t="n"/>
    </row>
    <row r="83">
      <c r="B83" s="13">
        <f>IF($C83="","",COUNTA($C$9:$C83))</f>
        <v/>
      </c>
      <c r="C83" s="21" t="n"/>
      <c r="D83" s="14" t="n"/>
      <c r="E83" s="14" t="n"/>
      <c r="F83" s="14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3">
        <f>IF($C83="","",N(L83)-N(M83))</f>
        <v/>
      </c>
      <c r="P83" s="24" t="n"/>
      <c r="Q83" s="23">
        <f>IF($C83="","",N(M83)+N(N83))</f>
        <v/>
      </c>
      <c r="R83" s="23">
        <f>IF($C83="","",N(J83)+N(Q83))</f>
        <v/>
      </c>
      <c r="S83" s="25">
        <f>IF(OR($C83="",N($G83)=0),"",R83/$G83)</f>
        <v/>
      </c>
      <c r="T83" s="23">
        <f>IF($C83="","",N($G83)-N(R83))</f>
        <v/>
      </c>
      <c r="U83" s="24" t="n"/>
      <c r="V83" s="22" t="n"/>
    </row>
    <row r="84">
      <c r="B84" s="13">
        <f>IF($C84="","",COUNTA($C$9:$C84))</f>
        <v/>
      </c>
      <c r="C84" s="21" t="n"/>
      <c r="D84" s="14" t="n"/>
      <c r="E84" s="14" t="n"/>
      <c r="F84" s="14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3">
        <f>IF($C84="","",N(L84)-N(M84))</f>
        <v/>
      </c>
      <c r="P84" s="24" t="n"/>
      <c r="Q84" s="23">
        <f>IF($C84="","",N(M84)+N(N84))</f>
        <v/>
      </c>
      <c r="R84" s="23">
        <f>IF($C84="","",N(J84)+N(Q84))</f>
        <v/>
      </c>
      <c r="S84" s="25">
        <f>IF(OR($C84="",N($G84)=0),"",R84/$G84)</f>
        <v/>
      </c>
      <c r="T84" s="23">
        <f>IF($C84="","",N($G84)-N(R84))</f>
        <v/>
      </c>
      <c r="U84" s="24" t="n"/>
      <c r="V84" s="22" t="n"/>
    </row>
    <row r="85">
      <c r="B85" s="13">
        <f>IF($C85="","",COUNTA($C$9:$C85))</f>
        <v/>
      </c>
      <c r="C85" s="21" t="n"/>
      <c r="D85" s="14" t="n"/>
      <c r="E85" s="14" t="n"/>
      <c r="F85" s="14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3">
        <f>IF($C85="","",N(L85)-N(M85))</f>
        <v/>
      </c>
      <c r="P85" s="24" t="n"/>
      <c r="Q85" s="23">
        <f>IF($C85="","",N(M85)+N(N85))</f>
        <v/>
      </c>
      <c r="R85" s="23">
        <f>IF($C85="","",N(J85)+N(Q85))</f>
        <v/>
      </c>
      <c r="S85" s="25">
        <f>IF(OR($C85="",N($G85)=0),"",R85/$G85)</f>
        <v/>
      </c>
      <c r="T85" s="23">
        <f>IF($C85="","",N($G85)-N(R85))</f>
        <v/>
      </c>
      <c r="U85" s="24" t="n"/>
      <c r="V85" s="22" t="n"/>
    </row>
    <row r="86">
      <c r="B86" s="13">
        <f>IF($C86="","",COUNTA($C$9:$C86))</f>
        <v/>
      </c>
      <c r="C86" s="21" t="n"/>
      <c r="D86" s="14" t="n"/>
      <c r="E86" s="14" t="n"/>
      <c r="F86" s="14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3">
        <f>IF($C86="","",N(L86)-N(M86))</f>
        <v/>
      </c>
      <c r="P86" s="24" t="n"/>
      <c r="Q86" s="23">
        <f>IF($C86="","",N(M86)+N(N86))</f>
        <v/>
      </c>
      <c r="R86" s="23">
        <f>IF($C86="","",N(J86)+N(Q86))</f>
        <v/>
      </c>
      <c r="S86" s="25">
        <f>IF(OR($C86="",N($G86)=0),"",R86/$G86)</f>
        <v/>
      </c>
      <c r="T86" s="23">
        <f>IF($C86="","",N($G86)-N(R86))</f>
        <v/>
      </c>
      <c r="U86" s="24" t="n"/>
      <c r="V86" s="22" t="n"/>
    </row>
    <row r="87">
      <c r="B87" s="13">
        <f>IF($C87="","",COUNTA($C$9:$C87))</f>
        <v/>
      </c>
      <c r="C87" s="21" t="n"/>
      <c r="D87" s="14" t="n"/>
      <c r="E87" s="14" t="n"/>
      <c r="F87" s="14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3">
        <f>IF($C87="","",N(L87)-N(M87))</f>
        <v/>
      </c>
      <c r="P87" s="24" t="n"/>
      <c r="Q87" s="23">
        <f>IF($C87="","",N(M87)+N(N87))</f>
        <v/>
      </c>
      <c r="R87" s="23">
        <f>IF($C87="","",N(J87)+N(Q87))</f>
        <v/>
      </c>
      <c r="S87" s="25">
        <f>IF(OR($C87="",N($G87)=0),"",R87/$G87)</f>
        <v/>
      </c>
      <c r="T87" s="23">
        <f>IF($C87="","",N($G87)-N(R87))</f>
        <v/>
      </c>
      <c r="U87" s="24" t="n"/>
      <c r="V87" s="22" t="n"/>
    </row>
    <row r="88">
      <c r="B88" s="13">
        <f>IF($C88="","",COUNTA($C$9:$C88))</f>
        <v/>
      </c>
      <c r="C88" s="21" t="n"/>
      <c r="D88" s="14" t="n"/>
      <c r="E88" s="14" t="n"/>
      <c r="F88" s="14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3">
        <f>IF($C88="","",N(L88)-N(M88))</f>
        <v/>
      </c>
      <c r="P88" s="24" t="n"/>
      <c r="Q88" s="23">
        <f>IF($C88="","",N(M88)+N(N88))</f>
        <v/>
      </c>
      <c r="R88" s="23">
        <f>IF($C88="","",N(J88)+N(Q88))</f>
        <v/>
      </c>
      <c r="S88" s="25">
        <f>IF(OR($C88="",N($G88)=0),"",R88/$G88)</f>
        <v/>
      </c>
      <c r="T88" s="23">
        <f>IF($C88="","",N($G88)-N(R88))</f>
        <v/>
      </c>
      <c r="U88" s="24" t="n"/>
      <c r="V88" s="22" t="n"/>
    </row>
    <row r="89">
      <c r="B89" s="13">
        <f>IF($C89="","",COUNTA($C$9:$C89))</f>
        <v/>
      </c>
      <c r="C89" s="21" t="n"/>
      <c r="D89" s="14" t="n"/>
      <c r="E89" s="14" t="n"/>
      <c r="F89" s="14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3">
        <f>IF($C89="","",N(L89)-N(M89))</f>
        <v/>
      </c>
      <c r="P89" s="24" t="n"/>
      <c r="Q89" s="23">
        <f>IF($C89="","",N(M89)+N(N89))</f>
        <v/>
      </c>
      <c r="R89" s="23">
        <f>IF($C89="","",N(J89)+N(Q89))</f>
        <v/>
      </c>
      <c r="S89" s="25">
        <f>IF(OR($C89="",N($G89)=0),"",R89/$G89)</f>
        <v/>
      </c>
      <c r="T89" s="23">
        <f>IF($C89="","",N($G89)-N(R89))</f>
        <v/>
      </c>
      <c r="U89" s="24" t="n"/>
      <c r="V89" s="22" t="n"/>
    </row>
    <row r="90">
      <c r="B90" s="13">
        <f>IF($C90="","",COUNTA($C$9:$C90))</f>
        <v/>
      </c>
      <c r="C90" s="21" t="n"/>
      <c r="D90" s="14" t="n"/>
      <c r="E90" s="14" t="n"/>
      <c r="F90" s="14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3">
        <f>IF($C90="","",N(L90)-N(M90))</f>
        <v/>
      </c>
      <c r="P90" s="24" t="n"/>
      <c r="Q90" s="23">
        <f>IF($C90="","",N(M90)+N(N90))</f>
        <v/>
      </c>
      <c r="R90" s="23">
        <f>IF($C90="","",N(J90)+N(Q90))</f>
        <v/>
      </c>
      <c r="S90" s="25">
        <f>IF(OR($C90="",N($G90)=0),"",R90/$G90)</f>
        <v/>
      </c>
      <c r="T90" s="23">
        <f>IF($C90="","",N($G90)-N(R90))</f>
        <v/>
      </c>
      <c r="U90" s="24" t="n"/>
      <c r="V90" s="22" t="n"/>
    </row>
    <row r="91">
      <c r="B91" s="13">
        <f>IF($C91="","",COUNTA($C$9:$C91))</f>
        <v/>
      </c>
      <c r="C91" s="21" t="n"/>
      <c r="D91" s="14" t="n"/>
      <c r="E91" s="14" t="n"/>
      <c r="F91" s="14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3">
        <f>IF($C91="","",N(L91)-N(M91))</f>
        <v/>
      </c>
      <c r="P91" s="24" t="n"/>
      <c r="Q91" s="23">
        <f>IF($C91="","",N(M91)+N(N91))</f>
        <v/>
      </c>
      <c r="R91" s="23">
        <f>IF($C91="","",N(J91)+N(Q91))</f>
        <v/>
      </c>
      <c r="S91" s="25">
        <f>IF(OR($C91="",N($G91)=0),"",R91/$G91)</f>
        <v/>
      </c>
      <c r="T91" s="23">
        <f>IF($C91="","",N($G91)-N(R91))</f>
        <v/>
      </c>
      <c r="U91" s="24" t="n"/>
      <c r="V91" s="22" t="n"/>
    </row>
    <row r="92">
      <c r="B92" s="13">
        <f>IF($C92="","",COUNTA($C$9:$C92))</f>
        <v/>
      </c>
      <c r="C92" s="21" t="n"/>
      <c r="D92" s="14" t="n"/>
      <c r="E92" s="14" t="n"/>
      <c r="F92" s="14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3">
        <f>IF($C92="","",N(L92)-N(M92))</f>
        <v/>
      </c>
      <c r="P92" s="24" t="n"/>
      <c r="Q92" s="23">
        <f>IF($C92="","",N(M92)+N(N92))</f>
        <v/>
      </c>
      <c r="R92" s="23">
        <f>IF($C92="","",N(J92)+N(Q92))</f>
        <v/>
      </c>
      <c r="S92" s="25">
        <f>IF(OR($C92="",N($G92)=0),"",R92/$G92)</f>
        <v/>
      </c>
      <c r="T92" s="23">
        <f>IF($C92="","",N($G92)-N(R92))</f>
        <v/>
      </c>
      <c r="U92" s="24" t="n"/>
      <c r="V92" s="22" t="n"/>
    </row>
    <row r="93">
      <c r="B93" s="13">
        <f>IF($C93="","",COUNTA($C$9:$C93))</f>
        <v/>
      </c>
      <c r="C93" s="21" t="n"/>
      <c r="D93" s="14" t="n"/>
      <c r="E93" s="14" t="n"/>
      <c r="F93" s="14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3">
        <f>IF($C93="","",N(L93)-N(M93))</f>
        <v/>
      </c>
      <c r="P93" s="24" t="n"/>
      <c r="Q93" s="23">
        <f>IF($C93="","",N(M93)+N(N93))</f>
        <v/>
      </c>
      <c r="R93" s="23">
        <f>IF($C93="","",N(J93)+N(Q93))</f>
        <v/>
      </c>
      <c r="S93" s="25">
        <f>IF(OR($C93="",N($G93)=0),"",R93/$G93)</f>
        <v/>
      </c>
      <c r="T93" s="23">
        <f>IF($C93="","",N($G93)-N(R93))</f>
        <v/>
      </c>
      <c r="U93" s="24" t="n"/>
      <c r="V93" s="22" t="n"/>
    </row>
    <row r="94">
      <c r="B94" s="13">
        <f>IF($C94="","",COUNTA($C$9:$C94))</f>
        <v/>
      </c>
      <c r="C94" s="21" t="n"/>
      <c r="D94" s="14" t="n"/>
      <c r="E94" s="14" t="n"/>
      <c r="F94" s="14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3">
        <f>IF($C94="","",N(L94)-N(M94))</f>
        <v/>
      </c>
      <c r="P94" s="24" t="n"/>
      <c r="Q94" s="23">
        <f>IF($C94="","",N(M94)+N(N94))</f>
        <v/>
      </c>
      <c r="R94" s="23">
        <f>IF($C94="","",N(J94)+N(Q94))</f>
        <v/>
      </c>
      <c r="S94" s="25">
        <f>IF(OR($C94="",N($G94)=0),"",R94/$G94)</f>
        <v/>
      </c>
      <c r="T94" s="23">
        <f>IF($C94="","",N($G94)-N(R94))</f>
        <v/>
      </c>
      <c r="U94" s="24" t="n"/>
      <c r="V94" s="22" t="n"/>
    </row>
    <row r="95">
      <c r="B95" s="13">
        <f>IF($C95="","",COUNTA($C$9:$C95))</f>
        <v/>
      </c>
      <c r="C95" s="21" t="n"/>
      <c r="D95" s="14" t="n"/>
      <c r="E95" s="14" t="n"/>
      <c r="F95" s="14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3">
        <f>IF($C95="","",N(L95)-N(M95))</f>
        <v/>
      </c>
      <c r="P95" s="24" t="n"/>
      <c r="Q95" s="23">
        <f>IF($C95="","",N(M95)+N(N95))</f>
        <v/>
      </c>
      <c r="R95" s="23">
        <f>IF($C95="","",N(J95)+N(Q95))</f>
        <v/>
      </c>
      <c r="S95" s="25">
        <f>IF(OR($C95="",N($G95)=0),"",R95/$G95)</f>
        <v/>
      </c>
      <c r="T95" s="23">
        <f>IF($C95="","",N($G95)-N(R95))</f>
        <v/>
      </c>
      <c r="U95" s="24" t="n"/>
      <c r="V95" s="22" t="n"/>
    </row>
    <row r="96">
      <c r="B96" s="13">
        <f>IF($C96="","",COUNTA($C$9:$C96))</f>
        <v/>
      </c>
      <c r="C96" s="21" t="n"/>
      <c r="D96" s="14" t="n"/>
      <c r="E96" s="14" t="n"/>
      <c r="F96" s="14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3">
        <f>IF($C96="","",N(L96)-N(M96))</f>
        <v/>
      </c>
      <c r="P96" s="24" t="n"/>
      <c r="Q96" s="23">
        <f>IF($C96="","",N(M96)+N(N96))</f>
        <v/>
      </c>
      <c r="R96" s="23">
        <f>IF($C96="","",N(J96)+N(Q96))</f>
        <v/>
      </c>
      <c r="S96" s="25">
        <f>IF(OR($C96="",N($G96)=0),"",R96/$G96)</f>
        <v/>
      </c>
      <c r="T96" s="23">
        <f>IF($C96="","",N($G96)-N(R96))</f>
        <v/>
      </c>
      <c r="U96" s="24" t="n"/>
      <c r="V96" s="22" t="n"/>
    </row>
    <row r="97">
      <c r="B97" s="13">
        <f>IF($C97="","",COUNTA($C$9:$C97))</f>
        <v/>
      </c>
      <c r="C97" s="21" t="n"/>
      <c r="D97" s="14" t="n"/>
      <c r="E97" s="14" t="n"/>
      <c r="F97" s="14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3">
        <f>IF($C97="","",N(L97)-N(M97))</f>
        <v/>
      </c>
      <c r="P97" s="24" t="n"/>
      <c r="Q97" s="23">
        <f>IF($C97="","",N(M97)+N(N97))</f>
        <v/>
      </c>
      <c r="R97" s="23">
        <f>IF($C97="","",N(J97)+N(Q97))</f>
        <v/>
      </c>
      <c r="S97" s="25">
        <f>IF(OR($C97="",N($G97)=0),"",R97/$G97)</f>
        <v/>
      </c>
      <c r="T97" s="23">
        <f>IF($C97="","",N($G97)-N(R97))</f>
        <v/>
      </c>
      <c r="U97" s="24" t="n"/>
      <c r="V97" s="22" t="n"/>
    </row>
    <row r="98">
      <c r="B98" s="13">
        <f>IF($C98="","",COUNTA($C$9:$C98))</f>
        <v/>
      </c>
      <c r="C98" s="21" t="n"/>
      <c r="D98" s="14" t="n"/>
      <c r="E98" s="14" t="n"/>
      <c r="F98" s="14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3">
        <f>IF($C98="","",N(L98)-N(M98))</f>
        <v/>
      </c>
      <c r="P98" s="24" t="n"/>
      <c r="Q98" s="23">
        <f>IF($C98="","",N(M98)+N(N98))</f>
        <v/>
      </c>
      <c r="R98" s="23">
        <f>IF($C98="","",N(J98)+N(Q98))</f>
        <v/>
      </c>
      <c r="S98" s="25">
        <f>IF(OR($C98="",N($G98)=0),"",R98/$G98)</f>
        <v/>
      </c>
      <c r="T98" s="23">
        <f>IF($C98="","",N($G98)-N(R98))</f>
        <v/>
      </c>
      <c r="U98" s="24" t="n"/>
      <c r="V98" s="22" t="n"/>
    </row>
    <row r="99">
      <c r="B99" s="13">
        <f>IF($C99="","",COUNTA($C$9:$C99))</f>
        <v/>
      </c>
      <c r="C99" s="21" t="n"/>
      <c r="D99" s="14" t="n"/>
      <c r="E99" s="14" t="n"/>
      <c r="F99" s="14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3">
        <f>IF($C99="","",N(L99)-N(M99))</f>
        <v/>
      </c>
      <c r="P99" s="24" t="n"/>
      <c r="Q99" s="23">
        <f>IF($C99="","",N(M99)+N(N99))</f>
        <v/>
      </c>
      <c r="R99" s="23">
        <f>IF($C99="","",N(J99)+N(Q99))</f>
        <v/>
      </c>
      <c r="S99" s="25">
        <f>IF(OR($C99="",N($G99)=0),"",R99/$G99)</f>
        <v/>
      </c>
      <c r="T99" s="23">
        <f>IF($C99="","",N($G99)-N(R99))</f>
        <v/>
      </c>
      <c r="U99" s="24" t="n"/>
      <c r="V99" s="22" t="n"/>
    </row>
    <row r="100">
      <c r="B100" s="13">
        <f>IF($C100="","",COUNTA($C$9:$C100))</f>
        <v/>
      </c>
      <c r="C100" s="21" t="n"/>
      <c r="D100" s="14" t="n"/>
      <c r="E100" s="14" t="n"/>
      <c r="F100" s="14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3">
        <f>IF($C100="","",N(L100)-N(M100))</f>
        <v/>
      </c>
      <c r="P100" s="24" t="n"/>
      <c r="Q100" s="23">
        <f>IF($C100="","",N(M100)+N(N100))</f>
        <v/>
      </c>
      <c r="R100" s="23">
        <f>IF($C100="","",N(J100)+N(Q100))</f>
        <v/>
      </c>
      <c r="S100" s="25">
        <f>IF(OR($C100="",N($G100)=0),"",R100/$G100)</f>
        <v/>
      </c>
      <c r="T100" s="23">
        <f>IF($C100="","",N($G100)-N(R100))</f>
        <v/>
      </c>
      <c r="U100" s="24" t="n"/>
      <c r="V100" s="22" t="n"/>
    </row>
    <row r="101">
      <c r="B101" s="13">
        <f>IF($C101="","",COUNTA($C$9:$C101))</f>
        <v/>
      </c>
      <c r="C101" s="21" t="n"/>
      <c r="D101" s="14" t="n"/>
      <c r="E101" s="14" t="n"/>
      <c r="F101" s="14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3">
        <f>IF($C101="","",N(L101)-N(M101))</f>
        <v/>
      </c>
      <c r="P101" s="24" t="n"/>
      <c r="Q101" s="23">
        <f>IF($C101="","",N(M101)+N(N101))</f>
        <v/>
      </c>
      <c r="R101" s="23">
        <f>IF($C101="","",N(J101)+N(Q101))</f>
        <v/>
      </c>
      <c r="S101" s="25">
        <f>IF(OR($C101="",N($G101)=0),"",R101/$G101)</f>
        <v/>
      </c>
      <c r="T101" s="23">
        <f>IF($C101="","",N($G101)-N(R101))</f>
        <v/>
      </c>
      <c r="U101" s="24" t="n"/>
      <c r="V101" s="22" t="n"/>
    </row>
    <row r="102">
      <c r="B102" s="13">
        <f>IF($C102="","",COUNTA($C$9:$C102))</f>
        <v/>
      </c>
      <c r="C102" s="21" t="n"/>
      <c r="D102" s="14" t="n"/>
      <c r="E102" s="14" t="n"/>
      <c r="F102" s="14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3">
        <f>IF($C102="","",N(L102)-N(M102))</f>
        <v/>
      </c>
      <c r="P102" s="24" t="n"/>
      <c r="Q102" s="23">
        <f>IF($C102="","",N(M102)+N(N102))</f>
        <v/>
      </c>
      <c r="R102" s="23">
        <f>IF($C102="","",N(J102)+N(Q102))</f>
        <v/>
      </c>
      <c r="S102" s="25">
        <f>IF(OR($C102="",N($G102)=0),"",R102/$G102)</f>
        <v/>
      </c>
      <c r="T102" s="23">
        <f>IF($C102="","",N($G102)-N(R102))</f>
        <v/>
      </c>
      <c r="U102" s="24" t="n"/>
      <c r="V102" s="22" t="n"/>
    </row>
    <row r="103">
      <c r="B103" s="13">
        <f>IF($C103="","",COUNTA($C$9:$C103))</f>
        <v/>
      </c>
      <c r="C103" s="21" t="n"/>
      <c r="D103" s="14" t="n"/>
      <c r="E103" s="14" t="n"/>
      <c r="F103" s="14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3">
        <f>IF($C103="","",N(L103)-N(M103))</f>
        <v/>
      </c>
      <c r="P103" s="24" t="n"/>
      <c r="Q103" s="23">
        <f>IF($C103="","",N(M103)+N(N103))</f>
        <v/>
      </c>
      <c r="R103" s="23">
        <f>IF($C103="","",N(J103)+N(Q103))</f>
        <v/>
      </c>
      <c r="S103" s="25">
        <f>IF(OR($C103="",N($G103)=0),"",R103/$G103)</f>
        <v/>
      </c>
      <c r="T103" s="23">
        <f>IF($C103="","",N($G103)-N(R103))</f>
        <v/>
      </c>
      <c r="U103" s="24" t="n"/>
      <c r="V103" s="22" t="n"/>
    </row>
    <row r="104">
      <c r="B104" s="13">
        <f>IF($C104="","",COUNTA($C$9:$C104))</f>
        <v/>
      </c>
      <c r="C104" s="21" t="n"/>
      <c r="D104" s="14" t="n"/>
      <c r="E104" s="14" t="n"/>
      <c r="F104" s="14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3">
        <f>IF($C104="","",N(L104)-N(M104))</f>
        <v/>
      </c>
      <c r="P104" s="24" t="n"/>
      <c r="Q104" s="23">
        <f>IF($C104="","",N(M104)+N(N104))</f>
        <v/>
      </c>
      <c r="R104" s="23">
        <f>IF($C104="","",N(J104)+N(Q104))</f>
        <v/>
      </c>
      <c r="S104" s="25">
        <f>IF(OR($C104="",N($G104)=0),"",R104/$G104)</f>
        <v/>
      </c>
      <c r="T104" s="23">
        <f>IF($C104="","",N($G104)-N(R104))</f>
        <v/>
      </c>
      <c r="U104" s="24" t="n"/>
      <c r="V104" s="22" t="n"/>
    </row>
    <row r="105">
      <c r="B105" s="13">
        <f>IF($C105="","",COUNTA($C$9:$C105))</f>
        <v/>
      </c>
      <c r="C105" s="21" t="n"/>
      <c r="D105" s="14" t="n"/>
      <c r="E105" s="14" t="n"/>
      <c r="F105" s="14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3">
        <f>IF($C105="","",N(L105)-N(M105))</f>
        <v/>
      </c>
      <c r="P105" s="24" t="n"/>
      <c r="Q105" s="23">
        <f>IF($C105="","",N(M105)+N(N105))</f>
        <v/>
      </c>
      <c r="R105" s="23">
        <f>IF($C105="","",N(J105)+N(Q105))</f>
        <v/>
      </c>
      <c r="S105" s="25">
        <f>IF(OR($C105="",N($G105)=0),"",R105/$G105)</f>
        <v/>
      </c>
      <c r="T105" s="23">
        <f>IF($C105="","",N($G105)-N(R105))</f>
        <v/>
      </c>
      <c r="U105" s="24" t="n"/>
      <c r="V105" s="22" t="n"/>
    </row>
    <row r="106">
      <c r="B106" s="13">
        <f>IF($C106="","",COUNTA($C$9:$C106))</f>
        <v/>
      </c>
      <c r="C106" s="21" t="n"/>
      <c r="D106" s="14" t="n"/>
      <c r="E106" s="14" t="n"/>
      <c r="F106" s="14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3">
        <f>IF($C106="","",N(L106)-N(M106))</f>
        <v/>
      </c>
      <c r="P106" s="24" t="n"/>
      <c r="Q106" s="23">
        <f>IF($C106="","",N(M106)+N(N106))</f>
        <v/>
      </c>
      <c r="R106" s="23">
        <f>IF($C106="","",N(J106)+N(Q106))</f>
        <v/>
      </c>
      <c r="S106" s="25">
        <f>IF(OR($C106="",N($G106)=0),"",R106/$G106)</f>
        <v/>
      </c>
      <c r="T106" s="23">
        <f>IF($C106="","",N($G106)-N(R106))</f>
        <v/>
      </c>
      <c r="U106" s="24" t="n"/>
      <c r="V106" s="22" t="n"/>
    </row>
    <row r="107">
      <c r="B107" s="13">
        <f>IF($C107="","",COUNTA($C$9:$C107))</f>
        <v/>
      </c>
      <c r="C107" s="21" t="n"/>
      <c r="D107" s="14" t="n"/>
      <c r="E107" s="14" t="n"/>
      <c r="F107" s="14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3">
        <f>IF($C107="","",N(L107)-N(M107))</f>
        <v/>
      </c>
      <c r="P107" s="24" t="n"/>
      <c r="Q107" s="23">
        <f>IF($C107="","",N(M107)+N(N107))</f>
        <v/>
      </c>
      <c r="R107" s="23">
        <f>IF($C107="","",N(J107)+N(Q107))</f>
        <v/>
      </c>
      <c r="S107" s="25">
        <f>IF(OR($C107="",N($G107)=0),"",R107/$G107)</f>
        <v/>
      </c>
      <c r="T107" s="23">
        <f>IF($C107="","",N($G107)-N(R107))</f>
        <v/>
      </c>
      <c r="U107" s="24" t="n"/>
      <c r="V107" s="22" t="n"/>
    </row>
    <row r="108">
      <c r="B108" s="13">
        <f>IF($C108="","",COUNTA($C$9:$C108))</f>
        <v/>
      </c>
      <c r="C108" s="21" t="n"/>
      <c r="D108" s="14" t="n"/>
      <c r="E108" s="14" t="n"/>
      <c r="F108" s="14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3">
        <f>IF($C108="","",N(L108)-N(M108))</f>
        <v/>
      </c>
      <c r="P108" s="24" t="n"/>
      <c r="Q108" s="23">
        <f>IF($C108="","",N(M108)+N(N108))</f>
        <v/>
      </c>
      <c r="R108" s="23">
        <f>IF($C108="","",N(J108)+N(Q108))</f>
        <v/>
      </c>
      <c r="S108" s="25">
        <f>IF(OR($C108="",N($G108)=0),"",R108/$G108)</f>
        <v/>
      </c>
      <c r="T108" s="23">
        <f>IF($C108="","",N($G108)-N(R108))</f>
        <v/>
      </c>
      <c r="U108" s="24" t="n"/>
      <c r="V108" s="22" t="n"/>
    </row>
    <row r="109">
      <c r="B109" s="13">
        <f>IF($C109="","",COUNTA($C$9:$C109))</f>
        <v/>
      </c>
      <c r="C109" s="21" t="n"/>
      <c r="D109" s="14" t="n"/>
      <c r="E109" s="14" t="n"/>
      <c r="F109" s="14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3">
        <f>IF($C109="","",N(L109)-N(M109))</f>
        <v/>
      </c>
      <c r="P109" s="24" t="n"/>
      <c r="Q109" s="23">
        <f>IF($C109="","",N(M109)+N(N109))</f>
        <v/>
      </c>
      <c r="R109" s="23">
        <f>IF($C109="","",N(J109)+N(Q109))</f>
        <v/>
      </c>
      <c r="S109" s="25">
        <f>IF(OR($C109="",N($G109)=0),"",R109/$G109)</f>
        <v/>
      </c>
      <c r="T109" s="23">
        <f>IF($C109="","",N($G109)-N(R109))</f>
        <v/>
      </c>
      <c r="U109" s="24" t="n"/>
      <c r="V109" s="22" t="n"/>
    </row>
    <row r="110">
      <c r="B110" s="13">
        <f>IF($C110="","",COUNTA($C$9:$C110))</f>
        <v/>
      </c>
      <c r="C110" s="21" t="n"/>
      <c r="D110" s="14" t="n"/>
      <c r="E110" s="14" t="n"/>
      <c r="F110" s="14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3">
        <f>IF($C110="","",N(L110)-N(M110))</f>
        <v/>
      </c>
      <c r="P110" s="24" t="n"/>
      <c r="Q110" s="23">
        <f>IF($C110="","",N(M110)+N(N110))</f>
        <v/>
      </c>
      <c r="R110" s="23">
        <f>IF($C110="","",N(J110)+N(Q110))</f>
        <v/>
      </c>
      <c r="S110" s="25">
        <f>IF(OR($C110="",N($G110)=0),"",R110/$G110)</f>
        <v/>
      </c>
      <c r="T110" s="23">
        <f>IF($C110="","",N($G110)-N(R110))</f>
        <v/>
      </c>
      <c r="U110" s="24" t="n"/>
      <c r="V110" s="22" t="n"/>
    </row>
    <row r="111">
      <c r="B111" s="13">
        <f>IF($C111="","",COUNTA($C$9:$C111))</f>
        <v/>
      </c>
      <c r="C111" s="21" t="n"/>
      <c r="D111" s="14" t="n"/>
      <c r="E111" s="14" t="n"/>
      <c r="F111" s="14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3">
        <f>IF($C111="","",N(L111)-N(M111))</f>
        <v/>
      </c>
      <c r="P111" s="24" t="n"/>
      <c r="Q111" s="23">
        <f>IF($C111="","",N(M111)+N(N111))</f>
        <v/>
      </c>
      <c r="R111" s="23">
        <f>IF($C111="","",N(J111)+N(Q111))</f>
        <v/>
      </c>
      <c r="S111" s="25">
        <f>IF(OR($C111="",N($G111)=0),"",R111/$G111)</f>
        <v/>
      </c>
      <c r="T111" s="23">
        <f>IF($C111="","",N($G111)-N(R111))</f>
        <v/>
      </c>
      <c r="U111" s="24" t="n"/>
      <c r="V111" s="22" t="n"/>
    </row>
    <row r="112">
      <c r="B112" s="13">
        <f>IF($C112="","",COUNTA($C$9:$C112))</f>
        <v/>
      </c>
      <c r="C112" s="21" t="n"/>
      <c r="D112" s="14" t="n"/>
      <c r="E112" s="14" t="n"/>
      <c r="F112" s="14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3">
        <f>IF($C112="","",N(L112)-N(M112))</f>
        <v/>
      </c>
      <c r="P112" s="24" t="n"/>
      <c r="Q112" s="23">
        <f>IF($C112="","",N(M112)+N(N112))</f>
        <v/>
      </c>
      <c r="R112" s="23">
        <f>IF($C112="","",N(J112)+N(Q112))</f>
        <v/>
      </c>
      <c r="S112" s="25">
        <f>IF(OR($C112="",N($G112)=0),"",R112/$G112)</f>
        <v/>
      </c>
      <c r="T112" s="23">
        <f>IF($C112="","",N($G112)-N(R112))</f>
        <v/>
      </c>
      <c r="U112" s="24" t="n"/>
      <c r="V112" s="22" t="n"/>
    </row>
    <row r="113">
      <c r="B113" s="13">
        <f>IF($C113="","",COUNTA($C$9:$C113))</f>
        <v/>
      </c>
      <c r="C113" s="21" t="n"/>
      <c r="D113" s="14" t="n"/>
      <c r="E113" s="14" t="n"/>
      <c r="F113" s="14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3">
        <f>IF($C113="","",N(L113)-N(M113))</f>
        <v/>
      </c>
      <c r="P113" s="24" t="n"/>
      <c r="Q113" s="23">
        <f>IF($C113="","",N(M113)+N(N113))</f>
        <v/>
      </c>
      <c r="R113" s="23">
        <f>IF($C113="","",N(J113)+N(Q113))</f>
        <v/>
      </c>
      <c r="S113" s="25">
        <f>IF(OR($C113="",N($G113)=0),"",R113/$G113)</f>
        <v/>
      </c>
      <c r="T113" s="23">
        <f>IF($C113="","",N($G113)-N(R113))</f>
        <v/>
      </c>
      <c r="U113" s="24" t="n"/>
      <c r="V113" s="22" t="n"/>
    </row>
    <row r="114">
      <c r="B114" s="13">
        <f>IF($C114="","",COUNTA($C$9:$C114))</f>
        <v/>
      </c>
      <c r="C114" s="21" t="n"/>
      <c r="D114" s="14" t="n"/>
      <c r="E114" s="14" t="n"/>
      <c r="F114" s="14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3">
        <f>IF($C114="","",N(L114)-N(M114))</f>
        <v/>
      </c>
      <c r="P114" s="24" t="n"/>
      <c r="Q114" s="23">
        <f>IF($C114="","",N(M114)+N(N114))</f>
        <v/>
      </c>
      <c r="R114" s="23">
        <f>IF($C114="","",N(J114)+N(Q114))</f>
        <v/>
      </c>
      <c r="S114" s="25">
        <f>IF(OR($C114="",N($G114)=0),"",R114/$G114)</f>
        <v/>
      </c>
      <c r="T114" s="23">
        <f>IF($C114="","",N($G114)-N(R114))</f>
        <v/>
      </c>
      <c r="U114" s="24" t="n"/>
      <c r="V114" s="22" t="n"/>
    </row>
    <row r="115">
      <c r="B115" s="13">
        <f>IF($C115="","",COUNTA($C$9:$C115))</f>
        <v/>
      </c>
      <c r="C115" s="21" t="n"/>
      <c r="D115" s="14" t="n"/>
      <c r="E115" s="14" t="n"/>
      <c r="F115" s="14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3">
        <f>IF($C115="","",N(L115)-N(M115))</f>
        <v/>
      </c>
      <c r="P115" s="24" t="n"/>
      <c r="Q115" s="23">
        <f>IF($C115="","",N(M115)+N(N115))</f>
        <v/>
      </c>
      <c r="R115" s="23">
        <f>IF($C115="","",N(J115)+N(Q115))</f>
        <v/>
      </c>
      <c r="S115" s="25">
        <f>IF(OR($C115="",N($G115)=0),"",R115/$G115)</f>
        <v/>
      </c>
      <c r="T115" s="23">
        <f>IF($C115="","",N($G115)-N(R115))</f>
        <v/>
      </c>
      <c r="U115" s="24" t="n"/>
      <c r="V115" s="22" t="n"/>
    </row>
    <row r="116">
      <c r="B116" s="13">
        <f>IF($C116="","",COUNTA($C$9:$C116))</f>
        <v/>
      </c>
      <c r="C116" s="21" t="n"/>
      <c r="D116" s="14" t="n"/>
      <c r="E116" s="14" t="n"/>
      <c r="F116" s="14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3">
        <f>IF($C116="","",N(L116)-N(M116))</f>
        <v/>
      </c>
      <c r="P116" s="24" t="n"/>
      <c r="Q116" s="23">
        <f>IF($C116="","",N(M116)+N(N116))</f>
        <v/>
      </c>
      <c r="R116" s="23">
        <f>IF($C116="","",N(J116)+N(Q116))</f>
        <v/>
      </c>
      <c r="S116" s="25">
        <f>IF(OR($C116="",N($G116)=0),"",R116/$G116)</f>
        <v/>
      </c>
      <c r="T116" s="23">
        <f>IF($C116="","",N($G116)-N(R116))</f>
        <v/>
      </c>
      <c r="U116" s="24" t="n"/>
      <c r="V116" s="22" t="n"/>
    </row>
    <row r="117">
      <c r="B117" s="13">
        <f>IF($C117="","",COUNTA($C$9:$C117))</f>
        <v/>
      </c>
      <c r="C117" s="21" t="n"/>
      <c r="D117" s="14" t="n"/>
      <c r="E117" s="14" t="n"/>
      <c r="F117" s="14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3">
        <f>IF($C117="","",N(L117)-N(M117))</f>
        <v/>
      </c>
      <c r="P117" s="24" t="n"/>
      <c r="Q117" s="23">
        <f>IF($C117="","",N(M117)+N(N117))</f>
        <v/>
      </c>
      <c r="R117" s="23">
        <f>IF($C117="","",N(J117)+N(Q117))</f>
        <v/>
      </c>
      <c r="S117" s="25">
        <f>IF(OR($C117="",N($G117)=0),"",R117/$G117)</f>
        <v/>
      </c>
      <c r="T117" s="23">
        <f>IF($C117="","",N($G117)-N(R117))</f>
        <v/>
      </c>
      <c r="U117" s="24" t="n"/>
      <c r="V117" s="22" t="n"/>
    </row>
    <row r="118">
      <c r="B118" s="13">
        <f>IF($C118="","",COUNTA($C$9:$C118))</f>
        <v/>
      </c>
      <c r="C118" s="21" t="n"/>
      <c r="D118" s="14" t="n"/>
      <c r="E118" s="14" t="n"/>
      <c r="F118" s="14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3">
        <f>IF($C118="","",N(L118)-N(M118))</f>
        <v/>
      </c>
      <c r="P118" s="24" t="n"/>
      <c r="Q118" s="23">
        <f>IF($C118="","",N(M118)+N(N118))</f>
        <v/>
      </c>
      <c r="R118" s="23">
        <f>IF($C118="","",N(J118)+N(Q118))</f>
        <v/>
      </c>
      <c r="S118" s="25">
        <f>IF(OR($C118="",N($G118)=0),"",R118/$G118)</f>
        <v/>
      </c>
      <c r="T118" s="23">
        <f>IF($C118="","",N($G118)-N(R118))</f>
        <v/>
      </c>
      <c r="U118" s="24" t="n"/>
      <c r="V118" s="22" t="n"/>
    </row>
    <row r="119">
      <c r="B119" s="13">
        <f>IF($C119="","",COUNTA($C$9:$C119))</f>
        <v/>
      </c>
      <c r="C119" s="21" t="n"/>
      <c r="D119" s="14" t="n"/>
      <c r="E119" s="14" t="n"/>
      <c r="F119" s="14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3">
        <f>IF($C119="","",N(L119)-N(M119))</f>
        <v/>
      </c>
      <c r="P119" s="24" t="n"/>
      <c r="Q119" s="23">
        <f>IF($C119="","",N(M119)+N(N119))</f>
        <v/>
      </c>
      <c r="R119" s="23">
        <f>IF($C119="","",N(J119)+N(Q119))</f>
        <v/>
      </c>
      <c r="S119" s="25">
        <f>IF(OR($C119="",N($G119)=0),"",R119/$G119)</f>
        <v/>
      </c>
      <c r="T119" s="23">
        <f>IF($C119="","",N($G119)-N(R119))</f>
        <v/>
      </c>
      <c r="U119" s="24" t="n"/>
      <c r="V119" s="22" t="n"/>
    </row>
    <row r="120">
      <c r="B120" s="13">
        <f>IF($C120="","",COUNTA($C$9:$C120))</f>
        <v/>
      </c>
      <c r="C120" s="21" t="n"/>
      <c r="D120" s="14" t="n"/>
      <c r="E120" s="14" t="n"/>
      <c r="F120" s="14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3">
        <f>IF($C120="","",N(L120)-N(M120))</f>
        <v/>
      </c>
      <c r="P120" s="24" t="n"/>
      <c r="Q120" s="23">
        <f>IF($C120="","",N(M120)+N(N120))</f>
        <v/>
      </c>
      <c r="R120" s="23">
        <f>IF($C120="","",N(J120)+N(Q120))</f>
        <v/>
      </c>
      <c r="S120" s="25">
        <f>IF(OR($C120="",N($G120)=0),"",R120/$G120)</f>
        <v/>
      </c>
      <c r="T120" s="23">
        <f>IF($C120="","",N($G120)-N(R120))</f>
        <v/>
      </c>
      <c r="U120" s="24" t="n"/>
      <c r="V120" s="22" t="n"/>
    </row>
    <row r="121">
      <c r="B121" s="13">
        <f>IF($C121="","",COUNTA($C$9:$C121))</f>
        <v/>
      </c>
      <c r="C121" s="21" t="n"/>
      <c r="D121" s="14" t="n"/>
      <c r="E121" s="14" t="n"/>
      <c r="F121" s="14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3">
        <f>IF($C121="","",N(L121)-N(M121))</f>
        <v/>
      </c>
      <c r="P121" s="24" t="n"/>
      <c r="Q121" s="23">
        <f>IF($C121="","",N(M121)+N(N121))</f>
        <v/>
      </c>
      <c r="R121" s="23">
        <f>IF($C121="","",N(J121)+N(Q121))</f>
        <v/>
      </c>
      <c r="S121" s="25">
        <f>IF(OR($C121="",N($G121)=0),"",R121/$G121)</f>
        <v/>
      </c>
      <c r="T121" s="23">
        <f>IF($C121="","",N($G121)-N(R121))</f>
        <v/>
      </c>
      <c r="U121" s="24" t="n"/>
      <c r="V121" s="22" t="n"/>
    </row>
    <row r="122">
      <c r="B122" s="13">
        <f>IF($C122="","",COUNTA($C$9:$C122))</f>
        <v/>
      </c>
      <c r="C122" s="21" t="n"/>
      <c r="D122" s="14" t="n"/>
      <c r="E122" s="14" t="n"/>
      <c r="F122" s="14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3">
        <f>IF($C122="","",N(L122)-N(M122))</f>
        <v/>
      </c>
      <c r="P122" s="24" t="n"/>
      <c r="Q122" s="23">
        <f>IF($C122="","",N(M122)+N(N122))</f>
        <v/>
      </c>
      <c r="R122" s="23">
        <f>IF($C122="","",N(J122)+N(Q122))</f>
        <v/>
      </c>
      <c r="S122" s="25">
        <f>IF(OR($C122="",N($G122)=0),"",R122/$G122)</f>
        <v/>
      </c>
      <c r="T122" s="23">
        <f>IF($C122="","",N($G122)-N(R122))</f>
        <v/>
      </c>
      <c r="U122" s="24" t="n"/>
      <c r="V122" s="22" t="n"/>
    </row>
    <row r="123">
      <c r="B123" s="13">
        <f>IF($C123="","",COUNTA($C$9:$C123))</f>
        <v/>
      </c>
      <c r="C123" s="21" t="n"/>
      <c r="D123" s="14" t="n"/>
      <c r="E123" s="14" t="n"/>
      <c r="F123" s="14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3">
        <f>IF($C123="","",N(L123)-N(M123))</f>
        <v/>
      </c>
      <c r="P123" s="24" t="n"/>
      <c r="Q123" s="23">
        <f>IF($C123="","",N(M123)+N(N123))</f>
        <v/>
      </c>
      <c r="R123" s="23">
        <f>IF($C123="","",N(J123)+N(Q123))</f>
        <v/>
      </c>
      <c r="S123" s="25">
        <f>IF(OR($C123="",N($G123)=0),"",R123/$G123)</f>
        <v/>
      </c>
      <c r="T123" s="23">
        <f>IF($C123="","",N($G123)-N(R123))</f>
        <v/>
      </c>
      <c r="U123" s="24" t="n"/>
      <c r="V123" s="22" t="n"/>
    </row>
    <row r="124">
      <c r="B124" s="13">
        <f>IF($C124="","",COUNTA($C$9:$C124))</f>
        <v/>
      </c>
      <c r="C124" s="21" t="n"/>
      <c r="D124" s="14" t="n"/>
      <c r="E124" s="14" t="n"/>
      <c r="F124" s="14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3">
        <f>IF($C124="","",N(L124)-N(M124))</f>
        <v/>
      </c>
      <c r="P124" s="24" t="n"/>
      <c r="Q124" s="23">
        <f>IF($C124="","",N(M124)+N(N124))</f>
        <v/>
      </c>
      <c r="R124" s="23">
        <f>IF($C124="","",N(J124)+N(Q124))</f>
        <v/>
      </c>
      <c r="S124" s="25">
        <f>IF(OR($C124="",N($G124)=0),"",R124/$G124)</f>
        <v/>
      </c>
      <c r="T124" s="23">
        <f>IF($C124="","",N($G124)-N(R124))</f>
        <v/>
      </c>
      <c r="U124" s="24" t="n"/>
      <c r="V124" s="22" t="n"/>
    </row>
    <row r="125">
      <c r="B125" s="13">
        <f>IF($C125="","",COUNTA($C$9:$C125))</f>
        <v/>
      </c>
      <c r="C125" s="21" t="n"/>
      <c r="D125" s="14" t="n"/>
      <c r="E125" s="14" t="n"/>
      <c r="F125" s="14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3">
        <f>IF($C125="","",N(L125)-N(M125))</f>
        <v/>
      </c>
      <c r="P125" s="24" t="n"/>
      <c r="Q125" s="23">
        <f>IF($C125="","",N(M125)+N(N125))</f>
        <v/>
      </c>
      <c r="R125" s="23">
        <f>IF($C125="","",N(J125)+N(Q125))</f>
        <v/>
      </c>
      <c r="S125" s="25">
        <f>IF(OR($C125="",N($G125)=0),"",R125/$G125)</f>
        <v/>
      </c>
      <c r="T125" s="23">
        <f>IF($C125="","",N($G125)-N(R125))</f>
        <v/>
      </c>
      <c r="U125" s="24" t="n"/>
      <c r="V125" s="22" t="n"/>
    </row>
    <row r="126">
      <c r="B126" s="13">
        <f>IF($C126="","",COUNTA($C$9:$C126))</f>
        <v/>
      </c>
      <c r="C126" s="21" t="n"/>
      <c r="D126" s="14" t="n"/>
      <c r="E126" s="14" t="n"/>
      <c r="F126" s="14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3">
        <f>IF($C126="","",N(L126)-N(M126))</f>
        <v/>
      </c>
      <c r="P126" s="24" t="n"/>
      <c r="Q126" s="23">
        <f>IF($C126="","",N(M126)+N(N126))</f>
        <v/>
      </c>
      <c r="R126" s="23">
        <f>IF($C126="","",N(J126)+N(Q126))</f>
        <v/>
      </c>
      <c r="S126" s="25">
        <f>IF(OR($C126="",N($G126)=0),"",R126/$G126)</f>
        <v/>
      </c>
      <c r="T126" s="23">
        <f>IF($C126="","",N($G126)-N(R126))</f>
        <v/>
      </c>
      <c r="U126" s="24" t="n"/>
      <c r="V126" s="22" t="n"/>
    </row>
    <row r="127">
      <c r="B127" s="13">
        <f>IF($C127="","",COUNTA($C$9:$C127))</f>
        <v/>
      </c>
      <c r="C127" s="21" t="n"/>
      <c r="D127" s="14" t="n"/>
      <c r="E127" s="14" t="n"/>
      <c r="F127" s="14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3">
        <f>IF($C127="","",N(L127)-N(M127))</f>
        <v/>
      </c>
      <c r="P127" s="24" t="n"/>
      <c r="Q127" s="23">
        <f>IF($C127="","",N(M127)+N(N127))</f>
        <v/>
      </c>
      <c r="R127" s="23">
        <f>IF($C127="","",N(J127)+N(Q127))</f>
        <v/>
      </c>
      <c r="S127" s="25">
        <f>IF(OR($C127="",N($G127)=0),"",R127/$G127)</f>
        <v/>
      </c>
      <c r="T127" s="23">
        <f>IF($C127="","",N($G127)-N(R127))</f>
        <v/>
      </c>
      <c r="U127" s="24" t="n"/>
      <c r="V127" s="22" t="n"/>
    </row>
    <row r="128">
      <c r="B128" s="13">
        <f>IF($C128="","",COUNTA($C$9:$C128))</f>
        <v/>
      </c>
      <c r="C128" s="21" t="n"/>
      <c r="D128" s="14" t="n"/>
      <c r="E128" s="14" t="n"/>
      <c r="F128" s="14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3">
        <f>IF($C128="","",N(L128)-N(M128))</f>
        <v/>
      </c>
      <c r="P128" s="24" t="n"/>
      <c r="Q128" s="23">
        <f>IF($C128="","",N(M128)+N(N128))</f>
        <v/>
      </c>
      <c r="R128" s="23">
        <f>IF($C128="","",N(J128)+N(Q128))</f>
        <v/>
      </c>
      <c r="S128" s="25">
        <f>IF(OR($C128="",N($G128)=0),"",R128/$G128)</f>
        <v/>
      </c>
      <c r="T128" s="23">
        <f>IF($C128="","",N($G128)-N(R128))</f>
        <v/>
      </c>
      <c r="U128" s="24" t="n"/>
      <c r="V128" s="22" t="n"/>
    </row>
    <row r="129">
      <c r="B129" s="13">
        <f>IF($C129="","",COUNTA($C$9:$C129))</f>
        <v/>
      </c>
      <c r="C129" s="21" t="n"/>
      <c r="D129" s="14" t="n"/>
      <c r="E129" s="14" t="n"/>
      <c r="F129" s="14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3">
        <f>IF($C129="","",N(L129)-N(M129))</f>
        <v/>
      </c>
      <c r="P129" s="24" t="n"/>
      <c r="Q129" s="23">
        <f>IF($C129="","",N(M129)+N(N129))</f>
        <v/>
      </c>
      <c r="R129" s="23">
        <f>IF($C129="","",N(J129)+N(Q129))</f>
        <v/>
      </c>
      <c r="S129" s="25">
        <f>IF(OR($C129="",N($G129)=0),"",R129/$G129)</f>
        <v/>
      </c>
      <c r="T129" s="23">
        <f>IF($C129="","",N($G129)-N(R129))</f>
        <v/>
      </c>
      <c r="U129" s="24" t="n"/>
      <c r="V129" s="22" t="n"/>
    </row>
    <row r="130">
      <c r="B130" s="13">
        <f>IF($C130="","",COUNTA($C$9:$C130))</f>
        <v/>
      </c>
      <c r="C130" s="21" t="n"/>
      <c r="D130" s="14" t="n"/>
      <c r="E130" s="14" t="n"/>
      <c r="F130" s="14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3">
        <f>IF($C130="","",N(L130)-N(M130))</f>
        <v/>
      </c>
      <c r="P130" s="24" t="n"/>
      <c r="Q130" s="23">
        <f>IF($C130="","",N(M130)+N(N130))</f>
        <v/>
      </c>
      <c r="R130" s="23">
        <f>IF($C130="","",N(J130)+N(Q130))</f>
        <v/>
      </c>
      <c r="S130" s="25">
        <f>IF(OR($C130="",N($G130)=0),"",R130/$G130)</f>
        <v/>
      </c>
      <c r="T130" s="23">
        <f>IF($C130="","",N($G130)-N(R130))</f>
        <v/>
      </c>
      <c r="U130" s="24" t="n"/>
      <c r="V130" s="22" t="n"/>
    </row>
    <row r="131">
      <c r="B131" s="13">
        <f>IF($C131="","",COUNTA($C$9:$C131))</f>
        <v/>
      </c>
      <c r="C131" s="21" t="n"/>
      <c r="D131" s="14" t="n"/>
      <c r="E131" s="14" t="n"/>
      <c r="F131" s="14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3">
        <f>IF($C131="","",N(L131)-N(M131))</f>
        <v/>
      </c>
      <c r="P131" s="24" t="n"/>
      <c r="Q131" s="23">
        <f>IF($C131="","",N(M131)+N(N131))</f>
        <v/>
      </c>
      <c r="R131" s="23">
        <f>IF($C131="","",N(J131)+N(Q131))</f>
        <v/>
      </c>
      <c r="S131" s="25">
        <f>IF(OR($C131="",N($G131)=0),"",R131/$G131)</f>
        <v/>
      </c>
      <c r="T131" s="23">
        <f>IF($C131="","",N($G131)-N(R131))</f>
        <v/>
      </c>
      <c r="U131" s="24" t="n"/>
      <c r="V131" s="22" t="n"/>
    </row>
    <row r="132">
      <c r="B132" s="13">
        <f>IF($C132="","",COUNTA($C$9:$C132))</f>
        <v/>
      </c>
      <c r="C132" s="21" t="n"/>
      <c r="D132" s="14" t="n"/>
      <c r="E132" s="14" t="n"/>
      <c r="F132" s="14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3">
        <f>IF($C132="","",N(L132)-N(M132))</f>
        <v/>
      </c>
      <c r="P132" s="24" t="n"/>
      <c r="Q132" s="23">
        <f>IF($C132="","",N(M132)+N(N132))</f>
        <v/>
      </c>
      <c r="R132" s="23">
        <f>IF($C132="","",N(J132)+N(Q132))</f>
        <v/>
      </c>
      <c r="S132" s="25">
        <f>IF(OR($C132="",N($G132)=0),"",R132/$G132)</f>
        <v/>
      </c>
      <c r="T132" s="23">
        <f>IF($C132="","",N($G132)-N(R132))</f>
        <v/>
      </c>
      <c r="U132" s="24" t="n"/>
      <c r="V132" s="22" t="n"/>
    </row>
    <row r="133">
      <c r="B133" s="13">
        <f>IF($C133="","",COUNTA($C$9:$C133))</f>
        <v/>
      </c>
      <c r="C133" s="21" t="n"/>
      <c r="D133" s="14" t="n"/>
      <c r="E133" s="14" t="n"/>
      <c r="F133" s="14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3">
        <f>IF($C133="","",N(L133)-N(M133))</f>
        <v/>
      </c>
      <c r="P133" s="24" t="n"/>
      <c r="Q133" s="23">
        <f>IF($C133="","",N(M133)+N(N133))</f>
        <v/>
      </c>
      <c r="R133" s="23">
        <f>IF($C133="","",N(J133)+N(Q133))</f>
        <v/>
      </c>
      <c r="S133" s="25">
        <f>IF(OR($C133="",N($G133)=0),"",R133/$G133)</f>
        <v/>
      </c>
      <c r="T133" s="23">
        <f>IF($C133="","",N($G133)-N(R133))</f>
        <v/>
      </c>
      <c r="U133" s="24" t="n"/>
      <c r="V133" s="22" t="n"/>
    </row>
    <row r="134">
      <c r="B134" s="13">
        <f>IF($C134="","",COUNTA($C$9:$C134))</f>
        <v/>
      </c>
      <c r="C134" s="21" t="n"/>
      <c r="D134" s="14" t="n"/>
      <c r="E134" s="14" t="n"/>
      <c r="F134" s="14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3">
        <f>IF($C134="","",N(L134)-N(M134))</f>
        <v/>
      </c>
      <c r="P134" s="24" t="n"/>
      <c r="Q134" s="23">
        <f>IF($C134="","",N(M134)+N(N134))</f>
        <v/>
      </c>
      <c r="R134" s="23">
        <f>IF($C134="","",N(J134)+N(Q134))</f>
        <v/>
      </c>
      <c r="S134" s="25">
        <f>IF(OR($C134="",N($G134)=0),"",R134/$G134)</f>
        <v/>
      </c>
      <c r="T134" s="23">
        <f>IF($C134="","",N($G134)-N(R134))</f>
        <v/>
      </c>
      <c r="U134" s="24" t="n"/>
      <c r="V134" s="22" t="n"/>
    </row>
    <row r="135">
      <c r="B135" s="13">
        <f>IF($C135="","",COUNTA($C$9:$C135))</f>
        <v/>
      </c>
      <c r="C135" s="21" t="n"/>
      <c r="D135" s="14" t="n"/>
      <c r="E135" s="14" t="n"/>
      <c r="F135" s="14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3">
        <f>IF($C135="","",N(L135)-N(M135))</f>
        <v/>
      </c>
      <c r="P135" s="24" t="n"/>
      <c r="Q135" s="23">
        <f>IF($C135="","",N(M135)+N(N135))</f>
        <v/>
      </c>
      <c r="R135" s="23">
        <f>IF($C135="","",N(J135)+N(Q135))</f>
        <v/>
      </c>
      <c r="S135" s="25">
        <f>IF(OR($C135="",N($G135)=0),"",R135/$G135)</f>
        <v/>
      </c>
      <c r="T135" s="23">
        <f>IF($C135="","",N($G135)-N(R135))</f>
        <v/>
      </c>
      <c r="U135" s="24" t="n"/>
      <c r="V135" s="22" t="n"/>
    </row>
    <row r="136">
      <c r="B136" s="13">
        <f>IF($C136="","",COUNTA($C$9:$C136))</f>
        <v/>
      </c>
      <c r="C136" s="21" t="n"/>
      <c r="D136" s="14" t="n"/>
      <c r="E136" s="14" t="n"/>
      <c r="F136" s="14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3">
        <f>IF($C136="","",N(L136)-N(M136))</f>
        <v/>
      </c>
      <c r="P136" s="24" t="n"/>
      <c r="Q136" s="23">
        <f>IF($C136="","",N(M136)+N(N136))</f>
        <v/>
      </c>
      <c r="R136" s="23">
        <f>IF($C136="","",N(J136)+N(Q136))</f>
        <v/>
      </c>
      <c r="S136" s="25">
        <f>IF(OR($C136="",N($G136)=0),"",R136/$G136)</f>
        <v/>
      </c>
      <c r="T136" s="23">
        <f>IF($C136="","",N($G136)-N(R136))</f>
        <v/>
      </c>
      <c r="U136" s="24" t="n"/>
      <c r="V136" s="22" t="n"/>
    </row>
    <row r="137">
      <c r="B137" s="13">
        <f>IF($C137="","",COUNTA($C$9:$C137))</f>
        <v/>
      </c>
      <c r="C137" s="21" t="n"/>
      <c r="D137" s="14" t="n"/>
      <c r="E137" s="14" t="n"/>
      <c r="F137" s="14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3">
        <f>IF($C137="","",N(L137)-N(M137))</f>
        <v/>
      </c>
      <c r="P137" s="24" t="n"/>
      <c r="Q137" s="23">
        <f>IF($C137="","",N(M137)+N(N137))</f>
        <v/>
      </c>
      <c r="R137" s="23">
        <f>IF($C137="","",N(J137)+N(Q137))</f>
        <v/>
      </c>
      <c r="S137" s="25">
        <f>IF(OR($C137="",N($G137)=0),"",R137/$G137)</f>
        <v/>
      </c>
      <c r="T137" s="23">
        <f>IF($C137="","",N($G137)-N(R137))</f>
        <v/>
      </c>
      <c r="U137" s="24" t="n"/>
      <c r="V137" s="22" t="n"/>
    </row>
    <row r="138">
      <c r="B138" s="13">
        <f>IF($C138="","",COUNTA($C$9:$C138))</f>
        <v/>
      </c>
      <c r="C138" s="21" t="n"/>
      <c r="D138" s="14" t="n"/>
      <c r="E138" s="14" t="n"/>
      <c r="F138" s="14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3">
        <f>IF($C138="","",N(L138)-N(M138))</f>
        <v/>
      </c>
      <c r="P138" s="24" t="n"/>
      <c r="Q138" s="23">
        <f>IF($C138="","",N(M138)+N(N138))</f>
        <v/>
      </c>
      <c r="R138" s="23">
        <f>IF($C138="","",N(J138)+N(Q138))</f>
        <v/>
      </c>
      <c r="S138" s="25">
        <f>IF(OR($C138="",N($G138)=0),"",R138/$G138)</f>
        <v/>
      </c>
      <c r="T138" s="23">
        <f>IF($C138="","",N($G138)-N(R138))</f>
        <v/>
      </c>
      <c r="U138" s="24" t="n"/>
      <c r="V138" s="22" t="n"/>
    </row>
    <row r="139">
      <c r="B139" s="13">
        <f>IF($C139="","",COUNTA($C$9:$C139))</f>
        <v/>
      </c>
      <c r="C139" s="21" t="n"/>
      <c r="D139" s="14" t="n"/>
      <c r="E139" s="14" t="n"/>
      <c r="F139" s="14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3">
        <f>IF($C139="","",N(L139)-N(M139))</f>
        <v/>
      </c>
      <c r="P139" s="24" t="n"/>
      <c r="Q139" s="23">
        <f>IF($C139="","",N(M139)+N(N139))</f>
        <v/>
      </c>
      <c r="R139" s="23">
        <f>IF($C139="","",N(J139)+N(Q139))</f>
        <v/>
      </c>
      <c r="S139" s="25">
        <f>IF(OR($C139="",N($G139)=0),"",R139/$G139)</f>
        <v/>
      </c>
      <c r="T139" s="23">
        <f>IF($C139="","",N($G139)-N(R139))</f>
        <v/>
      </c>
      <c r="U139" s="24" t="n"/>
      <c r="V139" s="22" t="n"/>
    </row>
    <row r="140">
      <c r="B140" s="13">
        <f>IF($C140="","",COUNTA($C$9:$C140))</f>
        <v/>
      </c>
      <c r="C140" s="21" t="n"/>
      <c r="D140" s="14" t="n"/>
      <c r="E140" s="14" t="n"/>
      <c r="F140" s="14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3">
        <f>IF($C140="","",N(L140)-N(M140))</f>
        <v/>
      </c>
      <c r="P140" s="24" t="n"/>
      <c r="Q140" s="23">
        <f>IF($C140="","",N(M140)+N(N140))</f>
        <v/>
      </c>
      <c r="R140" s="23">
        <f>IF($C140="","",N(J140)+N(Q140))</f>
        <v/>
      </c>
      <c r="S140" s="25">
        <f>IF(OR($C140="",N($G140)=0),"",R140/$G140)</f>
        <v/>
      </c>
      <c r="T140" s="23">
        <f>IF($C140="","",N($G140)-N(R140))</f>
        <v/>
      </c>
      <c r="U140" s="24" t="n"/>
      <c r="V140" s="22" t="n"/>
    </row>
    <row r="141">
      <c r="B141" s="13">
        <f>IF($C141="","",COUNTA($C$9:$C141))</f>
        <v/>
      </c>
      <c r="C141" s="21" t="n"/>
      <c r="D141" s="14" t="n"/>
      <c r="E141" s="14" t="n"/>
      <c r="F141" s="14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3">
        <f>IF($C141="","",N(L141)-N(M141))</f>
        <v/>
      </c>
      <c r="P141" s="24" t="n"/>
      <c r="Q141" s="23">
        <f>IF($C141="","",N(M141)+N(N141))</f>
        <v/>
      </c>
      <c r="R141" s="23">
        <f>IF($C141="","",N(J141)+N(Q141))</f>
        <v/>
      </c>
      <c r="S141" s="25">
        <f>IF(OR($C141="",N($G141)=0),"",R141/$G141)</f>
        <v/>
      </c>
      <c r="T141" s="23">
        <f>IF($C141="","",N($G141)-N(R141))</f>
        <v/>
      </c>
      <c r="U141" s="24" t="n"/>
      <c r="V141" s="22" t="n"/>
    </row>
    <row r="142">
      <c r="B142" s="13">
        <f>IF($C142="","",COUNTA($C$9:$C142))</f>
        <v/>
      </c>
      <c r="C142" s="21" t="n"/>
      <c r="D142" s="14" t="n"/>
      <c r="E142" s="14" t="n"/>
      <c r="F142" s="14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3">
        <f>IF($C142="","",N(L142)-N(M142))</f>
        <v/>
      </c>
      <c r="P142" s="24" t="n"/>
      <c r="Q142" s="23">
        <f>IF($C142="","",N(M142)+N(N142))</f>
        <v/>
      </c>
      <c r="R142" s="23">
        <f>IF($C142="","",N(J142)+N(Q142))</f>
        <v/>
      </c>
      <c r="S142" s="25">
        <f>IF(OR($C142="",N($G142)=0),"",R142/$G142)</f>
        <v/>
      </c>
      <c r="T142" s="23">
        <f>IF($C142="","",N($G142)-N(R142))</f>
        <v/>
      </c>
      <c r="U142" s="24" t="n"/>
      <c r="V142" s="22" t="n"/>
    </row>
    <row r="143">
      <c r="B143" s="13">
        <f>IF($C143="","",COUNTA($C$9:$C143))</f>
        <v/>
      </c>
      <c r="C143" s="21" t="n"/>
      <c r="D143" s="14" t="n"/>
      <c r="E143" s="14" t="n"/>
      <c r="F143" s="14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3">
        <f>IF($C143="","",N(L143)-N(M143))</f>
        <v/>
      </c>
      <c r="P143" s="24" t="n"/>
      <c r="Q143" s="23">
        <f>IF($C143="","",N(M143)+N(N143))</f>
        <v/>
      </c>
      <c r="R143" s="23">
        <f>IF($C143="","",N(J143)+N(Q143))</f>
        <v/>
      </c>
      <c r="S143" s="25">
        <f>IF(OR($C143="",N($G143)=0),"",R143/$G143)</f>
        <v/>
      </c>
      <c r="T143" s="23">
        <f>IF($C143="","",N($G143)-N(R143))</f>
        <v/>
      </c>
      <c r="U143" s="24" t="n"/>
      <c r="V143" s="22" t="n"/>
    </row>
    <row r="144">
      <c r="B144" s="13">
        <f>IF($C144="","",COUNTA($C$9:$C144))</f>
        <v/>
      </c>
      <c r="C144" s="21" t="n"/>
      <c r="D144" s="14" t="n"/>
      <c r="E144" s="14" t="n"/>
      <c r="F144" s="14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3">
        <f>IF($C144="","",N(L144)-N(M144))</f>
        <v/>
      </c>
      <c r="P144" s="24" t="n"/>
      <c r="Q144" s="23">
        <f>IF($C144="","",N(M144)+N(N144))</f>
        <v/>
      </c>
      <c r="R144" s="23">
        <f>IF($C144="","",N(J144)+N(Q144))</f>
        <v/>
      </c>
      <c r="S144" s="25">
        <f>IF(OR($C144="",N($G144)=0),"",R144/$G144)</f>
        <v/>
      </c>
      <c r="T144" s="23">
        <f>IF($C144="","",N($G144)-N(R144))</f>
        <v/>
      </c>
      <c r="U144" s="24" t="n"/>
      <c r="V144" s="22" t="n"/>
    </row>
    <row r="145">
      <c r="B145" s="13">
        <f>IF($C145="","",COUNTA($C$9:$C145))</f>
        <v/>
      </c>
      <c r="C145" s="21" t="n"/>
      <c r="D145" s="14" t="n"/>
      <c r="E145" s="14" t="n"/>
      <c r="F145" s="14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3">
        <f>IF($C145="","",N(L145)-N(M145))</f>
        <v/>
      </c>
      <c r="P145" s="24" t="n"/>
      <c r="Q145" s="23">
        <f>IF($C145="","",N(M145)+N(N145))</f>
        <v/>
      </c>
      <c r="R145" s="23">
        <f>IF($C145="","",N(J145)+N(Q145))</f>
        <v/>
      </c>
      <c r="S145" s="25">
        <f>IF(OR($C145="",N($G145)=0),"",R145/$G145)</f>
        <v/>
      </c>
      <c r="T145" s="23">
        <f>IF($C145="","",N($G145)-N(R145))</f>
        <v/>
      </c>
      <c r="U145" s="24" t="n"/>
      <c r="V145" s="22" t="n"/>
    </row>
    <row r="146">
      <c r="B146" s="13">
        <f>IF($C146="","",COUNTA($C$9:$C146))</f>
        <v/>
      </c>
      <c r="C146" s="21" t="n"/>
      <c r="D146" s="14" t="n"/>
      <c r="E146" s="14" t="n"/>
      <c r="F146" s="14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3">
        <f>IF($C146="","",N(L146)-N(M146))</f>
        <v/>
      </c>
      <c r="P146" s="24" t="n"/>
      <c r="Q146" s="23">
        <f>IF($C146="","",N(M146)+N(N146))</f>
        <v/>
      </c>
      <c r="R146" s="23">
        <f>IF($C146="","",N(J146)+N(Q146))</f>
        <v/>
      </c>
      <c r="S146" s="25">
        <f>IF(OR($C146="",N($G146)=0),"",R146/$G146)</f>
        <v/>
      </c>
      <c r="T146" s="23">
        <f>IF($C146="","",N($G146)-N(R146))</f>
        <v/>
      </c>
      <c r="U146" s="24" t="n"/>
      <c r="V146" s="22" t="n"/>
    </row>
    <row r="147">
      <c r="B147" s="13">
        <f>IF($C147="","",COUNTA($C$9:$C147))</f>
        <v/>
      </c>
      <c r="C147" s="21" t="n"/>
      <c r="D147" s="14" t="n"/>
      <c r="E147" s="14" t="n"/>
      <c r="F147" s="14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3">
        <f>IF($C147="","",N(L147)-N(M147))</f>
        <v/>
      </c>
      <c r="P147" s="24" t="n"/>
      <c r="Q147" s="23">
        <f>IF($C147="","",N(M147)+N(N147))</f>
        <v/>
      </c>
      <c r="R147" s="23">
        <f>IF($C147="","",N(J147)+N(Q147))</f>
        <v/>
      </c>
      <c r="S147" s="25">
        <f>IF(OR($C147="",N($G147)=0),"",R147/$G147)</f>
        <v/>
      </c>
      <c r="T147" s="23">
        <f>IF($C147="","",N($G147)-N(R147))</f>
        <v/>
      </c>
      <c r="U147" s="24" t="n"/>
      <c r="V147" s="22" t="n"/>
    </row>
    <row r="148">
      <c r="B148" s="13">
        <f>IF($C148="","",COUNTA($C$9:$C148))</f>
        <v/>
      </c>
      <c r="C148" s="21" t="n"/>
      <c r="D148" s="14" t="n"/>
      <c r="E148" s="14" t="n"/>
      <c r="F148" s="14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3">
        <f>IF($C148="","",N(L148)-N(M148))</f>
        <v/>
      </c>
      <c r="P148" s="24" t="n"/>
      <c r="Q148" s="23">
        <f>IF($C148="","",N(M148)+N(N148))</f>
        <v/>
      </c>
      <c r="R148" s="23">
        <f>IF($C148="","",N(J148)+N(Q148))</f>
        <v/>
      </c>
      <c r="S148" s="25">
        <f>IF(OR($C148="",N($G148)=0),"",R148/$G148)</f>
        <v/>
      </c>
      <c r="T148" s="23">
        <f>IF($C148="","",N($G148)-N(R148))</f>
        <v/>
      </c>
      <c r="U148" s="24" t="n"/>
      <c r="V148" s="22" t="n"/>
    </row>
    <row r="149">
      <c r="B149" s="13">
        <f>IF($C149="","",COUNTA($C$9:$C149))</f>
        <v/>
      </c>
      <c r="C149" s="21" t="n"/>
      <c r="D149" s="14" t="n"/>
      <c r="E149" s="14" t="n"/>
      <c r="F149" s="14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3">
        <f>IF($C149="","",N(L149)-N(M149))</f>
        <v/>
      </c>
      <c r="P149" s="24" t="n"/>
      <c r="Q149" s="23">
        <f>IF($C149="","",N(M149)+N(N149))</f>
        <v/>
      </c>
      <c r="R149" s="23">
        <f>IF($C149="","",N(J149)+N(Q149))</f>
        <v/>
      </c>
      <c r="S149" s="25">
        <f>IF(OR($C149="",N($G149)=0),"",R149/$G149)</f>
        <v/>
      </c>
      <c r="T149" s="23">
        <f>IF($C149="","",N($G149)-N(R149))</f>
        <v/>
      </c>
      <c r="U149" s="24" t="n"/>
      <c r="V149" s="22" t="n"/>
    </row>
    <row r="150">
      <c r="B150" s="13">
        <f>IF($C150="","",COUNTA($C$9:$C150))</f>
        <v/>
      </c>
      <c r="C150" s="21" t="n"/>
      <c r="D150" s="14" t="n"/>
      <c r="E150" s="14" t="n"/>
      <c r="F150" s="14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3">
        <f>IF($C150="","",N(L150)-N(M150))</f>
        <v/>
      </c>
      <c r="P150" s="24" t="n"/>
      <c r="Q150" s="23">
        <f>IF($C150="","",N(M150)+N(N150))</f>
        <v/>
      </c>
      <c r="R150" s="23">
        <f>IF($C150="","",N(J150)+N(Q150))</f>
        <v/>
      </c>
      <c r="S150" s="25">
        <f>IF(OR($C150="",N($G150)=0),"",R150/$G150)</f>
        <v/>
      </c>
      <c r="T150" s="23">
        <f>IF($C150="","",N($G150)-N(R150))</f>
        <v/>
      </c>
      <c r="U150" s="24" t="n"/>
      <c r="V150" s="22" t="n"/>
    </row>
    <row r="151">
      <c r="B151" s="13">
        <f>IF($C151="","",COUNTA($C$9:$C151))</f>
        <v/>
      </c>
      <c r="C151" s="21" t="n"/>
      <c r="D151" s="14" t="n"/>
      <c r="E151" s="14" t="n"/>
      <c r="F151" s="14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3">
        <f>IF($C151="","",N(L151)-N(M151))</f>
        <v/>
      </c>
      <c r="P151" s="24" t="n"/>
      <c r="Q151" s="23">
        <f>IF($C151="","",N(M151)+N(N151))</f>
        <v/>
      </c>
      <c r="R151" s="23">
        <f>IF($C151="","",N(J151)+N(Q151))</f>
        <v/>
      </c>
      <c r="S151" s="25">
        <f>IF(OR($C151="",N($G151)=0),"",R151/$G151)</f>
        <v/>
      </c>
      <c r="T151" s="23">
        <f>IF($C151="","",N($G151)-N(R151))</f>
        <v/>
      </c>
      <c r="U151" s="24" t="n"/>
      <c r="V151" s="22" t="n"/>
    </row>
    <row r="152">
      <c r="B152" s="13">
        <f>IF($C152="","",COUNTA($C$9:$C152))</f>
        <v/>
      </c>
      <c r="C152" s="21" t="n"/>
      <c r="D152" s="14" t="n"/>
      <c r="E152" s="14" t="n"/>
      <c r="F152" s="14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3">
        <f>IF($C152="","",N(L152)-N(M152))</f>
        <v/>
      </c>
      <c r="P152" s="24" t="n"/>
      <c r="Q152" s="23">
        <f>IF($C152="","",N(M152)+N(N152))</f>
        <v/>
      </c>
      <c r="R152" s="23">
        <f>IF($C152="","",N(J152)+N(Q152))</f>
        <v/>
      </c>
      <c r="S152" s="25">
        <f>IF(OR($C152="",N($G152)=0),"",R152/$G152)</f>
        <v/>
      </c>
      <c r="T152" s="23">
        <f>IF($C152="","",N($G152)-N(R152))</f>
        <v/>
      </c>
      <c r="U152" s="24" t="n"/>
      <c r="V152" s="22" t="n"/>
    </row>
    <row r="153">
      <c r="B153" s="13">
        <f>IF($C153="","",COUNTA($C$9:$C153))</f>
        <v/>
      </c>
      <c r="C153" s="21" t="n"/>
      <c r="D153" s="14" t="n"/>
      <c r="E153" s="14" t="n"/>
      <c r="F153" s="14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3">
        <f>IF($C153="","",N(L153)-N(M153))</f>
        <v/>
      </c>
      <c r="P153" s="24" t="n"/>
      <c r="Q153" s="23">
        <f>IF($C153="","",N(M153)+N(N153))</f>
        <v/>
      </c>
      <c r="R153" s="23">
        <f>IF($C153="","",N(J153)+N(Q153))</f>
        <v/>
      </c>
      <c r="S153" s="25">
        <f>IF(OR($C153="",N($G153)=0),"",R153/$G153)</f>
        <v/>
      </c>
      <c r="T153" s="23">
        <f>IF($C153="","",N($G153)-N(R153))</f>
        <v/>
      </c>
      <c r="U153" s="24" t="n"/>
      <c r="V153" s="22" t="n"/>
    </row>
    <row r="154">
      <c r="B154" s="13">
        <f>IF($C154="","",COUNTA($C$9:$C154))</f>
        <v/>
      </c>
      <c r="C154" s="21" t="n"/>
      <c r="D154" s="14" t="n"/>
      <c r="E154" s="14" t="n"/>
      <c r="F154" s="14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3">
        <f>IF($C154="","",N(L154)-N(M154))</f>
        <v/>
      </c>
      <c r="P154" s="24" t="n"/>
      <c r="Q154" s="23">
        <f>IF($C154="","",N(M154)+N(N154))</f>
        <v/>
      </c>
      <c r="R154" s="23">
        <f>IF($C154="","",N(J154)+N(Q154))</f>
        <v/>
      </c>
      <c r="S154" s="25">
        <f>IF(OR($C154="",N($G154)=0),"",R154/$G154)</f>
        <v/>
      </c>
      <c r="T154" s="23">
        <f>IF($C154="","",N($G154)-N(R154))</f>
        <v/>
      </c>
      <c r="U154" s="24" t="n"/>
      <c r="V154" s="22" t="n"/>
    </row>
    <row r="155">
      <c r="B155" s="13">
        <f>IF($C155="","",COUNTA($C$9:$C155))</f>
        <v/>
      </c>
      <c r="C155" s="21" t="n"/>
      <c r="D155" s="14" t="n"/>
      <c r="E155" s="14" t="n"/>
      <c r="F155" s="14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3">
        <f>IF($C155="","",N(L155)-N(M155))</f>
        <v/>
      </c>
      <c r="P155" s="24" t="n"/>
      <c r="Q155" s="23">
        <f>IF($C155="","",N(M155)+N(N155))</f>
        <v/>
      </c>
      <c r="R155" s="23">
        <f>IF($C155="","",N(J155)+N(Q155))</f>
        <v/>
      </c>
      <c r="S155" s="25">
        <f>IF(OR($C155="",N($G155)=0),"",R155/$G155)</f>
        <v/>
      </c>
      <c r="T155" s="23">
        <f>IF($C155="","",N($G155)-N(R155))</f>
        <v/>
      </c>
      <c r="U155" s="24" t="n"/>
      <c r="V155" s="22" t="n"/>
    </row>
    <row r="156">
      <c r="B156" s="13">
        <f>IF($C156="","",COUNTA($C$9:$C156))</f>
        <v/>
      </c>
      <c r="C156" s="21" t="n"/>
      <c r="D156" s="14" t="n"/>
      <c r="E156" s="14" t="n"/>
      <c r="F156" s="14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3">
        <f>IF($C156="","",N(L156)-N(M156))</f>
        <v/>
      </c>
      <c r="P156" s="24" t="n"/>
      <c r="Q156" s="23">
        <f>IF($C156="","",N(M156)+N(N156))</f>
        <v/>
      </c>
      <c r="R156" s="23">
        <f>IF($C156="","",N(J156)+N(Q156))</f>
        <v/>
      </c>
      <c r="S156" s="25">
        <f>IF(OR($C156="",N($G156)=0),"",R156/$G156)</f>
        <v/>
      </c>
      <c r="T156" s="23">
        <f>IF($C156="","",N($G156)-N(R156))</f>
        <v/>
      </c>
      <c r="U156" s="24" t="n"/>
      <c r="V156" s="22" t="n"/>
    </row>
    <row r="157">
      <c r="B157" s="13">
        <f>IF($C157="","",COUNTA($C$9:$C157))</f>
        <v/>
      </c>
      <c r="C157" s="21" t="n"/>
      <c r="D157" s="14" t="n"/>
      <c r="E157" s="14" t="n"/>
      <c r="F157" s="14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3">
        <f>IF($C157="","",N(L157)-N(M157))</f>
        <v/>
      </c>
      <c r="P157" s="24" t="n"/>
      <c r="Q157" s="23">
        <f>IF($C157="","",N(M157)+N(N157))</f>
        <v/>
      </c>
      <c r="R157" s="23">
        <f>IF($C157="","",N(J157)+N(Q157))</f>
        <v/>
      </c>
      <c r="S157" s="25">
        <f>IF(OR($C157="",N($G157)=0),"",R157/$G157)</f>
        <v/>
      </c>
      <c r="T157" s="23">
        <f>IF($C157="","",N($G157)-N(R157))</f>
        <v/>
      </c>
      <c r="U157" s="24" t="n"/>
      <c r="V157" s="22" t="n"/>
    </row>
    <row r="158">
      <c r="B158" s="13">
        <f>IF($C158="","",COUNTA($C$9:$C158))</f>
        <v/>
      </c>
      <c r="C158" s="21" t="n"/>
      <c r="D158" s="14" t="n"/>
      <c r="E158" s="14" t="n"/>
      <c r="F158" s="14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3">
        <f>IF($C158="","",N(L158)-N(M158))</f>
        <v/>
      </c>
      <c r="P158" s="24" t="n"/>
      <c r="Q158" s="23">
        <f>IF($C158="","",N(M158)+N(N158))</f>
        <v/>
      </c>
      <c r="R158" s="23">
        <f>IF($C158="","",N(J158)+N(Q158))</f>
        <v/>
      </c>
      <c r="S158" s="25">
        <f>IF(OR($C158="",N($G158)=0),"",R158/$G158)</f>
        <v/>
      </c>
      <c r="T158" s="23">
        <f>IF($C158="","",N($G158)-N(R158))</f>
        <v/>
      </c>
      <c r="U158" s="24" t="n"/>
      <c r="V158" s="22" t="n"/>
    </row>
    <row r="159">
      <c r="B159" s="13">
        <f>IF($C159="","",COUNTA($C$9:$C159))</f>
        <v/>
      </c>
      <c r="C159" s="21" t="n"/>
      <c r="D159" s="14" t="n"/>
      <c r="E159" s="14" t="n"/>
      <c r="F159" s="14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3">
        <f>IF($C159="","",N(L159)-N(M159))</f>
        <v/>
      </c>
      <c r="P159" s="24" t="n"/>
      <c r="Q159" s="23">
        <f>IF($C159="","",N(M159)+N(N159))</f>
        <v/>
      </c>
      <c r="R159" s="23">
        <f>IF($C159="","",N(J159)+N(Q159))</f>
        <v/>
      </c>
      <c r="S159" s="25">
        <f>IF(OR($C159="",N($G159)=0),"",R159/$G159)</f>
        <v/>
      </c>
      <c r="T159" s="23">
        <f>IF($C159="","",N($G159)-N(R159))</f>
        <v/>
      </c>
      <c r="U159" s="24" t="n"/>
      <c r="V159" s="22" t="n"/>
    </row>
    <row r="160">
      <c r="B160" s="13">
        <f>IF($C160="","",COUNTA($C$9:$C160))</f>
        <v/>
      </c>
      <c r="C160" s="21" t="n"/>
      <c r="D160" s="14" t="n"/>
      <c r="E160" s="14" t="n"/>
      <c r="F160" s="14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3">
        <f>IF($C160="","",N(L160)-N(M160))</f>
        <v/>
      </c>
      <c r="P160" s="24" t="n"/>
      <c r="Q160" s="23">
        <f>IF($C160="","",N(M160)+N(N160))</f>
        <v/>
      </c>
      <c r="R160" s="23">
        <f>IF($C160="","",N(J160)+N(Q160))</f>
        <v/>
      </c>
      <c r="S160" s="25">
        <f>IF(OR($C160="",N($G160)=0),"",R160/$G160)</f>
        <v/>
      </c>
      <c r="T160" s="23">
        <f>IF($C160="","",N($G160)-N(R160))</f>
        <v/>
      </c>
      <c r="U160" s="24" t="n"/>
      <c r="V160" s="22" t="n"/>
    </row>
    <row r="161">
      <c r="B161" s="13">
        <f>IF($C161="","",COUNTA($C$9:$C161))</f>
        <v/>
      </c>
      <c r="C161" s="21" t="n"/>
      <c r="D161" s="14" t="n"/>
      <c r="E161" s="14" t="n"/>
      <c r="F161" s="14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3">
        <f>IF($C161="","",N(L161)-N(M161))</f>
        <v/>
      </c>
      <c r="P161" s="24" t="n"/>
      <c r="Q161" s="23">
        <f>IF($C161="","",N(M161)+N(N161))</f>
        <v/>
      </c>
      <c r="R161" s="23">
        <f>IF($C161="","",N(J161)+N(Q161))</f>
        <v/>
      </c>
      <c r="S161" s="25">
        <f>IF(OR($C161="",N($G161)=0),"",R161/$G161)</f>
        <v/>
      </c>
      <c r="T161" s="23">
        <f>IF($C161="","",N($G161)-N(R161))</f>
        <v/>
      </c>
      <c r="U161" s="24" t="n"/>
      <c r="V161" s="22" t="n"/>
    </row>
    <row r="162">
      <c r="B162" s="13">
        <f>IF($C162="","",COUNTA($C$9:$C162))</f>
        <v/>
      </c>
      <c r="C162" s="21" t="n"/>
      <c r="D162" s="14" t="n"/>
      <c r="E162" s="14" t="n"/>
      <c r="F162" s="14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3">
        <f>IF($C162="","",N(L162)-N(M162))</f>
        <v/>
      </c>
      <c r="P162" s="24" t="n"/>
      <c r="Q162" s="23">
        <f>IF($C162="","",N(M162)+N(N162))</f>
        <v/>
      </c>
      <c r="R162" s="23">
        <f>IF($C162="","",N(J162)+N(Q162))</f>
        <v/>
      </c>
      <c r="S162" s="25">
        <f>IF(OR($C162="",N($G162)=0),"",R162/$G162)</f>
        <v/>
      </c>
      <c r="T162" s="23">
        <f>IF($C162="","",N($G162)-N(R162))</f>
        <v/>
      </c>
      <c r="U162" s="24" t="n"/>
      <c r="V162" s="22" t="n"/>
    </row>
    <row r="163">
      <c r="B163" s="13">
        <f>IF($C163="","",COUNTA($C$9:$C163))</f>
        <v/>
      </c>
      <c r="C163" s="21" t="n"/>
      <c r="D163" s="14" t="n"/>
      <c r="E163" s="14" t="n"/>
      <c r="F163" s="14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3">
        <f>IF($C163="","",N(L163)-N(M163))</f>
        <v/>
      </c>
      <c r="P163" s="24" t="n"/>
      <c r="Q163" s="23">
        <f>IF($C163="","",N(M163)+N(N163))</f>
        <v/>
      </c>
      <c r="R163" s="23">
        <f>IF($C163="","",N(J163)+N(Q163))</f>
        <v/>
      </c>
      <c r="S163" s="25">
        <f>IF(OR($C163="",N($G163)=0),"",R163/$G163)</f>
        <v/>
      </c>
      <c r="T163" s="23">
        <f>IF($C163="","",N($G163)-N(R163))</f>
        <v/>
      </c>
      <c r="U163" s="24" t="n"/>
      <c r="V163" s="22" t="n"/>
    </row>
    <row r="164">
      <c r="B164" s="13">
        <f>IF($C164="","",COUNTA($C$9:$C164))</f>
        <v/>
      </c>
      <c r="C164" s="21" t="n"/>
      <c r="D164" s="14" t="n"/>
      <c r="E164" s="14" t="n"/>
      <c r="F164" s="14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3">
        <f>IF($C164="","",N(L164)-N(M164))</f>
        <v/>
      </c>
      <c r="P164" s="24" t="n"/>
      <c r="Q164" s="23">
        <f>IF($C164="","",N(M164)+N(N164))</f>
        <v/>
      </c>
      <c r="R164" s="23">
        <f>IF($C164="","",N(J164)+N(Q164))</f>
        <v/>
      </c>
      <c r="S164" s="25">
        <f>IF(OR($C164="",N($G164)=0),"",R164/$G164)</f>
        <v/>
      </c>
      <c r="T164" s="23">
        <f>IF($C164="","",N($G164)-N(R164))</f>
        <v/>
      </c>
      <c r="U164" s="24" t="n"/>
      <c r="V164" s="22" t="n"/>
    </row>
    <row r="165">
      <c r="B165" s="13">
        <f>IF($C165="","",COUNTA($C$9:$C165))</f>
        <v/>
      </c>
      <c r="C165" s="21" t="n"/>
      <c r="D165" s="14" t="n"/>
      <c r="E165" s="14" t="n"/>
      <c r="F165" s="14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3">
        <f>IF($C165="","",N(L165)-N(M165))</f>
        <v/>
      </c>
      <c r="P165" s="24" t="n"/>
      <c r="Q165" s="23">
        <f>IF($C165="","",N(M165)+N(N165))</f>
        <v/>
      </c>
      <c r="R165" s="23">
        <f>IF($C165="","",N(J165)+N(Q165))</f>
        <v/>
      </c>
      <c r="S165" s="25">
        <f>IF(OR($C165="",N($G165)=0),"",R165/$G165)</f>
        <v/>
      </c>
      <c r="T165" s="23">
        <f>IF($C165="","",N($G165)-N(R165))</f>
        <v/>
      </c>
      <c r="U165" s="24" t="n"/>
      <c r="V165" s="22" t="n"/>
    </row>
    <row r="166">
      <c r="B166" s="13">
        <f>IF($C166="","",COUNTA($C$9:$C166))</f>
        <v/>
      </c>
      <c r="C166" s="21" t="n"/>
      <c r="D166" s="14" t="n"/>
      <c r="E166" s="14" t="n"/>
      <c r="F166" s="14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3">
        <f>IF($C166="","",N(L166)-N(M166))</f>
        <v/>
      </c>
      <c r="P166" s="24" t="n"/>
      <c r="Q166" s="23">
        <f>IF($C166="","",N(M166)+N(N166))</f>
        <v/>
      </c>
      <c r="R166" s="23">
        <f>IF($C166="","",N(J166)+N(Q166))</f>
        <v/>
      </c>
      <c r="S166" s="25">
        <f>IF(OR($C166="",N($G166)=0),"",R166/$G166)</f>
        <v/>
      </c>
      <c r="T166" s="23">
        <f>IF($C166="","",N($G166)-N(R166))</f>
        <v/>
      </c>
      <c r="U166" s="24" t="n"/>
      <c r="V166" s="22" t="n"/>
    </row>
    <row r="167">
      <c r="B167" s="13">
        <f>IF($C167="","",COUNTA($C$9:$C167))</f>
        <v/>
      </c>
      <c r="C167" s="21" t="n"/>
      <c r="D167" s="14" t="n"/>
      <c r="E167" s="14" t="n"/>
      <c r="F167" s="14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3">
        <f>IF($C167="","",N(L167)-N(M167))</f>
        <v/>
      </c>
      <c r="P167" s="24" t="n"/>
      <c r="Q167" s="23">
        <f>IF($C167="","",N(M167)+N(N167))</f>
        <v/>
      </c>
      <c r="R167" s="23">
        <f>IF($C167="","",N(J167)+N(Q167))</f>
        <v/>
      </c>
      <c r="S167" s="25">
        <f>IF(OR($C167="",N($G167)=0),"",R167/$G167)</f>
        <v/>
      </c>
      <c r="T167" s="23">
        <f>IF($C167="","",N($G167)-N(R167))</f>
        <v/>
      </c>
      <c r="U167" s="24" t="n"/>
      <c r="V167" s="22" t="n"/>
    </row>
    <row r="168">
      <c r="B168" s="13">
        <f>IF($C168="","",COUNTA($C$9:$C168))</f>
        <v/>
      </c>
      <c r="C168" s="21" t="n"/>
      <c r="D168" s="14" t="n"/>
      <c r="E168" s="14" t="n"/>
      <c r="F168" s="14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3">
        <f>IF($C168="","",N(L168)-N(M168))</f>
        <v/>
      </c>
      <c r="P168" s="24" t="n"/>
      <c r="Q168" s="23">
        <f>IF($C168="","",N(M168)+N(N168))</f>
        <v/>
      </c>
      <c r="R168" s="23">
        <f>IF($C168="","",N(J168)+N(Q168))</f>
        <v/>
      </c>
      <c r="S168" s="25">
        <f>IF(OR($C168="",N($G168)=0),"",R168/$G168)</f>
        <v/>
      </c>
      <c r="T168" s="23">
        <f>IF($C168="","",N($G168)-N(R168))</f>
        <v/>
      </c>
      <c r="U168" s="24" t="n"/>
      <c r="V168" s="22" t="n"/>
    </row>
    <row r="169">
      <c r="B169" s="13">
        <f>IF($C169="","",COUNTA($C$9:$C169))</f>
        <v/>
      </c>
      <c r="C169" s="21" t="n"/>
      <c r="D169" s="14" t="n"/>
      <c r="E169" s="14" t="n"/>
      <c r="F169" s="14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3">
        <f>IF($C169="","",N(L169)-N(M169))</f>
        <v/>
      </c>
      <c r="P169" s="24" t="n"/>
      <c r="Q169" s="23">
        <f>IF($C169="","",N(M169)+N(N169))</f>
        <v/>
      </c>
      <c r="R169" s="23">
        <f>IF($C169="","",N(J169)+N(Q169))</f>
        <v/>
      </c>
      <c r="S169" s="25">
        <f>IF(OR($C169="",N($G169)=0),"",R169/$G169)</f>
        <v/>
      </c>
      <c r="T169" s="23">
        <f>IF($C169="","",N($G169)-N(R169))</f>
        <v/>
      </c>
      <c r="U169" s="24" t="n"/>
      <c r="V169" s="22" t="n"/>
    </row>
    <row r="170">
      <c r="B170" s="13">
        <f>IF($C170="","",COUNTA($C$9:$C170))</f>
        <v/>
      </c>
      <c r="C170" s="21" t="n"/>
      <c r="D170" s="14" t="n"/>
      <c r="E170" s="14" t="n"/>
      <c r="F170" s="14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3">
        <f>IF($C170="","",N(L170)-N(M170))</f>
        <v/>
      </c>
      <c r="P170" s="24" t="n"/>
      <c r="Q170" s="23">
        <f>IF($C170="","",N(M170)+N(N170))</f>
        <v/>
      </c>
      <c r="R170" s="23">
        <f>IF($C170="","",N(J170)+N(Q170))</f>
        <v/>
      </c>
      <c r="S170" s="25">
        <f>IF(OR($C170="",N($G170)=0),"",R170/$G170)</f>
        <v/>
      </c>
      <c r="T170" s="23">
        <f>IF($C170="","",N($G170)-N(R170))</f>
        <v/>
      </c>
      <c r="U170" s="24" t="n"/>
      <c r="V170" s="22" t="n"/>
    </row>
    <row r="171">
      <c r="B171" s="13">
        <f>IF($C171="","",COUNTA($C$9:$C171))</f>
        <v/>
      </c>
      <c r="C171" s="21" t="n"/>
      <c r="D171" s="14" t="n"/>
      <c r="E171" s="14" t="n"/>
      <c r="F171" s="14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3">
        <f>IF($C171="","",N(L171)-N(M171))</f>
        <v/>
      </c>
      <c r="P171" s="24" t="n"/>
      <c r="Q171" s="23">
        <f>IF($C171="","",N(M171)+N(N171))</f>
        <v/>
      </c>
      <c r="R171" s="23">
        <f>IF($C171="","",N(J171)+N(Q171))</f>
        <v/>
      </c>
      <c r="S171" s="25">
        <f>IF(OR($C171="",N($G171)=0),"",R171/$G171)</f>
        <v/>
      </c>
      <c r="T171" s="23">
        <f>IF($C171="","",N($G171)-N(R171))</f>
        <v/>
      </c>
      <c r="U171" s="24" t="n"/>
      <c r="V171" s="22" t="n"/>
    </row>
    <row r="172">
      <c r="B172" s="13">
        <f>IF($C172="","",COUNTA($C$9:$C172))</f>
        <v/>
      </c>
      <c r="C172" s="21" t="n"/>
      <c r="D172" s="14" t="n"/>
      <c r="E172" s="14" t="n"/>
      <c r="F172" s="14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3">
        <f>IF($C172="","",N(L172)-N(M172))</f>
        <v/>
      </c>
      <c r="P172" s="24" t="n"/>
      <c r="Q172" s="23">
        <f>IF($C172="","",N(M172)+N(N172))</f>
        <v/>
      </c>
      <c r="R172" s="23">
        <f>IF($C172="","",N(J172)+N(Q172))</f>
        <v/>
      </c>
      <c r="S172" s="25">
        <f>IF(OR($C172="",N($G172)=0),"",R172/$G172)</f>
        <v/>
      </c>
      <c r="T172" s="23">
        <f>IF($C172="","",N($G172)-N(R172))</f>
        <v/>
      </c>
      <c r="U172" s="24" t="n"/>
      <c r="V172" s="22" t="n"/>
    </row>
    <row r="173">
      <c r="B173" s="13">
        <f>IF($C173="","",COUNTA($C$9:$C173))</f>
        <v/>
      </c>
      <c r="C173" s="21" t="n"/>
      <c r="D173" s="14" t="n"/>
      <c r="E173" s="14" t="n"/>
      <c r="F173" s="14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3">
        <f>IF($C173="","",N(L173)-N(M173))</f>
        <v/>
      </c>
      <c r="P173" s="24" t="n"/>
      <c r="Q173" s="23">
        <f>IF($C173="","",N(M173)+N(N173))</f>
        <v/>
      </c>
      <c r="R173" s="23">
        <f>IF($C173="","",N(J173)+N(Q173))</f>
        <v/>
      </c>
      <c r="S173" s="25">
        <f>IF(OR($C173="",N($G173)=0),"",R173/$G173)</f>
        <v/>
      </c>
      <c r="T173" s="23">
        <f>IF($C173="","",N($G173)-N(R173))</f>
        <v/>
      </c>
      <c r="U173" s="24" t="n"/>
      <c r="V173" s="22" t="n"/>
    </row>
    <row r="174">
      <c r="B174" s="13">
        <f>IF($C174="","",COUNTA($C$9:$C174))</f>
        <v/>
      </c>
      <c r="C174" s="21" t="n"/>
      <c r="D174" s="14" t="n"/>
      <c r="E174" s="14" t="n"/>
      <c r="F174" s="14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3">
        <f>IF($C174="","",N(L174)-N(M174))</f>
        <v/>
      </c>
      <c r="P174" s="24" t="n"/>
      <c r="Q174" s="23">
        <f>IF($C174="","",N(M174)+N(N174))</f>
        <v/>
      </c>
      <c r="R174" s="23">
        <f>IF($C174="","",N(J174)+N(Q174))</f>
        <v/>
      </c>
      <c r="S174" s="25">
        <f>IF(OR($C174="",N($G174)=0),"",R174/$G174)</f>
        <v/>
      </c>
      <c r="T174" s="23">
        <f>IF($C174="","",N($G174)-N(R174))</f>
        <v/>
      </c>
      <c r="U174" s="24" t="n"/>
      <c r="V174" s="22" t="n"/>
    </row>
    <row r="175">
      <c r="B175" s="13">
        <f>IF($C175="","",COUNTA($C$9:$C175))</f>
        <v/>
      </c>
      <c r="C175" s="21" t="n"/>
      <c r="D175" s="14" t="n"/>
      <c r="E175" s="14" t="n"/>
      <c r="F175" s="14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3">
        <f>IF($C175="","",N(L175)-N(M175))</f>
        <v/>
      </c>
      <c r="P175" s="24" t="n"/>
      <c r="Q175" s="23">
        <f>IF($C175="","",N(M175)+N(N175))</f>
        <v/>
      </c>
      <c r="R175" s="23">
        <f>IF($C175="","",N(J175)+N(Q175))</f>
        <v/>
      </c>
      <c r="S175" s="25">
        <f>IF(OR($C175="",N($G175)=0),"",R175/$G175)</f>
        <v/>
      </c>
      <c r="T175" s="23">
        <f>IF($C175="","",N($G175)-N(R175))</f>
        <v/>
      </c>
      <c r="U175" s="24" t="n"/>
      <c r="V175" s="22" t="n"/>
    </row>
    <row r="176">
      <c r="B176" s="13">
        <f>IF($C176="","",COUNTA($C$9:$C176))</f>
        <v/>
      </c>
      <c r="C176" s="21" t="n"/>
      <c r="D176" s="14" t="n"/>
      <c r="E176" s="14" t="n"/>
      <c r="F176" s="14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3">
        <f>IF($C176="","",N(L176)-N(M176))</f>
        <v/>
      </c>
      <c r="P176" s="24" t="n"/>
      <c r="Q176" s="23">
        <f>IF($C176="","",N(M176)+N(N176))</f>
        <v/>
      </c>
      <c r="R176" s="23">
        <f>IF($C176="","",N(J176)+N(Q176))</f>
        <v/>
      </c>
      <c r="S176" s="25">
        <f>IF(OR($C176="",N($G176)=0),"",R176/$G176)</f>
        <v/>
      </c>
      <c r="T176" s="23">
        <f>IF($C176="","",N($G176)-N(R176))</f>
        <v/>
      </c>
      <c r="U176" s="24" t="n"/>
      <c r="V176" s="22" t="n"/>
    </row>
    <row r="177">
      <c r="B177" s="13">
        <f>IF($C177="","",COUNTA($C$9:$C177))</f>
        <v/>
      </c>
      <c r="C177" s="21" t="n"/>
      <c r="D177" s="14" t="n"/>
      <c r="E177" s="14" t="n"/>
      <c r="F177" s="14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3">
        <f>IF($C177="","",N(L177)-N(M177))</f>
        <v/>
      </c>
      <c r="P177" s="24" t="n"/>
      <c r="Q177" s="23">
        <f>IF($C177="","",N(M177)+N(N177))</f>
        <v/>
      </c>
      <c r="R177" s="23">
        <f>IF($C177="","",N(J177)+N(Q177))</f>
        <v/>
      </c>
      <c r="S177" s="25">
        <f>IF(OR($C177="",N($G177)=0),"",R177/$G177)</f>
        <v/>
      </c>
      <c r="T177" s="23">
        <f>IF($C177="","",N($G177)-N(R177))</f>
        <v/>
      </c>
      <c r="U177" s="24" t="n"/>
      <c r="V177" s="22" t="n"/>
    </row>
    <row r="178">
      <c r="B178" s="13">
        <f>IF($C178="","",COUNTA($C$9:$C178))</f>
        <v/>
      </c>
      <c r="C178" s="21" t="n"/>
      <c r="D178" s="14" t="n"/>
      <c r="E178" s="14" t="n"/>
      <c r="F178" s="14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3">
        <f>IF($C178="","",N(L178)-N(M178))</f>
        <v/>
      </c>
      <c r="P178" s="24" t="n"/>
      <c r="Q178" s="23">
        <f>IF($C178="","",N(M178)+N(N178))</f>
        <v/>
      </c>
      <c r="R178" s="23">
        <f>IF($C178="","",N(J178)+N(Q178))</f>
        <v/>
      </c>
      <c r="S178" s="25">
        <f>IF(OR($C178="",N($G178)=0),"",R178/$G178)</f>
        <v/>
      </c>
      <c r="T178" s="23">
        <f>IF($C178="","",N($G178)-N(R178))</f>
        <v/>
      </c>
      <c r="U178" s="24" t="n"/>
      <c r="V178" s="22" t="n"/>
    </row>
    <row r="179">
      <c r="B179" s="13">
        <f>IF($C179="","",COUNTA($C$9:$C179))</f>
        <v/>
      </c>
      <c r="C179" s="21" t="n"/>
      <c r="D179" s="14" t="n"/>
      <c r="E179" s="14" t="n"/>
      <c r="F179" s="14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3">
        <f>IF($C179="","",N(L179)-N(M179))</f>
        <v/>
      </c>
      <c r="P179" s="24" t="n"/>
      <c r="Q179" s="23">
        <f>IF($C179="","",N(M179)+N(N179))</f>
        <v/>
      </c>
      <c r="R179" s="23">
        <f>IF($C179="","",N(J179)+N(Q179))</f>
        <v/>
      </c>
      <c r="S179" s="25">
        <f>IF(OR($C179="",N($G179)=0),"",R179/$G179)</f>
        <v/>
      </c>
      <c r="T179" s="23">
        <f>IF($C179="","",N($G179)-N(R179))</f>
        <v/>
      </c>
      <c r="U179" s="24" t="n"/>
      <c r="V179" s="22" t="n"/>
    </row>
    <row r="180">
      <c r="B180" s="13">
        <f>IF($C180="","",COUNTA($C$9:$C180))</f>
        <v/>
      </c>
      <c r="C180" s="21" t="n"/>
      <c r="D180" s="14" t="n"/>
      <c r="E180" s="14" t="n"/>
      <c r="F180" s="14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3">
        <f>IF($C180="","",N(L180)-N(M180))</f>
        <v/>
      </c>
      <c r="P180" s="24" t="n"/>
      <c r="Q180" s="23">
        <f>IF($C180="","",N(M180)+N(N180))</f>
        <v/>
      </c>
      <c r="R180" s="23">
        <f>IF($C180="","",N(J180)+N(Q180))</f>
        <v/>
      </c>
      <c r="S180" s="25">
        <f>IF(OR($C180="",N($G180)=0),"",R180/$G180)</f>
        <v/>
      </c>
      <c r="T180" s="23">
        <f>IF($C180="","",N($G180)-N(R180))</f>
        <v/>
      </c>
      <c r="U180" s="24" t="n"/>
      <c r="V180" s="22" t="n"/>
    </row>
    <row r="181">
      <c r="B181" s="13">
        <f>IF($C181="","",COUNTA($C$9:$C181))</f>
        <v/>
      </c>
      <c r="C181" s="21" t="n"/>
      <c r="D181" s="14" t="n"/>
      <c r="E181" s="14" t="n"/>
      <c r="F181" s="14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3">
        <f>IF($C181="","",N(L181)-N(M181))</f>
        <v/>
      </c>
      <c r="P181" s="24" t="n"/>
      <c r="Q181" s="23">
        <f>IF($C181="","",N(M181)+N(N181))</f>
        <v/>
      </c>
      <c r="R181" s="23">
        <f>IF($C181="","",N(J181)+N(Q181))</f>
        <v/>
      </c>
      <c r="S181" s="25">
        <f>IF(OR($C181="",N($G181)=0),"",R181/$G181)</f>
        <v/>
      </c>
      <c r="T181" s="23">
        <f>IF($C181="","",N($G181)-N(R181))</f>
        <v/>
      </c>
      <c r="U181" s="24" t="n"/>
      <c r="V181" s="22" t="n"/>
    </row>
    <row r="182">
      <c r="B182" s="13">
        <f>IF($C182="","",COUNTA($C$9:$C182))</f>
        <v/>
      </c>
      <c r="C182" s="21" t="n"/>
      <c r="D182" s="14" t="n"/>
      <c r="E182" s="14" t="n"/>
      <c r="F182" s="14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3">
        <f>IF($C182="","",N(L182)-N(M182))</f>
        <v/>
      </c>
      <c r="P182" s="24" t="n"/>
      <c r="Q182" s="23">
        <f>IF($C182="","",N(M182)+N(N182))</f>
        <v/>
      </c>
      <c r="R182" s="23">
        <f>IF($C182="","",N(J182)+N(Q182))</f>
        <v/>
      </c>
      <c r="S182" s="25">
        <f>IF(OR($C182="",N($G182)=0),"",R182/$G182)</f>
        <v/>
      </c>
      <c r="T182" s="23">
        <f>IF($C182="","",N($G182)-N(R182))</f>
        <v/>
      </c>
      <c r="U182" s="24" t="n"/>
      <c r="V182" s="22" t="n"/>
    </row>
    <row r="183">
      <c r="B183" s="13">
        <f>IF($C183="","",COUNTA($C$9:$C183))</f>
        <v/>
      </c>
      <c r="C183" s="21" t="n"/>
      <c r="D183" s="14" t="n"/>
      <c r="E183" s="14" t="n"/>
      <c r="F183" s="14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3">
        <f>IF($C183="","",N(L183)-N(M183))</f>
        <v/>
      </c>
      <c r="P183" s="24" t="n"/>
      <c r="Q183" s="23">
        <f>IF($C183="","",N(M183)+N(N183))</f>
        <v/>
      </c>
      <c r="R183" s="23">
        <f>IF($C183="","",N(J183)+N(Q183))</f>
        <v/>
      </c>
      <c r="S183" s="25">
        <f>IF(OR($C183="",N($G183)=0),"",R183/$G183)</f>
        <v/>
      </c>
      <c r="T183" s="23">
        <f>IF($C183="","",N($G183)-N(R183))</f>
        <v/>
      </c>
      <c r="U183" s="24" t="n"/>
      <c r="V183" s="22" t="n"/>
    </row>
    <row r="184">
      <c r="B184" s="13">
        <f>IF($C184="","",COUNTA($C$9:$C184))</f>
        <v/>
      </c>
      <c r="C184" s="21" t="n"/>
      <c r="D184" s="14" t="n"/>
      <c r="E184" s="14" t="n"/>
      <c r="F184" s="14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3">
        <f>IF($C184="","",N(L184)-N(M184))</f>
        <v/>
      </c>
      <c r="P184" s="24" t="n"/>
      <c r="Q184" s="23">
        <f>IF($C184="","",N(M184)+N(N184))</f>
        <v/>
      </c>
      <c r="R184" s="23">
        <f>IF($C184="","",N(J184)+N(Q184))</f>
        <v/>
      </c>
      <c r="S184" s="25">
        <f>IF(OR($C184="",N($G184)=0),"",R184/$G184)</f>
        <v/>
      </c>
      <c r="T184" s="23">
        <f>IF($C184="","",N($G184)-N(R184))</f>
        <v/>
      </c>
      <c r="U184" s="24" t="n"/>
      <c r="V184" s="22" t="n"/>
    </row>
    <row r="185">
      <c r="B185" s="13">
        <f>IF($C185="","",COUNTA($C$9:$C185))</f>
        <v/>
      </c>
      <c r="C185" s="21" t="n"/>
      <c r="D185" s="14" t="n"/>
      <c r="E185" s="14" t="n"/>
      <c r="F185" s="14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3">
        <f>IF($C185="","",N(L185)-N(M185))</f>
        <v/>
      </c>
      <c r="P185" s="24" t="n"/>
      <c r="Q185" s="23">
        <f>IF($C185="","",N(M185)+N(N185))</f>
        <v/>
      </c>
      <c r="R185" s="23">
        <f>IF($C185="","",N(J185)+N(Q185))</f>
        <v/>
      </c>
      <c r="S185" s="25">
        <f>IF(OR($C185="",N($G185)=0),"",R185/$G185)</f>
        <v/>
      </c>
      <c r="T185" s="23">
        <f>IF($C185="","",N($G185)-N(R185))</f>
        <v/>
      </c>
      <c r="U185" s="24" t="n"/>
      <c r="V185" s="22" t="n"/>
    </row>
    <row r="186">
      <c r="B186" s="13">
        <f>IF($C186="","",COUNTA($C$9:$C186))</f>
        <v/>
      </c>
      <c r="C186" s="21" t="n"/>
      <c r="D186" s="14" t="n"/>
      <c r="E186" s="14" t="n"/>
      <c r="F186" s="14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3">
        <f>IF($C186="","",N(L186)-N(M186))</f>
        <v/>
      </c>
      <c r="P186" s="24" t="n"/>
      <c r="Q186" s="23">
        <f>IF($C186="","",N(M186)+N(N186))</f>
        <v/>
      </c>
      <c r="R186" s="23">
        <f>IF($C186="","",N(J186)+N(Q186))</f>
        <v/>
      </c>
      <c r="S186" s="25">
        <f>IF(OR($C186="",N($G186)=0),"",R186/$G186)</f>
        <v/>
      </c>
      <c r="T186" s="23">
        <f>IF($C186="","",N($G186)-N(R186))</f>
        <v/>
      </c>
      <c r="U186" s="24" t="n"/>
      <c r="V186" s="22" t="n"/>
    </row>
    <row r="187">
      <c r="B187" s="13">
        <f>IF($C187="","",COUNTA($C$9:$C187))</f>
        <v/>
      </c>
      <c r="C187" s="21" t="n"/>
      <c r="D187" s="14" t="n"/>
      <c r="E187" s="14" t="n"/>
      <c r="F187" s="14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3">
        <f>IF($C187="","",N(L187)-N(M187))</f>
        <v/>
      </c>
      <c r="P187" s="24" t="n"/>
      <c r="Q187" s="23">
        <f>IF($C187="","",N(M187)+N(N187))</f>
        <v/>
      </c>
      <c r="R187" s="23">
        <f>IF($C187="","",N(J187)+N(Q187))</f>
        <v/>
      </c>
      <c r="S187" s="25">
        <f>IF(OR($C187="",N($G187)=0),"",R187/$G187)</f>
        <v/>
      </c>
      <c r="T187" s="23">
        <f>IF($C187="","",N($G187)-N(R187))</f>
        <v/>
      </c>
      <c r="U187" s="24" t="n"/>
      <c r="V187" s="22" t="n"/>
    </row>
    <row r="188">
      <c r="B188" s="13">
        <f>IF($C188="","",COUNTA($C$9:$C188))</f>
        <v/>
      </c>
      <c r="C188" s="21" t="n"/>
      <c r="D188" s="14" t="n"/>
      <c r="E188" s="14" t="n"/>
      <c r="F188" s="14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3">
        <f>IF($C188="","",N(L188)-N(M188))</f>
        <v/>
      </c>
      <c r="P188" s="24" t="n"/>
      <c r="Q188" s="23">
        <f>IF($C188="","",N(M188)+N(N188))</f>
        <v/>
      </c>
      <c r="R188" s="23">
        <f>IF($C188="","",N(J188)+N(Q188))</f>
        <v/>
      </c>
      <c r="S188" s="25">
        <f>IF(OR($C188="",N($G188)=0),"",R188/$G188)</f>
        <v/>
      </c>
      <c r="T188" s="23">
        <f>IF($C188="","",N($G188)-N(R188))</f>
        <v/>
      </c>
      <c r="U188" s="24" t="n"/>
      <c r="V188" s="22" t="n"/>
    </row>
    <row r="189">
      <c r="B189" s="13">
        <f>IF($C189="","",COUNTA($C$9:$C189))</f>
        <v/>
      </c>
      <c r="C189" s="21" t="n"/>
      <c r="D189" s="14" t="n"/>
      <c r="E189" s="14" t="n"/>
      <c r="F189" s="14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3">
        <f>IF($C189="","",N(L189)-N(M189))</f>
        <v/>
      </c>
      <c r="P189" s="24" t="n"/>
      <c r="Q189" s="23">
        <f>IF($C189="","",N(M189)+N(N189))</f>
        <v/>
      </c>
      <c r="R189" s="23">
        <f>IF($C189="","",N(J189)+N(Q189))</f>
        <v/>
      </c>
      <c r="S189" s="25">
        <f>IF(OR($C189="",N($G189)=0),"",R189/$G189)</f>
        <v/>
      </c>
      <c r="T189" s="23">
        <f>IF($C189="","",N($G189)-N(R189))</f>
        <v/>
      </c>
      <c r="U189" s="24" t="n"/>
      <c r="V189" s="22" t="n"/>
    </row>
    <row r="190">
      <c r="B190" s="13">
        <f>IF($C190="","",COUNTA($C$9:$C190))</f>
        <v/>
      </c>
      <c r="C190" s="21" t="n"/>
      <c r="D190" s="14" t="n"/>
      <c r="E190" s="14" t="n"/>
      <c r="F190" s="14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3">
        <f>IF($C190="","",N(L190)-N(M190))</f>
        <v/>
      </c>
      <c r="P190" s="24" t="n"/>
      <c r="Q190" s="23">
        <f>IF($C190="","",N(M190)+N(N190))</f>
        <v/>
      </c>
      <c r="R190" s="23">
        <f>IF($C190="","",N(J190)+N(Q190))</f>
        <v/>
      </c>
      <c r="S190" s="25">
        <f>IF(OR($C190="",N($G190)=0),"",R190/$G190)</f>
        <v/>
      </c>
      <c r="T190" s="23">
        <f>IF($C190="","",N($G190)-N(R190))</f>
        <v/>
      </c>
      <c r="U190" s="24" t="n"/>
      <c r="V190" s="22" t="n"/>
    </row>
    <row r="191">
      <c r="B191" s="13">
        <f>IF($C191="","",COUNTA($C$9:$C191))</f>
        <v/>
      </c>
      <c r="C191" s="21" t="n"/>
      <c r="D191" s="14" t="n"/>
      <c r="E191" s="14" t="n"/>
      <c r="F191" s="14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3">
        <f>IF($C191="","",N(L191)-N(M191))</f>
        <v/>
      </c>
      <c r="P191" s="24" t="n"/>
      <c r="Q191" s="23">
        <f>IF($C191="","",N(M191)+N(N191))</f>
        <v/>
      </c>
      <c r="R191" s="23">
        <f>IF($C191="","",N(J191)+N(Q191))</f>
        <v/>
      </c>
      <c r="S191" s="25">
        <f>IF(OR($C191="",N($G191)=0),"",R191/$G191)</f>
        <v/>
      </c>
      <c r="T191" s="23">
        <f>IF($C191="","",N($G191)-N(R191))</f>
        <v/>
      </c>
      <c r="U191" s="24" t="n"/>
      <c r="V191" s="22" t="n"/>
    </row>
    <row r="192">
      <c r="B192" s="13">
        <f>IF($C192="","",COUNTA($C$9:$C192))</f>
        <v/>
      </c>
      <c r="C192" s="21" t="n"/>
      <c r="D192" s="14" t="n"/>
      <c r="E192" s="14" t="n"/>
      <c r="F192" s="14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3">
        <f>IF($C192="","",N(L192)-N(M192))</f>
        <v/>
      </c>
      <c r="P192" s="24" t="n"/>
      <c r="Q192" s="23">
        <f>IF($C192="","",N(M192)+N(N192))</f>
        <v/>
      </c>
      <c r="R192" s="23">
        <f>IF($C192="","",N(J192)+N(Q192))</f>
        <v/>
      </c>
      <c r="S192" s="25">
        <f>IF(OR($C192="",N($G192)=0),"",R192/$G192)</f>
        <v/>
      </c>
      <c r="T192" s="23">
        <f>IF($C192="","",N($G192)-N(R192))</f>
        <v/>
      </c>
      <c r="U192" s="24" t="n"/>
      <c r="V192" s="22" t="n"/>
    </row>
    <row r="193">
      <c r="B193" s="13">
        <f>IF($C193="","",COUNTA($C$9:$C193))</f>
        <v/>
      </c>
      <c r="C193" s="21" t="n"/>
      <c r="D193" s="14" t="n"/>
      <c r="E193" s="14" t="n"/>
      <c r="F193" s="14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3">
        <f>IF($C193="","",N(L193)-N(M193))</f>
        <v/>
      </c>
      <c r="P193" s="24" t="n"/>
      <c r="Q193" s="23">
        <f>IF($C193="","",N(M193)+N(N193))</f>
        <v/>
      </c>
      <c r="R193" s="23">
        <f>IF($C193="","",N(J193)+N(Q193))</f>
        <v/>
      </c>
      <c r="S193" s="25">
        <f>IF(OR($C193="",N($G193)=0),"",R193/$G193)</f>
        <v/>
      </c>
      <c r="T193" s="23">
        <f>IF($C193="","",N($G193)-N(R193))</f>
        <v/>
      </c>
      <c r="U193" s="24" t="n"/>
      <c r="V193" s="22" t="n"/>
    </row>
    <row r="194">
      <c r="B194" s="13">
        <f>IF($C194="","",COUNTA($C$9:$C194))</f>
        <v/>
      </c>
      <c r="C194" s="21" t="n"/>
      <c r="D194" s="14" t="n"/>
      <c r="E194" s="14" t="n"/>
      <c r="F194" s="14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3">
        <f>IF($C194="","",N(L194)-N(M194))</f>
        <v/>
      </c>
      <c r="P194" s="24" t="n"/>
      <c r="Q194" s="23">
        <f>IF($C194="","",N(M194)+N(N194))</f>
        <v/>
      </c>
      <c r="R194" s="23">
        <f>IF($C194="","",N(J194)+N(Q194))</f>
        <v/>
      </c>
      <c r="S194" s="25">
        <f>IF(OR($C194="",N($G194)=0),"",R194/$G194)</f>
        <v/>
      </c>
      <c r="T194" s="23">
        <f>IF($C194="","",N($G194)-N(R194))</f>
        <v/>
      </c>
      <c r="U194" s="24" t="n"/>
      <c r="V194" s="22" t="n"/>
    </row>
    <row r="195">
      <c r="B195" s="13">
        <f>IF($C195="","",COUNTA($C$9:$C195))</f>
        <v/>
      </c>
      <c r="C195" s="21" t="n"/>
      <c r="D195" s="14" t="n"/>
      <c r="E195" s="14" t="n"/>
      <c r="F195" s="14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3">
        <f>IF($C195="","",N(L195)-N(M195))</f>
        <v/>
      </c>
      <c r="P195" s="24" t="n"/>
      <c r="Q195" s="23">
        <f>IF($C195="","",N(M195)+N(N195))</f>
        <v/>
      </c>
      <c r="R195" s="23">
        <f>IF($C195="","",N(J195)+N(Q195))</f>
        <v/>
      </c>
      <c r="S195" s="25">
        <f>IF(OR($C195="",N($G195)=0),"",R195/$G195)</f>
        <v/>
      </c>
      <c r="T195" s="23">
        <f>IF($C195="","",N($G195)-N(R195))</f>
        <v/>
      </c>
      <c r="U195" s="24" t="n"/>
      <c r="V195" s="22" t="n"/>
    </row>
    <row r="196">
      <c r="B196" s="13">
        <f>IF($C196="","",COUNTA($C$9:$C196))</f>
        <v/>
      </c>
      <c r="C196" s="21" t="n"/>
      <c r="D196" s="14" t="n"/>
      <c r="E196" s="14" t="n"/>
      <c r="F196" s="14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3">
        <f>IF($C196="","",N(L196)-N(M196))</f>
        <v/>
      </c>
      <c r="P196" s="24" t="n"/>
      <c r="Q196" s="23">
        <f>IF($C196="","",N(M196)+N(N196))</f>
        <v/>
      </c>
      <c r="R196" s="23">
        <f>IF($C196="","",N(J196)+N(Q196))</f>
        <v/>
      </c>
      <c r="S196" s="25">
        <f>IF(OR($C196="",N($G196)=0),"",R196/$G196)</f>
        <v/>
      </c>
      <c r="T196" s="23">
        <f>IF($C196="","",N($G196)-N(R196))</f>
        <v/>
      </c>
      <c r="U196" s="24" t="n"/>
      <c r="V196" s="22" t="n"/>
    </row>
    <row r="197">
      <c r="B197" s="13">
        <f>IF($C197="","",COUNTA($C$9:$C197))</f>
        <v/>
      </c>
      <c r="C197" s="21" t="n"/>
      <c r="D197" s="14" t="n"/>
      <c r="E197" s="14" t="n"/>
      <c r="F197" s="14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3">
        <f>IF($C197="","",N(L197)-N(M197))</f>
        <v/>
      </c>
      <c r="P197" s="24" t="n"/>
      <c r="Q197" s="23">
        <f>IF($C197="","",N(M197)+N(N197))</f>
        <v/>
      </c>
      <c r="R197" s="23">
        <f>IF($C197="","",N(J197)+N(Q197))</f>
        <v/>
      </c>
      <c r="S197" s="25">
        <f>IF(OR($C197="",N($G197)=0),"",R197/$G197)</f>
        <v/>
      </c>
      <c r="T197" s="23">
        <f>IF($C197="","",N($G197)-N(R197))</f>
        <v/>
      </c>
      <c r="U197" s="24" t="n"/>
      <c r="V197" s="22" t="n"/>
    </row>
    <row r="198">
      <c r="B198" s="13">
        <f>IF($C198="","",COUNTA($C$9:$C198))</f>
        <v/>
      </c>
      <c r="C198" s="21" t="n"/>
      <c r="D198" s="14" t="n"/>
      <c r="E198" s="14" t="n"/>
      <c r="F198" s="14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3">
        <f>IF($C198="","",N(L198)-N(M198))</f>
        <v/>
      </c>
      <c r="P198" s="24" t="n"/>
      <c r="Q198" s="23">
        <f>IF($C198="","",N(M198)+N(N198))</f>
        <v/>
      </c>
      <c r="R198" s="23">
        <f>IF($C198="","",N(J198)+N(Q198))</f>
        <v/>
      </c>
      <c r="S198" s="25">
        <f>IF(OR($C198="",N($G198)=0),"",R198/$G198)</f>
        <v/>
      </c>
      <c r="T198" s="23">
        <f>IF($C198="","",N($G198)-N(R198))</f>
        <v/>
      </c>
      <c r="U198" s="24" t="n"/>
      <c r="V198" s="22" t="n"/>
    </row>
    <row r="199">
      <c r="B199" s="13">
        <f>IF($C199="","",COUNTA($C$9:$C199))</f>
        <v/>
      </c>
      <c r="C199" s="21" t="n"/>
      <c r="D199" s="14" t="n"/>
      <c r="E199" s="14" t="n"/>
      <c r="F199" s="14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3">
        <f>IF($C199="","",N(L199)-N(M199))</f>
        <v/>
      </c>
      <c r="P199" s="24" t="n"/>
      <c r="Q199" s="23">
        <f>IF($C199="","",N(M199)+N(N199))</f>
        <v/>
      </c>
      <c r="R199" s="23">
        <f>IF($C199="","",N(J199)+N(Q199))</f>
        <v/>
      </c>
      <c r="S199" s="25">
        <f>IF(OR($C199="",N($G199)=0),"",R199/$G199)</f>
        <v/>
      </c>
      <c r="T199" s="23">
        <f>IF($C199="","",N($G199)-N(R199))</f>
        <v/>
      </c>
      <c r="U199" s="24" t="n"/>
      <c r="V199" s="22" t="n"/>
    </row>
    <row r="200">
      <c r="B200" s="13">
        <f>IF($C200="","",COUNTA($C$9:$C200))</f>
        <v/>
      </c>
      <c r="C200" s="21" t="n"/>
      <c r="D200" s="14" t="n"/>
      <c r="E200" s="14" t="n"/>
      <c r="F200" s="14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3">
        <f>IF($C200="","",N(L200)-N(M200))</f>
        <v/>
      </c>
      <c r="P200" s="24" t="n"/>
      <c r="Q200" s="23">
        <f>IF($C200="","",N(M200)+N(N200))</f>
        <v/>
      </c>
      <c r="R200" s="23">
        <f>IF($C200="","",N(J200)+N(Q200))</f>
        <v/>
      </c>
      <c r="S200" s="25">
        <f>IF(OR($C200="",N($G200)=0),"",R200/$G200)</f>
        <v/>
      </c>
      <c r="T200" s="23">
        <f>IF($C200="","",N($G200)-N(R200))</f>
        <v/>
      </c>
      <c r="U200" s="24" t="n"/>
      <c r="V200" s="22" t="n"/>
    </row>
    <row r="201">
      <c r="B201" s="13">
        <f>IF($C201="","",COUNTA($C$9:$C201))</f>
        <v/>
      </c>
      <c r="C201" s="21" t="n"/>
      <c r="D201" s="14" t="n"/>
      <c r="E201" s="14" t="n"/>
      <c r="F201" s="14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3">
        <f>IF($C201="","",N(L201)-N(M201))</f>
        <v/>
      </c>
      <c r="P201" s="24" t="n"/>
      <c r="Q201" s="23">
        <f>IF($C201="","",N(M201)+N(N201))</f>
        <v/>
      </c>
      <c r="R201" s="23">
        <f>IF($C201="","",N(J201)+N(Q201))</f>
        <v/>
      </c>
      <c r="S201" s="25">
        <f>IF(OR($C201="",N($G201)=0),"",R201/$G201)</f>
        <v/>
      </c>
      <c r="T201" s="23">
        <f>IF($C201="","",N($G201)-N(R201))</f>
        <v/>
      </c>
      <c r="U201" s="24" t="n"/>
      <c r="V201" s="22" t="n"/>
    </row>
    <row r="202">
      <c r="B202" s="13">
        <f>IF($C202="","",COUNTA($C$9:$C202))</f>
        <v/>
      </c>
      <c r="C202" s="21" t="n"/>
      <c r="D202" s="14" t="n"/>
      <c r="E202" s="14" t="n"/>
      <c r="F202" s="14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3">
        <f>IF($C202="","",N(L202)-N(M202))</f>
        <v/>
      </c>
      <c r="P202" s="24" t="n"/>
      <c r="Q202" s="23">
        <f>IF($C202="","",N(M202)+N(N202))</f>
        <v/>
      </c>
      <c r="R202" s="23">
        <f>IF($C202="","",N(J202)+N(Q202))</f>
        <v/>
      </c>
      <c r="S202" s="25">
        <f>IF(OR($C202="",N($G202)=0),"",R202/$G202)</f>
        <v/>
      </c>
      <c r="T202" s="23">
        <f>IF($C202="","",N($G202)-N(R202))</f>
        <v/>
      </c>
      <c r="U202" s="24" t="n"/>
      <c r="V202" s="22" t="n"/>
    </row>
    <row r="203">
      <c r="B203" s="13">
        <f>IF($C203="","",COUNTA($C$9:$C203))</f>
        <v/>
      </c>
      <c r="C203" s="21" t="n"/>
      <c r="D203" s="14" t="n"/>
      <c r="E203" s="14" t="n"/>
      <c r="F203" s="14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3">
        <f>IF($C203="","",N(L203)-N(M203))</f>
        <v/>
      </c>
      <c r="P203" s="24" t="n"/>
      <c r="Q203" s="23">
        <f>IF($C203="","",N(M203)+N(N203))</f>
        <v/>
      </c>
      <c r="R203" s="23">
        <f>IF($C203="","",N(J203)+N(Q203))</f>
        <v/>
      </c>
      <c r="S203" s="25">
        <f>IF(OR($C203="",N($G203)=0),"",R203/$G203)</f>
        <v/>
      </c>
      <c r="T203" s="23">
        <f>IF($C203="","",N($G203)-N(R203))</f>
        <v/>
      </c>
      <c r="U203" s="24" t="n"/>
      <c r="V203" s="22" t="n"/>
    </row>
    <row r="204">
      <c r="B204" s="13">
        <f>IF($C204="","",COUNTA($C$9:$C204))</f>
        <v/>
      </c>
      <c r="C204" s="21" t="n"/>
      <c r="D204" s="14" t="n"/>
      <c r="E204" s="14" t="n"/>
      <c r="F204" s="14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3">
        <f>IF($C204="","",N(L204)-N(M204))</f>
        <v/>
      </c>
      <c r="P204" s="24" t="n"/>
      <c r="Q204" s="23">
        <f>IF($C204="","",N(M204)+N(N204))</f>
        <v/>
      </c>
      <c r="R204" s="23">
        <f>IF($C204="","",N(J204)+N(Q204))</f>
        <v/>
      </c>
      <c r="S204" s="25">
        <f>IF(OR($C204="",N($G204)=0),"",R204/$G204)</f>
        <v/>
      </c>
      <c r="T204" s="23">
        <f>IF($C204="","",N($G204)-N(R204))</f>
        <v/>
      </c>
      <c r="U204" s="24" t="n"/>
      <c r="V204" s="22" t="n"/>
    </row>
    <row r="205">
      <c r="B205" s="13">
        <f>IF($C205="","",COUNTA($C$9:$C205))</f>
        <v/>
      </c>
      <c r="C205" s="21" t="n"/>
      <c r="D205" s="14" t="n"/>
      <c r="E205" s="14" t="n"/>
      <c r="F205" s="14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3">
        <f>IF($C205="","",N(L205)-N(M205))</f>
        <v/>
      </c>
      <c r="P205" s="24" t="n"/>
      <c r="Q205" s="23">
        <f>IF($C205="","",N(M205)+N(N205))</f>
        <v/>
      </c>
      <c r="R205" s="23">
        <f>IF($C205="","",N(J205)+N(Q205))</f>
        <v/>
      </c>
      <c r="S205" s="25">
        <f>IF(OR($C205="",N($G205)=0),"",R205/$G205)</f>
        <v/>
      </c>
      <c r="T205" s="23">
        <f>IF($C205="","",N($G205)-N(R205))</f>
        <v/>
      </c>
      <c r="U205" s="24" t="n"/>
      <c r="V205" s="22" t="n"/>
    </row>
    <row r="206">
      <c r="B206" s="13">
        <f>IF($C206="","",COUNTA($C$9:$C206))</f>
        <v/>
      </c>
      <c r="C206" s="21" t="n"/>
      <c r="D206" s="14" t="n"/>
      <c r="E206" s="14" t="n"/>
      <c r="F206" s="14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3">
        <f>IF($C206="","",N(L206)-N(M206))</f>
        <v/>
      </c>
      <c r="P206" s="24" t="n"/>
      <c r="Q206" s="23">
        <f>IF($C206="","",N(M206)+N(N206))</f>
        <v/>
      </c>
      <c r="R206" s="23">
        <f>IF($C206="","",N(J206)+N(Q206))</f>
        <v/>
      </c>
      <c r="S206" s="25">
        <f>IF(OR($C206="",N($G206)=0),"",R206/$G206)</f>
        <v/>
      </c>
      <c r="T206" s="23">
        <f>IF($C206="","",N($G206)-N(R206))</f>
        <v/>
      </c>
      <c r="U206" s="24" t="n"/>
      <c r="V206" s="22" t="n"/>
    </row>
    <row r="207">
      <c r="B207" s="13">
        <f>IF($C207="","",COUNTA($C$9:$C207))</f>
        <v/>
      </c>
      <c r="C207" s="21" t="n"/>
      <c r="D207" s="14" t="n"/>
      <c r="E207" s="14" t="n"/>
      <c r="F207" s="14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3">
        <f>IF($C207="","",N(L207)-N(M207))</f>
        <v/>
      </c>
      <c r="P207" s="24" t="n"/>
      <c r="Q207" s="23">
        <f>IF($C207="","",N(M207)+N(N207))</f>
        <v/>
      </c>
      <c r="R207" s="23">
        <f>IF($C207="","",N(J207)+N(Q207))</f>
        <v/>
      </c>
      <c r="S207" s="25">
        <f>IF(OR($C207="",N($G207)=0),"",R207/$G207)</f>
        <v/>
      </c>
      <c r="T207" s="23">
        <f>IF($C207="","",N($G207)-N(R207))</f>
        <v/>
      </c>
      <c r="U207" s="24" t="n"/>
      <c r="V207" s="22" t="n"/>
    </row>
    <row r="208">
      <c r="B208" s="13">
        <f>IF($C208="","",COUNTA($C$9:$C208))</f>
        <v/>
      </c>
      <c r="C208" s="21" t="n"/>
      <c r="D208" s="14" t="n"/>
      <c r="E208" s="14" t="n"/>
      <c r="F208" s="14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3">
        <f>IF($C208="","",N(L208)-N(M208))</f>
        <v/>
      </c>
      <c r="P208" s="24" t="n"/>
      <c r="Q208" s="23">
        <f>IF($C208="","",N(M208)+N(N208))</f>
        <v/>
      </c>
      <c r="R208" s="23">
        <f>IF($C208="","",N(J208)+N(Q208))</f>
        <v/>
      </c>
      <c r="S208" s="25">
        <f>IF(OR($C208="",N($G208)=0),"",R208/$G208)</f>
        <v/>
      </c>
      <c r="T208" s="23">
        <f>IF($C208="","",N($G208)-N(R208))</f>
        <v/>
      </c>
      <c r="U208" s="24" t="n"/>
      <c r="V208" s="22" t="n"/>
    </row>
    <row r="209">
      <c r="B209" s="13">
        <f>IF($C209="","",COUNTA($C$9:$C209))</f>
        <v/>
      </c>
      <c r="C209" s="21" t="n"/>
      <c r="D209" s="14" t="n"/>
      <c r="E209" s="14" t="n"/>
      <c r="F209" s="14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3">
        <f>IF($C209="","",N(L209)-N(M209))</f>
        <v/>
      </c>
      <c r="P209" s="24" t="n"/>
      <c r="Q209" s="23">
        <f>IF($C209="","",N(M209)+N(N209))</f>
        <v/>
      </c>
      <c r="R209" s="23">
        <f>IF($C209="","",N(J209)+N(Q209))</f>
        <v/>
      </c>
      <c r="S209" s="25">
        <f>IF(OR($C209="",N($G209)=0),"",R209/$G209)</f>
        <v/>
      </c>
      <c r="T209" s="23">
        <f>IF($C209="","",N($G209)-N(R209))</f>
        <v/>
      </c>
      <c r="U209" s="24" t="n"/>
      <c r="V209" s="22" t="n"/>
    </row>
    <row r="210">
      <c r="B210" s="13">
        <f>IF($C210="","",COUNTA($C$9:$C210))</f>
        <v/>
      </c>
      <c r="C210" s="21" t="n"/>
      <c r="D210" s="14" t="n"/>
      <c r="E210" s="14" t="n"/>
      <c r="F210" s="14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3">
        <f>IF($C210="","",N(L210)-N(M210))</f>
        <v/>
      </c>
      <c r="P210" s="24" t="n"/>
      <c r="Q210" s="23">
        <f>IF($C210="","",N(M210)+N(N210))</f>
        <v/>
      </c>
      <c r="R210" s="23">
        <f>IF($C210="","",N(J210)+N(Q210))</f>
        <v/>
      </c>
      <c r="S210" s="25">
        <f>IF(OR($C210="",N($G210)=0),"",R210/$G210)</f>
        <v/>
      </c>
      <c r="T210" s="23">
        <f>IF($C210="","",N($G210)-N(R210))</f>
        <v/>
      </c>
      <c r="U210" s="24" t="n"/>
      <c r="V210" s="22" t="n"/>
    </row>
    <row r="211">
      <c r="B211" s="13">
        <f>IF($C211="","",COUNTA($C$9:$C211))</f>
        <v/>
      </c>
      <c r="C211" s="21" t="n"/>
      <c r="D211" s="14" t="n"/>
      <c r="E211" s="14" t="n"/>
      <c r="F211" s="14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3">
        <f>IF($C211="","",N(L211)-N(M211))</f>
        <v/>
      </c>
      <c r="P211" s="24" t="n"/>
      <c r="Q211" s="23">
        <f>IF($C211="","",N(M211)+N(N211))</f>
        <v/>
      </c>
      <c r="R211" s="23">
        <f>IF($C211="","",N(J211)+N(Q211))</f>
        <v/>
      </c>
      <c r="S211" s="25">
        <f>IF(OR($C211="",N($G211)=0),"",R211/$G211)</f>
        <v/>
      </c>
      <c r="T211" s="23">
        <f>IF($C211="","",N($G211)-N(R211))</f>
        <v/>
      </c>
      <c r="U211" s="24" t="n"/>
      <c r="V211" s="22" t="n"/>
    </row>
    <row r="212">
      <c r="B212" s="13">
        <f>IF($C212="","",COUNTA($C$9:$C212))</f>
        <v/>
      </c>
      <c r="C212" s="21" t="n"/>
      <c r="D212" s="14" t="n"/>
      <c r="E212" s="14" t="n"/>
      <c r="F212" s="14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3">
        <f>IF($C212="","",N(L212)-N(M212))</f>
        <v/>
      </c>
      <c r="P212" s="24" t="n"/>
      <c r="Q212" s="23">
        <f>IF($C212="","",N(M212)+N(N212))</f>
        <v/>
      </c>
      <c r="R212" s="23">
        <f>IF($C212="","",N(J212)+N(Q212))</f>
        <v/>
      </c>
      <c r="S212" s="25">
        <f>IF(OR($C212="",N($G212)=0),"",R212/$G212)</f>
        <v/>
      </c>
      <c r="T212" s="23">
        <f>IF($C212="","",N($G212)-N(R212))</f>
        <v/>
      </c>
      <c r="U212" s="24" t="n"/>
      <c r="V212" s="22" t="n"/>
    </row>
    <row r="213">
      <c r="B213" s="13">
        <f>IF($C213="","",COUNTA($C$9:$C213))</f>
        <v/>
      </c>
      <c r="C213" s="21" t="n"/>
      <c r="D213" s="14" t="n"/>
      <c r="E213" s="14" t="n"/>
      <c r="F213" s="14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3">
        <f>IF($C213="","",N(L213)-N(M213))</f>
        <v/>
      </c>
      <c r="P213" s="24" t="n"/>
      <c r="Q213" s="23">
        <f>IF($C213="","",N(M213)+N(N213))</f>
        <v/>
      </c>
      <c r="R213" s="23">
        <f>IF($C213="","",N(J213)+N(Q213))</f>
        <v/>
      </c>
      <c r="S213" s="25">
        <f>IF(OR($C213="",N($G213)=0),"",R213/$G213)</f>
        <v/>
      </c>
      <c r="T213" s="23">
        <f>IF($C213="","",N($G213)-N(R213))</f>
        <v/>
      </c>
      <c r="U213" s="24" t="n"/>
      <c r="V213" s="22" t="n"/>
    </row>
    <row r="214">
      <c r="B214" s="13">
        <f>IF($C214="","",COUNTA($C$9:$C214))</f>
        <v/>
      </c>
      <c r="C214" s="21" t="n"/>
      <c r="D214" s="14" t="n"/>
      <c r="E214" s="14" t="n"/>
      <c r="F214" s="14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3">
        <f>IF($C214="","",N(L214)-N(M214))</f>
        <v/>
      </c>
      <c r="P214" s="24" t="n"/>
      <c r="Q214" s="23">
        <f>IF($C214="","",N(M214)+N(N214))</f>
        <v/>
      </c>
      <c r="R214" s="23">
        <f>IF($C214="","",N(J214)+N(Q214))</f>
        <v/>
      </c>
      <c r="S214" s="25">
        <f>IF(OR($C214="",N($G214)=0),"",R214/$G214)</f>
        <v/>
      </c>
      <c r="T214" s="23">
        <f>IF($C214="","",N($G214)-N(R214))</f>
        <v/>
      </c>
      <c r="U214" s="24" t="n"/>
      <c r="V214" s="22" t="n"/>
    </row>
    <row r="215">
      <c r="B215" s="13">
        <f>IF($C215="","",COUNTA($C$9:$C215))</f>
        <v/>
      </c>
      <c r="C215" s="21" t="n"/>
      <c r="D215" s="14" t="n"/>
      <c r="E215" s="14" t="n"/>
      <c r="F215" s="14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3">
        <f>IF($C215="","",N(L215)-N(M215))</f>
        <v/>
      </c>
      <c r="P215" s="24" t="n"/>
      <c r="Q215" s="23">
        <f>IF($C215="","",N(M215)+N(N215))</f>
        <v/>
      </c>
      <c r="R215" s="23">
        <f>IF($C215="","",N(J215)+N(Q215))</f>
        <v/>
      </c>
      <c r="S215" s="25">
        <f>IF(OR($C215="",N($G215)=0),"",R215/$G215)</f>
        <v/>
      </c>
      <c r="T215" s="23">
        <f>IF($C215="","",N($G215)-N(R215))</f>
        <v/>
      </c>
      <c r="U215" s="24" t="n"/>
      <c r="V215" s="22" t="n"/>
    </row>
    <row r="216">
      <c r="B216" s="13">
        <f>IF($C216="","",COUNTA($C$9:$C216))</f>
        <v/>
      </c>
      <c r="C216" s="21" t="n"/>
      <c r="D216" s="14" t="n"/>
      <c r="E216" s="14" t="n"/>
      <c r="F216" s="14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3">
        <f>IF($C216="","",N(L216)-N(M216))</f>
        <v/>
      </c>
      <c r="P216" s="24" t="n"/>
      <c r="Q216" s="23">
        <f>IF($C216="","",N(M216)+N(N216))</f>
        <v/>
      </c>
      <c r="R216" s="23">
        <f>IF($C216="","",N(J216)+N(Q216))</f>
        <v/>
      </c>
      <c r="S216" s="25">
        <f>IF(OR($C216="",N($G216)=0),"",R216/$G216)</f>
        <v/>
      </c>
      <c r="T216" s="23">
        <f>IF($C216="","",N($G216)-N(R216))</f>
        <v/>
      </c>
      <c r="U216" s="24" t="n"/>
      <c r="V216" s="22" t="n"/>
    </row>
    <row r="217">
      <c r="B217" s="13">
        <f>IF($C217="","",COUNTA($C$9:$C217))</f>
        <v/>
      </c>
      <c r="C217" s="21" t="n"/>
      <c r="D217" s="14" t="n"/>
      <c r="E217" s="14" t="n"/>
      <c r="F217" s="14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3">
        <f>IF($C217="","",N(L217)-N(M217))</f>
        <v/>
      </c>
      <c r="P217" s="24" t="n"/>
      <c r="Q217" s="23">
        <f>IF($C217="","",N(M217)+N(N217))</f>
        <v/>
      </c>
      <c r="R217" s="23">
        <f>IF($C217="","",N(J217)+N(Q217))</f>
        <v/>
      </c>
      <c r="S217" s="25">
        <f>IF(OR($C217="",N($G217)=0),"",R217/$G217)</f>
        <v/>
      </c>
      <c r="T217" s="23">
        <f>IF($C217="","",N($G217)-N(R217))</f>
        <v/>
      </c>
      <c r="U217" s="24" t="n"/>
      <c r="V217" s="22" t="n"/>
    </row>
    <row r="218">
      <c r="B218" s="13">
        <f>IF($C218="","",COUNTA($C$9:$C218))</f>
        <v/>
      </c>
      <c r="C218" s="21" t="n"/>
      <c r="D218" s="14" t="n"/>
      <c r="E218" s="14" t="n"/>
      <c r="F218" s="14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3">
        <f>IF($C218="","",N(L218)-N(M218))</f>
        <v/>
      </c>
      <c r="P218" s="24" t="n"/>
      <c r="Q218" s="23">
        <f>IF($C218="","",N(M218)+N(N218))</f>
        <v/>
      </c>
      <c r="R218" s="23">
        <f>IF($C218="","",N(J218)+N(Q218))</f>
        <v/>
      </c>
      <c r="S218" s="25">
        <f>IF(OR($C218="",N($G218)=0),"",R218/$G218)</f>
        <v/>
      </c>
      <c r="T218" s="23">
        <f>IF($C218="","",N($G218)-N(R218))</f>
        <v/>
      </c>
      <c r="U218" s="24" t="n"/>
      <c r="V218" s="22" t="n"/>
    </row>
    <row r="219">
      <c r="B219" s="13">
        <f>IF($C219="","",COUNTA($C$9:$C219))</f>
        <v/>
      </c>
      <c r="C219" s="21" t="n"/>
      <c r="D219" s="14" t="n"/>
      <c r="E219" s="14" t="n"/>
      <c r="F219" s="14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3">
        <f>IF($C219="","",N(L219)-N(M219))</f>
        <v/>
      </c>
      <c r="P219" s="24" t="n"/>
      <c r="Q219" s="23">
        <f>IF($C219="","",N(M219)+N(N219))</f>
        <v/>
      </c>
      <c r="R219" s="23">
        <f>IF($C219="","",N(J219)+N(Q219))</f>
        <v/>
      </c>
      <c r="S219" s="25">
        <f>IF(OR($C219="",N($G219)=0),"",R219/$G219)</f>
        <v/>
      </c>
      <c r="T219" s="23">
        <f>IF($C219="","",N($G219)-N(R219))</f>
        <v/>
      </c>
      <c r="U219" s="24" t="n"/>
      <c r="V219" s="22" t="n"/>
    </row>
    <row r="220">
      <c r="B220" s="13">
        <f>IF($C220="","",COUNTA($C$9:$C220))</f>
        <v/>
      </c>
      <c r="C220" s="21" t="n"/>
      <c r="D220" s="14" t="n"/>
      <c r="E220" s="14" t="n"/>
      <c r="F220" s="14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3">
        <f>IF($C220="","",N(L220)-N(M220))</f>
        <v/>
      </c>
      <c r="P220" s="24" t="n"/>
      <c r="Q220" s="23">
        <f>IF($C220="","",N(M220)+N(N220))</f>
        <v/>
      </c>
      <c r="R220" s="23">
        <f>IF($C220="","",N(J220)+N(Q220))</f>
        <v/>
      </c>
      <c r="S220" s="25">
        <f>IF(OR($C220="",N($G220)=0),"",R220/$G220)</f>
        <v/>
      </c>
      <c r="T220" s="23">
        <f>IF($C220="","",N($G220)-N(R220))</f>
        <v/>
      </c>
      <c r="U220" s="24" t="n"/>
      <c r="V220" s="22" t="n"/>
    </row>
    <row r="221">
      <c r="B221" s="13">
        <f>IF($C221="","",COUNTA($C$9:$C221))</f>
        <v/>
      </c>
      <c r="C221" s="21" t="n"/>
      <c r="D221" s="14" t="n"/>
      <c r="E221" s="14" t="n"/>
      <c r="F221" s="14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3">
        <f>IF($C221="","",N(L221)-N(M221))</f>
        <v/>
      </c>
      <c r="P221" s="24" t="n"/>
      <c r="Q221" s="23">
        <f>IF($C221="","",N(M221)+N(N221))</f>
        <v/>
      </c>
      <c r="R221" s="23">
        <f>IF($C221="","",N(J221)+N(Q221))</f>
        <v/>
      </c>
      <c r="S221" s="25">
        <f>IF(OR($C221="",N($G221)=0),"",R221/$G221)</f>
        <v/>
      </c>
      <c r="T221" s="23">
        <f>IF($C221="","",N($G221)-N(R221))</f>
        <v/>
      </c>
      <c r="U221" s="24" t="n"/>
      <c r="V221" s="22" t="n"/>
    </row>
    <row r="222">
      <c r="B222" s="13">
        <f>IF($C222="","",COUNTA($C$9:$C222))</f>
        <v/>
      </c>
      <c r="C222" s="21" t="n"/>
      <c r="D222" s="14" t="n"/>
      <c r="E222" s="14" t="n"/>
      <c r="F222" s="14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3">
        <f>IF($C222="","",N(L222)-N(M222))</f>
        <v/>
      </c>
      <c r="P222" s="24" t="n"/>
      <c r="Q222" s="23">
        <f>IF($C222="","",N(M222)+N(N222))</f>
        <v/>
      </c>
      <c r="R222" s="23">
        <f>IF($C222="","",N(J222)+N(Q222))</f>
        <v/>
      </c>
      <c r="S222" s="25">
        <f>IF(OR($C222="",N($G222)=0),"",R222/$G222)</f>
        <v/>
      </c>
      <c r="T222" s="23">
        <f>IF($C222="","",N($G222)-N(R222))</f>
        <v/>
      </c>
      <c r="U222" s="24" t="n"/>
      <c r="V222" s="22" t="n"/>
    </row>
    <row r="223">
      <c r="B223" s="13">
        <f>IF($C223="","",COUNTA($C$9:$C223))</f>
        <v/>
      </c>
      <c r="C223" s="21" t="n"/>
      <c r="D223" s="14" t="n"/>
      <c r="E223" s="14" t="n"/>
      <c r="F223" s="14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3">
        <f>IF($C223="","",N(L223)-N(M223))</f>
        <v/>
      </c>
      <c r="P223" s="24" t="n"/>
      <c r="Q223" s="23">
        <f>IF($C223="","",N(M223)+N(N223))</f>
        <v/>
      </c>
      <c r="R223" s="23">
        <f>IF($C223="","",N(J223)+N(Q223))</f>
        <v/>
      </c>
      <c r="S223" s="25">
        <f>IF(OR($C223="",N($G223)=0),"",R223/$G223)</f>
        <v/>
      </c>
      <c r="T223" s="23">
        <f>IF($C223="","",N($G223)-N(R223))</f>
        <v/>
      </c>
      <c r="U223" s="24" t="n"/>
      <c r="V223" s="22" t="n"/>
    </row>
    <row r="224">
      <c r="B224" s="13">
        <f>IF($C224="","",COUNTA($C$9:$C224))</f>
        <v/>
      </c>
      <c r="C224" s="21" t="n"/>
      <c r="D224" s="14" t="n"/>
      <c r="E224" s="14" t="n"/>
      <c r="F224" s="14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3">
        <f>IF($C224="","",N(L224)-N(M224))</f>
        <v/>
      </c>
      <c r="P224" s="24" t="n"/>
      <c r="Q224" s="23">
        <f>IF($C224="","",N(M224)+N(N224))</f>
        <v/>
      </c>
      <c r="R224" s="23">
        <f>IF($C224="","",N(J224)+N(Q224))</f>
        <v/>
      </c>
      <c r="S224" s="25">
        <f>IF(OR($C224="",N($G224)=0),"",R224/$G224)</f>
        <v/>
      </c>
      <c r="T224" s="23">
        <f>IF($C224="","",N($G224)-N(R224))</f>
        <v/>
      </c>
      <c r="U224" s="24" t="n"/>
      <c r="V224" s="22" t="n"/>
    </row>
    <row r="225">
      <c r="B225" s="13">
        <f>IF($C225="","",COUNTA($C$9:$C225))</f>
        <v/>
      </c>
      <c r="C225" s="21" t="n"/>
      <c r="D225" s="14" t="n"/>
      <c r="E225" s="14" t="n"/>
      <c r="F225" s="14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3">
        <f>IF($C225="","",N(L225)-N(M225))</f>
        <v/>
      </c>
      <c r="P225" s="24" t="n"/>
      <c r="Q225" s="23">
        <f>IF($C225="","",N(M225)+N(N225))</f>
        <v/>
      </c>
      <c r="R225" s="23">
        <f>IF($C225="","",N(J225)+N(Q225))</f>
        <v/>
      </c>
      <c r="S225" s="25">
        <f>IF(OR($C225="",N($G225)=0),"",R225/$G225)</f>
        <v/>
      </c>
      <c r="T225" s="23">
        <f>IF($C225="","",N($G225)-N(R225))</f>
        <v/>
      </c>
      <c r="U225" s="24" t="n"/>
      <c r="V225" s="22" t="n"/>
    </row>
    <row r="226">
      <c r="B226" s="13">
        <f>IF($C226="","",COUNTA($C$9:$C226))</f>
        <v/>
      </c>
      <c r="C226" s="21" t="n"/>
      <c r="D226" s="14" t="n"/>
      <c r="E226" s="14" t="n"/>
      <c r="F226" s="14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3">
        <f>IF($C226="","",N(L226)-N(M226))</f>
        <v/>
      </c>
      <c r="P226" s="24" t="n"/>
      <c r="Q226" s="23">
        <f>IF($C226="","",N(M226)+N(N226))</f>
        <v/>
      </c>
      <c r="R226" s="23">
        <f>IF($C226="","",N(J226)+N(Q226))</f>
        <v/>
      </c>
      <c r="S226" s="25">
        <f>IF(OR($C226="",N($G226)=0),"",R226/$G226)</f>
        <v/>
      </c>
      <c r="T226" s="23">
        <f>IF($C226="","",N($G226)-N(R226))</f>
        <v/>
      </c>
      <c r="U226" s="24" t="n"/>
      <c r="V226" s="22" t="n"/>
    </row>
    <row r="227">
      <c r="B227" s="13">
        <f>IF($C227="","",COUNTA($C$9:$C227))</f>
        <v/>
      </c>
      <c r="C227" s="21" t="n"/>
      <c r="D227" s="14" t="n"/>
      <c r="E227" s="14" t="n"/>
      <c r="F227" s="14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3">
        <f>IF($C227="","",N(L227)-N(M227))</f>
        <v/>
      </c>
      <c r="P227" s="24" t="n"/>
      <c r="Q227" s="23">
        <f>IF($C227="","",N(M227)+N(N227))</f>
        <v/>
      </c>
      <c r="R227" s="23">
        <f>IF($C227="","",N(J227)+N(Q227))</f>
        <v/>
      </c>
      <c r="S227" s="25">
        <f>IF(OR($C227="",N($G227)=0),"",R227/$G227)</f>
        <v/>
      </c>
      <c r="T227" s="23">
        <f>IF($C227="","",N($G227)-N(R227))</f>
        <v/>
      </c>
      <c r="U227" s="24" t="n"/>
      <c r="V227" s="22" t="n"/>
    </row>
    <row r="228">
      <c r="B228" s="13">
        <f>IF($C228="","",COUNTA($C$9:$C228))</f>
        <v/>
      </c>
      <c r="C228" s="21" t="n"/>
      <c r="D228" s="14" t="n"/>
      <c r="E228" s="14" t="n"/>
      <c r="F228" s="14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3">
        <f>IF($C228="","",N(L228)-N(M228))</f>
        <v/>
      </c>
      <c r="P228" s="24" t="n"/>
      <c r="Q228" s="23">
        <f>IF($C228="","",N(M228)+N(N228))</f>
        <v/>
      </c>
      <c r="R228" s="23">
        <f>IF($C228="","",N(J228)+N(Q228))</f>
        <v/>
      </c>
      <c r="S228" s="25">
        <f>IF(OR($C228="",N($G228)=0),"",R228/$G228)</f>
        <v/>
      </c>
      <c r="T228" s="23">
        <f>IF($C228="","",N($G228)-N(R228))</f>
        <v/>
      </c>
      <c r="U228" s="24" t="n"/>
      <c r="V228" s="22" t="n"/>
    </row>
    <row r="229">
      <c r="B229" s="13">
        <f>IF($C229="","",COUNTA($C$9:$C229))</f>
        <v/>
      </c>
      <c r="C229" s="21" t="n"/>
      <c r="D229" s="14" t="n"/>
      <c r="E229" s="14" t="n"/>
      <c r="F229" s="14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3">
        <f>IF($C229="","",N(L229)-N(M229))</f>
        <v/>
      </c>
      <c r="P229" s="24" t="n"/>
      <c r="Q229" s="23">
        <f>IF($C229="","",N(M229)+N(N229))</f>
        <v/>
      </c>
      <c r="R229" s="23">
        <f>IF($C229="","",N(J229)+N(Q229))</f>
        <v/>
      </c>
      <c r="S229" s="25">
        <f>IF(OR($C229="",N($G229)=0),"",R229/$G229)</f>
        <v/>
      </c>
      <c r="T229" s="23">
        <f>IF($C229="","",N($G229)-N(R229))</f>
        <v/>
      </c>
      <c r="U229" s="24" t="n"/>
      <c r="V229" s="22" t="n"/>
    </row>
    <row r="230">
      <c r="B230" s="13">
        <f>IF($C230="","",COUNTA($C$9:$C230))</f>
        <v/>
      </c>
      <c r="C230" s="21" t="n"/>
      <c r="D230" s="14" t="n"/>
      <c r="E230" s="14" t="n"/>
      <c r="F230" s="14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3">
        <f>IF($C230="","",N(L230)-N(M230))</f>
        <v/>
      </c>
      <c r="P230" s="24" t="n"/>
      <c r="Q230" s="23">
        <f>IF($C230="","",N(M230)+N(N230))</f>
        <v/>
      </c>
      <c r="R230" s="23">
        <f>IF($C230="","",N(J230)+N(Q230))</f>
        <v/>
      </c>
      <c r="S230" s="25">
        <f>IF(OR($C230="",N($G230)=0),"",R230/$G230)</f>
        <v/>
      </c>
      <c r="T230" s="23">
        <f>IF($C230="","",N($G230)-N(R230))</f>
        <v/>
      </c>
      <c r="U230" s="24" t="n"/>
      <c r="V230" s="22" t="n"/>
    </row>
    <row r="231">
      <c r="B231" s="13">
        <f>IF($C231="","",COUNTA($C$9:$C231))</f>
        <v/>
      </c>
      <c r="C231" s="21" t="n"/>
      <c r="D231" s="14" t="n"/>
      <c r="E231" s="14" t="n"/>
      <c r="F231" s="14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3">
        <f>IF($C231="","",N(L231)-N(M231))</f>
        <v/>
      </c>
      <c r="P231" s="24" t="n"/>
      <c r="Q231" s="23">
        <f>IF($C231="","",N(M231)+N(N231))</f>
        <v/>
      </c>
      <c r="R231" s="23">
        <f>IF($C231="","",N(J231)+N(Q231))</f>
        <v/>
      </c>
      <c r="S231" s="25">
        <f>IF(OR($C231="",N($G231)=0),"",R231/$G231)</f>
        <v/>
      </c>
      <c r="T231" s="23">
        <f>IF($C231="","",N($G231)-N(R231))</f>
        <v/>
      </c>
      <c r="U231" s="24" t="n"/>
      <c r="V231" s="22" t="n"/>
    </row>
    <row r="232">
      <c r="B232" s="13">
        <f>IF($C232="","",COUNTA($C$9:$C232))</f>
        <v/>
      </c>
      <c r="C232" s="21" t="n"/>
      <c r="D232" s="14" t="n"/>
      <c r="E232" s="14" t="n"/>
      <c r="F232" s="14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3">
        <f>IF($C232="","",N(L232)-N(M232))</f>
        <v/>
      </c>
      <c r="P232" s="24" t="n"/>
      <c r="Q232" s="23">
        <f>IF($C232="","",N(M232)+N(N232))</f>
        <v/>
      </c>
      <c r="R232" s="23">
        <f>IF($C232="","",N(J232)+N(Q232))</f>
        <v/>
      </c>
      <c r="S232" s="25">
        <f>IF(OR($C232="",N($G232)=0),"",R232/$G232)</f>
        <v/>
      </c>
      <c r="T232" s="23">
        <f>IF($C232="","",N($G232)-N(R232))</f>
        <v/>
      </c>
      <c r="U232" s="24" t="n"/>
      <c r="V232" s="22" t="n"/>
    </row>
    <row r="233">
      <c r="B233" s="13">
        <f>IF($C233="","",COUNTA($C$9:$C233))</f>
        <v/>
      </c>
      <c r="C233" s="21" t="n"/>
      <c r="D233" s="14" t="n"/>
      <c r="E233" s="14" t="n"/>
      <c r="F233" s="14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3">
        <f>IF($C233="","",N(L233)-N(M233))</f>
        <v/>
      </c>
      <c r="P233" s="24" t="n"/>
      <c r="Q233" s="23">
        <f>IF($C233="","",N(M233)+N(N233))</f>
        <v/>
      </c>
      <c r="R233" s="23">
        <f>IF($C233="","",N(J233)+N(Q233))</f>
        <v/>
      </c>
      <c r="S233" s="25">
        <f>IF(OR($C233="",N($G233)=0),"",R233/$G233)</f>
        <v/>
      </c>
      <c r="T233" s="23">
        <f>IF($C233="","",N($G233)-N(R233))</f>
        <v/>
      </c>
      <c r="U233" s="24" t="n"/>
      <c r="V233" s="22" t="n"/>
    </row>
    <row r="234">
      <c r="B234" s="13">
        <f>IF($C234="","",COUNTA($C$9:$C234))</f>
        <v/>
      </c>
      <c r="C234" s="21" t="n"/>
      <c r="D234" s="14" t="n"/>
      <c r="E234" s="14" t="n"/>
      <c r="F234" s="14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3">
        <f>IF($C234="","",N(L234)-N(M234))</f>
        <v/>
      </c>
      <c r="P234" s="24" t="n"/>
      <c r="Q234" s="23">
        <f>IF($C234="","",N(M234)+N(N234))</f>
        <v/>
      </c>
      <c r="R234" s="23">
        <f>IF($C234="","",N(J234)+N(Q234))</f>
        <v/>
      </c>
      <c r="S234" s="25">
        <f>IF(OR($C234="",N($G234)=0),"",R234/$G234)</f>
        <v/>
      </c>
      <c r="T234" s="23">
        <f>IF($C234="","",N($G234)-N(R234))</f>
        <v/>
      </c>
      <c r="U234" s="24" t="n"/>
      <c r="V234" s="22" t="n"/>
    </row>
    <row r="235">
      <c r="B235" s="13">
        <f>IF($C235="","",COUNTA($C$9:$C235))</f>
        <v/>
      </c>
      <c r="C235" s="21" t="n"/>
      <c r="D235" s="14" t="n"/>
      <c r="E235" s="14" t="n"/>
      <c r="F235" s="14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3">
        <f>IF($C235="","",N(L235)-N(M235))</f>
        <v/>
      </c>
      <c r="P235" s="24" t="n"/>
      <c r="Q235" s="23">
        <f>IF($C235="","",N(M235)+N(N235))</f>
        <v/>
      </c>
      <c r="R235" s="23">
        <f>IF($C235="","",N(J235)+N(Q235))</f>
        <v/>
      </c>
      <c r="S235" s="25">
        <f>IF(OR($C235="",N($G235)=0),"",R235/$G235)</f>
        <v/>
      </c>
      <c r="T235" s="23">
        <f>IF($C235="","",N($G235)-N(R235))</f>
        <v/>
      </c>
      <c r="U235" s="24" t="n"/>
      <c r="V235" s="22" t="n"/>
    </row>
    <row r="236">
      <c r="B236" s="13">
        <f>IF($C236="","",COUNTA($C$9:$C236))</f>
        <v/>
      </c>
      <c r="C236" s="21" t="n"/>
      <c r="D236" s="14" t="n"/>
      <c r="E236" s="14" t="n"/>
      <c r="F236" s="14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3">
        <f>IF($C236="","",N(L236)-N(M236))</f>
        <v/>
      </c>
      <c r="P236" s="24" t="n"/>
      <c r="Q236" s="23">
        <f>IF($C236="","",N(M236)+N(N236))</f>
        <v/>
      </c>
      <c r="R236" s="23">
        <f>IF($C236="","",N(J236)+N(Q236))</f>
        <v/>
      </c>
      <c r="S236" s="25">
        <f>IF(OR($C236="",N($G236)=0),"",R236/$G236)</f>
        <v/>
      </c>
      <c r="T236" s="23">
        <f>IF($C236="","",N($G236)-N(R236))</f>
        <v/>
      </c>
      <c r="U236" s="24" t="n"/>
      <c r="V236" s="22" t="n"/>
    </row>
    <row r="237">
      <c r="B237" s="13">
        <f>IF($C237="","",COUNTA($C$9:$C237))</f>
        <v/>
      </c>
      <c r="C237" s="21" t="n"/>
      <c r="D237" s="14" t="n"/>
      <c r="E237" s="14" t="n"/>
      <c r="F237" s="14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3">
        <f>IF($C237="","",N(L237)-N(M237))</f>
        <v/>
      </c>
      <c r="P237" s="24" t="n"/>
      <c r="Q237" s="23">
        <f>IF($C237="","",N(M237)+N(N237))</f>
        <v/>
      </c>
      <c r="R237" s="23">
        <f>IF($C237="","",N(J237)+N(Q237))</f>
        <v/>
      </c>
      <c r="S237" s="25">
        <f>IF(OR($C237="",N($G237)=0),"",R237/$G237)</f>
        <v/>
      </c>
      <c r="T237" s="23">
        <f>IF($C237="","",N($G237)-N(R237))</f>
        <v/>
      </c>
      <c r="U237" s="24" t="n"/>
      <c r="V237" s="22" t="n"/>
    </row>
    <row r="238">
      <c r="B238" s="13">
        <f>IF($C238="","",COUNTA($C$9:$C238))</f>
        <v/>
      </c>
      <c r="C238" s="21" t="n"/>
      <c r="D238" s="14" t="n"/>
      <c r="E238" s="14" t="n"/>
      <c r="F238" s="14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3">
        <f>IF($C238="","",N(L238)-N(M238))</f>
        <v/>
      </c>
      <c r="P238" s="24" t="n"/>
      <c r="Q238" s="23">
        <f>IF($C238="","",N(M238)+N(N238))</f>
        <v/>
      </c>
      <c r="R238" s="23">
        <f>IF($C238="","",N(J238)+N(Q238))</f>
        <v/>
      </c>
      <c r="S238" s="25">
        <f>IF(OR($C238="",N($G238)=0),"",R238/$G238)</f>
        <v/>
      </c>
      <c r="T238" s="23">
        <f>IF($C238="","",N($G238)-N(R238))</f>
        <v/>
      </c>
      <c r="U238" s="24" t="n"/>
      <c r="V238" s="22" t="n"/>
    </row>
    <row r="239">
      <c r="B239" s="13">
        <f>IF($C239="","",COUNTA($C$9:$C239))</f>
        <v/>
      </c>
      <c r="C239" s="21" t="n"/>
      <c r="D239" s="14" t="n"/>
      <c r="E239" s="14" t="n"/>
      <c r="F239" s="14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3">
        <f>IF($C239="","",N(L239)-N(M239))</f>
        <v/>
      </c>
      <c r="P239" s="24" t="n"/>
      <c r="Q239" s="23">
        <f>IF($C239="","",N(M239)+N(N239))</f>
        <v/>
      </c>
      <c r="R239" s="23">
        <f>IF($C239="","",N(J239)+N(Q239))</f>
        <v/>
      </c>
      <c r="S239" s="25">
        <f>IF(OR($C239="",N($G239)=0),"",R239/$G239)</f>
        <v/>
      </c>
      <c r="T239" s="23">
        <f>IF($C239="","",N($G239)-N(R239))</f>
        <v/>
      </c>
      <c r="U239" s="24" t="n"/>
      <c r="V239" s="22" t="n"/>
    </row>
    <row r="240">
      <c r="B240" s="13">
        <f>IF($C240="","",COUNTA($C$9:$C240))</f>
        <v/>
      </c>
      <c r="C240" s="21" t="n"/>
      <c r="D240" s="14" t="n"/>
      <c r="E240" s="14" t="n"/>
      <c r="F240" s="14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3">
        <f>IF($C240="","",N(L240)-N(M240))</f>
        <v/>
      </c>
      <c r="P240" s="24" t="n"/>
      <c r="Q240" s="23">
        <f>IF($C240="","",N(M240)+N(N240))</f>
        <v/>
      </c>
      <c r="R240" s="23">
        <f>IF($C240="","",N(J240)+N(Q240))</f>
        <v/>
      </c>
      <c r="S240" s="25">
        <f>IF(OR($C240="",N($G240)=0),"",R240/$G240)</f>
        <v/>
      </c>
      <c r="T240" s="23">
        <f>IF($C240="","",N($G240)-N(R240))</f>
        <v/>
      </c>
      <c r="U240" s="24" t="n"/>
      <c r="V240" s="22" t="n"/>
    </row>
    <row r="241">
      <c r="B241" s="13">
        <f>IF($C241="","",COUNTA($C$9:$C241))</f>
        <v/>
      </c>
      <c r="C241" s="21" t="n"/>
      <c r="D241" s="14" t="n"/>
      <c r="E241" s="14" t="n"/>
      <c r="F241" s="14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3">
        <f>IF($C241="","",N(L241)-N(M241))</f>
        <v/>
      </c>
      <c r="P241" s="24" t="n"/>
      <c r="Q241" s="23">
        <f>IF($C241="","",N(M241)+N(N241))</f>
        <v/>
      </c>
      <c r="R241" s="23">
        <f>IF($C241="","",N(J241)+N(Q241))</f>
        <v/>
      </c>
      <c r="S241" s="25">
        <f>IF(OR($C241="",N($G241)=0),"",R241/$G241)</f>
        <v/>
      </c>
      <c r="T241" s="23">
        <f>IF($C241="","",N($G241)-N(R241))</f>
        <v/>
      </c>
      <c r="U241" s="24" t="n"/>
      <c r="V241" s="22" t="n"/>
    </row>
    <row r="242">
      <c r="B242" s="13">
        <f>IF($C242="","",COUNTA($C$9:$C242))</f>
        <v/>
      </c>
      <c r="C242" s="21" t="n"/>
      <c r="D242" s="14" t="n"/>
      <c r="E242" s="14" t="n"/>
      <c r="F242" s="14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3">
        <f>IF($C242="","",N(L242)-N(M242))</f>
        <v/>
      </c>
      <c r="P242" s="24" t="n"/>
      <c r="Q242" s="23">
        <f>IF($C242="","",N(M242)+N(N242))</f>
        <v/>
      </c>
      <c r="R242" s="23">
        <f>IF($C242="","",N(J242)+N(Q242))</f>
        <v/>
      </c>
      <c r="S242" s="25">
        <f>IF(OR($C242="",N($G242)=0),"",R242/$G242)</f>
        <v/>
      </c>
      <c r="T242" s="23">
        <f>IF($C242="","",N($G242)-N(R242))</f>
        <v/>
      </c>
      <c r="U242" s="24" t="n"/>
      <c r="V242" s="22" t="n"/>
    </row>
    <row r="243">
      <c r="B243" s="13">
        <f>IF($C243="","",COUNTA($C$9:$C243))</f>
        <v/>
      </c>
      <c r="C243" s="21" t="n"/>
      <c r="D243" s="14" t="n"/>
      <c r="E243" s="14" t="n"/>
      <c r="F243" s="14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3">
        <f>IF($C243="","",N(L243)-N(M243))</f>
        <v/>
      </c>
      <c r="P243" s="24" t="n"/>
      <c r="Q243" s="23">
        <f>IF($C243="","",N(M243)+N(N243))</f>
        <v/>
      </c>
      <c r="R243" s="23">
        <f>IF($C243="","",N(J243)+N(Q243))</f>
        <v/>
      </c>
      <c r="S243" s="25">
        <f>IF(OR($C243="",N($G243)=0),"",R243/$G243)</f>
        <v/>
      </c>
      <c r="T243" s="23">
        <f>IF($C243="","",N($G243)-N(R243))</f>
        <v/>
      </c>
      <c r="U243" s="24" t="n"/>
      <c r="V243" s="22" t="n"/>
    </row>
    <row r="244">
      <c r="B244" s="13">
        <f>IF($C244="","",COUNTA($C$9:$C244))</f>
        <v/>
      </c>
      <c r="C244" s="21" t="n"/>
      <c r="D244" s="14" t="n"/>
      <c r="E244" s="14" t="n"/>
      <c r="F244" s="14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3">
        <f>IF($C244="","",N(L244)-N(M244))</f>
        <v/>
      </c>
      <c r="P244" s="24" t="n"/>
      <c r="Q244" s="23">
        <f>IF($C244="","",N(M244)+N(N244))</f>
        <v/>
      </c>
      <c r="R244" s="23">
        <f>IF($C244="","",N(J244)+N(Q244))</f>
        <v/>
      </c>
      <c r="S244" s="25">
        <f>IF(OR($C244="",N($G244)=0),"",R244/$G244)</f>
        <v/>
      </c>
      <c r="T244" s="23">
        <f>IF($C244="","",N($G244)-N(R244))</f>
        <v/>
      </c>
      <c r="U244" s="24" t="n"/>
      <c r="V244" s="22" t="n"/>
    </row>
    <row r="245">
      <c r="B245" s="13">
        <f>IF($C245="","",COUNTA($C$9:$C245))</f>
        <v/>
      </c>
      <c r="C245" s="21" t="n"/>
      <c r="D245" s="14" t="n"/>
      <c r="E245" s="14" t="n"/>
      <c r="F245" s="14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3">
        <f>IF($C245="","",N(L245)-N(M245))</f>
        <v/>
      </c>
      <c r="P245" s="24" t="n"/>
      <c r="Q245" s="23">
        <f>IF($C245="","",N(M245)+N(N245))</f>
        <v/>
      </c>
      <c r="R245" s="23">
        <f>IF($C245="","",N(J245)+N(Q245))</f>
        <v/>
      </c>
      <c r="S245" s="25">
        <f>IF(OR($C245="",N($G245)=0),"",R245/$G245)</f>
        <v/>
      </c>
      <c r="T245" s="23">
        <f>IF($C245="","",N($G245)-N(R245))</f>
        <v/>
      </c>
      <c r="U245" s="24" t="n"/>
      <c r="V245" s="22" t="n"/>
    </row>
    <row r="246">
      <c r="B246" s="13">
        <f>IF($C246="","",COUNTA($C$9:$C246))</f>
        <v/>
      </c>
      <c r="C246" s="21" t="n"/>
      <c r="D246" s="14" t="n"/>
      <c r="E246" s="14" t="n"/>
      <c r="F246" s="14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3">
        <f>IF($C246="","",N(L246)-N(M246))</f>
        <v/>
      </c>
      <c r="P246" s="24" t="n"/>
      <c r="Q246" s="23">
        <f>IF($C246="","",N(M246)+N(N246))</f>
        <v/>
      </c>
      <c r="R246" s="23">
        <f>IF($C246="","",N(J246)+N(Q246))</f>
        <v/>
      </c>
      <c r="S246" s="25">
        <f>IF(OR($C246="",N($G246)=0),"",R246/$G246)</f>
        <v/>
      </c>
      <c r="T246" s="23">
        <f>IF($C246="","",N($G246)-N(R246))</f>
        <v/>
      </c>
      <c r="U246" s="24" t="n"/>
      <c r="V246" s="22" t="n"/>
    </row>
    <row r="247">
      <c r="B247" s="13">
        <f>IF($C247="","",COUNTA($C$9:$C247))</f>
        <v/>
      </c>
      <c r="C247" s="21" t="n"/>
      <c r="D247" s="14" t="n"/>
      <c r="E247" s="14" t="n"/>
      <c r="F247" s="14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3">
        <f>IF($C247="","",N(L247)-N(M247))</f>
        <v/>
      </c>
      <c r="P247" s="24" t="n"/>
      <c r="Q247" s="23">
        <f>IF($C247="","",N(M247)+N(N247))</f>
        <v/>
      </c>
      <c r="R247" s="23">
        <f>IF($C247="","",N(J247)+N(Q247))</f>
        <v/>
      </c>
      <c r="S247" s="25">
        <f>IF(OR($C247="",N($G247)=0),"",R247/$G247)</f>
        <v/>
      </c>
      <c r="T247" s="23">
        <f>IF($C247="","",N($G247)-N(R247))</f>
        <v/>
      </c>
      <c r="U247" s="24" t="n"/>
      <c r="V247" s="22" t="n"/>
    </row>
    <row r="248">
      <c r="B248" s="13">
        <f>IF($C248="","",COUNTA($C$9:$C248))</f>
        <v/>
      </c>
      <c r="C248" s="21" t="n"/>
      <c r="D248" s="14" t="n"/>
      <c r="E248" s="14" t="n"/>
      <c r="F248" s="14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3">
        <f>IF($C248="","",N(L248)-N(M248))</f>
        <v/>
      </c>
      <c r="P248" s="24" t="n"/>
      <c r="Q248" s="23">
        <f>IF($C248="","",N(M248)+N(N248))</f>
        <v/>
      </c>
      <c r="R248" s="23">
        <f>IF($C248="","",N(J248)+N(Q248))</f>
        <v/>
      </c>
      <c r="S248" s="25">
        <f>IF(OR($C248="",N($G248)=0),"",R248/$G248)</f>
        <v/>
      </c>
      <c r="T248" s="23">
        <f>IF($C248="","",N($G248)-N(R248))</f>
        <v/>
      </c>
      <c r="U248" s="24" t="n"/>
      <c r="V248" s="22" t="n"/>
    </row>
    <row r="249">
      <c r="B249" s="13">
        <f>IF($C249="","",COUNTA($C$9:$C249))</f>
        <v/>
      </c>
      <c r="C249" s="21" t="n"/>
      <c r="D249" s="14" t="n"/>
      <c r="E249" s="14" t="n"/>
      <c r="F249" s="14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3">
        <f>IF($C249="","",N(L249)-N(M249))</f>
        <v/>
      </c>
      <c r="P249" s="24" t="n"/>
      <c r="Q249" s="23">
        <f>IF($C249="","",N(M249)+N(N249))</f>
        <v/>
      </c>
      <c r="R249" s="23">
        <f>IF($C249="","",N(J249)+N(Q249))</f>
        <v/>
      </c>
      <c r="S249" s="25">
        <f>IF(OR($C249="",N($G249)=0),"",R249/$G249)</f>
        <v/>
      </c>
      <c r="T249" s="23">
        <f>IF($C249="","",N($G249)-N(R249))</f>
        <v/>
      </c>
      <c r="U249" s="24" t="n"/>
      <c r="V249" s="22" t="n"/>
    </row>
    <row r="250">
      <c r="B250" s="13">
        <f>IF($C250="","",COUNTA($C$9:$C250))</f>
        <v/>
      </c>
      <c r="C250" s="21" t="n"/>
      <c r="D250" s="14" t="n"/>
      <c r="E250" s="14" t="n"/>
      <c r="F250" s="14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3">
        <f>IF($C250="","",N(L250)-N(M250))</f>
        <v/>
      </c>
      <c r="P250" s="24" t="n"/>
      <c r="Q250" s="23">
        <f>IF($C250="","",N(M250)+N(N250))</f>
        <v/>
      </c>
      <c r="R250" s="23">
        <f>IF($C250="","",N(J250)+N(Q250))</f>
        <v/>
      </c>
      <c r="S250" s="25">
        <f>IF(OR($C250="",N($G250)=0),"",R250/$G250)</f>
        <v/>
      </c>
      <c r="T250" s="23">
        <f>IF($C250="","",N($G250)-N(R250))</f>
        <v/>
      </c>
      <c r="U250" s="24" t="n"/>
      <c r="V250" s="22" t="n"/>
    </row>
    <row r="251">
      <c r="B251" s="13">
        <f>IF($C251="","",COUNTA($C$9:$C251))</f>
        <v/>
      </c>
      <c r="C251" s="21" t="n"/>
      <c r="D251" s="14" t="n"/>
      <c r="E251" s="14" t="n"/>
      <c r="F251" s="14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3">
        <f>IF($C251="","",N(L251)-N(M251))</f>
        <v/>
      </c>
      <c r="P251" s="24" t="n"/>
      <c r="Q251" s="23">
        <f>IF($C251="","",N(M251)+N(N251))</f>
        <v/>
      </c>
      <c r="R251" s="23">
        <f>IF($C251="","",N(J251)+N(Q251))</f>
        <v/>
      </c>
      <c r="S251" s="25">
        <f>IF(OR($C251="",N($G251)=0),"",R251/$G251)</f>
        <v/>
      </c>
      <c r="T251" s="23">
        <f>IF($C251="","",N($G251)-N(R251))</f>
        <v/>
      </c>
      <c r="U251" s="24" t="n"/>
      <c r="V251" s="22" t="n"/>
    </row>
    <row r="252">
      <c r="B252" s="13">
        <f>IF($C252="","",COUNTA($C$9:$C252))</f>
        <v/>
      </c>
      <c r="C252" s="21" t="n"/>
      <c r="D252" s="14" t="n"/>
      <c r="E252" s="14" t="n"/>
      <c r="F252" s="14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3">
        <f>IF($C252="","",N(L252)-N(M252))</f>
        <v/>
      </c>
      <c r="P252" s="24" t="n"/>
      <c r="Q252" s="23">
        <f>IF($C252="","",N(M252)+N(N252))</f>
        <v/>
      </c>
      <c r="R252" s="23">
        <f>IF($C252="","",N(J252)+N(Q252))</f>
        <v/>
      </c>
      <c r="S252" s="25">
        <f>IF(OR($C252="",N($G252)=0),"",R252/$G252)</f>
        <v/>
      </c>
      <c r="T252" s="23">
        <f>IF($C252="","",N($G252)-N(R252))</f>
        <v/>
      </c>
      <c r="U252" s="24" t="n"/>
      <c r="V252" s="22" t="n"/>
    </row>
    <row r="253">
      <c r="B253" s="13">
        <f>IF($C253="","",COUNTA($C$9:$C253))</f>
        <v/>
      </c>
      <c r="C253" s="21" t="n"/>
      <c r="D253" s="14" t="n"/>
      <c r="E253" s="14" t="n"/>
      <c r="F253" s="14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3">
        <f>IF($C253="","",N(L253)-N(M253))</f>
        <v/>
      </c>
      <c r="P253" s="24" t="n"/>
      <c r="Q253" s="23">
        <f>IF($C253="","",N(M253)+N(N253))</f>
        <v/>
      </c>
      <c r="R253" s="23">
        <f>IF($C253="","",N(J253)+N(Q253))</f>
        <v/>
      </c>
      <c r="S253" s="25">
        <f>IF(OR($C253="",N($G253)=0),"",R253/$G253)</f>
        <v/>
      </c>
      <c r="T253" s="23">
        <f>IF($C253="","",N($G253)-N(R253))</f>
        <v/>
      </c>
      <c r="U253" s="24" t="n"/>
      <c r="V253" s="22" t="n"/>
    </row>
    <row r="254">
      <c r="B254" s="13">
        <f>IF($C254="","",COUNTA($C$9:$C254))</f>
        <v/>
      </c>
      <c r="C254" s="21" t="n"/>
      <c r="D254" s="14" t="n"/>
      <c r="E254" s="14" t="n"/>
      <c r="F254" s="14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3">
        <f>IF($C254="","",N(L254)-N(M254))</f>
        <v/>
      </c>
      <c r="P254" s="24" t="n"/>
      <c r="Q254" s="23">
        <f>IF($C254="","",N(M254)+N(N254))</f>
        <v/>
      </c>
      <c r="R254" s="23">
        <f>IF($C254="","",N(J254)+N(Q254))</f>
        <v/>
      </c>
      <c r="S254" s="25">
        <f>IF(OR($C254="",N($G254)=0),"",R254/$G254)</f>
        <v/>
      </c>
      <c r="T254" s="23">
        <f>IF($C254="","",N($G254)-N(R254))</f>
        <v/>
      </c>
      <c r="U254" s="24" t="n"/>
      <c r="V254" s="22" t="n"/>
    </row>
    <row r="255">
      <c r="B255" s="13">
        <f>IF($C255="","",COUNTA($C$9:$C255))</f>
        <v/>
      </c>
      <c r="C255" s="21" t="n"/>
      <c r="D255" s="14" t="n"/>
      <c r="E255" s="14" t="n"/>
      <c r="F255" s="14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3">
        <f>IF($C255="","",N(L255)-N(M255))</f>
        <v/>
      </c>
      <c r="P255" s="24" t="n"/>
      <c r="Q255" s="23">
        <f>IF($C255="","",N(M255)+N(N255))</f>
        <v/>
      </c>
      <c r="R255" s="23">
        <f>IF($C255="","",N(J255)+N(Q255))</f>
        <v/>
      </c>
      <c r="S255" s="25">
        <f>IF(OR($C255="",N($G255)=0),"",R255/$G255)</f>
        <v/>
      </c>
      <c r="T255" s="23">
        <f>IF($C255="","",N($G255)-N(R255))</f>
        <v/>
      </c>
      <c r="U255" s="24" t="n"/>
      <c r="V255" s="22" t="n"/>
    </row>
    <row r="256">
      <c r="B256" s="13">
        <f>IF($C256="","",COUNTA($C$9:$C256))</f>
        <v/>
      </c>
      <c r="C256" s="21" t="n"/>
      <c r="D256" s="14" t="n"/>
      <c r="E256" s="14" t="n"/>
      <c r="F256" s="14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3">
        <f>IF($C256="","",N(L256)-N(M256))</f>
        <v/>
      </c>
      <c r="P256" s="24" t="n"/>
      <c r="Q256" s="23">
        <f>IF($C256="","",N(M256)+N(N256))</f>
        <v/>
      </c>
      <c r="R256" s="23">
        <f>IF($C256="","",N(J256)+N(Q256))</f>
        <v/>
      </c>
      <c r="S256" s="25">
        <f>IF(OR($C256="",N($G256)=0),"",R256/$G256)</f>
        <v/>
      </c>
      <c r="T256" s="23">
        <f>IF($C256="","",N($G256)-N(R256))</f>
        <v/>
      </c>
      <c r="U256" s="24" t="n"/>
      <c r="V256" s="22" t="n"/>
    </row>
    <row r="257">
      <c r="B257" s="13">
        <f>IF($C257="","",COUNTA($C$9:$C257))</f>
        <v/>
      </c>
      <c r="C257" s="21" t="n"/>
      <c r="D257" s="14" t="n"/>
      <c r="E257" s="14" t="n"/>
      <c r="F257" s="14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3">
        <f>IF($C257="","",N(L257)-N(M257))</f>
        <v/>
      </c>
      <c r="P257" s="24" t="n"/>
      <c r="Q257" s="23">
        <f>IF($C257="","",N(M257)+N(N257))</f>
        <v/>
      </c>
      <c r="R257" s="23">
        <f>IF($C257="","",N(J257)+N(Q257))</f>
        <v/>
      </c>
      <c r="S257" s="25">
        <f>IF(OR($C257="",N($G257)=0),"",R257/$G257)</f>
        <v/>
      </c>
      <c r="T257" s="23">
        <f>IF($C257="","",N($G257)-N(R257))</f>
        <v/>
      </c>
      <c r="U257" s="24" t="n"/>
      <c r="V257" s="22" t="n"/>
    </row>
    <row r="258">
      <c r="B258" s="13">
        <f>IF($C258="","",COUNTA($C$9:$C258))</f>
        <v/>
      </c>
      <c r="C258" s="21" t="n"/>
      <c r="D258" s="14" t="n"/>
      <c r="E258" s="14" t="n"/>
      <c r="F258" s="14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3">
        <f>IF($C258="","",N(L258)-N(M258))</f>
        <v/>
      </c>
      <c r="P258" s="24" t="n"/>
      <c r="Q258" s="23">
        <f>IF($C258="","",N(M258)+N(N258))</f>
        <v/>
      </c>
      <c r="R258" s="23">
        <f>IF($C258="","",N(J258)+N(Q258))</f>
        <v/>
      </c>
      <c r="S258" s="25">
        <f>IF(OR($C258="",N($G258)=0),"",R258/$G258)</f>
        <v/>
      </c>
      <c r="T258" s="23">
        <f>IF($C258="","",N($G258)-N(R258))</f>
        <v/>
      </c>
      <c r="U258" s="24" t="n"/>
      <c r="V258" s="22" t="n"/>
    </row>
    <row r="259">
      <c r="B259" s="13">
        <f>IF($C259="","",COUNTA($C$9:$C259))</f>
        <v/>
      </c>
      <c r="C259" s="21" t="n"/>
      <c r="D259" s="14" t="n"/>
      <c r="E259" s="14" t="n"/>
      <c r="F259" s="14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3">
        <f>IF($C259="","",N(L259)-N(M259))</f>
        <v/>
      </c>
      <c r="P259" s="24" t="n"/>
      <c r="Q259" s="23">
        <f>IF($C259="","",N(M259)+N(N259))</f>
        <v/>
      </c>
      <c r="R259" s="23">
        <f>IF($C259="","",N(J259)+N(Q259))</f>
        <v/>
      </c>
      <c r="S259" s="25">
        <f>IF(OR($C259="",N($G259)=0),"",R259/$G259)</f>
        <v/>
      </c>
      <c r="T259" s="23">
        <f>IF($C259="","",N($G259)-N(R259))</f>
        <v/>
      </c>
      <c r="U259" s="24" t="n"/>
      <c r="V259" s="22" t="n"/>
    </row>
    <row r="260">
      <c r="B260" s="13">
        <f>IF($C260="","",COUNTA($C$9:$C260))</f>
        <v/>
      </c>
      <c r="C260" s="21" t="n"/>
      <c r="D260" s="14" t="n"/>
      <c r="E260" s="14" t="n"/>
      <c r="F260" s="14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3">
        <f>IF($C260="","",N(L260)-N(M260))</f>
        <v/>
      </c>
      <c r="P260" s="24" t="n"/>
      <c r="Q260" s="23">
        <f>IF($C260="","",N(M260)+N(N260))</f>
        <v/>
      </c>
      <c r="R260" s="23">
        <f>IF($C260="","",N(J260)+N(Q260))</f>
        <v/>
      </c>
      <c r="S260" s="25">
        <f>IF(OR($C260="",N($G260)=0),"",R260/$G260)</f>
        <v/>
      </c>
      <c r="T260" s="23">
        <f>IF($C260="","",N($G260)-N(R260))</f>
        <v/>
      </c>
      <c r="U260" s="24" t="n"/>
      <c r="V260" s="22" t="n"/>
    </row>
    <row r="261">
      <c r="B261" s="13">
        <f>IF($C261="","",COUNTA($C$9:$C261))</f>
        <v/>
      </c>
      <c r="C261" s="21" t="n"/>
      <c r="D261" s="14" t="n"/>
      <c r="E261" s="14" t="n"/>
      <c r="F261" s="14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3">
        <f>IF($C261="","",N(L261)-N(M261))</f>
        <v/>
      </c>
      <c r="P261" s="24" t="n"/>
      <c r="Q261" s="23">
        <f>IF($C261="","",N(M261)+N(N261))</f>
        <v/>
      </c>
      <c r="R261" s="23">
        <f>IF($C261="","",N(J261)+N(Q261))</f>
        <v/>
      </c>
      <c r="S261" s="25">
        <f>IF(OR($C261="",N($G261)=0),"",R261/$G261)</f>
        <v/>
      </c>
      <c r="T261" s="23">
        <f>IF($C261="","",N($G261)-N(R261))</f>
        <v/>
      </c>
      <c r="U261" s="24" t="n"/>
      <c r="V261" s="22" t="n"/>
    </row>
    <row r="262">
      <c r="B262" s="13">
        <f>IF($C262="","",COUNTA($C$9:$C262))</f>
        <v/>
      </c>
      <c r="C262" s="21" t="n"/>
      <c r="D262" s="14" t="n"/>
      <c r="E262" s="14" t="n"/>
      <c r="F262" s="14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3">
        <f>IF($C262="","",N(L262)-N(M262))</f>
        <v/>
      </c>
      <c r="P262" s="24" t="n"/>
      <c r="Q262" s="23">
        <f>IF($C262="","",N(M262)+N(N262))</f>
        <v/>
      </c>
      <c r="R262" s="23">
        <f>IF($C262="","",N(J262)+N(Q262))</f>
        <v/>
      </c>
      <c r="S262" s="25">
        <f>IF(OR($C262="",N($G262)=0),"",R262/$G262)</f>
        <v/>
      </c>
      <c r="T262" s="23">
        <f>IF($C262="","",N($G262)-N(R262))</f>
        <v/>
      </c>
      <c r="U262" s="24" t="n"/>
      <c r="V262" s="22" t="n"/>
    </row>
    <row r="263">
      <c r="B263" s="13">
        <f>IF($C263="","",COUNTA($C$9:$C263))</f>
        <v/>
      </c>
      <c r="C263" s="21" t="n"/>
      <c r="D263" s="14" t="n"/>
      <c r="E263" s="14" t="n"/>
      <c r="F263" s="14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3">
        <f>IF($C263="","",N(L263)-N(M263))</f>
        <v/>
      </c>
      <c r="P263" s="24" t="n"/>
      <c r="Q263" s="23">
        <f>IF($C263="","",N(M263)+N(N263))</f>
        <v/>
      </c>
      <c r="R263" s="23">
        <f>IF($C263="","",N(J263)+N(Q263))</f>
        <v/>
      </c>
      <c r="S263" s="25">
        <f>IF(OR($C263="",N($G263)=0),"",R263/$G263)</f>
        <v/>
      </c>
      <c r="T263" s="23">
        <f>IF($C263="","",N($G263)-N(R263))</f>
        <v/>
      </c>
      <c r="U263" s="24" t="n"/>
      <c r="V263" s="22" t="n"/>
    </row>
    <row r="264">
      <c r="B264" s="13">
        <f>IF($C264="","",COUNTA($C$9:$C264))</f>
        <v/>
      </c>
      <c r="C264" s="21" t="n"/>
      <c r="D264" s="14" t="n"/>
      <c r="E264" s="14" t="n"/>
      <c r="F264" s="14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3">
        <f>IF($C264="","",N(L264)-N(M264))</f>
        <v/>
      </c>
      <c r="P264" s="24" t="n"/>
      <c r="Q264" s="23">
        <f>IF($C264="","",N(M264)+N(N264))</f>
        <v/>
      </c>
      <c r="R264" s="23">
        <f>IF($C264="","",N(J264)+N(Q264))</f>
        <v/>
      </c>
      <c r="S264" s="25">
        <f>IF(OR($C264="",N($G264)=0),"",R264/$G264)</f>
        <v/>
      </c>
      <c r="T264" s="23">
        <f>IF($C264="","",N($G264)-N(R264))</f>
        <v/>
      </c>
      <c r="U264" s="24" t="n"/>
      <c r="V264" s="22" t="n"/>
    </row>
    <row r="265">
      <c r="B265" s="13">
        <f>IF($C265="","",COUNTA($C$9:$C265))</f>
        <v/>
      </c>
      <c r="C265" s="21" t="n"/>
      <c r="D265" s="14" t="n"/>
      <c r="E265" s="14" t="n"/>
      <c r="F265" s="14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3">
        <f>IF($C265="","",N(L265)-N(M265))</f>
        <v/>
      </c>
      <c r="P265" s="24" t="n"/>
      <c r="Q265" s="23">
        <f>IF($C265="","",N(M265)+N(N265))</f>
        <v/>
      </c>
      <c r="R265" s="23">
        <f>IF($C265="","",N(J265)+N(Q265))</f>
        <v/>
      </c>
      <c r="S265" s="25">
        <f>IF(OR($C265="",N($G265)=0),"",R265/$G265)</f>
        <v/>
      </c>
      <c r="T265" s="23">
        <f>IF($C265="","",N($G265)-N(R265))</f>
        <v/>
      </c>
      <c r="U265" s="24" t="n"/>
      <c r="V265" s="22" t="n"/>
    </row>
    <row r="266">
      <c r="B266" s="13">
        <f>IF($C266="","",COUNTA($C$9:$C266))</f>
        <v/>
      </c>
      <c r="C266" s="21" t="n"/>
      <c r="D266" s="14" t="n"/>
      <c r="E266" s="14" t="n"/>
      <c r="F266" s="14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3">
        <f>IF($C266="","",N(L266)-N(M266))</f>
        <v/>
      </c>
      <c r="P266" s="24" t="n"/>
      <c r="Q266" s="23">
        <f>IF($C266="","",N(M266)+N(N266))</f>
        <v/>
      </c>
      <c r="R266" s="23">
        <f>IF($C266="","",N(J266)+N(Q266))</f>
        <v/>
      </c>
      <c r="S266" s="25">
        <f>IF(OR($C266="",N($G266)=0),"",R266/$G266)</f>
        <v/>
      </c>
      <c r="T266" s="23">
        <f>IF($C266="","",N($G266)-N(R266))</f>
        <v/>
      </c>
      <c r="U266" s="24" t="n"/>
      <c r="V266" s="22" t="n"/>
    </row>
    <row r="267">
      <c r="B267" s="13">
        <f>IF($C267="","",COUNTA($C$9:$C267))</f>
        <v/>
      </c>
      <c r="C267" s="21" t="n"/>
      <c r="D267" s="14" t="n"/>
      <c r="E267" s="14" t="n"/>
      <c r="F267" s="14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3">
        <f>IF($C267="","",N(L267)-N(M267))</f>
        <v/>
      </c>
      <c r="P267" s="24" t="n"/>
      <c r="Q267" s="23">
        <f>IF($C267="","",N(M267)+N(N267))</f>
        <v/>
      </c>
      <c r="R267" s="23">
        <f>IF($C267="","",N(J267)+N(Q267))</f>
        <v/>
      </c>
      <c r="S267" s="25">
        <f>IF(OR($C267="",N($G267)=0),"",R267/$G267)</f>
        <v/>
      </c>
      <c r="T267" s="23">
        <f>IF($C267="","",N($G267)-N(R267))</f>
        <v/>
      </c>
      <c r="U267" s="24" t="n"/>
      <c r="V267" s="22" t="n"/>
    </row>
    <row r="268">
      <c r="B268" s="13">
        <f>IF($C268="","",COUNTA($C$9:$C268))</f>
        <v/>
      </c>
      <c r="C268" s="21" t="n"/>
      <c r="D268" s="14" t="n"/>
      <c r="E268" s="14" t="n"/>
      <c r="F268" s="14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3">
        <f>IF($C268="","",N(L268)-N(M268))</f>
        <v/>
      </c>
      <c r="P268" s="24" t="n"/>
      <c r="Q268" s="23">
        <f>IF($C268="","",N(M268)+N(N268))</f>
        <v/>
      </c>
      <c r="R268" s="23">
        <f>IF($C268="","",N(J268)+N(Q268))</f>
        <v/>
      </c>
      <c r="S268" s="25">
        <f>IF(OR($C268="",N($G268)=0),"",R268/$G268)</f>
        <v/>
      </c>
      <c r="T268" s="23">
        <f>IF($C268="","",N($G268)-N(R268))</f>
        <v/>
      </c>
      <c r="U268" s="24" t="n"/>
      <c r="V268" s="22" t="n"/>
    </row>
    <row r="269">
      <c r="B269" s="13">
        <f>IF($C269="","",COUNTA($C$9:$C269))</f>
        <v/>
      </c>
      <c r="C269" s="21" t="n"/>
      <c r="D269" s="14" t="n"/>
      <c r="E269" s="14" t="n"/>
      <c r="F269" s="14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3">
        <f>IF($C269="","",N(L269)-N(M269))</f>
        <v/>
      </c>
      <c r="P269" s="24" t="n"/>
      <c r="Q269" s="23">
        <f>IF($C269="","",N(M269)+N(N269))</f>
        <v/>
      </c>
      <c r="R269" s="23">
        <f>IF($C269="","",N(J269)+N(Q269))</f>
        <v/>
      </c>
      <c r="S269" s="25">
        <f>IF(OR($C269="",N($G269)=0),"",R269/$G269)</f>
        <v/>
      </c>
      <c r="T269" s="23">
        <f>IF($C269="","",N($G269)-N(R269))</f>
        <v/>
      </c>
      <c r="U269" s="24" t="n"/>
      <c r="V269" s="22" t="n"/>
    </row>
    <row r="270">
      <c r="B270" s="13">
        <f>IF($C270="","",COUNTA($C$9:$C270))</f>
        <v/>
      </c>
      <c r="C270" s="21" t="n"/>
      <c r="D270" s="14" t="n"/>
      <c r="E270" s="14" t="n"/>
      <c r="F270" s="14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3">
        <f>IF($C270="","",N(L270)-N(M270))</f>
        <v/>
      </c>
      <c r="P270" s="24" t="n"/>
      <c r="Q270" s="23">
        <f>IF($C270="","",N(M270)+N(N270))</f>
        <v/>
      </c>
      <c r="R270" s="23">
        <f>IF($C270="","",N(J270)+N(Q270))</f>
        <v/>
      </c>
      <c r="S270" s="25">
        <f>IF(OR($C270="",N($G270)=0),"",R270/$G270)</f>
        <v/>
      </c>
      <c r="T270" s="23">
        <f>IF($C270="","",N($G270)-N(R270))</f>
        <v/>
      </c>
      <c r="U270" s="24" t="n"/>
      <c r="V270" s="22" t="n"/>
    </row>
    <row r="271">
      <c r="B271" s="13">
        <f>IF($C271="","",COUNTA($C$9:$C271))</f>
        <v/>
      </c>
      <c r="C271" s="21" t="n"/>
      <c r="D271" s="14" t="n"/>
      <c r="E271" s="14" t="n"/>
      <c r="F271" s="14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3">
        <f>IF($C271="","",N(L271)-N(M271))</f>
        <v/>
      </c>
      <c r="P271" s="24" t="n"/>
      <c r="Q271" s="23">
        <f>IF($C271="","",N(M271)+N(N271))</f>
        <v/>
      </c>
      <c r="R271" s="23">
        <f>IF($C271="","",N(J271)+N(Q271))</f>
        <v/>
      </c>
      <c r="S271" s="25">
        <f>IF(OR($C271="",N($G271)=0),"",R271/$G271)</f>
        <v/>
      </c>
      <c r="T271" s="23">
        <f>IF($C271="","",N($G271)-N(R271))</f>
        <v/>
      </c>
      <c r="U271" s="24" t="n"/>
      <c r="V271" s="22" t="n"/>
    </row>
    <row r="272">
      <c r="B272" s="13">
        <f>IF($C272="","",COUNTA($C$9:$C272))</f>
        <v/>
      </c>
      <c r="C272" s="21" t="n"/>
      <c r="D272" s="14" t="n"/>
      <c r="E272" s="14" t="n"/>
      <c r="F272" s="14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3">
        <f>IF($C272="","",N(L272)-N(M272))</f>
        <v/>
      </c>
      <c r="P272" s="24" t="n"/>
      <c r="Q272" s="23">
        <f>IF($C272="","",N(M272)+N(N272))</f>
        <v/>
      </c>
      <c r="R272" s="23">
        <f>IF($C272="","",N(J272)+N(Q272))</f>
        <v/>
      </c>
      <c r="S272" s="25">
        <f>IF(OR($C272="",N($G272)=0),"",R272/$G272)</f>
        <v/>
      </c>
      <c r="T272" s="23">
        <f>IF($C272="","",N($G272)-N(R272))</f>
        <v/>
      </c>
      <c r="U272" s="24" t="n"/>
      <c r="V272" s="22" t="n"/>
    </row>
    <row r="273">
      <c r="B273" s="13">
        <f>IF($C273="","",COUNTA($C$9:$C273))</f>
        <v/>
      </c>
      <c r="C273" s="21" t="n"/>
      <c r="D273" s="14" t="n"/>
      <c r="E273" s="14" t="n"/>
      <c r="F273" s="14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3">
        <f>IF($C273="","",N(L273)-N(M273))</f>
        <v/>
      </c>
      <c r="P273" s="24" t="n"/>
      <c r="Q273" s="23">
        <f>IF($C273="","",N(M273)+N(N273))</f>
        <v/>
      </c>
      <c r="R273" s="23">
        <f>IF($C273="","",N(J273)+N(Q273))</f>
        <v/>
      </c>
      <c r="S273" s="25">
        <f>IF(OR($C273="",N($G273)=0),"",R273/$G273)</f>
        <v/>
      </c>
      <c r="T273" s="23">
        <f>IF($C273="","",N($G273)-N(R273))</f>
        <v/>
      </c>
      <c r="U273" s="24" t="n"/>
      <c r="V273" s="22" t="n"/>
    </row>
    <row r="274">
      <c r="B274" s="13">
        <f>IF($C274="","",COUNTA($C$9:$C274))</f>
        <v/>
      </c>
      <c r="C274" s="21" t="n"/>
      <c r="D274" s="14" t="n"/>
      <c r="E274" s="14" t="n"/>
      <c r="F274" s="14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3">
        <f>IF($C274="","",N(L274)-N(M274))</f>
        <v/>
      </c>
      <c r="P274" s="24" t="n"/>
      <c r="Q274" s="23">
        <f>IF($C274="","",N(M274)+N(N274))</f>
        <v/>
      </c>
      <c r="R274" s="23">
        <f>IF($C274="","",N(J274)+N(Q274))</f>
        <v/>
      </c>
      <c r="S274" s="25">
        <f>IF(OR($C274="",N($G274)=0),"",R274/$G274)</f>
        <v/>
      </c>
      <c r="T274" s="23">
        <f>IF($C274="","",N($G274)-N(R274))</f>
        <v/>
      </c>
      <c r="U274" s="24" t="n"/>
      <c r="V274" s="22" t="n"/>
    </row>
    <row r="275">
      <c r="B275" s="13">
        <f>IF($C275="","",COUNTA($C$9:$C275))</f>
        <v/>
      </c>
      <c r="C275" s="21" t="n"/>
      <c r="D275" s="14" t="n"/>
      <c r="E275" s="14" t="n"/>
      <c r="F275" s="14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3">
        <f>IF($C275="","",N(L275)-N(M275))</f>
        <v/>
      </c>
      <c r="P275" s="24" t="n"/>
      <c r="Q275" s="23">
        <f>IF($C275="","",N(M275)+N(N275))</f>
        <v/>
      </c>
      <c r="R275" s="23">
        <f>IF($C275="","",N(J275)+N(Q275))</f>
        <v/>
      </c>
      <c r="S275" s="25">
        <f>IF(OR($C275="",N($G275)=0),"",R275/$G275)</f>
        <v/>
      </c>
      <c r="T275" s="23">
        <f>IF($C275="","",N($G275)-N(R275))</f>
        <v/>
      </c>
      <c r="U275" s="24" t="n"/>
      <c r="V275" s="22" t="n"/>
    </row>
    <row r="276">
      <c r="B276" s="13">
        <f>IF($C276="","",COUNTA($C$9:$C276))</f>
        <v/>
      </c>
      <c r="C276" s="21" t="n"/>
      <c r="D276" s="14" t="n"/>
      <c r="E276" s="14" t="n"/>
      <c r="F276" s="14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3">
        <f>IF($C276="","",N(L276)-N(M276))</f>
        <v/>
      </c>
      <c r="P276" s="24" t="n"/>
      <c r="Q276" s="23">
        <f>IF($C276="","",N(M276)+N(N276))</f>
        <v/>
      </c>
      <c r="R276" s="23">
        <f>IF($C276="","",N(J276)+N(Q276))</f>
        <v/>
      </c>
      <c r="S276" s="25">
        <f>IF(OR($C276="",N($G276)=0),"",R276/$G276)</f>
        <v/>
      </c>
      <c r="T276" s="23">
        <f>IF($C276="","",N($G276)-N(R276))</f>
        <v/>
      </c>
      <c r="U276" s="24" t="n"/>
      <c r="V276" s="22" t="n"/>
    </row>
    <row r="277">
      <c r="B277" s="13">
        <f>IF($C277="","",COUNTA($C$9:$C277))</f>
        <v/>
      </c>
      <c r="C277" s="21" t="n"/>
      <c r="D277" s="14" t="n"/>
      <c r="E277" s="14" t="n"/>
      <c r="F277" s="14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3">
        <f>IF($C277="","",N(L277)-N(M277))</f>
        <v/>
      </c>
      <c r="P277" s="24" t="n"/>
      <c r="Q277" s="23">
        <f>IF($C277="","",N(M277)+N(N277))</f>
        <v/>
      </c>
      <c r="R277" s="23">
        <f>IF($C277="","",N(J277)+N(Q277))</f>
        <v/>
      </c>
      <c r="S277" s="25">
        <f>IF(OR($C277="",N($G277)=0),"",R277/$G277)</f>
        <v/>
      </c>
      <c r="T277" s="23">
        <f>IF($C277="","",N($G277)-N(R277))</f>
        <v/>
      </c>
      <c r="U277" s="24" t="n"/>
      <c r="V277" s="22" t="n"/>
    </row>
    <row r="278">
      <c r="B278" s="13">
        <f>IF($C278="","",COUNTA($C$9:$C278))</f>
        <v/>
      </c>
      <c r="C278" s="21" t="n"/>
      <c r="D278" s="14" t="n"/>
      <c r="E278" s="14" t="n"/>
      <c r="F278" s="14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3">
        <f>IF($C278="","",N(L278)-N(M278))</f>
        <v/>
      </c>
      <c r="P278" s="24" t="n"/>
      <c r="Q278" s="23">
        <f>IF($C278="","",N(M278)+N(N278))</f>
        <v/>
      </c>
      <c r="R278" s="23">
        <f>IF($C278="","",N(J278)+N(Q278))</f>
        <v/>
      </c>
      <c r="S278" s="25">
        <f>IF(OR($C278="",N($G278)=0),"",R278/$G278)</f>
        <v/>
      </c>
      <c r="T278" s="23">
        <f>IF($C278="","",N($G278)-N(R278))</f>
        <v/>
      </c>
      <c r="U278" s="24" t="n"/>
      <c r="V278" s="22" t="n"/>
    </row>
    <row r="279">
      <c r="B279" s="13">
        <f>IF($C279="","",COUNTA($C$9:$C279))</f>
        <v/>
      </c>
      <c r="C279" s="21" t="n"/>
      <c r="D279" s="14" t="n"/>
      <c r="E279" s="14" t="n"/>
      <c r="F279" s="14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3">
        <f>IF($C279="","",N(L279)-N(M279))</f>
        <v/>
      </c>
      <c r="P279" s="24" t="n"/>
      <c r="Q279" s="23">
        <f>IF($C279="","",N(M279)+N(N279))</f>
        <v/>
      </c>
      <c r="R279" s="23">
        <f>IF($C279="","",N(J279)+N(Q279))</f>
        <v/>
      </c>
      <c r="S279" s="25">
        <f>IF(OR($C279="",N($G279)=0),"",R279/$G279)</f>
        <v/>
      </c>
      <c r="T279" s="23">
        <f>IF($C279="","",N($G279)-N(R279))</f>
        <v/>
      </c>
      <c r="U279" s="24" t="n"/>
      <c r="V279" s="22" t="n"/>
    </row>
    <row r="280">
      <c r="B280" s="13">
        <f>IF($C280="","",COUNTA($C$9:$C280))</f>
        <v/>
      </c>
      <c r="C280" s="21" t="n"/>
      <c r="D280" s="14" t="n"/>
      <c r="E280" s="14" t="n"/>
      <c r="F280" s="14" t="n"/>
      <c r="G280" s="22" t="n"/>
      <c r="H280" s="22" t="n"/>
      <c r="I280" s="22" t="n"/>
      <c r="J280" s="22" t="n"/>
      <c r="K280" s="22" t="n"/>
      <c r="L280" s="22" t="n"/>
      <c r="M280" s="22" t="n"/>
      <c r="N280" s="22" t="n"/>
      <c r="O280" s="23">
        <f>IF($C280="","",N(L280)-N(M280))</f>
        <v/>
      </c>
      <c r="P280" s="24" t="n"/>
      <c r="Q280" s="23">
        <f>IF($C280="","",N(M280)+N(N280))</f>
        <v/>
      </c>
      <c r="R280" s="23">
        <f>IF($C280="","",N(J280)+N(Q280))</f>
        <v/>
      </c>
      <c r="S280" s="25">
        <f>IF(OR($C280="",N($G280)=0),"",R280/$G280)</f>
        <v/>
      </c>
      <c r="T280" s="23">
        <f>IF($C280="","",N($G280)-N(R280))</f>
        <v/>
      </c>
      <c r="U280" s="24" t="n"/>
      <c r="V280" s="22" t="n"/>
    </row>
    <row r="281">
      <c r="B281" s="13">
        <f>IF($C281="","",COUNTA($C$9:$C281))</f>
        <v/>
      </c>
      <c r="C281" s="21" t="n"/>
      <c r="D281" s="14" t="n"/>
      <c r="E281" s="14" t="n"/>
      <c r="F281" s="14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3">
        <f>IF($C281="","",N(L281)-N(M281))</f>
        <v/>
      </c>
      <c r="P281" s="24" t="n"/>
      <c r="Q281" s="23">
        <f>IF($C281="","",N(M281)+N(N281))</f>
        <v/>
      </c>
      <c r="R281" s="23">
        <f>IF($C281="","",N(J281)+N(Q281))</f>
        <v/>
      </c>
      <c r="S281" s="25">
        <f>IF(OR($C281="",N($G281)=0),"",R281/$G281)</f>
        <v/>
      </c>
      <c r="T281" s="23">
        <f>IF($C281="","",N($G281)-N(R281))</f>
        <v/>
      </c>
      <c r="U281" s="24" t="n"/>
      <c r="V281" s="22" t="n"/>
    </row>
    <row r="282">
      <c r="B282" s="13">
        <f>IF($C282="","",COUNTA($C$9:$C282))</f>
        <v/>
      </c>
      <c r="C282" s="21" t="n"/>
      <c r="D282" s="14" t="n"/>
      <c r="E282" s="14" t="n"/>
      <c r="F282" s="14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3">
        <f>IF($C282="","",N(L282)-N(M282))</f>
        <v/>
      </c>
      <c r="P282" s="24" t="n"/>
      <c r="Q282" s="23">
        <f>IF($C282="","",N(M282)+N(N282))</f>
        <v/>
      </c>
      <c r="R282" s="23">
        <f>IF($C282="","",N(J282)+N(Q282))</f>
        <v/>
      </c>
      <c r="S282" s="25">
        <f>IF(OR($C282="",N($G282)=0),"",R282/$G282)</f>
        <v/>
      </c>
      <c r="T282" s="23">
        <f>IF($C282="","",N($G282)-N(R282))</f>
        <v/>
      </c>
      <c r="U282" s="24" t="n"/>
      <c r="V282" s="22" t="n"/>
    </row>
    <row r="283">
      <c r="B283" s="13">
        <f>IF($C283="","",COUNTA($C$9:$C283))</f>
        <v/>
      </c>
      <c r="C283" s="21" t="n"/>
      <c r="D283" s="14" t="n"/>
      <c r="E283" s="14" t="n"/>
      <c r="F283" s="14" t="n"/>
      <c r="G283" s="22" t="n"/>
      <c r="H283" s="22" t="n"/>
      <c r="I283" s="22" t="n"/>
      <c r="J283" s="22" t="n"/>
      <c r="K283" s="22" t="n"/>
      <c r="L283" s="22" t="n"/>
      <c r="M283" s="22" t="n"/>
      <c r="N283" s="22" t="n"/>
      <c r="O283" s="23">
        <f>IF($C283="","",N(L283)-N(M283))</f>
        <v/>
      </c>
      <c r="P283" s="24" t="n"/>
      <c r="Q283" s="23">
        <f>IF($C283="","",N(M283)+N(N283))</f>
        <v/>
      </c>
      <c r="R283" s="23">
        <f>IF($C283="","",N(J283)+N(Q283))</f>
        <v/>
      </c>
      <c r="S283" s="25">
        <f>IF(OR($C283="",N($G283)=0),"",R283/$G283)</f>
        <v/>
      </c>
      <c r="T283" s="23">
        <f>IF($C283="","",N($G283)-N(R283))</f>
        <v/>
      </c>
      <c r="U283" s="24" t="n"/>
      <c r="V283" s="22" t="n"/>
    </row>
    <row r="284">
      <c r="B284" s="13">
        <f>IF($C284="","",COUNTA($C$9:$C284))</f>
        <v/>
      </c>
      <c r="C284" s="21" t="n"/>
      <c r="D284" s="14" t="n"/>
      <c r="E284" s="14" t="n"/>
      <c r="F284" s="14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3">
        <f>IF($C284="","",N(L284)-N(M284))</f>
        <v/>
      </c>
      <c r="P284" s="24" t="n"/>
      <c r="Q284" s="23">
        <f>IF($C284="","",N(M284)+N(N284))</f>
        <v/>
      </c>
      <c r="R284" s="23">
        <f>IF($C284="","",N(J284)+N(Q284))</f>
        <v/>
      </c>
      <c r="S284" s="25">
        <f>IF(OR($C284="",N($G284)=0),"",R284/$G284)</f>
        <v/>
      </c>
      <c r="T284" s="23">
        <f>IF($C284="","",N($G284)-N(R284))</f>
        <v/>
      </c>
      <c r="U284" s="24" t="n"/>
      <c r="V284" s="22" t="n"/>
    </row>
    <row r="285">
      <c r="B285" s="13">
        <f>IF($C285="","",COUNTA($C$9:$C285))</f>
        <v/>
      </c>
      <c r="C285" s="21" t="n"/>
      <c r="D285" s="14" t="n"/>
      <c r="E285" s="14" t="n"/>
      <c r="F285" s="14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3">
        <f>IF($C285="","",N(L285)-N(M285))</f>
        <v/>
      </c>
      <c r="P285" s="24" t="n"/>
      <c r="Q285" s="23">
        <f>IF($C285="","",N(M285)+N(N285))</f>
        <v/>
      </c>
      <c r="R285" s="23">
        <f>IF($C285="","",N(J285)+N(Q285))</f>
        <v/>
      </c>
      <c r="S285" s="25">
        <f>IF(OR($C285="",N($G285)=0),"",R285/$G285)</f>
        <v/>
      </c>
      <c r="T285" s="23">
        <f>IF($C285="","",N($G285)-N(R285))</f>
        <v/>
      </c>
      <c r="U285" s="24" t="n"/>
      <c r="V285" s="22" t="n"/>
    </row>
    <row r="286">
      <c r="B286" s="13">
        <f>IF($C286="","",COUNTA($C$9:$C286))</f>
        <v/>
      </c>
      <c r="C286" s="21" t="n"/>
      <c r="D286" s="14" t="n"/>
      <c r="E286" s="14" t="n"/>
      <c r="F286" s="14" t="n"/>
      <c r="G286" s="22" t="n"/>
      <c r="H286" s="22" t="n"/>
      <c r="I286" s="22" t="n"/>
      <c r="J286" s="22" t="n"/>
      <c r="K286" s="22" t="n"/>
      <c r="L286" s="22" t="n"/>
      <c r="M286" s="22" t="n"/>
      <c r="N286" s="22" t="n"/>
      <c r="O286" s="23">
        <f>IF($C286="","",N(L286)-N(M286))</f>
        <v/>
      </c>
      <c r="P286" s="24" t="n"/>
      <c r="Q286" s="23">
        <f>IF($C286="","",N(M286)+N(N286))</f>
        <v/>
      </c>
      <c r="R286" s="23">
        <f>IF($C286="","",N(J286)+N(Q286))</f>
        <v/>
      </c>
      <c r="S286" s="25">
        <f>IF(OR($C286="",N($G286)=0),"",R286/$G286)</f>
        <v/>
      </c>
      <c r="T286" s="23">
        <f>IF($C286="","",N($G286)-N(R286))</f>
        <v/>
      </c>
      <c r="U286" s="24" t="n"/>
      <c r="V286" s="22" t="n"/>
    </row>
    <row r="287">
      <c r="B287" s="13">
        <f>IF($C287="","",COUNTA($C$9:$C287))</f>
        <v/>
      </c>
      <c r="C287" s="21" t="n"/>
      <c r="D287" s="14" t="n"/>
      <c r="E287" s="14" t="n"/>
      <c r="F287" s="14" t="n"/>
      <c r="G287" s="22" t="n"/>
      <c r="H287" s="22" t="n"/>
      <c r="I287" s="22" t="n"/>
      <c r="J287" s="22" t="n"/>
      <c r="K287" s="22" t="n"/>
      <c r="L287" s="22" t="n"/>
      <c r="M287" s="22" t="n"/>
      <c r="N287" s="22" t="n"/>
      <c r="O287" s="23">
        <f>IF($C287="","",N(L287)-N(M287))</f>
        <v/>
      </c>
      <c r="P287" s="24" t="n"/>
      <c r="Q287" s="23">
        <f>IF($C287="","",N(M287)+N(N287))</f>
        <v/>
      </c>
      <c r="R287" s="23">
        <f>IF($C287="","",N(J287)+N(Q287))</f>
        <v/>
      </c>
      <c r="S287" s="25">
        <f>IF(OR($C287="",N($G287)=0),"",R287/$G287)</f>
        <v/>
      </c>
      <c r="T287" s="23">
        <f>IF($C287="","",N($G287)-N(R287))</f>
        <v/>
      </c>
      <c r="U287" s="24" t="n"/>
      <c r="V287" s="22" t="n"/>
    </row>
    <row r="288">
      <c r="B288" s="13">
        <f>IF($C288="","",COUNTA($C$9:$C288))</f>
        <v/>
      </c>
      <c r="C288" s="21" t="n"/>
      <c r="D288" s="14" t="n"/>
      <c r="E288" s="14" t="n"/>
      <c r="F288" s="14" t="n"/>
      <c r="G288" s="22" t="n"/>
      <c r="H288" s="22" t="n"/>
      <c r="I288" s="22" t="n"/>
      <c r="J288" s="22" t="n"/>
      <c r="K288" s="22" t="n"/>
      <c r="L288" s="22" t="n"/>
      <c r="M288" s="22" t="n"/>
      <c r="N288" s="22" t="n"/>
      <c r="O288" s="23">
        <f>IF($C288="","",N(L288)-N(M288))</f>
        <v/>
      </c>
      <c r="P288" s="24" t="n"/>
      <c r="Q288" s="23">
        <f>IF($C288="","",N(M288)+N(N288))</f>
        <v/>
      </c>
      <c r="R288" s="23">
        <f>IF($C288="","",N(J288)+N(Q288))</f>
        <v/>
      </c>
      <c r="S288" s="25">
        <f>IF(OR($C288="",N($G288)=0),"",R288/$G288)</f>
        <v/>
      </c>
      <c r="T288" s="23">
        <f>IF($C288="","",N($G288)-N(R288))</f>
        <v/>
      </c>
      <c r="U288" s="24" t="n"/>
      <c r="V288" s="22" t="n"/>
    </row>
    <row r="289">
      <c r="B289" s="13">
        <f>IF($C289="","",COUNTA($C$9:$C289))</f>
        <v/>
      </c>
      <c r="C289" s="21" t="n"/>
      <c r="D289" s="14" t="n"/>
      <c r="E289" s="14" t="n"/>
      <c r="F289" s="14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3">
        <f>IF($C289="","",N(L289)-N(M289))</f>
        <v/>
      </c>
      <c r="P289" s="24" t="n"/>
      <c r="Q289" s="23">
        <f>IF($C289="","",N(M289)+N(N289))</f>
        <v/>
      </c>
      <c r="R289" s="23">
        <f>IF($C289="","",N(J289)+N(Q289))</f>
        <v/>
      </c>
      <c r="S289" s="25">
        <f>IF(OR($C289="",N($G289)=0),"",R289/$G289)</f>
        <v/>
      </c>
      <c r="T289" s="23">
        <f>IF($C289="","",N($G289)-N(R289))</f>
        <v/>
      </c>
      <c r="U289" s="24" t="n"/>
      <c r="V289" s="22" t="n"/>
    </row>
    <row r="290">
      <c r="B290" s="13">
        <f>IF($C290="","",COUNTA($C$9:$C290))</f>
        <v/>
      </c>
      <c r="C290" s="21" t="n"/>
      <c r="D290" s="14" t="n"/>
      <c r="E290" s="14" t="n"/>
      <c r="F290" s="14" t="n"/>
      <c r="G290" s="22" t="n"/>
      <c r="H290" s="22" t="n"/>
      <c r="I290" s="22" t="n"/>
      <c r="J290" s="22" t="n"/>
      <c r="K290" s="22" t="n"/>
      <c r="L290" s="22" t="n"/>
      <c r="M290" s="22" t="n"/>
      <c r="N290" s="22" t="n"/>
      <c r="O290" s="23">
        <f>IF($C290="","",N(L290)-N(M290))</f>
        <v/>
      </c>
      <c r="P290" s="24" t="n"/>
      <c r="Q290" s="23">
        <f>IF($C290="","",N(M290)+N(N290))</f>
        <v/>
      </c>
      <c r="R290" s="23">
        <f>IF($C290="","",N(J290)+N(Q290))</f>
        <v/>
      </c>
      <c r="S290" s="25">
        <f>IF(OR($C290="",N($G290)=0),"",R290/$G290)</f>
        <v/>
      </c>
      <c r="T290" s="23">
        <f>IF($C290="","",N($G290)-N(R290))</f>
        <v/>
      </c>
      <c r="U290" s="24" t="n"/>
      <c r="V290" s="22" t="n"/>
    </row>
    <row r="291">
      <c r="B291" s="13">
        <f>IF($C291="","",COUNTA($C$9:$C291))</f>
        <v/>
      </c>
      <c r="C291" s="21" t="n"/>
      <c r="D291" s="14" t="n"/>
      <c r="E291" s="14" t="n"/>
      <c r="F291" s="14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3">
        <f>IF($C291="","",N(L291)-N(M291))</f>
        <v/>
      </c>
      <c r="P291" s="24" t="n"/>
      <c r="Q291" s="23">
        <f>IF($C291="","",N(M291)+N(N291))</f>
        <v/>
      </c>
      <c r="R291" s="23">
        <f>IF($C291="","",N(J291)+N(Q291))</f>
        <v/>
      </c>
      <c r="S291" s="25">
        <f>IF(OR($C291="",N($G291)=0),"",R291/$G291)</f>
        <v/>
      </c>
      <c r="T291" s="23">
        <f>IF($C291="","",N($G291)-N(R291))</f>
        <v/>
      </c>
      <c r="U291" s="24" t="n"/>
      <c r="V291" s="22" t="n"/>
    </row>
    <row r="292">
      <c r="B292" s="13">
        <f>IF($C292="","",COUNTA($C$9:$C292))</f>
        <v/>
      </c>
      <c r="C292" s="21" t="n"/>
      <c r="D292" s="14" t="n"/>
      <c r="E292" s="14" t="n"/>
      <c r="F292" s="14" t="n"/>
      <c r="G292" s="22" t="n"/>
      <c r="H292" s="22" t="n"/>
      <c r="I292" s="22" t="n"/>
      <c r="J292" s="22" t="n"/>
      <c r="K292" s="22" t="n"/>
      <c r="L292" s="22" t="n"/>
      <c r="M292" s="22" t="n"/>
      <c r="N292" s="22" t="n"/>
      <c r="O292" s="23">
        <f>IF($C292="","",N(L292)-N(M292))</f>
        <v/>
      </c>
      <c r="P292" s="24" t="n"/>
      <c r="Q292" s="23">
        <f>IF($C292="","",N(M292)+N(N292))</f>
        <v/>
      </c>
      <c r="R292" s="23">
        <f>IF($C292="","",N(J292)+N(Q292))</f>
        <v/>
      </c>
      <c r="S292" s="25">
        <f>IF(OR($C292="",N($G292)=0),"",R292/$G292)</f>
        <v/>
      </c>
      <c r="T292" s="23">
        <f>IF($C292="","",N($G292)-N(R292))</f>
        <v/>
      </c>
      <c r="U292" s="24" t="n"/>
      <c r="V292" s="22" t="n"/>
    </row>
    <row r="293">
      <c r="B293" s="13">
        <f>IF($C293="","",COUNTA($C$9:$C293))</f>
        <v/>
      </c>
      <c r="C293" s="21" t="n"/>
      <c r="D293" s="14" t="n"/>
      <c r="E293" s="14" t="n"/>
      <c r="F293" s="14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3">
        <f>IF($C293="","",N(L293)-N(M293))</f>
        <v/>
      </c>
      <c r="P293" s="24" t="n"/>
      <c r="Q293" s="23">
        <f>IF($C293="","",N(M293)+N(N293))</f>
        <v/>
      </c>
      <c r="R293" s="23">
        <f>IF($C293="","",N(J293)+N(Q293))</f>
        <v/>
      </c>
      <c r="S293" s="25">
        <f>IF(OR($C293="",N($G293)=0),"",R293/$G293)</f>
        <v/>
      </c>
      <c r="T293" s="23">
        <f>IF($C293="","",N($G293)-N(R293))</f>
        <v/>
      </c>
      <c r="U293" s="24" t="n"/>
      <c r="V293" s="22" t="n"/>
    </row>
    <row r="294">
      <c r="B294" s="13">
        <f>IF($C294="","",COUNTA($C$9:$C294))</f>
        <v/>
      </c>
      <c r="C294" s="21" t="n"/>
      <c r="D294" s="14" t="n"/>
      <c r="E294" s="14" t="n"/>
      <c r="F294" s="14" t="n"/>
      <c r="G294" s="22" t="n"/>
      <c r="H294" s="22" t="n"/>
      <c r="I294" s="22" t="n"/>
      <c r="J294" s="22" t="n"/>
      <c r="K294" s="22" t="n"/>
      <c r="L294" s="22" t="n"/>
      <c r="M294" s="22" t="n"/>
      <c r="N294" s="22" t="n"/>
      <c r="O294" s="23">
        <f>IF($C294="","",N(L294)-N(M294))</f>
        <v/>
      </c>
      <c r="P294" s="24" t="n"/>
      <c r="Q294" s="23">
        <f>IF($C294="","",N(M294)+N(N294))</f>
        <v/>
      </c>
      <c r="R294" s="23">
        <f>IF($C294="","",N(J294)+N(Q294))</f>
        <v/>
      </c>
      <c r="S294" s="25">
        <f>IF(OR($C294="",N($G294)=0),"",R294/$G294)</f>
        <v/>
      </c>
      <c r="T294" s="23">
        <f>IF($C294="","",N($G294)-N(R294))</f>
        <v/>
      </c>
      <c r="U294" s="24" t="n"/>
      <c r="V294" s="22" t="n"/>
    </row>
    <row r="295">
      <c r="B295" s="13">
        <f>IF($C295="","",COUNTA($C$9:$C295))</f>
        <v/>
      </c>
      <c r="C295" s="21" t="n"/>
      <c r="D295" s="14" t="n"/>
      <c r="E295" s="14" t="n"/>
      <c r="F295" s="14" t="n"/>
      <c r="G295" s="22" t="n"/>
      <c r="H295" s="22" t="n"/>
      <c r="I295" s="22" t="n"/>
      <c r="J295" s="22" t="n"/>
      <c r="K295" s="22" t="n"/>
      <c r="L295" s="22" t="n"/>
      <c r="M295" s="22" t="n"/>
      <c r="N295" s="22" t="n"/>
      <c r="O295" s="23">
        <f>IF($C295="","",N(L295)-N(M295))</f>
        <v/>
      </c>
      <c r="P295" s="24" t="n"/>
      <c r="Q295" s="23">
        <f>IF($C295="","",N(M295)+N(N295))</f>
        <v/>
      </c>
      <c r="R295" s="23">
        <f>IF($C295="","",N(J295)+N(Q295))</f>
        <v/>
      </c>
      <c r="S295" s="25">
        <f>IF(OR($C295="",N($G295)=0),"",R295/$G295)</f>
        <v/>
      </c>
      <c r="T295" s="23">
        <f>IF($C295="","",N($G295)-N(R295))</f>
        <v/>
      </c>
      <c r="U295" s="24" t="n"/>
      <c r="V295" s="22" t="n"/>
    </row>
    <row r="296">
      <c r="B296" s="13">
        <f>IF($C296="","",COUNTA($C$9:$C296))</f>
        <v/>
      </c>
      <c r="C296" s="21" t="n"/>
      <c r="D296" s="14" t="n"/>
      <c r="E296" s="14" t="n"/>
      <c r="F296" s="14" t="n"/>
      <c r="G296" s="22" t="n"/>
      <c r="H296" s="22" t="n"/>
      <c r="I296" s="22" t="n"/>
      <c r="J296" s="22" t="n"/>
      <c r="K296" s="22" t="n"/>
      <c r="L296" s="22" t="n"/>
      <c r="M296" s="22" t="n"/>
      <c r="N296" s="22" t="n"/>
      <c r="O296" s="23">
        <f>IF($C296="","",N(L296)-N(M296))</f>
        <v/>
      </c>
      <c r="P296" s="24" t="n"/>
      <c r="Q296" s="23">
        <f>IF($C296="","",N(M296)+N(N296))</f>
        <v/>
      </c>
      <c r="R296" s="23">
        <f>IF($C296="","",N(J296)+N(Q296))</f>
        <v/>
      </c>
      <c r="S296" s="25">
        <f>IF(OR($C296="",N($G296)=0),"",R296/$G296)</f>
        <v/>
      </c>
      <c r="T296" s="23">
        <f>IF($C296="","",N($G296)-N(R296))</f>
        <v/>
      </c>
      <c r="U296" s="24" t="n"/>
      <c r="V296" s="22" t="n"/>
    </row>
    <row r="297">
      <c r="B297" s="13">
        <f>IF($C297="","",COUNTA($C$9:$C297))</f>
        <v/>
      </c>
      <c r="C297" s="21" t="n"/>
      <c r="D297" s="14" t="n"/>
      <c r="E297" s="14" t="n"/>
      <c r="F297" s="14" t="n"/>
      <c r="G297" s="22" t="n"/>
      <c r="H297" s="22" t="n"/>
      <c r="I297" s="22" t="n"/>
      <c r="J297" s="22" t="n"/>
      <c r="K297" s="22" t="n"/>
      <c r="L297" s="22" t="n"/>
      <c r="M297" s="22" t="n"/>
      <c r="N297" s="22" t="n"/>
      <c r="O297" s="23">
        <f>IF($C297="","",N(L297)-N(M297))</f>
        <v/>
      </c>
      <c r="P297" s="24" t="n"/>
      <c r="Q297" s="23">
        <f>IF($C297="","",N(M297)+N(N297))</f>
        <v/>
      </c>
      <c r="R297" s="23">
        <f>IF($C297="","",N(J297)+N(Q297))</f>
        <v/>
      </c>
      <c r="S297" s="25">
        <f>IF(OR($C297="",N($G297)=0),"",R297/$G297)</f>
        <v/>
      </c>
      <c r="T297" s="23">
        <f>IF($C297="","",N($G297)-N(R297))</f>
        <v/>
      </c>
      <c r="U297" s="24" t="n"/>
      <c r="V297" s="22" t="n"/>
    </row>
    <row r="298">
      <c r="B298" s="13">
        <f>IF($C298="","",COUNTA($C$9:$C298))</f>
        <v/>
      </c>
      <c r="C298" s="21" t="n"/>
      <c r="D298" s="14" t="n"/>
      <c r="E298" s="14" t="n"/>
      <c r="F298" s="14" t="n"/>
      <c r="G298" s="22" t="n"/>
      <c r="H298" s="22" t="n"/>
      <c r="I298" s="22" t="n"/>
      <c r="J298" s="22" t="n"/>
      <c r="K298" s="22" t="n"/>
      <c r="L298" s="22" t="n"/>
      <c r="M298" s="22" t="n"/>
      <c r="N298" s="22" t="n"/>
      <c r="O298" s="23">
        <f>IF($C298="","",N(L298)-N(M298))</f>
        <v/>
      </c>
      <c r="P298" s="24" t="n"/>
      <c r="Q298" s="23">
        <f>IF($C298="","",N(M298)+N(N298))</f>
        <v/>
      </c>
      <c r="R298" s="23">
        <f>IF($C298="","",N(J298)+N(Q298))</f>
        <v/>
      </c>
      <c r="S298" s="25">
        <f>IF(OR($C298="",N($G298)=0),"",R298/$G298)</f>
        <v/>
      </c>
      <c r="T298" s="23">
        <f>IF($C298="","",N($G298)-N(R298))</f>
        <v/>
      </c>
      <c r="U298" s="24" t="n"/>
      <c r="V298" s="22" t="n"/>
    </row>
    <row r="299">
      <c r="B299" s="13">
        <f>IF($C299="","",COUNTA($C$9:$C299))</f>
        <v/>
      </c>
      <c r="C299" s="21" t="n"/>
      <c r="D299" s="14" t="n"/>
      <c r="E299" s="14" t="n"/>
      <c r="F299" s="14" t="n"/>
      <c r="G299" s="22" t="n"/>
      <c r="H299" s="22" t="n"/>
      <c r="I299" s="22" t="n"/>
      <c r="J299" s="22" t="n"/>
      <c r="K299" s="22" t="n"/>
      <c r="L299" s="22" t="n"/>
      <c r="M299" s="22" t="n"/>
      <c r="N299" s="22" t="n"/>
      <c r="O299" s="23">
        <f>IF($C299="","",N(L299)-N(M299))</f>
        <v/>
      </c>
      <c r="P299" s="24" t="n"/>
      <c r="Q299" s="23">
        <f>IF($C299="","",N(M299)+N(N299))</f>
        <v/>
      </c>
      <c r="R299" s="23">
        <f>IF($C299="","",N(J299)+N(Q299))</f>
        <v/>
      </c>
      <c r="S299" s="25">
        <f>IF(OR($C299="",N($G299)=0),"",R299/$G299)</f>
        <v/>
      </c>
      <c r="T299" s="23">
        <f>IF($C299="","",N($G299)-N(R299))</f>
        <v/>
      </c>
      <c r="U299" s="24" t="n"/>
      <c r="V299" s="22" t="n"/>
    </row>
    <row r="300">
      <c r="B300" s="13">
        <f>IF($C300="","",COUNTA($C$9:$C300))</f>
        <v/>
      </c>
      <c r="C300" s="21" t="n"/>
      <c r="D300" s="14" t="n"/>
      <c r="E300" s="14" t="n"/>
      <c r="F300" s="14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3">
        <f>IF($C300="","",N(L300)-N(M300))</f>
        <v/>
      </c>
      <c r="P300" s="24" t="n"/>
      <c r="Q300" s="23">
        <f>IF($C300="","",N(M300)+N(N300))</f>
        <v/>
      </c>
      <c r="R300" s="23">
        <f>IF($C300="","",N(J300)+N(Q300))</f>
        <v/>
      </c>
      <c r="S300" s="25">
        <f>IF(OR($C300="",N($G300)=0),"",R300/$G300)</f>
        <v/>
      </c>
      <c r="T300" s="23">
        <f>IF($C300="","",N($G300)-N(R300))</f>
        <v/>
      </c>
      <c r="U300" s="24" t="n"/>
      <c r="V300" s="22" t="n"/>
    </row>
    <row r="301">
      <c r="B301" s="13">
        <f>IF($C301="","",COUNTA($C$9:$C301))</f>
        <v/>
      </c>
      <c r="C301" s="21" t="n"/>
      <c r="D301" s="14" t="n"/>
      <c r="E301" s="14" t="n"/>
      <c r="F301" s="14" t="n"/>
      <c r="G301" s="22" t="n"/>
      <c r="H301" s="22" t="n"/>
      <c r="I301" s="22" t="n"/>
      <c r="J301" s="22" t="n"/>
      <c r="K301" s="22" t="n"/>
      <c r="L301" s="22" t="n"/>
      <c r="M301" s="22" t="n"/>
      <c r="N301" s="22" t="n"/>
      <c r="O301" s="23">
        <f>IF($C301="","",N(L301)-N(M301))</f>
        <v/>
      </c>
      <c r="P301" s="24" t="n"/>
      <c r="Q301" s="23">
        <f>IF($C301="","",N(M301)+N(N301))</f>
        <v/>
      </c>
      <c r="R301" s="23">
        <f>IF($C301="","",N(J301)+N(Q301))</f>
        <v/>
      </c>
      <c r="S301" s="25">
        <f>IF(OR($C301="",N($G301)=0),"",R301/$G301)</f>
        <v/>
      </c>
      <c r="T301" s="23">
        <f>IF($C301="","",N($G301)-N(R301))</f>
        <v/>
      </c>
      <c r="U301" s="24" t="n"/>
      <c r="V301" s="22" t="n"/>
    </row>
    <row r="302">
      <c r="B302" s="13">
        <f>IF($C302="","",COUNTA($C$9:$C302))</f>
        <v/>
      </c>
      <c r="C302" s="21" t="n"/>
      <c r="D302" s="14" t="n"/>
      <c r="E302" s="14" t="n"/>
      <c r="F302" s="14" t="n"/>
      <c r="G302" s="22" t="n"/>
      <c r="H302" s="22" t="n"/>
      <c r="I302" s="22" t="n"/>
      <c r="J302" s="22" t="n"/>
      <c r="K302" s="22" t="n"/>
      <c r="L302" s="22" t="n"/>
      <c r="M302" s="22" t="n"/>
      <c r="N302" s="22" t="n"/>
      <c r="O302" s="23">
        <f>IF($C302="","",N(L302)-N(M302))</f>
        <v/>
      </c>
      <c r="P302" s="24" t="n"/>
      <c r="Q302" s="23">
        <f>IF($C302="","",N(M302)+N(N302))</f>
        <v/>
      </c>
      <c r="R302" s="23">
        <f>IF($C302="","",N(J302)+N(Q302))</f>
        <v/>
      </c>
      <c r="S302" s="25">
        <f>IF(OR($C302="",N($G302)=0),"",R302/$G302)</f>
        <v/>
      </c>
      <c r="T302" s="23">
        <f>IF($C302="","",N($G302)-N(R302))</f>
        <v/>
      </c>
      <c r="U302" s="24" t="n"/>
      <c r="V302" s="22" t="n"/>
    </row>
    <row r="303">
      <c r="B303" s="13">
        <f>IF($C303="","",COUNTA($C$9:$C303))</f>
        <v/>
      </c>
      <c r="C303" s="21" t="n"/>
      <c r="D303" s="14" t="n"/>
      <c r="E303" s="14" t="n"/>
      <c r="F303" s="14" t="n"/>
      <c r="G303" s="22" t="n"/>
      <c r="H303" s="22" t="n"/>
      <c r="I303" s="22" t="n"/>
      <c r="J303" s="22" t="n"/>
      <c r="K303" s="22" t="n"/>
      <c r="L303" s="22" t="n"/>
      <c r="M303" s="22" t="n"/>
      <c r="N303" s="22" t="n"/>
      <c r="O303" s="23">
        <f>IF($C303="","",N(L303)-N(M303))</f>
        <v/>
      </c>
      <c r="P303" s="24" t="n"/>
      <c r="Q303" s="23">
        <f>IF($C303="","",N(M303)+N(N303))</f>
        <v/>
      </c>
      <c r="R303" s="23">
        <f>IF($C303="","",N(J303)+N(Q303))</f>
        <v/>
      </c>
      <c r="S303" s="25">
        <f>IF(OR($C303="",N($G303)=0),"",R303/$G303)</f>
        <v/>
      </c>
      <c r="T303" s="23">
        <f>IF($C303="","",N($G303)-N(R303))</f>
        <v/>
      </c>
      <c r="U303" s="24" t="n"/>
      <c r="V303" s="22" t="n"/>
    </row>
    <row r="304">
      <c r="B304" s="13">
        <f>IF($C304="","",COUNTA($C$9:$C304))</f>
        <v/>
      </c>
      <c r="C304" s="21" t="n"/>
      <c r="D304" s="14" t="n"/>
      <c r="E304" s="14" t="n"/>
      <c r="F304" s="14" t="n"/>
      <c r="G304" s="22" t="n"/>
      <c r="H304" s="22" t="n"/>
      <c r="I304" s="22" t="n"/>
      <c r="J304" s="22" t="n"/>
      <c r="K304" s="22" t="n"/>
      <c r="L304" s="22" t="n"/>
      <c r="M304" s="22" t="n"/>
      <c r="N304" s="22" t="n"/>
      <c r="O304" s="23">
        <f>IF($C304="","",N(L304)-N(M304))</f>
        <v/>
      </c>
      <c r="P304" s="24" t="n"/>
      <c r="Q304" s="23">
        <f>IF($C304="","",N(M304)+N(N304))</f>
        <v/>
      </c>
      <c r="R304" s="23">
        <f>IF($C304="","",N(J304)+N(Q304))</f>
        <v/>
      </c>
      <c r="S304" s="25">
        <f>IF(OR($C304="",N($G304)=0),"",R304/$G304)</f>
        <v/>
      </c>
      <c r="T304" s="23">
        <f>IF($C304="","",N($G304)-N(R304))</f>
        <v/>
      </c>
      <c r="U304" s="24" t="n"/>
      <c r="V304" s="22" t="n"/>
    </row>
    <row r="305">
      <c r="B305" s="13">
        <f>IF($C305="","",COUNTA($C$9:$C305))</f>
        <v/>
      </c>
      <c r="C305" s="21" t="n"/>
      <c r="D305" s="14" t="n"/>
      <c r="E305" s="14" t="n"/>
      <c r="F305" s="14" t="n"/>
      <c r="G305" s="22" t="n"/>
      <c r="H305" s="22" t="n"/>
      <c r="I305" s="22" t="n"/>
      <c r="J305" s="22" t="n"/>
      <c r="K305" s="22" t="n"/>
      <c r="L305" s="22" t="n"/>
      <c r="M305" s="22" t="n"/>
      <c r="N305" s="22" t="n"/>
      <c r="O305" s="23">
        <f>IF($C305="","",N(L305)-N(M305))</f>
        <v/>
      </c>
      <c r="P305" s="24" t="n"/>
      <c r="Q305" s="23">
        <f>IF($C305="","",N(M305)+N(N305))</f>
        <v/>
      </c>
      <c r="R305" s="23">
        <f>IF($C305="","",N(J305)+N(Q305))</f>
        <v/>
      </c>
      <c r="S305" s="25">
        <f>IF(OR($C305="",N($G305)=0),"",R305/$G305)</f>
        <v/>
      </c>
      <c r="T305" s="23">
        <f>IF($C305="","",N($G305)-N(R305))</f>
        <v/>
      </c>
      <c r="U305" s="24" t="n"/>
      <c r="V305" s="22" t="n"/>
    </row>
    <row r="306">
      <c r="B306" s="13">
        <f>IF($C306="","",COUNTA($C$9:$C306))</f>
        <v/>
      </c>
      <c r="C306" s="21" t="n"/>
      <c r="D306" s="14" t="n"/>
      <c r="E306" s="14" t="n"/>
      <c r="F306" s="14" t="n"/>
      <c r="G306" s="22" t="n"/>
      <c r="H306" s="22" t="n"/>
      <c r="I306" s="22" t="n"/>
      <c r="J306" s="22" t="n"/>
      <c r="K306" s="22" t="n"/>
      <c r="L306" s="22" t="n"/>
      <c r="M306" s="22" t="n"/>
      <c r="N306" s="22" t="n"/>
      <c r="O306" s="23">
        <f>IF($C306="","",N(L306)-N(M306))</f>
        <v/>
      </c>
      <c r="P306" s="24" t="n"/>
      <c r="Q306" s="23">
        <f>IF($C306="","",N(M306)+N(N306))</f>
        <v/>
      </c>
      <c r="R306" s="23">
        <f>IF($C306="","",N(J306)+N(Q306))</f>
        <v/>
      </c>
      <c r="S306" s="25">
        <f>IF(OR($C306="",N($G306)=0),"",R306/$G306)</f>
        <v/>
      </c>
      <c r="T306" s="23">
        <f>IF($C306="","",N($G306)-N(R306))</f>
        <v/>
      </c>
      <c r="U306" s="24" t="n"/>
      <c r="V306" s="22" t="n"/>
    </row>
    <row r="307">
      <c r="B307" s="13">
        <f>IF($C307="","",COUNTA($C$9:$C307))</f>
        <v/>
      </c>
      <c r="C307" s="21" t="n"/>
      <c r="D307" s="14" t="n"/>
      <c r="E307" s="14" t="n"/>
      <c r="F307" s="14" t="n"/>
      <c r="G307" s="22" t="n"/>
      <c r="H307" s="22" t="n"/>
      <c r="I307" s="22" t="n"/>
      <c r="J307" s="22" t="n"/>
      <c r="K307" s="22" t="n"/>
      <c r="L307" s="22" t="n"/>
      <c r="M307" s="22" t="n"/>
      <c r="N307" s="22" t="n"/>
      <c r="O307" s="23">
        <f>IF($C307="","",N(L307)-N(M307))</f>
        <v/>
      </c>
      <c r="P307" s="24" t="n"/>
      <c r="Q307" s="23">
        <f>IF($C307="","",N(M307)+N(N307))</f>
        <v/>
      </c>
      <c r="R307" s="23">
        <f>IF($C307="","",N(J307)+N(Q307))</f>
        <v/>
      </c>
      <c r="S307" s="25">
        <f>IF(OR($C307="",N($G307)=0),"",R307/$G307)</f>
        <v/>
      </c>
      <c r="T307" s="23">
        <f>IF($C307="","",N($G307)-N(R307))</f>
        <v/>
      </c>
      <c r="U307" s="24" t="n"/>
      <c r="V307" s="22" t="n"/>
    </row>
    <row r="308">
      <c r="B308" s="13">
        <f>IF($C308="","",COUNTA($C$9:$C308))</f>
        <v/>
      </c>
      <c r="C308" s="21" t="n"/>
      <c r="D308" s="14" t="n"/>
      <c r="E308" s="14" t="n"/>
      <c r="F308" s="14" t="n"/>
      <c r="G308" s="22" t="n"/>
      <c r="H308" s="22" t="n"/>
      <c r="I308" s="22" t="n"/>
      <c r="J308" s="22" t="n"/>
      <c r="K308" s="22" t="n"/>
      <c r="L308" s="22" t="n"/>
      <c r="M308" s="22" t="n"/>
      <c r="N308" s="22" t="n"/>
      <c r="O308" s="23">
        <f>IF($C308="","",N(L308)-N(M308))</f>
        <v/>
      </c>
      <c r="P308" s="24" t="n"/>
      <c r="Q308" s="23">
        <f>IF($C308="","",N(M308)+N(N308))</f>
        <v/>
      </c>
      <c r="R308" s="23">
        <f>IF($C308="","",N(J308)+N(Q308))</f>
        <v/>
      </c>
      <c r="S308" s="25">
        <f>IF(OR($C308="",N($G308)=0),"",R308/$G308)</f>
        <v/>
      </c>
      <c r="T308" s="23">
        <f>IF($C308="","",N($G308)-N(R308))</f>
        <v/>
      </c>
      <c r="U308" s="24" t="n"/>
      <c r="V308" s="22" t="n"/>
    </row>
    <row r="309">
      <c r="B309" s="13">
        <f>IF($C309="","",COUNTA($C$9:$C309))</f>
        <v/>
      </c>
      <c r="C309" s="21" t="n"/>
      <c r="D309" s="14" t="n"/>
      <c r="E309" s="14" t="n"/>
      <c r="F309" s="14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3">
        <f>IF($C309="","",N(L309)-N(M309))</f>
        <v/>
      </c>
      <c r="P309" s="24" t="n"/>
      <c r="Q309" s="23">
        <f>IF($C309="","",N(M309)+N(N309))</f>
        <v/>
      </c>
      <c r="R309" s="23">
        <f>IF($C309="","",N(J309)+N(Q309))</f>
        <v/>
      </c>
      <c r="S309" s="25">
        <f>IF(OR($C309="",N($G309)=0),"",R309/$G309)</f>
        <v/>
      </c>
      <c r="T309" s="23">
        <f>IF($C309="","",N($G309)-N(R309))</f>
        <v/>
      </c>
      <c r="U309" s="24" t="n"/>
      <c r="V309" s="22" t="n"/>
    </row>
    <row r="310">
      <c r="B310" s="13">
        <f>IF($C310="","",COUNTA($C$9:$C310))</f>
        <v/>
      </c>
      <c r="C310" s="21" t="n"/>
      <c r="D310" s="14" t="n"/>
      <c r="E310" s="14" t="n"/>
      <c r="F310" s="14" t="n"/>
      <c r="G310" s="22" t="n"/>
      <c r="H310" s="22" t="n"/>
      <c r="I310" s="22" t="n"/>
      <c r="J310" s="22" t="n"/>
      <c r="K310" s="22" t="n"/>
      <c r="L310" s="22" t="n"/>
      <c r="M310" s="22" t="n"/>
      <c r="N310" s="22" t="n"/>
      <c r="O310" s="23">
        <f>IF($C310="","",N(L310)-N(M310))</f>
        <v/>
      </c>
      <c r="P310" s="24" t="n"/>
      <c r="Q310" s="23">
        <f>IF($C310="","",N(M310)+N(N310))</f>
        <v/>
      </c>
      <c r="R310" s="23">
        <f>IF($C310="","",N(J310)+N(Q310))</f>
        <v/>
      </c>
      <c r="S310" s="25">
        <f>IF(OR($C310="",N($G310)=0),"",R310/$G310)</f>
        <v/>
      </c>
      <c r="T310" s="23">
        <f>IF($C310="","",N($G310)-N(R310))</f>
        <v/>
      </c>
      <c r="U310" s="24" t="n"/>
      <c r="V310" s="22" t="n"/>
    </row>
    <row r="311">
      <c r="B311" s="13">
        <f>IF($C311="","",COUNTA($C$9:$C311))</f>
        <v/>
      </c>
      <c r="C311" s="21" t="n"/>
      <c r="D311" s="14" t="n"/>
      <c r="E311" s="14" t="n"/>
      <c r="F311" s="14" t="n"/>
      <c r="G311" s="22" t="n"/>
      <c r="H311" s="22" t="n"/>
      <c r="I311" s="22" t="n"/>
      <c r="J311" s="22" t="n"/>
      <c r="K311" s="22" t="n"/>
      <c r="L311" s="22" t="n"/>
      <c r="M311" s="22" t="n"/>
      <c r="N311" s="22" t="n"/>
      <c r="O311" s="23">
        <f>IF($C311="","",N(L311)-N(M311))</f>
        <v/>
      </c>
      <c r="P311" s="24" t="n"/>
      <c r="Q311" s="23">
        <f>IF($C311="","",N(M311)+N(N311))</f>
        <v/>
      </c>
      <c r="R311" s="23">
        <f>IF($C311="","",N(J311)+N(Q311))</f>
        <v/>
      </c>
      <c r="S311" s="25">
        <f>IF(OR($C311="",N($G311)=0),"",R311/$G311)</f>
        <v/>
      </c>
      <c r="T311" s="23">
        <f>IF($C311="","",N($G311)-N(R311))</f>
        <v/>
      </c>
      <c r="U311" s="24" t="n"/>
      <c r="V311" s="22" t="n"/>
    </row>
    <row r="312">
      <c r="B312" s="13">
        <f>IF($C312="","",COUNTA($C$9:$C312))</f>
        <v/>
      </c>
      <c r="C312" s="21" t="n"/>
      <c r="D312" s="14" t="n"/>
      <c r="E312" s="14" t="n"/>
      <c r="F312" s="14" t="n"/>
      <c r="G312" s="22" t="n"/>
      <c r="H312" s="22" t="n"/>
      <c r="I312" s="22" t="n"/>
      <c r="J312" s="22" t="n"/>
      <c r="K312" s="22" t="n"/>
      <c r="L312" s="22" t="n"/>
      <c r="M312" s="22" t="n"/>
      <c r="N312" s="22" t="n"/>
      <c r="O312" s="23">
        <f>IF($C312="","",N(L312)-N(M312))</f>
        <v/>
      </c>
      <c r="P312" s="24" t="n"/>
      <c r="Q312" s="23">
        <f>IF($C312="","",N(M312)+N(N312))</f>
        <v/>
      </c>
      <c r="R312" s="23">
        <f>IF($C312="","",N(J312)+N(Q312))</f>
        <v/>
      </c>
      <c r="S312" s="25">
        <f>IF(OR($C312="",N($G312)=0),"",R312/$G312)</f>
        <v/>
      </c>
      <c r="T312" s="23">
        <f>IF($C312="","",N($G312)-N(R312))</f>
        <v/>
      </c>
      <c r="U312" s="24" t="n"/>
      <c r="V312" s="22" t="n"/>
    </row>
    <row r="313">
      <c r="B313" s="13">
        <f>IF($C313="","",COUNTA($C$9:$C313))</f>
        <v/>
      </c>
      <c r="C313" s="21" t="n"/>
      <c r="D313" s="14" t="n"/>
      <c r="E313" s="14" t="n"/>
      <c r="F313" s="14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3">
        <f>IF($C313="","",N(L313)-N(M313))</f>
        <v/>
      </c>
      <c r="P313" s="24" t="n"/>
      <c r="Q313" s="23">
        <f>IF($C313="","",N(M313)+N(N313))</f>
        <v/>
      </c>
      <c r="R313" s="23">
        <f>IF($C313="","",N(J313)+N(Q313))</f>
        <v/>
      </c>
      <c r="S313" s="25">
        <f>IF(OR($C313="",N($G313)=0),"",R313/$G313)</f>
        <v/>
      </c>
      <c r="T313" s="23">
        <f>IF($C313="","",N($G313)-N(R313))</f>
        <v/>
      </c>
      <c r="U313" s="24" t="n"/>
      <c r="V313" s="22" t="n"/>
    </row>
    <row r="314">
      <c r="B314" s="13">
        <f>IF($C314="","",COUNTA($C$9:$C314))</f>
        <v/>
      </c>
      <c r="C314" s="21" t="n"/>
      <c r="D314" s="14" t="n"/>
      <c r="E314" s="14" t="n"/>
      <c r="F314" s="14" t="n"/>
      <c r="G314" s="22" t="n"/>
      <c r="H314" s="22" t="n"/>
      <c r="I314" s="22" t="n"/>
      <c r="J314" s="22" t="n"/>
      <c r="K314" s="22" t="n"/>
      <c r="L314" s="22" t="n"/>
      <c r="M314" s="22" t="n"/>
      <c r="N314" s="22" t="n"/>
      <c r="O314" s="23">
        <f>IF($C314="","",N(L314)-N(M314))</f>
        <v/>
      </c>
      <c r="P314" s="24" t="n"/>
      <c r="Q314" s="23">
        <f>IF($C314="","",N(M314)+N(N314))</f>
        <v/>
      </c>
      <c r="R314" s="23">
        <f>IF($C314="","",N(J314)+N(Q314))</f>
        <v/>
      </c>
      <c r="S314" s="25">
        <f>IF(OR($C314="",N($G314)=0),"",R314/$G314)</f>
        <v/>
      </c>
      <c r="T314" s="23">
        <f>IF($C314="","",N($G314)-N(R314))</f>
        <v/>
      </c>
      <c r="U314" s="24" t="n"/>
      <c r="V314" s="22" t="n"/>
    </row>
    <row r="315">
      <c r="B315" s="13">
        <f>IF($C315="","",COUNTA($C$9:$C315))</f>
        <v/>
      </c>
      <c r="C315" s="21" t="n"/>
      <c r="D315" s="14" t="n"/>
      <c r="E315" s="14" t="n"/>
      <c r="F315" s="14" t="n"/>
      <c r="G315" s="22" t="n"/>
      <c r="H315" s="22" t="n"/>
      <c r="I315" s="22" t="n"/>
      <c r="J315" s="22" t="n"/>
      <c r="K315" s="22" t="n"/>
      <c r="L315" s="22" t="n"/>
      <c r="M315" s="22" t="n"/>
      <c r="N315" s="22" t="n"/>
      <c r="O315" s="23">
        <f>IF($C315="","",N(L315)-N(M315))</f>
        <v/>
      </c>
      <c r="P315" s="24" t="n"/>
      <c r="Q315" s="23">
        <f>IF($C315="","",N(M315)+N(N315))</f>
        <v/>
      </c>
      <c r="R315" s="23">
        <f>IF($C315="","",N(J315)+N(Q315))</f>
        <v/>
      </c>
      <c r="S315" s="25">
        <f>IF(OR($C315="",N($G315)=0),"",R315/$G315)</f>
        <v/>
      </c>
      <c r="T315" s="23">
        <f>IF($C315="","",N($G315)-N(R315))</f>
        <v/>
      </c>
      <c r="U315" s="24" t="n"/>
      <c r="V315" s="22" t="n"/>
    </row>
    <row r="316">
      <c r="B316" s="13">
        <f>IF($C316="","",COUNTA($C$9:$C316))</f>
        <v/>
      </c>
      <c r="C316" s="21" t="n"/>
      <c r="D316" s="14" t="n"/>
      <c r="E316" s="14" t="n"/>
      <c r="F316" s="14" t="n"/>
      <c r="G316" s="22" t="n"/>
      <c r="H316" s="22" t="n"/>
      <c r="I316" s="22" t="n"/>
      <c r="J316" s="22" t="n"/>
      <c r="K316" s="22" t="n"/>
      <c r="L316" s="22" t="n"/>
      <c r="M316" s="22" t="n"/>
      <c r="N316" s="22" t="n"/>
      <c r="O316" s="23">
        <f>IF($C316="","",N(L316)-N(M316))</f>
        <v/>
      </c>
      <c r="P316" s="24" t="n"/>
      <c r="Q316" s="23">
        <f>IF($C316="","",N(M316)+N(N316))</f>
        <v/>
      </c>
      <c r="R316" s="23">
        <f>IF($C316="","",N(J316)+N(Q316))</f>
        <v/>
      </c>
      <c r="S316" s="25">
        <f>IF(OR($C316="",N($G316)=0),"",R316/$G316)</f>
        <v/>
      </c>
      <c r="T316" s="23">
        <f>IF($C316="","",N($G316)-N(R316))</f>
        <v/>
      </c>
      <c r="U316" s="24" t="n"/>
      <c r="V316" s="22" t="n"/>
    </row>
    <row r="317">
      <c r="B317" s="13">
        <f>IF($C317="","",COUNTA($C$9:$C317))</f>
        <v/>
      </c>
      <c r="C317" s="21" t="n"/>
      <c r="D317" s="14" t="n"/>
      <c r="E317" s="14" t="n"/>
      <c r="F317" s="14" t="n"/>
      <c r="G317" s="22" t="n"/>
      <c r="H317" s="22" t="n"/>
      <c r="I317" s="22" t="n"/>
      <c r="J317" s="22" t="n"/>
      <c r="K317" s="22" t="n"/>
      <c r="L317" s="22" t="n"/>
      <c r="M317" s="22" t="n"/>
      <c r="N317" s="22" t="n"/>
      <c r="O317" s="23">
        <f>IF($C317="","",N(L317)-N(M317))</f>
        <v/>
      </c>
      <c r="P317" s="24" t="n"/>
      <c r="Q317" s="23">
        <f>IF($C317="","",N(M317)+N(N317))</f>
        <v/>
      </c>
      <c r="R317" s="23">
        <f>IF($C317="","",N(J317)+N(Q317))</f>
        <v/>
      </c>
      <c r="S317" s="25">
        <f>IF(OR($C317="",N($G317)=0),"",R317/$G317)</f>
        <v/>
      </c>
      <c r="T317" s="23">
        <f>IF($C317="","",N($G317)-N(R317))</f>
        <v/>
      </c>
      <c r="U317" s="24" t="n"/>
      <c r="V317" s="22" t="n"/>
    </row>
    <row r="318">
      <c r="B318" s="13">
        <f>IF($C318="","",COUNTA($C$9:$C318))</f>
        <v/>
      </c>
      <c r="C318" s="21" t="n"/>
      <c r="D318" s="14" t="n"/>
      <c r="E318" s="14" t="n"/>
      <c r="F318" s="14" t="n"/>
      <c r="G318" s="22" t="n"/>
      <c r="H318" s="22" t="n"/>
      <c r="I318" s="22" t="n"/>
      <c r="J318" s="22" t="n"/>
      <c r="K318" s="22" t="n"/>
      <c r="L318" s="22" t="n"/>
      <c r="M318" s="22" t="n"/>
      <c r="N318" s="22" t="n"/>
      <c r="O318" s="23">
        <f>IF($C318="","",N(L318)-N(M318))</f>
        <v/>
      </c>
      <c r="P318" s="24" t="n"/>
      <c r="Q318" s="23">
        <f>IF($C318="","",N(M318)+N(N318))</f>
        <v/>
      </c>
      <c r="R318" s="23">
        <f>IF($C318="","",N(J318)+N(Q318))</f>
        <v/>
      </c>
      <c r="S318" s="25">
        <f>IF(OR($C318="",N($G318)=0),"",R318/$G318)</f>
        <v/>
      </c>
      <c r="T318" s="23">
        <f>IF($C318="","",N($G318)-N(R318))</f>
        <v/>
      </c>
      <c r="U318" s="24" t="n"/>
      <c r="V318" s="22" t="n"/>
    </row>
    <row r="319">
      <c r="B319" s="13">
        <f>IF($C319="","",COUNTA($C$9:$C319))</f>
        <v/>
      </c>
      <c r="C319" s="21" t="n"/>
      <c r="D319" s="14" t="n"/>
      <c r="E319" s="14" t="n"/>
      <c r="F319" s="14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3">
        <f>IF($C319="","",N(L319)-N(M319))</f>
        <v/>
      </c>
      <c r="P319" s="24" t="n"/>
      <c r="Q319" s="23">
        <f>IF($C319="","",N(M319)+N(N319))</f>
        <v/>
      </c>
      <c r="R319" s="23">
        <f>IF($C319="","",N(J319)+N(Q319))</f>
        <v/>
      </c>
      <c r="S319" s="25">
        <f>IF(OR($C319="",N($G319)=0),"",R319/$G319)</f>
        <v/>
      </c>
      <c r="T319" s="23">
        <f>IF($C319="","",N($G319)-N(R319))</f>
        <v/>
      </c>
      <c r="U319" s="24" t="n"/>
      <c r="V319" s="22" t="n"/>
    </row>
    <row r="320">
      <c r="B320" s="13">
        <f>IF($C320="","",COUNTA($C$9:$C320))</f>
        <v/>
      </c>
      <c r="C320" s="21" t="n"/>
      <c r="D320" s="14" t="n"/>
      <c r="E320" s="14" t="n"/>
      <c r="F320" s="14" t="n"/>
      <c r="G320" s="22" t="n"/>
      <c r="H320" s="22" t="n"/>
      <c r="I320" s="22" t="n"/>
      <c r="J320" s="22" t="n"/>
      <c r="K320" s="22" t="n"/>
      <c r="L320" s="22" t="n"/>
      <c r="M320" s="22" t="n"/>
      <c r="N320" s="22" t="n"/>
      <c r="O320" s="23">
        <f>IF($C320="","",N(L320)-N(M320))</f>
        <v/>
      </c>
      <c r="P320" s="24" t="n"/>
      <c r="Q320" s="23">
        <f>IF($C320="","",N(M320)+N(N320))</f>
        <v/>
      </c>
      <c r="R320" s="23">
        <f>IF($C320="","",N(J320)+N(Q320))</f>
        <v/>
      </c>
      <c r="S320" s="25">
        <f>IF(OR($C320="",N($G320)=0),"",R320/$G320)</f>
        <v/>
      </c>
      <c r="T320" s="23">
        <f>IF($C320="","",N($G320)-N(R320))</f>
        <v/>
      </c>
      <c r="U320" s="24" t="n"/>
      <c r="V320" s="22" t="n"/>
    </row>
    <row r="321">
      <c r="B321" s="13">
        <f>IF($C321="","",COUNTA($C$9:$C321))</f>
        <v/>
      </c>
      <c r="C321" s="21" t="n"/>
      <c r="D321" s="14" t="n"/>
      <c r="E321" s="14" t="n"/>
      <c r="F321" s="14" t="n"/>
      <c r="G321" s="22" t="n"/>
      <c r="H321" s="22" t="n"/>
      <c r="I321" s="22" t="n"/>
      <c r="J321" s="22" t="n"/>
      <c r="K321" s="22" t="n"/>
      <c r="L321" s="22" t="n"/>
      <c r="M321" s="22" t="n"/>
      <c r="N321" s="22" t="n"/>
      <c r="O321" s="23">
        <f>IF($C321="","",N(L321)-N(M321))</f>
        <v/>
      </c>
      <c r="P321" s="24" t="n"/>
      <c r="Q321" s="23">
        <f>IF($C321="","",N(M321)+N(N321))</f>
        <v/>
      </c>
      <c r="R321" s="23">
        <f>IF($C321="","",N(J321)+N(Q321))</f>
        <v/>
      </c>
      <c r="S321" s="25">
        <f>IF(OR($C321="",N($G321)=0),"",R321/$G321)</f>
        <v/>
      </c>
      <c r="T321" s="23">
        <f>IF($C321="","",N($G321)-N(R321))</f>
        <v/>
      </c>
      <c r="U321" s="24" t="n"/>
      <c r="V321" s="22" t="n"/>
    </row>
    <row r="322">
      <c r="B322" s="13">
        <f>IF($C322="","",COUNTA($C$9:$C322))</f>
        <v/>
      </c>
      <c r="C322" s="21" t="n"/>
      <c r="D322" s="14" t="n"/>
      <c r="E322" s="14" t="n"/>
      <c r="F322" s="14" t="n"/>
      <c r="G322" s="22" t="n"/>
      <c r="H322" s="22" t="n"/>
      <c r="I322" s="22" t="n"/>
      <c r="J322" s="22" t="n"/>
      <c r="K322" s="22" t="n"/>
      <c r="L322" s="22" t="n"/>
      <c r="M322" s="22" t="n"/>
      <c r="N322" s="22" t="n"/>
      <c r="O322" s="23">
        <f>IF($C322="","",N(L322)-N(M322))</f>
        <v/>
      </c>
      <c r="P322" s="24" t="n"/>
      <c r="Q322" s="23">
        <f>IF($C322="","",N(M322)+N(N322))</f>
        <v/>
      </c>
      <c r="R322" s="23">
        <f>IF($C322="","",N(J322)+N(Q322))</f>
        <v/>
      </c>
      <c r="S322" s="25">
        <f>IF(OR($C322="",N($G322)=0),"",R322/$G322)</f>
        <v/>
      </c>
      <c r="T322" s="23">
        <f>IF($C322="","",N($G322)-N(R322))</f>
        <v/>
      </c>
      <c r="U322" s="24" t="n"/>
      <c r="V322" s="22" t="n"/>
    </row>
    <row r="323">
      <c r="B323" s="13">
        <f>IF($C323="","",COUNTA($C$9:$C323))</f>
        <v/>
      </c>
      <c r="C323" s="21" t="n"/>
      <c r="D323" s="14" t="n"/>
      <c r="E323" s="14" t="n"/>
      <c r="F323" s="14" t="n"/>
      <c r="G323" s="22" t="n"/>
      <c r="H323" s="22" t="n"/>
      <c r="I323" s="22" t="n"/>
      <c r="J323" s="22" t="n"/>
      <c r="K323" s="22" t="n"/>
      <c r="L323" s="22" t="n"/>
      <c r="M323" s="22" t="n"/>
      <c r="N323" s="22" t="n"/>
      <c r="O323" s="23">
        <f>IF($C323="","",N(L323)-N(M323))</f>
        <v/>
      </c>
      <c r="P323" s="24" t="n"/>
      <c r="Q323" s="23">
        <f>IF($C323="","",N(M323)+N(N323))</f>
        <v/>
      </c>
      <c r="R323" s="23">
        <f>IF($C323="","",N(J323)+N(Q323))</f>
        <v/>
      </c>
      <c r="S323" s="25">
        <f>IF(OR($C323="",N($G323)=0),"",R323/$G323)</f>
        <v/>
      </c>
      <c r="T323" s="23">
        <f>IF($C323="","",N($G323)-N(R323))</f>
        <v/>
      </c>
      <c r="U323" s="24" t="n"/>
      <c r="V323" s="22" t="n"/>
    </row>
    <row r="324">
      <c r="B324" s="13">
        <f>IF($C324="","",COUNTA($C$9:$C324))</f>
        <v/>
      </c>
      <c r="C324" s="21" t="n"/>
      <c r="D324" s="14" t="n"/>
      <c r="E324" s="14" t="n"/>
      <c r="F324" s="14" t="n"/>
      <c r="G324" s="22" t="n"/>
      <c r="H324" s="22" t="n"/>
      <c r="I324" s="22" t="n"/>
      <c r="J324" s="22" t="n"/>
      <c r="K324" s="22" t="n"/>
      <c r="L324" s="22" t="n"/>
      <c r="M324" s="22" t="n"/>
      <c r="N324" s="22" t="n"/>
      <c r="O324" s="23">
        <f>IF($C324="","",N(L324)-N(M324))</f>
        <v/>
      </c>
      <c r="P324" s="24" t="n"/>
      <c r="Q324" s="23">
        <f>IF($C324="","",N(M324)+N(N324))</f>
        <v/>
      </c>
      <c r="R324" s="23">
        <f>IF($C324="","",N(J324)+N(Q324))</f>
        <v/>
      </c>
      <c r="S324" s="25">
        <f>IF(OR($C324="",N($G324)=0),"",R324/$G324)</f>
        <v/>
      </c>
      <c r="T324" s="23">
        <f>IF($C324="","",N($G324)-N(R324))</f>
        <v/>
      </c>
      <c r="U324" s="24" t="n"/>
      <c r="V324" s="22" t="n"/>
    </row>
    <row r="325">
      <c r="B325" s="13">
        <f>IF($C325="","",COUNTA($C$9:$C325))</f>
        <v/>
      </c>
      <c r="C325" s="21" t="n"/>
      <c r="D325" s="14" t="n"/>
      <c r="E325" s="14" t="n"/>
      <c r="F325" s="14" t="n"/>
      <c r="G325" s="22" t="n"/>
      <c r="H325" s="22" t="n"/>
      <c r="I325" s="22" t="n"/>
      <c r="J325" s="22" t="n"/>
      <c r="K325" s="22" t="n"/>
      <c r="L325" s="22" t="n"/>
      <c r="M325" s="22" t="n"/>
      <c r="N325" s="22" t="n"/>
      <c r="O325" s="23">
        <f>IF($C325="","",N(L325)-N(M325))</f>
        <v/>
      </c>
      <c r="P325" s="24" t="n"/>
      <c r="Q325" s="23">
        <f>IF($C325="","",N(M325)+N(N325))</f>
        <v/>
      </c>
      <c r="R325" s="23">
        <f>IF($C325="","",N(J325)+N(Q325))</f>
        <v/>
      </c>
      <c r="S325" s="25">
        <f>IF(OR($C325="",N($G325)=0),"",R325/$G325)</f>
        <v/>
      </c>
      <c r="T325" s="23">
        <f>IF($C325="","",N($G325)-N(R325))</f>
        <v/>
      </c>
      <c r="U325" s="24" t="n"/>
      <c r="V325" s="22" t="n"/>
    </row>
    <row r="326">
      <c r="B326" s="13">
        <f>IF($C326="","",COUNTA($C$9:$C326))</f>
        <v/>
      </c>
      <c r="C326" s="21" t="n"/>
      <c r="D326" s="14" t="n"/>
      <c r="E326" s="14" t="n"/>
      <c r="F326" s="14" t="n"/>
      <c r="G326" s="22" t="n"/>
      <c r="H326" s="22" t="n"/>
      <c r="I326" s="22" t="n"/>
      <c r="J326" s="22" t="n"/>
      <c r="K326" s="22" t="n"/>
      <c r="L326" s="22" t="n"/>
      <c r="M326" s="22" t="n"/>
      <c r="N326" s="22" t="n"/>
      <c r="O326" s="23">
        <f>IF($C326="","",N(L326)-N(M326))</f>
        <v/>
      </c>
      <c r="P326" s="24" t="n"/>
      <c r="Q326" s="23">
        <f>IF($C326="","",N(M326)+N(N326))</f>
        <v/>
      </c>
      <c r="R326" s="23">
        <f>IF($C326="","",N(J326)+N(Q326))</f>
        <v/>
      </c>
      <c r="S326" s="25">
        <f>IF(OR($C326="",N($G326)=0),"",R326/$G326)</f>
        <v/>
      </c>
      <c r="T326" s="23">
        <f>IF($C326="","",N($G326)-N(R326))</f>
        <v/>
      </c>
      <c r="U326" s="24" t="n"/>
      <c r="V326" s="22" t="n"/>
    </row>
    <row r="327">
      <c r="B327" s="13">
        <f>IF($C327="","",COUNTA($C$9:$C327))</f>
        <v/>
      </c>
      <c r="C327" s="21" t="n"/>
      <c r="D327" s="14" t="n"/>
      <c r="E327" s="14" t="n"/>
      <c r="F327" s="14" t="n"/>
      <c r="G327" s="22" t="n"/>
      <c r="H327" s="22" t="n"/>
      <c r="I327" s="22" t="n"/>
      <c r="J327" s="22" t="n"/>
      <c r="K327" s="22" t="n"/>
      <c r="L327" s="22" t="n"/>
      <c r="M327" s="22" t="n"/>
      <c r="N327" s="22" t="n"/>
      <c r="O327" s="23">
        <f>IF($C327="","",N(L327)-N(M327))</f>
        <v/>
      </c>
      <c r="P327" s="24" t="n"/>
      <c r="Q327" s="23">
        <f>IF($C327="","",N(M327)+N(N327))</f>
        <v/>
      </c>
      <c r="R327" s="23">
        <f>IF($C327="","",N(J327)+N(Q327))</f>
        <v/>
      </c>
      <c r="S327" s="25">
        <f>IF(OR($C327="",N($G327)=0),"",R327/$G327)</f>
        <v/>
      </c>
      <c r="T327" s="23">
        <f>IF($C327="","",N($G327)-N(R327))</f>
        <v/>
      </c>
      <c r="U327" s="24" t="n"/>
      <c r="V327" s="22" t="n"/>
    </row>
    <row r="328">
      <c r="B328" s="13">
        <f>IF($C328="","",COUNTA($C$9:$C328))</f>
        <v/>
      </c>
      <c r="C328" s="21" t="n"/>
      <c r="D328" s="14" t="n"/>
      <c r="E328" s="14" t="n"/>
      <c r="F328" s="14" t="n"/>
      <c r="G328" s="22" t="n"/>
      <c r="H328" s="22" t="n"/>
      <c r="I328" s="22" t="n"/>
      <c r="J328" s="22" t="n"/>
      <c r="K328" s="22" t="n"/>
      <c r="L328" s="22" t="n"/>
      <c r="M328" s="22" t="n"/>
      <c r="N328" s="22" t="n"/>
      <c r="O328" s="23">
        <f>IF($C328="","",N(L328)-N(M328))</f>
        <v/>
      </c>
      <c r="P328" s="24" t="n"/>
      <c r="Q328" s="23">
        <f>IF($C328="","",N(M328)+N(N328))</f>
        <v/>
      </c>
      <c r="R328" s="23">
        <f>IF($C328="","",N(J328)+N(Q328))</f>
        <v/>
      </c>
      <c r="S328" s="25">
        <f>IF(OR($C328="",N($G328)=0),"",R328/$G328)</f>
        <v/>
      </c>
      <c r="T328" s="23">
        <f>IF($C328="","",N($G328)-N(R328))</f>
        <v/>
      </c>
      <c r="U328" s="24" t="n"/>
      <c r="V328" s="22" t="n"/>
    </row>
    <row r="329">
      <c r="B329" s="13">
        <f>IF($C329="","",COUNTA($C$9:$C329))</f>
        <v/>
      </c>
      <c r="C329" s="21" t="n"/>
      <c r="D329" s="14" t="n"/>
      <c r="E329" s="14" t="n"/>
      <c r="F329" s="14" t="n"/>
      <c r="G329" s="22" t="n"/>
      <c r="H329" s="22" t="n"/>
      <c r="I329" s="22" t="n"/>
      <c r="J329" s="22" t="n"/>
      <c r="K329" s="22" t="n"/>
      <c r="L329" s="22" t="n"/>
      <c r="M329" s="22" t="n"/>
      <c r="N329" s="22" t="n"/>
      <c r="O329" s="23">
        <f>IF($C329="","",N(L329)-N(M329))</f>
        <v/>
      </c>
      <c r="P329" s="24" t="n"/>
      <c r="Q329" s="23">
        <f>IF($C329="","",N(M329)+N(N329))</f>
        <v/>
      </c>
      <c r="R329" s="23">
        <f>IF($C329="","",N(J329)+N(Q329))</f>
        <v/>
      </c>
      <c r="S329" s="25">
        <f>IF(OR($C329="",N($G329)=0),"",R329/$G329)</f>
        <v/>
      </c>
      <c r="T329" s="23">
        <f>IF($C329="","",N($G329)-N(R329))</f>
        <v/>
      </c>
      <c r="U329" s="24" t="n"/>
      <c r="V329" s="22" t="n"/>
    </row>
    <row r="330">
      <c r="B330" s="13">
        <f>IF($C330="","",COUNTA($C$9:$C330))</f>
        <v/>
      </c>
      <c r="C330" s="21" t="n"/>
      <c r="D330" s="14" t="n"/>
      <c r="E330" s="14" t="n"/>
      <c r="F330" s="14" t="n"/>
      <c r="G330" s="22" t="n"/>
      <c r="H330" s="22" t="n"/>
      <c r="I330" s="22" t="n"/>
      <c r="J330" s="22" t="n"/>
      <c r="K330" s="22" t="n"/>
      <c r="L330" s="22" t="n"/>
      <c r="M330" s="22" t="n"/>
      <c r="N330" s="22" t="n"/>
      <c r="O330" s="23">
        <f>IF($C330="","",N(L330)-N(M330))</f>
        <v/>
      </c>
      <c r="P330" s="24" t="n"/>
      <c r="Q330" s="23">
        <f>IF($C330="","",N(M330)+N(N330))</f>
        <v/>
      </c>
      <c r="R330" s="23">
        <f>IF($C330="","",N(J330)+N(Q330))</f>
        <v/>
      </c>
      <c r="S330" s="25">
        <f>IF(OR($C330="",N($G330)=0),"",R330/$G330)</f>
        <v/>
      </c>
      <c r="T330" s="23">
        <f>IF($C330="","",N($G330)-N(R330))</f>
        <v/>
      </c>
      <c r="U330" s="24" t="n"/>
      <c r="V330" s="22" t="n"/>
    </row>
    <row r="331">
      <c r="B331" s="13">
        <f>IF($C331="","",COUNTA($C$9:$C331))</f>
        <v/>
      </c>
      <c r="C331" s="21" t="n"/>
      <c r="D331" s="14" t="n"/>
      <c r="E331" s="14" t="n"/>
      <c r="F331" s="14" t="n"/>
      <c r="G331" s="22" t="n"/>
      <c r="H331" s="22" t="n"/>
      <c r="I331" s="22" t="n"/>
      <c r="J331" s="22" t="n"/>
      <c r="K331" s="22" t="n"/>
      <c r="L331" s="22" t="n"/>
      <c r="M331" s="22" t="n"/>
      <c r="N331" s="22" t="n"/>
      <c r="O331" s="23">
        <f>IF($C331="","",N(L331)-N(M331))</f>
        <v/>
      </c>
      <c r="P331" s="24" t="n"/>
      <c r="Q331" s="23">
        <f>IF($C331="","",N(M331)+N(N331))</f>
        <v/>
      </c>
      <c r="R331" s="23">
        <f>IF($C331="","",N(J331)+N(Q331))</f>
        <v/>
      </c>
      <c r="S331" s="25">
        <f>IF(OR($C331="",N($G331)=0),"",R331/$G331)</f>
        <v/>
      </c>
      <c r="T331" s="23">
        <f>IF($C331="","",N($G331)-N(R331))</f>
        <v/>
      </c>
      <c r="U331" s="24" t="n"/>
      <c r="V331" s="22" t="n"/>
    </row>
    <row r="332">
      <c r="B332" s="13">
        <f>IF($C332="","",COUNTA($C$9:$C332))</f>
        <v/>
      </c>
      <c r="C332" s="21" t="n"/>
      <c r="D332" s="14" t="n"/>
      <c r="E332" s="14" t="n"/>
      <c r="F332" s="14" t="n"/>
      <c r="G332" s="22" t="n"/>
      <c r="H332" s="22" t="n"/>
      <c r="I332" s="22" t="n"/>
      <c r="J332" s="22" t="n"/>
      <c r="K332" s="22" t="n"/>
      <c r="L332" s="22" t="n"/>
      <c r="M332" s="22" t="n"/>
      <c r="N332" s="22" t="n"/>
      <c r="O332" s="23">
        <f>IF($C332="","",N(L332)-N(M332))</f>
        <v/>
      </c>
      <c r="P332" s="24" t="n"/>
      <c r="Q332" s="23">
        <f>IF($C332="","",N(M332)+N(N332))</f>
        <v/>
      </c>
      <c r="R332" s="23">
        <f>IF($C332="","",N(J332)+N(Q332))</f>
        <v/>
      </c>
      <c r="S332" s="25">
        <f>IF(OR($C332="",N($G332)=0),"",R332/$G332)</f>
        <v/>
      </c>
      <c r="T332" s="23">
        <f>IF($C332="","",N($G332)-N(R332))</f>
        <v/>
      </c>
      <c r="U332" s="24" t="n"/>
      <c r="V332" s="22" t="n"/>
    </row>
    <row r="333">
      <c r="B333" s="13">
        <f>IF($C333="","",COUNTA($C$9:$C333))</f>
        <v/>
      </c>
      <c r="C333" s="21" t="n"/>
      <c r="D333" s="14" t="n"/>
      <c r="E333" s="14" t="n"/>
      <c r="F333" s="14" t="n"/>
      <c r="G333" s="22" t="n"/>
      <c r="H333" s="22" t="n"/>
      <c r="I333" s="22" t="n"/>
      <c r="J333" s="22" t="n"/>
      <c r="K333" s="22" t="n"/>
      <c r="L333" s="22" t="n"/>
      <c r="M333" s="22" t="n"/>
      <c r="N333" s="22" t="n"/>
      <c r="O333" s="23">
        <f>IF($C333="","",N(L333)-N(M333))</f>
        <v/>
      </c>
      <c r="P333" s="24" t="n"/>
      <c r="Q333" s="23">
        <f>IF($C333="","",N(M333)+N(N333))</f>
        <v/>
      </c>
      <c r="R333" s="23">
        <f>IF($C333="","",N(J333)+N(Q333))</f>
        <v/>
      </c>
      <c r="S333" s="25">
        <f>IF(OR($C333="",N($G333)=0),"",R333/$G333)</f>
        <v/>
      </c>
      <c r="T333" s="23">
        <f>IF($C333="","",N($G333)-N(R333))</f>
        <v/>
      </c>
      <c r="U333" s="24" t="n"/>
      <c r="V333" s="22" t="n"/>
    </row>
    <row r="334">
      <c r="B334" s="13">
        <f>IF($C334="","",COUNTA($C$9:$C334))</f>
        <v/>
      </c>
      <c r="C334" s="21" t="n"/>
      <c r="D334" s="14" t="n"/>
      <c r="E334" s="14" t="n"/>
      <c r="F334" s="14" t="n"/>
      <c r="G334" s="22" t="n"/>
      <c r="H334" s="22" t="n"/>
      <c r="I334" s="22" t="n"/>
      <c r="J334" s="22" t="n"/>
      <c r="K334" s="22" t="n"/>
      <c r="L334" s="22" t="n"/>
      <c r="M334" s="22" t="n"/>
      <c r="N334" s="22" t="n"/>
      <c r="O334" s="23">
        <f>IF($C334="","",N(L334)-N(M334))</f>
        <v/>
      </c>
      <c r="P334" s="24" t="n"/>
      <c r="Q334" s="23">
        <f>IF($C334="","",N(M334)+N(N334))</f>
        <v/>
      </c>
      <c r="R334" s="23">
        <f>IF($C334="","",N(J334)+N(Q334))</f>
        <v/>
      </c>
      <c r="S334" s="25">
        <f>IF(OR($C334="",N($G334)=0),"",R334/$G334)</f>
        <v/>
      </c>
      <c r="T334" s="23">
        <f>IF($C334="","",N($G334)-N(R334))</f>
        <v/>
      </c>
      <c r="U334" s="24" t="n"/>
      <c r="V334" s="22" t="n"/>
    </row>
    <row r="335">
      <c r="B335" s="13">
        <f>IF($C335="","",COUNTA($C$9:$C335))</f>
        <v/>
      </c>
      <c r="C335" s="21" t="n"/>
      <c r="D335" s="14" t="n"/>
      <c r="E335" s="14" t="n"/>
      <c r="F335" s="14" t="n"/>
      <c r="G335" s="22" t="n"/>
      <c r="H335" s="22" t="n"/>
      <c r="I335" s="22" t="n"/>
      <c r="J335" s="22" t="n"/>
      <c r="K335" s="22" t="n"/>
      <c r="L335" s="22" t="n"/>
      <c r="M335" s="22" t="n"/>
      <c r="N335" s="22" t="n"/>
      <c r="O335" s="23">
        <f>IF($C335="","",N(L335)-N(M335))</f>
        <v/>
      </c>
      <c r="P335" s="24" t="n"/>
      <c r="Q335" s="23">
        <f>IF($C335="","",N(M335)+N(N335))</f>
        <v/>
      </c>
      <c r="R335" s="23">
        <f>IF($C335="","",N(J335)+N(Q335))</f>
        <v/>
      </c>
      <c r="S335" s="25">
        <f>IF(OR($C335="",N($G335)=0),"",R335/$G335)</f>
        <v/>
      </c>
      <c r="T335" s="23">
        <f>IF($C335="","",N($G335)-N(R335))</f>
        <v/>
      </c>
      <c r="U335" s="24" t="n"/>
      <c r="V335" s="22" t="n"/>
    </row>
    <row r="336">
      <c r="B336" s="13">
        <f>IF($C336="","",COUNTA($C$9:$C336))</f>
        <v/>
      </c>
      <c r="C336" s="21" t="n"/>
      <c r="D336" s="14" t="n"/>
      <c r="E336" s="14" t="n"/>
      <c r="F336" s="14" t="n"/>
      <c r="G336" s="22" t="n"/>
      <c r="H336" s="22" t="n"/>
      <c r="I336" s="22" t="n"/>
      <c r="J336" s="22" t="n"/>
      <c r="K336" s="22" t="n"/>
      <c r="L336" s="22" t="n"/>
      <c r="M336" s="22" t="n"/>
      <c r="N336" s="22" t="n"/>
      <c r="O336" s="23">
        <f>IF($C336="","",N(L336)-N(M336))</f>
        <v/>
      </c>
      <c r="P336" s="24" t="n"/>
      <c r="Q336" s="23">
        <f>IF($C336="","",N(M336)+N(N336))</f>
        <v/>
      </c>
      <c r="R336" s="23">
        <f>IF($C336="","",N(J336)+N(Q336))</f>
        <v/>
      </c>
      <c r="S336" s="25">
        <f>IF(OR($C336="",N($G336)=0),"",R336/$G336)</f>
        <v/>
      </c>
      <c r="T336" s="23">
        <f>IF($C336="","",N($G336)-N(R336))</f>
        <v/>
      </c>
      <c r="U336" s="24" t="n"/>
      <c r="V336" s="22" t="n"/>
    </row>
    <row r="337">
      <c r="B337" s="13">
        <f>IF($C337="","",COUNTA($C$9:$C337))</f>
        <v/>
      </c>
      <c r="C337" s="21" t="n"/>
      <c r="D337" s="14" t="n"/>
      <c r="E337" s="14" t="n"/>
      <c r="F337" s="14" t="n"/>
      <c r="G337" s="22" t="n"/>
      <c r="H337" s="22" t="n"/>
      <c r="I337" s="22" t="n"/>
      <c r="J337" s="22" t="n"/>
      <c r="K337" s="22" t="n"/>
      <c r="L337" s="22" t="n"/>
      <c r="M337" s="22" t="n"/>
      <c r="N337" s="22" t="n"/>
      <c r="O337" s="23">
        <f>IF($C337="","",N(L337)-N(M337))</f>
        <v/>
      </c>
      <c r="P337" s="24" t="n"/>
      <c r="Q337" s="23">
        <f>IF($C337="","",N(M337)+N(N337))</f>
        <v/>
      </c>
      <c r="R337" s="23">
        <f>IF($C337="","",N(J337)+N(Q337))</f>
        <v/>
      </c>
      <c r="S337" s="25">
        <f>IF(OR($C337="",N($G337)=0),"",R337/$G337)</f>
        <v/>
      </c>
      <c r="T337" s="23">
        <f>IF($C337="","",N($G337)-N(R337))</f>
        <v/>
      </c>
      <c r="U337" s="24" t="n"/>
      <c r="V337" s="22" t="n"/>
    </row>
    <row r="338">
      <c r="B338" s="13">
        <f>IF($C338="","",COUNTA($C$9:$C338))</f>
        <v/>
      </c>
      <c r="C338" s="21" t="n"/>
      <c r="D338" s="14" t="n"/>
      <c r="E338" s="14" t="n"/>
      <c r="F338" s="14" t="n"/>
      <c r="G338" s="22" t="n"/>
      <c r="H338" s="22" t="n"/>
      <c r="I338" s="22" t="n"/>
      <c r="J338" s="22" t="n"/>
      <c r="K338" s="22" t="n"/>
      <c r="L338" s="22" t="n"/>
      <c r="M338" s="22" t="n"/>
      <c r="N338" s="22" t="n"/>
      <c r="O338" s="23">
        <f>IF($C338="","",N(L338)-N(M338))</f>
        <v/>
      </c>
      <c r="P338" s="24" t="n"/>
      <c r="Q338" s="23">
        <f>IF($C338="","",N(M338)+N(N338))</f>
        <v/>
      </c>
      <c r="R338" s="23">
        <f>IF($C338="","",N(J338)+N(Q338))</f>
        <v/>
      </c>
      <c r="S338" s="25">
        <f>IF(OR($C338="",N($G338)=0),"",R338/$G338)</f>
        <v/>
      </c>
      <c r="T338" s="23">
        <f>IF($C338="","",N($G338)-N(R338))</f>
        <v/>
      </c>
      <c r="U338" s="24" t="n"/>
      <c r="V338" s="22" t="n"/>
    </row>
    <row r="339">
      <c r="B339" s="13">
        <f>IF($C339="","",COUNTA($C$9:$C339))</f>
        <v/>
      </c>
      <c r="C339" s="21" t="n"/>
      <c r="D339" s="14" t="n"/>
      <c r="E339" s="14" t="n"/>
      <c r="F339" s="14" t="n"/>
      <c r="G339" s="22" t="n"/>
      <c r="H339" s="22" t="n"/>
      <c r="I339" s="22" t="n"/>
      <c r="J339" s="22" t="n"/>
      <c r="K339" s="22" t="n"/>
      <c r="L339" s="22" t="n"/>
      <c r="M339" s="22" t="n"/>
      <c r="N339" s="22" t="n"/>
      <c r="O339" s="23">
        <f>IF($C339="","",N(L339)-N(M339))</f>
        <v/>
      </c>
      <c r="P339" s="24" t="n"/>
      <c r="Q339" s="23">
        <f>IF($C339="","",N(M339)+N(N339))</f>
        <v/>
      </c>
      <c r="R339" s="23">
        <f>IF($C339="","",N(J339)+N(Q339))</f>
        <v/>
      </c>
      <c r="S339" s="25">
        <f>IF(OR($C339="",N($G339)=0),"",R339/$G339)</f>
        <v/>
      </c>
      <c r="T339" s="23">
        <f>IF($C339="","",N($G339)-N(R339))</f>
        <v/>
      </c>
      <c r="U339" s="24" t="n"/>
      <c r="V339" s="22" t="n"/>
    </row>
    <row r="340">
      <c r="B340" s="13">
        <f>IF($C340="","",COUNTA($C$9:$C340))</f>
        <v/>
      </c>
      <c r="C340" s="21" t="n"/>
      <c r="D340" s="14" t="n"/>
      <c r="E340" s="14" t="n"/>
      <c r="F340" s="14" t="n"/>
      <c r="G340" s="22" t="n"/>
      <c r="H340" s="22" t="n"/>
      <c r="I340" s="22" t="n"/>
      <c r="J340" s="22" t="n"/>
      <c r="K340" s="22" t="n"/>
      <c r="L340" s="22" t="n"/>
      <c r="M340" s="22" t="n"/>
      <c r="N340" s="22" t="n"/>
      <c r="O340" s="23">
        <f>IF($C340="","",N(L340)-N(M340))</f>
        <v/>
      </c>
      <c r="P340" s="24" t="n"/>
      <c r="Q340" s="23">
        <f>IF($C340="","",N(M340)+N(N340))</f>
        <v/>
      </c>
      <c r="R340" s="23">
        <f>IF($C340="","",N(J340)+N(Q340))</f>
        <v/>
      </c>
      <c r="S340" s="25">
        <f>IF(OR($C340="",N($G340)=0),"",R340/$G340)</f>
        <v/>
      </c>
      <c r="T340" s="23">
        <f>IF($C340="","",N($G340)-N(R340))</f>
        <v/>
      </c>
      <c r="U340" s="24" t="n"/>
      <c r="V340" s="22" t="n"/>
    </row>
    <row r="341">
      <c r="B341" s="13">
        <f>IF($C341="","",COUNTA($C$9:$C341))</f>
        <v/>
      </c>
      <c r="C341" s="21" t="n"/>
      <c r="D341" s="14" t="n"/>
      <c r="E341" s="14" t="n"/>
      <c r="F341" s="14" t="n"/>
      <c r="G341" s="22" t="n"/>
      <c r="H341" s="22" t="n"/>
      <c r="I341" s="22" t="n"/>
      <c r="J341" s="22" t="n"/>
      <c r="K341" s="22" t="n"/>
      <c r="L341" s="22" t="n"/>
      <c r="M341" s="22" t="n"/>
      <c r="N341" s="22" t="n"/>
      <c r="O341" s="23">
        <f>IF($C341="","",N(L341)-N(M341))</f>
        <v/>
      </c>
      <c r="P341" s="24" t="n"/>
      <c r="Q341" s="23">
        <f>IF($C341="","",N(M341)+N(N341))</f>
        <v/>
      </c>
      <c r="R341" s="23">
        <f>IF($C341="","",N(J341)+N(Q341))</f>
        <v/>
      </c>
      <c r="S341" s="25">
        <f>IF(OR($C341="",N($G341)=0),"",R341/$G341)</f>
        <v/>
      </c>
      <c r="T341" s="23">
        <f>IF($C341="","",N($G341)-N(R341))</f>
        <v/>
      </c>
      <c r="U341" s="24" t="n"/>
      <c r="V341" s="22" t="n"/>
    </row>
    <row r="342">
      <c r="B342" s="13">
        <f>IF($C342="","",COUNTA($C$9:$C342))</f>
        <v/>
      </c>
      <c r="C342" s="21" t="n"/>
      <c r="D342" s="14" t="n"/>
      <c r="E342" s="14" t="n"/>
      <c r="F342" s="14" t="n"/>
      <c r="G342" s="22" t="n"/>
      <c r="H342" s="22" t="n"/>
      <c r="I342" s="22" t="n"/>
      <c r="J342" s="22" t="n"/>
      <c r="K342" s="22" t="n"/>
      <c r="L342" s="22" t="n"/>
      <c r="M342" s="22" t="n"/>
      <c r="N342" s="22" t="n"/>
      <c r="O342" s="23">
        <f>IF($C342="","",N(L342)-N(M342))</f>
        <v/>
      </c>
      <c r="P342" s="24" t="n"/>
      <c r="Q342" s="23">
        <f>IF($C342="","",N(M342)+N(N342))</f>
        <v/>
      </c>
      <c r="R342" s="23">
        <f>IF($C342="","",N(J342)+N(Q342))</f>
        <v/>
      </c>
      <c r="S342" s="25">
        <f>IF(OR($C342="",N($G342)=0),"",R342/$G342)</f>
        <v/>
      </c>
      <c r="T342" s="23">
        <f>IF($C342="","",N($G342)-N(R342))</f>
        <v/>
      </c>
      <c r="U342" s="24" t="n"/>
      <c r="V342" s="22" t="n"/>
    </row>
    <row r="343">
      <c r="B343" s="13">
        <f>IF($C343="","",COUNTA($C$9:$C343))</f>
        <v/>
      </c>
      <c r="C343" s="21" t="n"/>
      <c r="D343" s="14" t="n"/>
      <c r="E343" s="14" t="n"/>
      <c r="F343" s="14" t="n"/>
      <c r="G343" s="22" t="n"/>
      <c r="H343" s="22" t="n"/>
      <c r="I343" s="22" t="n"/>
      <c r="J343" s="22" t="n"/>
      <c r="K343" s="22" t="n"/>
      <c r="L343" s="22" t="n"/>
      <c r="M343" s="22" t="n"/>
      <c r="N343" s="22" t="n"/>
      <c r="O343" s="23">
        <f>IF($C343="","",N(L343)-N(M343))</f>
        <v/>
      </c>
      <c r="P343" s="24" t="n"/>
      <c r="Q343" s="23">
        <f>IF($C343="","",N(M343)+N(N343))</f>
        <v/>
      </c>
      <c r="R343" s="23">
        <f>IF($C343="","",N(J343)+N(Q343))</f>
        <v/>
      </c>
      <c r="S343" s="25">
        <f>IF(OR($C343="",N($G343)=0),"",R343/$G343)</f>
        <v/>
      </c>
      <c r="T343" s="23">
        <f>IF($C343="","",N($G343)-N(R343))</f>
        <v/>
      </c>
      <c r="U343" s="24" t="n"/>
      <c r="V343" s="22" t="n"/>
    </row>
    <row r="344">
      <c r="B344" s="13">
        <f>IF($C344="","",COUNTA($C$9:$C344))</f>
        <v/>
      </c>
      <c r="C344" s="21" t="n"/>
      <c r="D344" s="14" t="n"/>
      <c r="E344" s="14" t="n"/>
      <c r="F344" s="14" t="n"/>
      <c r="G344" s="22" t="n"/>
      <c r="H344" s="22" t="n"/>
      <c r="I344" s="22" t="n"/>
      <c r="J344" s="22" t="n"/>
      <c r="K344" s="22" t="n"/>
      <c r="L344" s="22" t="n"/>
      <c r="M344" s="22" t="n"/>
      <c r="N344" s="22" t="n"/>
      <c r="O344" s="23">
        <f>IF($C344="","",N(L344)-N(M344))</f>
        <v/>
      </c>
      <c r="P344" s="24" t="n"/>
      <c r="Q344" s="23">
        <f>IF($C344="","",N(M344)+N(N344))</f>
        <v/>
      </c>
      <c r="R344" s="23">
        <f>IF($C344="","",N(J344)+N(Q344))</f>
        <v/>
      </c>
      <c r="S344" s="25">
        <f>IF(OR($C344="",N($G344)=0),"",R344/$G344)</f>
        <v/>
      </c>
      <c r="T344" s="23">
        <f>IF($C344="","",N($G344)-N(R344))</f>
        <v/>
      </c>
      <c r="U344" s="24" t="n"/>
      <c r="V344" s="22" t="n"/>
    </row>
    <row r="345">
      <c r="B345" s="13">
        <f>IF($C345="","",COUNTA($C$9:$C345))</f>
        <v/>
      </c>
      <c r="C345" s="21" t="n"/>
      <c r="D345" s="14" t="n"/>
      <c r="E345" s="14" t="n"/>
      <c r="F345" s="14" t="n"/>
      <c r="G345" s="22" t="n"/>
      <c r="H345" s="22" t="n"/>
      <c r="I345" s="22" t="n"/>
      <c r="J345" s="22" t="n"/>
      <c r="K345" s="22" t="n"/>
      <c r="L345" s="22" t="n"/>
      <c r="M345" s="22" t="n"/>
      <c r="N345" s="22" t="n"/>
      <c r="O345" s="23">
        <f>IF($C345="","",N(L345)-N(M345))</f>
        <v/>
      </c>
      <c r="P345" s="24" t="n"/>
      <c r="Q345" s="23">
        <f>IF($C345="","",N(M345)+N(N345))</f>
        <v/>
      </c>
      <c r="R345" s="23">
        <f>IF($C345="","",N(J345)+N(Q345))</f>
        <v/>
      </c>
      <c r="S345" s="25">
        <f>IF(OR($C345="",N($G345)=0),"",R345/$G345)</f>
        <v/>
      </c>
      <c r="T345" s="23">
        <f>IF($C345="","",N($G345)-N(R345))</f>
        <v/>
      </c>
      <c r="U345" s="24" t="n"/>
      <c r="V345" s="22" t="n"/>
    </row>
    <row r="346">
      <c r="B346" s="13">
        <f>IF($C346="","",COUNTA($C$9:$C346))</f>
        <v/>
      </c>
      <c r="C346" s="21" t="n"/>
      <c r="D346" s="14" t="n"/>
      <c r="E346" s="14" t="n"/>
      <c r="F346" s="14" t="n"/>
      <c r="G346" s="22" t="n"/>
      <c r="H346" s="22" t="n"/>
      <c r="I346" s="22" t="n"/>
      <c r="J346" s="22" t="n"/>
      <c r="K346" s="22" t="n"/>
      <c r="L346" s="22" t="n"/>
      <c r="M346" s="22" t="n"/>
      <c r="N346" s="22" t="n"/>
      <c r="O346" s="23">
        <f>IF($C346="","",N(L346)-N(M346))</f>
        <v/>
      </c>
      <c r="P346" s="24" t="n"/>
      <c r="Q346" s="23">
        <f>IF($C346="","",N(M346)+N(N346))</f>
        <v/>
      </c>
      <c r="R346" s="23">
        <f>IF($C346="","",N(J346)+N(Q346))</f>
        <v/>
      </c>
      <c r="S346" s="25">
        <f>IF(OR($C346="",N($G346)=0),"",R346/$G346)</f>
        <v/>
      </c>
      <c r="T346" s="23">
        <f>IF($C346="","",N($G346)-N(R346))</f>
        <v/>
      </c>
      <c r="U346" s="24" t="n"/>
      <c r="V346" s="22" t="n"/>
    </row>
    <row r="347">
      <c r="B347" s="13">
        <f>IF($C347="","",COUNTA($C$9:$C347))</f>
        <v/>
      </c>
      <c r="C347" s="21" t="n"/>
      <c r="D347" s="14" t="n"/>
      <c r="E347" s="14" t="n"/>
      <c r="F347" s="14" t="n"/>
      <c r="G347" s="22" t="n"/>
      <c r="H347" s="22" t="n"/>
      <c r="I347" s="22" t="n"/>
      <c r="J347" s="22" t="n"/>
      <c r="K347" s="22" t="n"/>
      <c r="L347" s="22" t="n"/>
      <c r="M347" s="22" t="n"/>
      <c r="N347" s="22" t="n"/>
      <c r="O347" s="23">
        <f>IF($C347="","",N(L347)-N(M347))</f>
        <v/>
      </c>
      <c r="P347" s="24" t="n"/>
      <c r="Q347" s="23">
        <f>IF($C347="","",N(M347)+N(N347))</f>
        <v/>
      </c>
      <c r="R347" s="23">
        <f>IF($C347="","",N(J347)+N(Q347))</f>
        <v/>
      </c>
      <c r="S347" s="25">
        <f>IF(OR($C347="",N($G347)=0),"",R347/$G347)</f>
        <v/>
      </c>
      <c r="T347" s="23">
        <f>IF($C347="","",N($G347)-N(R347))</f>
        <v/>
      </c>
      <c r="U347" s="24" t="n"/>
      <c r="V347" s="22" t="n"/>
    </row>
    <row r="348">
      <c r="B348" s="13">
        <f>IF($C348="","",COUNTA($C$9:$C348))</f>
        <v/>
      </c>
      <c r="C348" s="21" t="n"/>
      <c r="D348" s="14" t="n"/>
      <c r="E348" s="14" t="n"/>
      <c r="F348" s="14" t="n"/>
      <c r="G348" s="22" t="n"/>
      <c r="H348" s="22" t="n"/>
      <c r="I348" s="22" t="n"/>
      <c r="J348" s="22" t="n"/>
      <c r="K348" s="22" t="n"/>
      <c r="L348" s="22" t="n"/>
      <c r="M348" s="22" t="n"/>
      <c r="N348" s="22" t="n"/>
      <c r="O348" s="23">
        <f>IF($C348="","",N(L348)-N(M348))</f>
        <v/>
      </c>
      <c r="P348" s="24" t="n"/>
      <c r="Q348" s="23">
        <f>IF($C348="","",N(M348)+N(N348))</f>
        <v/>
      </c>
      <c r="R348" s="23">
        <f>IF($C348="","",N(J348)+N(Q348))</f>
        <v/>
      </c>
      <c r="S348" s="25">
        <f>IF(OR($C348="",N($G348)=0),"",R348/$G348)</f>
        <v/>
      </c>
      <c r="T348" s="23">
        <f>IF($C348="","",N($G348)-N(R348))</f>
        <v/>
      </c>
      <c r="U348" s="24" t="n"/>
      <c r="V348" s="22" t="n"/>
    </row>
    <row r="349">
      <c r="B349" s="13">
        <f>IF($C349="","",COUNTA($C$9:$C349))</f>
        <v/>
      </c>
      <c r="C349" s="21" t="n"/>
      <c r="D349" s="14" t="n"/>
      <c r="E349" s="14" t="n"/>
      <c r="F349" s="14" t="n"/>
      <c r="G349" s="22" t="n"/>
      <c r="H349" s="22" t="n"/>
      <c r="I349" s="22" t="n"/>
      <c r="J349" s="22" t="n"/>
      <c r="K349" s="22" t="n"/>
      <c r="L349" s="22" t="n"/>
      <c r="M349" s="22" t="n"/>
      <c r="N349" s="22" t="n"/>
      <c r="O349" s="23">
        <f>IF($C349="","",N(L349)-N(M349))</f>
        <v/>
      </c>
      <c r="P349" s="24" t="n"/>
      <c r="Q349" s="23">
        <f>IF($C349="","",N(M349)+N(N349))</f>
        <v/>
      </c>
      <c r="R349" s="23">
        <f>IF($C349="","",N(J349)+N(Q349))</f>
        <v/>
      </c>
      <c r="S349" s="25">
        <f>IF(OR($C349="",N($G349)=0),"",R349/$G349)</f>
        <v/>
      </c>
      <c r="T349" s="23">
        <f>IF($C349="","",N($G349)-N(R349))</f>
        <v/>
      </c>
      <c r="U349" s="24" t="n"/>
      <c r="V349" s="22" t="n"/>
    </row>
    <row r="350">
      <c r="B350" s="13">
        <f>IF($C350="","",COUNTA($C$9:$C350))</f>
        <v/>
      </c>
      <c r="C350" s="21" t="n"/>
      <c r="D350" s="14" t="n"/>
      <c r="E350" s="14" t="n"/>
      <c r="F350" s="14" t="n"/>
      <c r="G350" s="22" t="n"/>
      <c r="H350" s="22" t="n"/>
      <c r="I350" s="22" t="n"/>
      <c r="J350" s="22" t="n"/>
      <c r="K350" s="22" t="n"/>
      <c r="L350" s="22" t="n"/>
      <c r="M350" s="22" t="n"/>
      <c r="N350" s="22" t="n"/>
      <c r="O350" s="23">
        <f>IF($C350="","",N(L350)-N(M350))</f>
        <v/>
      </c>
      <c r="P350" s="24" t="n"/>
      <c r="Q350" s="23">
        <f>IF($C350="","",N(M350)+N(N350))</f>
        <v/>
      </c>
      <c r="R350" s="23">
        <f>IF($C350="","",N(J350)+N(Q350))</f>
        <v/>
      </c>
      <c r="S350" s="25">
        <f>IF(OR($C350="",N($G350)=0),"",R350/$G350)</f>
        <v/>
      </c>
      <c r="T350" s="23">
        <f>IF($C350="","",N($G350)-N(R350))</f>
        <v/>
      </c>
      <c r="U350" s="24" t="n"/>
      <c r="V350" s="22" t="n"/>
    </row>
    <row r="351">
      <c r="B351" s="13">
        <f>IF($C351="","",COUNTA($C$9:$C351))</f>
        <v/>
      </c>
      <c r="C351" s="21" t="n"/>
      <c r="D351" s="14" t="n"/>
      <c r="E351" s="14" t="n"/>
      <c r="F351" s="14" t="n"/>
      <c r="G351" s="22" t="n"/>
      <c r="H351" s="22" t="n"/>
      <c r="I351" s="22" t="n"/>
      <c r="J351" s="22" t="n"/>
      <c r="K351" s="22" t="n"/>
      <c r="L351" s="22" t="n"/>
      <c r="M351" s="22" t="n"/>
      <c r="N351" s="22" t="n"/>
      <c r="O351" s="23">
        <f>IF($C351="","",N(L351)-N(M351))</f>
        <v/>
      </c>
      <c r="P351" s="24" t="n"/>
      <c r="Q351" s="23">
        <f>IF($C351="","",N(M351)+N(N351))</f>
        <v/>
      </c>
      <c r="R351" s="23">
        <f>IF($C351="","",N(J351)+N(Q351))</f>
        <v/>
      </c>
      <c r="S351" s="25">
        <f>IF(OR($C351="",N($G351)=0),"",R351/$G351)</f>
        <v/>
      </c>
      <c r="T351" s="23">
        <f>IF($C351="","",N($G351)-N(R351))</f>
        <v/>
      </c>
      <c r="U351" s="24" t="n"/>
      <c r="V351" s="22" t="n"/>
    </row>
    <row r="352">
      <c r="B352" s="13">
        <f>IF($C352="","",COUNTA($C$9:$C352))</f>
        <v/>
      </c>
      <c r="C352" s="21" t="n"/>
      <c r="D352" s="14" t="n"/>
      <c r="E352" s="14" t="n"/>
      <c r="F352" s="14" t="n"/>
      <c r="G352" s="22" t="n"/>
      <c r="H352" s="22" t="n"/>
      <c r="I352" s="22" t="n"/>
      <c r="J352" s="22" t="n"/>
      <c r="K352" s="22" t="n"/>
      <c r="L352" s="22" t="n"/>
      <c r="M352" s="22" t="n"/>
      <c r="N352" s="22" t="n"/>
      <c r="O352" s="23">
        <f>IF($C352="","",N(L352)-N(M352))</f>
        <v/>
      </c>
      <c r="P352" s="24" t="n"/>
      <c r="Q352" s="23">
        <f>IF($C352="","",N(M352)+N(N352))</f>
        <v/>
      </c>
      <c r="R352" s="23">
        <f>IF($C352="","",N(J352)+N(Q352))</f>
        <v/>
      </c>
      <c r="S352" s="25">
        <f>IF(OR($C352="",N($G352)=0),"",R352/$G352)</f>
        <v/>
      </c>
      <c r="T352" s="23">
        <f>IF($C352="","",N($G352)-N(R352))</f>
        <v/>
      </c>
      <c r="U352" s="24" t="n"/>
      <c r="V352" s="22" t="n"/>
    </row>
    <row r="353">
      <c r="B353" s="13">
        <f>IF($C353="","",COUNTA($C$9:$C353))</f>
        <v/>
      </c>
      <c r="C353" s="21" t="n"/>
      <c r="D353" s="14" t="n"/>
      <c r="E353" s="14" t="n"/>
      <c r="F353" s="14" t="n"/>
      <c r="G353" s="22" t="n"/>
      <c r="H353" s="22" t="n"/>
      <c r="I353" s="22" t="n"/>
      <c r="J353" s="22" t="n"/>
      <c r="K353" s="22" t="n"/>
      <c r="L353" s="22" t="n"/>
      <c r="M353" s="22" t="n"/>
      <c r="N353" s="22" t="n"/>
      <c r="O353" s="23">
        <f>IF($C353="","",N(L353)-N(M353))</f>
        <v/>
      </c>
      <c r="P353" s="24" t="n"/>
      <c r="Q353" s="23">
        <f>IF($C353="","",N(M353)+N(N353))</f>
        <v/>
      </c>
      <c r="R353" s="23">
        <f>IF($C353="","",N(J353)+N(Q353))</f>
        <v/>
      </c>
      <c r="S353" s="25">
        <f>IF(OR($C353="",N($G353)=0),"",R353/$G353)</f>
        <v/>
      </c>
      <c r="T353" s="23">
        <f>IF($C353="","",N($G353)-N(R353))</f>
        <v/>
      </c>
      <c r="U353" s="24" t="n"/>
      <c r="V353" s="22" t="n"/>
    </row>
    <row r="354">
      <c r="B354" s="13">
        <f>IF($C354="","",COUNTA($C$9:$C354))</f>
        <v/>
      </c>
      <c r="C354" s="21" t="n"/>
      <c r="D354" s="14" t="n"/>
      <c r="E354" s="14" t="n"/>
      <c r="F354" s="14" t="n"/>
      <c r="G354" s="22" t="n"/>
      <c r="H354" s="22" t="n"/>
      <c r="I354" s="22" t="n"/>
      <c r="J354" s="22" t="n"/>
      <c r="K354" s="22" t="n"/>
      <c r="L354" s="22" t="n"/>
      <c r="M354" s="22" t="n"/>
      <c r="N354" s="22" t="n"/>
      <c r="O354" s="23">
        <f>IF($C354="","",N(L354)-N(M354))</f>
        <v/>
      </c>
      <c r="P354" s="24" t="n"/>
      <c r="Q354" s="23">
        <f>IF($C354="","",N(M354)+N(N354))</f>
        <v/>
      </c>
      <c r="R354" s="23">
        <f>IF($C354="","",N(J354)+N(Q354))</f>
        <v/>
      </c>
      <c r="S354" s="25">
        <f>IF(OR($C354="",N($G354)=0),"",R354/$G354)</f>
        <v/>
      </c>
      <c r="T354" s="23">
        <f>IF($C354="","",N($G354)-N(R354))</f>
        <v/>
      </c>
      <c r="U354" s="24" t="n"/>
      <c r="V354" s="22" t="n"/>
    </row>
    <row r="355">
      <c r="B355" s="13">
        <f>IF($C355="","",COUNTA($C$9:$C355))</f>
        <v/>
      </c>
      <c r="C355" s="21" t="n"/>
      <c r="D355" s="14" t="n"/>
      <c r="E355" s="14" t="n"/>
      <c r="F355" s="14" t="n"/>
      <c r="G355" s="22" t="n"/>
      <c r="H355" s="22" t="n"/>
      <c r="I355" s="22" t="n"/>
      <c r="J355" s="22" t="n"/>
      <c r="K355" s="22" t="n"/>
      <c r="L355" s="22" t="n"/>
      <c r="M355" s="22" t="n"/>
      <c r="N355" s="22" t="n"/>
      <c r="O355" s="23">
        <f>IF($C355="","",N(L355)-N(M355))</f>
        <v/>
      </c>
      <c r="P355" s="24" t="n"/>
      <c r="Q355" s="23">
        <f>IF($C355="","",N(M355)+N(N355))</f>
        <v/>
      </c>
      <c r="R355" s="23">
        <f>IF($C355="","",N(J355)+N(Q355))</f>
        <v/>
      </c>
      <c r="S355" s="25">
        <f>IF(OR($C355="",N($G355)=0),"",R355/$G355)</f>
        <v/>
      </c>
      <c r="T355" s="23">
        <f>IF($C355="","",N($G355)-N(R355))</f>
        <v/>
      </c>
      <c r="U355" s="24" t="n"/>
      <c r="V355" s="22" t="n"/>
    </row>
    <row r="356">
      <c r="B356" s="13">
        <f>IF($C356="","",COUNTA($C$9:$C356))</f>
        <v/>
      </c>
      <c r="C356" s="21" t="n"/>
      <c r="D356" s="14" t="n"/>
      <c r="E356" s="14" t="n"/>
      <c r="F356" s="14" t="n"/>
      <c r="G356" s="22" t="n"/>
      <c r="H356" s="22" t="n"/>
      <c r="I356" s="22" t="n"/>
      <c r="J356" s="22" t="n"/>
      <c r="K356" s="22" t="n"/>
      <c r="L356" s="22" t="n"/>
      <c r="M356" s="22" t="n"/>
      <c r="N356" s="22" t="n"/>
      <c r="O356" s="23">
        <f>IF($C356="","",N(L356)-N(M356))</f>
        <v/>
      </c>
      <c r="P356" s="24" t="n"/>
      <c r="Q356" s="23">
        <f>IF($C356="","",N(M356)+N(N356))</f>
        <v/>
      </c>
      <c r="R356" s="23">
        <f>IF($C356="","",N(J356)+N(Q356))</f>
        <v/>
      </c>
      <c r="S356" s="25">
        <f>IF(OR($C356="",N($G356)=0),"",R356/$G356)</f>
        <v/>
      </c>
      <c r="T356" s="23">
        <f>IF($C356="","",N($G356)-N(R356))</f>
        <v/>
      </c>
      <c r="U356" s="24" t="n"/>
      <c r="V356" s="22" t="n"/>
    </row>
    <row r="357">
      <c r="B357" s="13">
        <f>IF($C357="","",COUNTA($C$9:$C357))</f>
        <v/>
      </c>
      <c r="C357" s="21" t="n"/>
      <c r="D357" s="14" t="n"/>
      <c r="E357" s="14" t="n"/>
      <c r="F357" s="14" t="n"/>
      <c r="G357" s="22" t="n"/>
      <c r="H357" s="22" t="n"/>
      <c r="I357" s="22" t="n"/>
      <c r="J357" s="22" t="n"/>
      <c r="K357" s="22" t="n"/>
      <c r="L357" s="22" t="n"/>
      <c r="M357" s="22" t="n"/>
      <c r="N357" s="22" t="n"/>
      <c r="O357" s="23">
        <f>IF($C357="","",N(L357)-N(M357))</f>
        <v/>
      </c>
      <c r="P357" s="24" t="n"/>
      <c r="Q357" s="23">
        <f>IF($C357="","",N(M357)+N(N357))</f>
        <v/>
      </c>
      <c r="R357" s="23">
        <f>IF($C357="","",N(J357)+N(Q357))</f>
        <v/>
      </c>
      <c r="S357" s="25">
        <f>IF(OR($C357="",N($G357)=0),"",R357/$G357)</f>
        <v/>
      </c>
      <c r="T357" s="23">
        <f>IF($C357="","",N($G357)-N(R357))</f>
        <v/>
      </c>
      <c r="U357" s="24" t="n"/>
      <c r="V357" s="22" t="n"/>
    </row>
    <row r="358">
      <c r="B358" s="13">
        <f>IF($C358="","",COUNTA($C$9:$C358))</f>
        <v/>
      </c>
      <c r="C358" s="21" t="n"/>
      <c r="D358" s="14" t="n"/>
      <c r="E358" s="14" t="n"/>
      <c r="F358" s="14" t="n"/>
      <c r="G358" s="22" t="n"/>
      <c r="H358" s="22" t="n"/>
      <c r="I358" s="22" t="n"/>
      <c r="J358" s="22" t="n"/>
      <c r="K358" s="22" t="n"/>
      <c r="L358" s="22" t="n"/>
      <c r="M358" s="22" t="n"/>
      <c r="N358" s="22" t="n"/>
      <c r="O358" s="23">
        <f>IF($C358="","",N(L358)-N(M358))</f>
        <v/>
      </c>
      <c r="P358" s="24" t="n"/>
      <c r="Q358" s="23">
        <f>IF($C358="","",N(M358)+N(N358))</f>
        <v/>
      </c>
      <c r="R358" s="23">
        <f>IF($C358="","",N(J358)+N(Q358))</f>
        <v/>
      </c>
      <c r="S358" s="25">
        <f>IF(OR($C358="",N($G358)=0),"",R358/$G358)</f>
        <v/>
      </c>
      <c r="T358" s="23">
        <f>IF($C358="","",N($G358)-N(R358))</f>
        <v/>
      </c>
      <c r="U358" s="24" t="n"/>
      <c r="V358" s="22" t="n"/>
    </row>
    <row r="359">
      <c r="B359" s="13">
        <f>IF($C359="","",COUNTA($C$9:$C359))</f>
        <v/>
      </c>
      <c r="C359" s="21" t="n"/>
      <c r="D359" s="14" t="n"/>
      <c r="E359" s="14" t="n"/>
      <c r="F359" s="14" t="n"/>
      <c r="G359" s="22" t="n"/>
      <c r="H359" s="22" t="n"/>
      <c r="I359" s="22" t="n"/>
      <c r="J359" s="22" t="n"/>
      <c r="K359" s="22" t="n"/>
      <c r="L359" s="22" t="n"/>
      <c r="M359" s="22" t="n"/>
      <c r="N359" s="22" t="n"/>
      <c r="O359" s="23">
        <f>IF($C359="","",N(L359)-N(M359))</f>
        <v/>
      </c>
      <c r="P359" s="24" t="n"/>
      <c r="Q359" s="23">
        <f>IF($C359="","",N(M359)+N(N359))</f>
        <v/>
      </c>
      <c r="R359" s="23">
        <f>IF($C359="","",N(J359)+N(Q359))</f>
        <v/>
      </c>
      <c r="S359" s="25">
        <f>IF(OR($C359="",N($G359)=0),"",R359/$G359)</f>
        <v/>
      </c>
      <c r="T359" s="23">
        <f>IF($C359="","",N($G359)-N(R359))</f>
        <v/>
      </c>
      <c r="U359" s="24" t="n"/>
      <c r="V359" s="22" t="n"/>
    </row>
    <row r="360">
      <c r="B360" s="13">
        <f>IF($C360="","",COUNTA($C$9:$C360))</f>
        <v/>
      </c>
      <c r="C360" s="21" t="n"/>
      <c r="D360" s="14" t="n"/>
      <c r="E360" s="14" t="n"/>
      <c r="F360" s="14" t="n"/>
      <c r="G360" s="22" t="n"/>
      <c r="H360" s="22" t="n"/>
      <c r="I360" s="22" t="n"/>
      <c r="J360" s="22" t="n"/>
      <c r="K360" s="22" t="n"/>
      <c r="L360" s="22" t="n"/>
      <c r="M360" s="22" t="n"/>
      <c r="N360" s="22" t="n"/>
      <c r="O360" s="23">
        <f>IF($C360="","",N(L360)-N(M360))</f>
        <v/>
      </c>
      <c r="P360" s="24" t="n"/>
      <c r="Q360" s="23">
        <f>IF($C360="","",N(M360)+N(N360))</f>
        <v/>
      </c>
      <c r="R360" s="23">
        <f>IF($C360="","",N(J360)+N(Q360))</f>
        <v/>
      </c>
      <c r="S360" s="25">
        <f>IF(OR($C360="",N($G360)=0),"",R360/$G360)</f>
        <v/>
      </c>
      <c r="T360" s="23">
        <f>IF($C360="","",N($G360)-N(R360))</f>
        <v/>
      </c>
      <c r="U360" s="24" t="n"/>
      <c r="V360" s="22" t="n"/>
    </row>
    <row r="361">
      <c r="B361" s="13">
        <f>IF($C361="","",COUNTA($C$9:$C361))</f>
        <v/>
      </c>
      <c r="C361" s="21" t="n"/>
      <c r="D361" s="14" t="n"/>
      <c r="E361" s="14" t="n"/>
      <c r="F361" s="14" t="n"/>
      <c r="G361" s="22" t="n"/>
      <c r="H361" s="22" t="n"/>
      <c r="I361" s="22" t="n"/>
      <c r="J361" s="22" t="n"/>
      <c r="K361" s="22" t="n"/>
      <c r="L361" s="22" t="n"/>
      <c r="M361" s="22" t="n"/>
      <c r="N361" s="22" t="n"/>
      <c r="O361" s="23">
        <f>IF($C361="","",N(L361)-N(M361))</f>
        <v/>
      </c>
      <c r="P361" s="24" t="n"/>
      <c r="Q361" s="23">
        <f>IF($C361="","",N(M361)+N(N361))</f>
        <v/>
      </c>
      <c r="R361" s="23">
        <f>IF($C361="","",N(J361)+N(Q361))</f>
        <v/>
      </c>
      <c r="S361" s="25">
        <f>IF(OR($C361="",N($G361)=0),"",R361/$G361)</f>
        <v/>
      </c>
      <c r="T361" s="23">
        <f>IF($C361="","",N($G361)-N(R361))</f>
        <v/>
      </c>
      <c r="U361" s="24" t="n"/>
      <c r="V361" s="22" t="n"/>
    </row>
    <row r="362">
      <c r="B362" s="13">
        <f>IF($C362="","",COUNTA($C$9:$C362))</f>
        <v/>
      </c>
      <c r="C362" s="21" t="n"/>
      <c r="D362" s="14" t="n"/>
      <c r="E362" s="14" t="n"/>
      <c r="F362" s="14" t="n"/>
      <c r="G362" s="22" t="n"/>
      <c r="H362" s="22" t="n"/>
      <c r="I362" s="22" t="n"/>
      <c r="J362" s="22" t="n"/>
      <c r="K362" s="22" t="n"/>
      <c r="L362" s="22" t="n"/>
      <c r="M362" s="22" t="n"/>
      <c r="N362" s="22" t="n"/>
      <c r="O362" s="23">
        <f>IF($C362="","",N(L362)-N(M362))</f>
        <v/>
      </c>
      <c r="P362" s="24" t="n"/>
      <c r="Q362" s="23">
        <f>IF($C362="","",N(M362)+N(N362))</f>
        <v/>
      </c>
      <c r="R362" s="23">
        <f>IF($C362="","",N(J362)+N(Q362))</f>
        <v/>
      </c>
      <c r="S362" s="25">
        <f>IF(OR($C362="",N($G362)=0),"",R362/$G362)</f>
        <v/>
      </c>
      <c r="T362" s="23">
        <f>IF($C362="","",N($G362)-N(R362))</f>
        <v/>
      </c>
      <c r="U362" s="24" t="n"/>
      <c r="V362" s="22" t="n"/>
    </row>
    <row r="363">
      <c r="B363" s="13">
        <f>IF($C363="","",COUNTA($C$9:$C363))</f>
        <v/>
      </c>
      <c r="C363" s="21" t="n"/>
      <c r="D363" s="14" t="n"/>
      <c r="E363" s="14" t="n"/>
      <c r="F363" s="14" t="n"/>
      <c r="G363" s="22" t="n"/>
      <c r="H363" s="22" t="n"/>
      <c r="I363" s="22" t="n"/>
      <c r="J363" s="22" t="n"/>
      <c r="K363" s="22" t="n"/>
      <c r="L363" s="22" t="n"/>
      <c r="M363" s="22" t="n"/>
      <c r="N363" s="22" t="n"/>
      <c r="O363" s="23">
        <f>IF($C363="","",N(L363)-N(M363))</f>
        <v/>
      </c>
      <c r="P363" s="24" t="n"/>
      <c r="Q363" s="23">
        <f>IF($C363="","",N(M363)+N(N363))</f>
        <v/>
      </c>
      <c r="R363" s="23">
        <f>IF($C363="","",N(J363)+N(Q363))</f>
        <v/>
      </c>
      <c r="S363" s="25">
        <f>IF(OR($C363="",N($G363)=0),"",R363/$G363)</f>
        <v/>
      </c>
      <c r="T363" s="23">
        <f>IF($C363="","",N($G363)-N(R363))</f>
        <v/>
      </c>
      <c r="U363" s="24" t="n"/>
      <c r="V363" s="22" t="n"/>
    </row>
    <row r="364">
      <c r="B364" s="13">
        <f>IF($C364="","",COUNTA($C$9:$C364))</f>
        <v/>
      </c>
      <c r="C364" s="21" t="n"/>
      <c r="D364" s="14" t="n"/>
      <c r="E364" s="14" t="n"/>
      <c r="F364" s="14" t="n"/>
      <c r="G364" s="22" t="n"/>
      <c r="H364" s="22" t="n"/>
      <c r="I364" s="22" t="n"/>
      <c r="J364" s="22" t="n"/>
      <c r="K364" s="22" t="n"/>
      <c r="L364" s="22" t="n"/>
      <c r="M364" s="22" t="n"/>
      <c r="N364" s="22" t="n"/>
      <c r="O364" s="23">
        <f>IF($C364="","",N(L364)-N(M364))</f>
        <v/>
      </c>
      <c r="P364" s="24" t="n"/>
      <c r="Q364" s="23">
        <f>IF($C364="","",N(M364)+N(N364))</f>
        <v/>
      </c>
      <c r="R364" s="23">
        <f>IF($C364="","",N(J364)+N(Q364))</f>
        <v/>
      </c>
      <c r="S364" s="25">
        <f>IF(OR($C364="",N($G364)=0),"",R364/$G364)</f>
        <v/>
      </c>
      <c r="T364" s="23">
        <f>IF($C364="","",N($G364)-N(R364))</f>
        <v/>
      </c>
      <c r="U364" s="24" t="n"/>
      <c r="V364" s="22" t="n"/>
    </row>
    <row r="365">
      <c r="B365" s="13">
        <f>IF($C365="","",COUNTA($C$9:$C365))</f>
        <v/>
      </c>
      <c r="C365" s="21" t="n"/>
      <c r="D365" s="14" t="n"/>
      <c r="E365" s="14" t="n"/>
      <c r="F365" s="14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3">
        <f>IF($C365="","",N(L365)-N(M365))</f>
        <v/>
      </c>
      <c r="P365" s="24" t="n"/>
      <c r="Q365" s="23">
        <f>IF($C365="","",N(M365)+N(N365))</f>
        <v/>
      </c>
      <c r="R365" s="23">
        <f>IF($C365="","",N(J365)+N(Q365))</f>
        <v/>
      </c>
      <c r="S365" s="25">
        <f>IF(OR($C365="",N($G365)=0),"",R365/$G365)</f>
        <v/>
      </c>
      <c r="T365" s="23">
        <f>IF($C365="","",N($G365)-N(R365))</f>
        <v/>
      </c>
      <c r="U365" s="24" t="n"/>
      <c r="V365" s="22" t="n"/>
    </row>
    <row r="366">
      <c r="B366" s="13">
        <f>IF($C366="","",COUNTA($C$9:$C366))</f>
        <v/>
      </c>
      <c r="C366" s="21" t="n"/>
      <c r="D366" s="14" t="n"/>
      <c r="E366" s="14" t="n"/>
      <c r="F366" s="14" t="n"/>
      <c r="G366" s="22" t="n"/>
      <c r="H366" s="22" t="n"/>
      <c r="I366" s="22" t="n"/>
      <c r="J366" s="22" t="n"/>
      <c r="K366" s="22" t="n"/>
      <c r="L366" s="22" t="n"/>
      <c r="M366" s="22" t="n"/>
      <c r="N366" s="22" t="n"/>
      <c r="O366" s="23">
        <f>IF($C366="","",N(L366)-N(M366))</f>
        <v/>
      </c>
      <c r="P366" s="24" t="n"/>
      <c r="Q366" s="23">
        <f>IF($C366="","",N(M366)+N(N366))</f>
        <v/>
      </c>
      <c r="R366" s="23">
        <f>IF($C366="","",N(J366)+N(Q366))</f>
        <v/>
      </c>
      <c r="S366" s="25">
        <f>IF(OR($C366="",N($G366)=0),"",R366/$G366)</f>
        <v/>
      </c>
      <c r="T366" s="23">
        <f>IF($C366="","",N($G366)-N(R366))</f>
        <v/>
      </c>
      <c r="U366" s="24" t="n"/>
      <c r="V366" s="22" t="n"/>
    </row>
    <row r="367">
      <c r="B367" s="13">
        <f>IF($C367="","",COUNTA($C$9:$C367))</f>
        <v/>
      </c>
      <c r="C367" s="21" t="n"/>
      <c r="D367" s="14" t="n"/>
      <c r="E367" s="14" t="n"/>
      <c r="F367" s="14" t="n"/>
      <c r="G367" s="22" t="n"/>
      <c r="H367" s="22" t="n"/>
      <c r="I367" s="22" t="n"/>
      <c r="J367" s="22" t="n"/>
      <c r="K367" s="22" t="n"/>
      <c r="L367" s="22" t="n"/>
      <c r="M367" s="22" t="n"/>
      <c r="N367" s="22" t="n"/>
      <c r="O367" s="23">
        <f>IF($C367="","",N(L367)-N(M367))</f>
        <v/>
      </c>
      <c r="P367" s="24" t="n"/>
      <c r="Q367" s="23">
        <f>IF($C367="","",N(M367)+N(N367))</f>
        <v/>
      </c>
      <c r="R367" s="23">
        <f>IF($C367="","",N(J367)+N(Q367))</f>
        <v/>
      </c>
      <c r="S367" s="25">
        <f>IF(OR($C367="",N($G367)=0),"",R367/$G367)</f>
        <v/>
      </c>
      <c r="T367" s="23">
        <f>IF($C367="","",N($G367)-N(R367))</f>
        <v/>
      </c>
      <c r="U367" s="24" t="n"/>
      <c r="V367" s="22" t="n"/>
    </row>
    <row r="368">
      <c r="B368" s="13">
        <f>IF($C368="","",COUNTA($C$9:$C368))</f>
        <v/>
      </c>
      <c r="C368" s="21" t="n"/>
      <c r="D368" s="14" t="n"/>
      <c r="E368" s="14" t="n"/>
      <c r="F368" s="14" t="n"/>
      <c r="G368" s="22" t="n"/>
      <c r="H368" s="22" t="n"/>
      <c r="I368" s="22" t="n"/>
      <c r="J368" s="22" t="n"/>
      <c r="K368" s="22" t="n"/>
      <c r="L368" s="22" t="n"/>
      <c r="M368" s="22" t="n"/>
      <c r="N368" s="22" t="n"/>
      <c r="O368" s="23">
        <f>IF($C368="","",N(L368)-N(M368))</f>
        <v/>
      </c>
      <c r="P368" s="24" t="n"/>
      <c r="Q368" s="23">
        <f>IF($C368="","",N(M368)+N(N368))</f>
        <v/>
      </c>
      <c r="R368" s="23">
        <f>IF($C368="","",N(J368)+N(Q368))</f>
        <v/>
      </c>
      <c r="S368" s="25">
        <f>IF(OR($C368="",N($G368)=0),"",R368/$G368)</f>
        <v/>
      </c>
      <c r="T368" s="23">
        <f>IF($C368="","",N($G368)-N(R368))</f>
        <v/>
      </c>
      <c r="U368" s="24" t="n"/>
      <c r="V368" s="22" t="n"/>
    </row>
    <row r="369">
      <c r="B369" s="13">
        <f>IF($C369="","",COUNTA($C$9:$C369))</f>
        <v/>
      </c>
      <c r="C369" s="21" t="n"/>
      <c r="D369" s="14" t="n"/>
      <c r="E369" s="14" t="n"/>
      <c r="F369" s="14" t="n"/>
      <c r="G369" s="22" t="n"/>
      <c r="H369" s="22" t="n"/>
      <c r="I369" s="22" t="n"/>
      <c r="J369" s="22" t="n"/>
      <c r="K369" s="22" t="n"/>
      <c r="L369" s="22" t="n"/>
      <c r="M369" s="22" t="n"/>
      <c r="N369" s="22" t="n"/>
      <c r="O369" s="23">
        <f>IF($C369="","",N(L369)-N(M369))</f>
        <v/>
      </c>
      <c r="P369" s="24" t="n"/>
      <c r="Q369" s="23">
        <f>IF($C369="","",N(M369)+N(N369))</f>
        <v/>
      </c>
      <c r="R369" s="23">
        <f>IF($C369="","",N(J369)+N(Q369))</f>
        <v/>
      </c>
      <c r="S369" s="25">
        <f>IF(OR($C369="",N($G369)=0),"",R369/$G369)</f>
        <v/>
      </c>
      <c r="T369" s="23">
        <f>IF($C369="","",N($G369)-N(R369))</f>
        <v/>
      </c>
      <c r="U369" s="24" t="n"/>
      <c r="V369" s="22" t="n"/>
    </row>
    <row r="370">
      <c r="B370" s="13">
        <f>IF($C370="","",COUNTA($C$9:$C370))</f>
        <v/>
      </c>
      <c r="C370" s="21" t="n"/>
      <c r="D370" s="14" t="n"/>
      <c r="E370" s="14" t="n"/>
      <c r="F370" s="14" t="n"/>
      <c r="G370" s="22" t="n"/>
      <c r="H370" s="22" t="n"/>
      <c r="I370" s="22" t="n"/>
      <c r="J370" s="22" t="n"/>
      <c r="K370" s="22" t="n"/>
      <c r="L370" s="22" t="n"/>
      <c r="M370" s="22" t="n"/>
      <c r="N370" s="22" t="n"/>
      <c r="O370" s="23">
        <f>IF($C370="","",N(L370)-N(M370))</f>
        <v/>
      </c>
      <c r="P370" s="24" t="n"/>
      <c r="Q370" s="23">
        <f>IF($C370="","",N(M370)+N(N370))</f>
        <v/>
      </c>
      <c r="R370" s="23">
        <f>IF($C370="","",N(J370)+N(Q370))</f>
        <v/>
      </c>
      <c r="S370" s="25">
        <f>IF(OR($C370="",N($G370)=0),"",R370/$G370)</f>
        <v/>
      </c>
      <c r="T370" s="23">
        <f>IF($C370="","",N($G370)-N(R370))</f>
        <v/>
      </c>
      <c r="U370" s="24" t="n"/>
      <c r="V370" s="22" t="n"/>
    </row>
    <row r="371">
      <c r="B371" s="13">
        <f>IF($C371="","",COUNTA($C$9:$C371))</f>
        <v/>
      </c>
      <c r="C371" s="21" t="n"/>
      <c r="D371" s="14" t="n"/>
      <c r="E371" s="14" t="n"/>
      <c r="F371" s="14" t="n"/>
      <c r="G371" s="22" t="n"/>
      <c r="H371" s="22" t="n"/>
      <c r="I371" s="22" t="n"/>
      <c r="J371" s="22" t="n"/>
      <c r="K371" s="22" t="n"/>
      <c r="L371" s="22" t="n"/>
      <c r="M371" s="22" t="n"/>
      <c r="N371" s="22" t="n"/>
      <c r="O371" s="23">
        <f>IF($C371="","",N(L371)-N(M371))</f>
        <v/>
      </c>
      <c r="P371" s="24" t="n"/>
      <c r="Q371" s="23">
        <f>IF($C371="","",N(M371)+N(N371))</f>
        <v/>
      </c>
      <c r="R371" s="23">
        <f>IF($C371="","",N(J371)+N(Q371))</f>
        <v/>
      </c>
      <c r="S371" s="25">
        <f>IF(OR($C371="",N($G371)=0),"",R371/$G371)</f>
        <v/>
      </c>
      <c r="T371" s="23">
        <f>IF($C371="","",N($G371)-N(R371))</f>
        <v/>
      </c>
      <c r="U371" s="24" t="n"/>
      <c r="V371" s="22" t="n"/>
    </row>
    <row r="372">
      <c r="B372" s="13">
        <f>IF($C372="","",COUNTA($C$9:$C372))</f>
        <v/>
      </c>
      <c r="C372" s="21" t="n"/>
      <c r="D372" s="14" t="n"/>
      <c r="E372" s="14" t="n"/>
      <c r="F372" s="14" t="n"/>
      <c r="G372" s="22" t="n"/>
      <c r="H372" s="22" t="n"/>
      <c r="I372" s="22" t="n"/>
      <c r="J372" s="22" t="n"/>
      <c r="K372" s="22" t="n"/>
      <c r="L372" s="22" t="n"/>
      <c r="M372" s="22" t="n"/>
      <c r="N372" s="22" t="n"/>
      <c r="O372" s="23">
        <f>IF($C372="","",N(L372)-N(M372))</f>
        <v/>
      </c>
      <c r="P372" s="24" t="n"/>
      <c r="Q372" s="23">
        <f>IF($C372="","",N(M372)+N(N372))</f>
        <v/>
      </c>
      <c r="R372" s="23">
        <f>IF($C372="","",N(J372)+N(Q372))</f>
        <v/>
      </c>
      <c r="S372" s="25">
        <f>IF(OR($C372="",N($G372)=0),"",R372/$G372)</f>
        <v/>
      </c>
      <c r="T372" s="23">
        <f>IF($C372="","",N($G372)-N(R372))</f>
        <v/>
      </c>
      <c r="U372" s="24" t="n"/>
      <c r="V372" s="22" t="n"/>
    </row>
    <row r="373">
      <c r="B373" s="13">
        <f>IF($C373="","",COUNTA($C$9:$C373))</f>
        <v/>
      </c>
      <c r="C373" s="21" t="n"/>
      <c r="D373" s="14" t="n"/>
      <c r="E373" s="14" t="n"/>
      <c r="F373" s="14" t="n"/>
      <c r="G373" s="22" t="n"/>
      <c r="H373" s="22" t="n"/>
      <c r="I373" s="22" t="n"/>
      <c r="J373" s="22" t="n"/>
      <c r="K373" s="22" t="n"/>
      <c r="L373" s="22" t="n"/>
      <c r="M373" s="22" t="n"/>
      <c r="N373" s="22" t="n"/>
      <c r="O373" s="23">
        <f>IF($C373="","",N(L373)-N(M373))</f>
        <v/>
      </c>
      <c r="P373" s="24" t="n"/>
      <c r="Q373" s="23">
        <f>IF($C373="","",N(M373)+N(N373))</f>
        <v/>
      </c>
      <c r="R373" s="23">
        <f>IF($C373="","",N(J373)+N(Q373))</f>
        <v/>
      </c>
      <c r="S373" s="25">
        <f>IF(OR($C373="",N($G373)=0),"",R373/$G373)</f>
        <v/>
      </c>
      <c r="T373" s="23">
        <f>IF($C373="","",N($G373)-N(R373))</f>
        <v/>
      </c>
      <c r="U373" s="24" t="n"/>
      <c r="V373" s="22" t="n"/>
    </row>
    <row r="374">
      <c r="B374" s="13">
        <f>IF($C374="","",COUNTA($C$9:$C374))</f>
        <v/>
      </c>
      <c r="C374" s="21" t="n"/>
      <c r="D374" s="14" t="n"/>
      <c r="E374" s="14" t="n"/>
      <c r="F374" s="14" t="n"/>
      <c r="G374" s="22" t="n"/>
      <c r="H374" s="22" t="n"/>
      <c r="I374" s="22" t="n"/>
      <c r="J374" s="22" t="n"/>
      <c r="K374" s="22" t="n"/>
      <c r="L374" s="22" t="n"/>
      <c r="M374" s="22" t="n"/>
      <c r="N374" s="22" t="n"/>
      <c r="O374" s="23">
        <f>IF($C374="","",N(L374)-N(M374))</f>
        <v/>
      </c>
      <c r="P374" s="24" t="n"/>
      <c r="Q374" s="23">
        <f>IF($C374="","",N(M374)+N(N374))</f>
        <v/>
      </c>
      <c r="R374" s="23">
        <f>IF($C374="","",N(J374)+N(Q374))</f>
        <v/>
      </c>
      <c r="S374" s="25">
        <f>IF(OR($C374="",N($G374)=0),"",R374/$G374)</f>
        <v/>
      </c>
      <c r="T374" s="23">
        <f>IF($C374="","",N($G374)-N(R374))</f>
        <v/>
      </c>
      <c r="U374" s="24" t="n"/>
      <c r="V374" s="22" t="n"/>
    </row>
    <row r="375">
      <c r="B375" s="13">
        <f>IF($C375="","",COUNTA($C$9:$C375))</f>
        <v/>
      </c>
      <c r="C375" s="21" t="n"/>
      <c r="D375" s="14" t="n"/>
      <c r="E375" s="14" t="n"/>
      <c r="F375" s="14" t="n"/>
      <c r="G375" s="22" t="n"/>
      <c r="H375" s="22" t="n"/>
      <c r="I375" s="22" t="n"/>
      <c r="J375" s="22" t="n"/>
      <c r="K375" s="22" t="n"/>
      <c r="L375" s="22" t="n"/>
      <c r="M375" s="22" t="n"/>
      <c r="N375" s="22" t="n"/>
      <c r="O375" s="23">
        <f>IF($C375="","",N(L375)-N(M375))</f>
        <v/>
      </c>
      <c r="P375" s="24" t="n"/>
      <c r="Q375" s="23">
        <f>IF($C375="","",N(M375)+N(N375))</f>
        <v/>
      </c>
      <c r="R375" s="23">
        <f>IF($C375="","",N(J375)+N(Q375))</f>
        <v/>
      </c>
      <c r="S375" s="25">
        <f>IF(OR($C375="",N($G375)=0),"",R375/$G375)</f>
        <v/>
      </c>
      <c r="T375" s="23">
        <f>IF($C375="","",N($G375)-N(R375))</f>
        <v/>
      </c>
      <c r="U375" s="24" t="n"/>
      <c r="V375" s="22" t="n"/>
    </row>
    <row r="376">
      <c r="B376" s="13">
        <f>IF($C376="","",COUNTA($C$9:$C376))</f>
        <v/>
      </c>
      <c r="C376" s="21" t="n"/>
      <c r="D376" s="14" t="n"/>
      <c r="E376" s="14" t="n"/>
      <c r="F376" s="14" t="n"/>
      <c r="G376" s="22" t="n"/>
      <c r="H376" s="22" t="n"/>
      <c r="I376" s="22" t="n"/>
      <c r="J376" s="22" t="n"/>
      <c r="K376" s="22" t="n"/>
      <c r="L376" s="22" t="n"/>
      <c r="M376" s="22" t="n"/>
      <c r="N376" s="22" t="n"/>
      <c r="O376" s="23">
        <f>IF($C376="","",N(L376)-N(M376))</f>
        <v/>
      </c>
      <c r="P376" s="24" t="n"/>
      <c r="Q376" s="23">
        <f>IF($C376="","",N(M376)+N(N376))</f>
        <v/>
      </c>
      <c r="R376" s="23">
        <f>IF($C376="","",N(J376)+N(Q376))</f>
        <v/>
      </c>
      <c r="S376" s="25">
        <f>IF(OR($C376="",N($G376)=0),"",R376/$G376)</f>
        <v/>
      </c>
      <c r="T376" s="23">
        <f>IF($C376="","",N($G376)-N(R376))</f>
        <v/>
      </c>
      <c r="U376" s="24" t="n"/>
      <c r="V376" s="22" t="n"/>
    </row>
    <row r="377">
      <c r="B377" s="13">
        <f>IF($C377="","",COUNTA($C$9:$C377))</f>
        <v/>
      </c>
      <c r="C377" s="21" t="n"/>
      <c r="D377" s="14" t="n"/>
      <c r="E377" s="14" t="n"/>
      <c r="F377" s="14" t="n"/>
      <c r="G377" s="22" t="n"/>
      <c r="H377" s="22" t="n"/>
      <c r="I377" s="22" t="n"/>
      <c r="J377" s="22" t="n"/>
      <c r="K377" s="22" t="n"/>
      <c r="L377" s="22" t="n"/>
      <c r="M377" s="22" t="n"/>
      <c r="N377" s="22" t="n"/>
      <c r="O377" s="23">
        <f>IF($C377="","",N(L377)-N(M377))</f>
        <v/>
      </c>
      <c r="P377" s="24" t="n"/>
      <c r="Q377" s="23">
        <f>IF($C377="","",N(M377)+N(N377))</f>
        <v/>
      </c>
      <c r="R377" s="23">
        <f>IF($C377="","",N(J377)+N(Q377))</f>
        <v/>
      </c>
      <c r="S377" s="25">
        <f>IF(OR($C377="",N($G377)=0),"",R377/$G377)</f>
        <v/>
      </c>
      <c r="T377" s="23">
        <f>IF($C377="","",N($G377)-N(R377))</f>
        <v/>
      </c>
      <c r="U377" s="24" t="n"/>
      <c r="V377" s="22" t="n"/>
    </row>
    <row r="378">
      <c r="B378" s="13">
        <f>IF($C378="","",COUNTA($C$9:$C378))</f>
        <v/>
      </c>
      <c r="C378" s="21" t="n"/>
      <c r="D378" s="14" t="n"/>
      <c r="E378" s="14" t="n"/>
      <c r="F378" s="14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3">
        <f>IF($C378="","",N(L378)-N(M378))</f>
        <v/>
      </c>
      <c r="P378" s="24" t="n"/>
      <c r="Q378" s="23">
        <f>IF($C378="","",N(M378)+N(N378))</f>
        <v/>
      </c>
      <c r="R378" s="23">
        <f>IF($C378="","",N(J378)+N(Q378))</f>
        <v/>
      </c>
      <c r="S378" s="25">
        <f>IF(OR($C378="",N($G378)=0),"",R378/$G378)</f>
        <v/>
      </c>
      <c r="T378" s="23">
        <f>IF($C378="","",N($G378)-N(R378))</f>
        <v/>
      </c>
      <c r="U378" s="24" t="n"/>
      <c r="V378" s="22" t="n"/>
    </row>
    <row r="379">
      <c r="B379" s="13">
        <f>IF($C379="","",COUNTA($C$9:$C379))</f>
        <v/>
      </c>
      <c r="C379" s="21" t="n"/>
      <c r="D379" s="14" t="n"/>
      <c r="E379" s="14" t="n"/>
      <c r="F379" s="14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3">
        <f>IF($C379="","",N(L379)-N(M379))</f>
        <v/>
      </c>
      <c r="P379" s="24" t="n"/>
      <c r="Q379" s="23">
        <f>IF($C379="","",N(M379)+N(N379))</f>
        <v/>
      </c>
      <c r="R379" s="23">
        <f>IF($C379="","",N(J379)+N(Q379))</f>
        <v/>
      </c>
      <c r="S379" s="25">
        <f>IF(OR($C379="",N($G379)=0),"",R379/$G379)</f>
        <v/>
      </c>
      <c r="T379" s="23">
        <f>IF($C379="","",N($G379)-N(R379))</f>
        <v/>
      </c>
      <c r="U379" s="24" t="n"/>
      <c r="V379" s="22" t="n"/>
    </row>
    <row r="380">
      <c r="B380" s="13">
        <f>IF($C380="","",COUNTA($C$9:$C380))</f>
        <v/>
      </c>
      <c r="C380" s="21" t="n"/>
      <c r="D380" s="14" t="n"/>
      <c r="E380" s="14" t="n"/>
      <c r="F380" s="14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3">
        <f>IF($C380="","",N(L380)-N(M380))</f>
        <v/>
      </c>
      <c r="P380" s="24" t="n"/>
      <c r="Q380" s="23">
        <f>IF($C380="","",N(M380)+N(N380))</f>
        <v/>
      </c>
      <c r="R380" s="23">
        <f>IF($C380="","",N(J380)+N(Q380))</f>
        <v/>
      </c>
      <c r="S380" s="25">
        <f>IF(OR($C380="",N($G380)=0),"",R380/$G380)</f>
        <v/>
      </c>
      <c r="T380" s="23">
        <f>IF($C380="","",N($G380)-N(R380))</f>
        <v/>
      </c>
      <c r="U380" s="24" t="n"/>
      <c r="V380" s="22" t="n"/>
    </row>
    <row r="381">
      <c r="B381" s="13">
        <f>IF($C381="","",COUNTA($C$9:$C381))</f>
        <v/>
      </c>
      <c r="C381" s="21" t="n"/>
      <c r="D381" s="14" t="n"/>
      <c r="E381" s="14" t="n"/>
      <c r="F381" s="14" t="n"/>
      <c r="G381" s="22" t="n"/>
      <c r="H381" s="22" t="n"/>
      <c r="I381" s="22" t="n"/>
      <c r="J381" s="22" t="n"/>
      <c r="K381" s="22" t="n"/>
      <c r="L381" s="22" t="n"/>
      <c r="M381" s="22" t="n"/>
      <c r="N381" s="22" t="n"/>
      <c r="O381" s="23">
        <f>IF($C381="","",N(L381)-N(M381))</f>
        <v/>
      </c>
      <c r="P381" s="24" t="n"/>
      <c r="Q381" s="23">
        <f>IF($C381="","",N(M381)+N(N381))</f>
        <v/>
      </c>
      <c r="R381" s="23">
        <f>IF($C381="","",N(J381)+N(Q381))</f>
        <v/>
      </c>
      <c r="S381" s="25">
        <f>IF(OR($C381="",N($G381)=0),"",R381/$G381)</f>
        <v/>
      </c>
      <c r="T381" s="23">
        <f>IF($C381="","",N($G381)-N(R381))</f>
        <v/>
      </c>
      <c r="U381" s="24" t="n"/>
      <c r="V381" s="22" t="n"/>
    </row>
    <row r="382">
      <c r="B382" s="13">
        <f>IF($C382="","",COUNTA($C$9:$C382))</f>
        <v/>
      </c>
      <c r="C382" s="21" t="n"/>
      <c r="D382" s="14" t="n"/>
      <c r="E382" s="14" t="n"/>
      <c r="F382" s="14" t="n"/>
      <c r="G382" s="22" t="n"/>
      <c r="H382" s="22" t="n"/>
      <c r="I382" s="22" t="n"/>
      <c r="J382" s="22" t="n"/>
      <c r="K382" s="22" t="n"/>
      <c r="L382" s="22" t="n"/>
      <c r="M382" s="22" t="n"/>
      <c r="N382" s="22" t="n"/>
      <c r="O382" s="23">
        <f>IF($C382="","",N(L382)-N(M382))</f>
        <v/>
      </c>
      <c r="P382" s="24" t="n"/>
      <c r="Q382" s="23">
        <f>IF($C382="","",N(M382)+N(N382))</f>
        <v/>
      </c>
      <c r="R382" s="23">
        <f>IF($C382="","",N(J382)+N(Q382))</f>
        <v/>
      </c>
      <c r="S382" s="25">
        <f>IF(OR($C382="",N($G382)=0),"",R382/$G382)</f>
        <v/>
      </c>
      <c r="T382" s="23">
        <f>IF($C382="","",N($G382)-N(R382))</f>
        <v/>
      </c>
      <c r="U382" s="24" t="n"/>
      <c r="V382" s="22" t="n"/>
    </row>
    <row r="383">
      <c r="B383" s="13">
        <f>IF($C383="","",COUNTA($C$9:$C383))</f>
        <v/>
      </c>
      <c r="C383" s="21" t="n"/>
      <c r="D383" s="14" t="n"/>
      <c r="E383" s="14" t="n"/>
      <c r="F383" s="14" t="n"/>
      <c r="G383" s="22" t="n"/>
      <c r="H383" s="22" t="n"/>
      <c r="I383" s="22" t="n"/>
      <c r="J383" s="22" t="n"/>
      <c r="K383" s="22" t="n"/>
      <c r="L383" s="22" t="n"/>
      <c r="M383" s="22" t="n"/>
      <c r="N383" s="22" t="n"/>
      <c r="O383" s="23">
        <f>IF($C383="","",N(L383)-N(M383))</f>
        <v/>
      </c>
      <c r="P383" s="24" t="n"/>
      <c r="Q383" s="23">
        <f>IF($C383="","",N(M383)+N(N383))</f>
        <v/>
      </c>
      <c r="R383" s="23">
        <f>IF($C383="","",N(J383)+N(Q383))</f>
        <v/>
      </c>
      <c r="S383" s="25">
        <f>IF(OR($C383="",N($G383)=0),"",R383/$G383)</f>
        <v/>
      </c>
      <c r="T383" s="23">
        <f>IF($C383="","",N($G383)-N(R383))</f>
        <v/>
      </c>
      <c r="U383" s="24" t="n"/>
      <c r="V383" s="22" t="n"/>
    </row>
    <row r="384">
      <c r="B384" s="13">
        <f>IF($C384="","",COUNTA($C$9:$C384))</f>
        <v/>
      </c>
      <c r="C384" s="21" t="n"/>
      <c r="D384" s="14" t="n"/>
      <c r="E384" s="14" t="n"/>
      <c r="F384" s="14" t="n"/>
      <c r="G384" s="22" t="n"/>
      <c r="H384" s="22" t="n"/>
      <c r="I384" s="22" t="n"/>
      <c r="J384" s="22" t="n"/>
      <c r="K384" s="22" t="n"/>
      <c r="L384" s="22" t="n"/>
      <c r="M384" s="22" t="n"/>
      <c r="N384" s="22" t="n"/>
      <c r="O384" s="23">
        <f>IF($C384="","",N(L384)-N(M384))</f>
        <v/>
      </c>
      <c r="P384" s="24" t="n"/>
      <c r="Q384" s="23">
        <f>IF($C384="","",N(M384)+N(N384))</f>
        <v/>
      </c>
      <c r="R384" s="23">
        <f>IF($C384="","",N(J384)+N(Q384))</f>
        <v/>
      </c>
      <c r="S384" s="25">
        <f>IF(OR($C384="",N($G384)=0),"",R384/$G384)</f>
        <v/>
      </c>
      <c r="T384" s="23">
        <f>IF($C384="","",N($G384)-N(R384))</f>
        <v/>
      </c>
      <c r="U384" s="24" t="n"/>
      <c r="V384" s="22" t="n"/>
    </row>
    <row r="385">
      <c r="B385" s="13">
        <f>IF($C385="","",COUNTA($C$9:$C385))</f>
        <v/>
      </c>
      <c r="C385" s="21" t="n"/>
      <c r="D385" s="14" t="n"/>
      <c r="E385" s="14" t="n"/>
      <c r="F385" s="14" t="n"/>
      <c r="G385" s="22" t="n"/>
      <c r="H385" s="22" t="n"/>
      <c r="I385" s="22" t="n"/>
      <c r="J385" s="22" t="n"/>
      <c r="K385" s="22" t="n"/>
      <c r="L385" s="22" t="n"/>
      <c r="M385" s="22" t="n"/>
      <c r="N385" s="22" t="n"/>
      <c r="O385" s="23">
        <f>IF($C385="","",N(L385)-N(M385))</f>
        <v/>
      </c>
      <c r="P385" s="24" t="n"/>
      <c r="Q385" s="23">
        <f>IF($C385="","",N(M385)+N(N385))</f>
        <v/>
      </c>
      <c r="R385" s="23">
        <f>IF($C385="","",N(J385)+N(Q385))</f>
        <v/>
      </c>
      <c r="S385" s="25">
        <f>IF(OR($C385="",N($G385)=0),"",R385/$G385)</f>
        <v/>
      </c>
      <c r="T385" s="23">
        <f>IF($C385="","",N($G385)-N(R385))</f>
        <v/>
      </c>
      <c r="U385" s="24" t="n"/>
      <c r="V385" s="22" t="n"/>
    </row>
    <row r="386">
      <c r="B386" s="13">
        <f>IF($C386="","",COUNTA($C$9:$C386))</f>
        <v/>
      </c>
      <c r="C386" s="21" t="n"/>
      <c r="D386" s="14" t="n"/>
      <c r="E386" s="14" t="n"/>
      <c r="F386" s="14" t="n"/>
      <c r="G386" s="22" t="n"/>
      <c r="H386" s="22" t="n"/>
      <c r="I386" s="22" t="n"/>
      <c r="J386" s="22" t="n"/>
      <c r="K386" s="22" t="n"/>
      <c r="L386" s="22" t="n"/>
      <c r="M386" s="22" t="n"/>
      <c r="N386" s="22" t="n"/>
      <c r="O386" s="23">
        <f>IF($C386="","",N(L386)-N(M386))</f>
        <v/>
      </c>
      <c r="P386" s="24" t="n"/>
      <c r="Q386" s="23">
        <f>IF($C386="","",N(M386)+N(N386))</f>
        <v/>
      </c>
      <c r="R386" s="23">
        <f>IF($C386="","",N(J386)+N(Q386))</f>
        <v/>
      </c>
      <c r="S386" s="25">
        <f>IF(OR($C386="",N($G386)=0),"",R386/$G386)</f>
        <v/>
      </c>
      <c r="T386" s="23">
        <f>IF($C386="","",N($G386)-N(R386))</f>
        <v/>
      </c>
      <c r="U386" s="24" t="n"/>
      <c r="V386" s="22" t="n"/>
    </row>
    <row r="387">
      <c r="B387" s="13">
        <f>IF($C387="","",COUNTA($C$9:$C387))</f>
        <v/>
      </c>
      <c r="C387" s="21" t="n"/>
      <c r="D387" s="14" t="n"/>
      <c r="E387" s="14" t="n"/>
      <c r="F387" s="14" t="n"/>
      <c r="G387" s="22" t="n"/>
      <c r="H387" s="22" t="n"/>
      <c r="I387" s="22" t="n"/>
      <c r="J387" s="22" t="n"/>
      <c r="K387" s="22" t="n"/>
      <c r="L387" s="22" t="n"/>
      <c r="M387" s="22" t="n"/>
      <c r="N387" s="22" t="n"/>
      <c r="O387" s="23">
        <f>IF($C387="","",N(L387)-N(M387))</f>
        <v/>
      </c>
      <c r="P387" s="24" t="n"/>
      <c r="Q387" s="23">
        <f>IF($C387="","",N(M387)+N(N387))</f>
        <v/>
      </c>
      <c r="R387" s="23">
        <f>IF($C387="","",N(J387)+N(Q387))</f>
        <v/>
      </c>
      <c r="S387" s="25">
        <f>IF(OR($C387="",N($G387)=0),"",R387/$G387)</f>
        <v/>
      </c>
      <c r="T387" s="23">
        <f>IF($C387="","",N($G387)-N(R387))</f>
        <v/>
      </c>
      <c r="U387" s="24" t="n"/>
      <c r="V387" s="22" t="n"/>
    </row>
    <row r="388">
      <c r="B388" s="13">
        <f>IF($C388="","",COUNTA($C$9:$C388))</f>
        <v/>
      </c>
      <c r="C388" s="21" t="n"/>
      <c r="D388" s="14" t="n"/>
      <c r="E388" s="14" t="n"/>
      <c r="F388" s="14" t="n"/>
      <c r="G388" s="22" t="n"/>
      <c r="H388" s="22" t="n"/>
      <c r="I388" s="22" t="n"/>
      <c r="J388" s="22" t="n"/>
      <c r="K388" s="22" t="n"/>
      <c r="L388" s="22" t="n"/>
      <c r="M388" s="22" t="n"/>
      <c r="N388" s="22" t="n"/>
      <c r="O388" s="23">
        <f>IF($C388="","",N(L388)-N(M388))</f>
        <v/>
      </c>
      <c r="P388" s="24" t="n"/>
      <c r="Q388" s="23">
        <f>IF($C388="","",N(M388)+N(N388))</f>
        <v/>
      </c>
      <c r="R388" s="23">
        <f>IF($C388="","",N(J388)+N(Q388))</f>
        <v/>
      </c>
      <c r="S388" s="25">
        <f>IF(OR($C388="",N($G388)=0),"",R388/$G388)</f>
        <v/>
      </c>
      <c r="T388" s="23">
        <f>IF($C388="","",N($G388)-N(R388))</f>
        <v/>
      </c>
      <c r="U388" s="24" t="n"/>
      <c r="V388" s="22" t="n"/>
    </row>
    <row r="389">
      <c r="B389" s="13">
        <f>IF($C389="","",COUNTA($C$9:$C389))</f>
        <v/>
      </c>
      <c r="C389" s="21" t="n"/>
      <c r="D389" s="14" t="n"/>
      <c r="E389" s="14" t="n"/>
      <c r="F389" s="14" t="n"/>
      <c r="G389" s="22" t="n"/>
      <c r="H389" s="22" t="n"/>
      <c r="I389" s="22" t="n"/>
      <c r="J389" s="22" t="n"/>
      <c r="K389" s="22" t="n"/>
      <c r="L389" s="22" t="n"/>
      <c r="M389" s="22" t="n"/>
      <c r="N389" s="22" t="n"/>
      <c r="O389" s="23">
        <f>IF($C389="","",N(L389)-N(M389))</f>
        <v/>
      </c>
      <c r="P389" s="24" t="n"/>
      <c r="Q389" s="23">
        <f>IF($C389="","",N(M389)+N(N389))</f>
        <v/>
      </c>
      <c r="R389" s="23">
        <f>IF($C389="","",N(J389)+N(Q389))</f>
        <v/>
      </c>
      <c r="S389" s="25">
        <f>IF(OR($C389="",N($G389)=0),"",R389/$G389)</f>
        <v/>
      </c>
      <c r="T389" s="23">
        <f>IF($C389="","",N($G389)-N(R389))</f>
        <v/>
      </c>
      <c r="U389" s="24" t="n"/>
      <c r="V389" s="22" t="n"/>
    </row>
    <row r="390">
      <c r="B390" s="13">
        <f>IF($C390="","",COUNTA($C$9:$C390))</f>
        <v/>
      </c>
      <c r="C390" s="21" t="n"/>
      <c r="D390" s="14" t="n"/>
      <c r="E390" s="14" t="n"/>
      <c r="F390" s="14" t="n"/>
      <c r="G390" s="22" t="n"/>
      <c r="H390" s="22" t="n"/>
      <c r="I390" s="22" t="n"/>
      <c r="J390" s="22" t="n"/>
      <c r="K390" s="22" t="n"/>
      <c r="L390" s="22" t="n"/>
      <c r="M390" s="22" t="n"/>
      <c r="N390" s="22" t="n"/>
      <c r="O390" s="23">
        <f>IF($C390="","",N(L390)-N(M390))</f>
        <v/>
      </c>
      <c r="P390" s="24" t="n"/>
      <c r="Q390" s="23">
        <f>IF($C390="","",N(M390)+N(N390))</f>
        <v/>
      </c>
      <c r="R390" s="23">
        <f>IF($C390="","",N(J390)+N(Q390))</f>
        <v/>
      </c>
      <c r="S390" s="25">
        <f>IF(OR($C390="",N($G390)=0),"",R390/$G390)</f>
        <v/>
      </c>
      <c r="T390" s="23">
        <f>IF($C390="","",N($G390)-N(R390))</f>
        <v/>
      </c>
      <c r="U390" s="24" t="n"/>
      <c r="V390" s="22" t="n"/>
    </row>
    <row r="391">
      <c r="B391" s="13">
        <f>IF($C391="","",COUNTA($C$9:$C391))</f>
        <v/>
      </c>
      <c r="C391" s="21" t="n"/>
      <c r="D391" s="14" t="n"/>
      <c r="E391" s="14" t="n"/>
      <c r="F391" s="14" t="n"/>
      <c r="G391" s="22" t="n"/>
      <c r="H391" s="22" t="n"/>
      <c r="I391" s="22" t="n"/>
      <c r="J391" s="22" t="n"/>
      <c r="K391" s="22" t="n"/>
      <c r="L391" s="22" t="n"/>
      <c r="M391" s="22" t="n"/>
      <c r="N391" s="22" t="n"/>
      <c r="O391" s="23">
        <f>IF($C391="","",N(L391)-N(M391))</f>
        <v/>
      </c>
      <c r="P391" s="24" t="n"/>
      <c r="Q391" s="23">
        <f>IF($C391="","",N(M391)+N(N391))</f>
        <v/>
      </c>
      <c r="R391" s="23">
        <f>IF($C391="","",N(J391)+N(Q391))</f>
        <v/>
      </c>
      <c r="S391" s="25">
        <f>IF(OR($C391="",N($G391)=0),"",R391/$G391)</f>
        <v/>
      </c>
      <c r="T391" s="23">
        <f>IF($C391="","",N($G391)-N(R391))</f>
        <v/>
      </c>
      <c r="U391" s="24" t="n"/>
      <c r="V391" s="22" t="n"/>
    </row>
    <row r="392">
      <c r="B392" s="13">
        <f>IF($C392="","",COUNTA($C$9:$C392))</f>
        <v/>
      </c>
      <c r="C392" s="21" t="n"/>
      <c r="D392" s="14" t="n"/>
      <c r="E392" s="14" t="n"/>
      <c r="F392" s="14" t="n"/>
      <c r="G392" s="22" t="n"/>
      <c r="H392" s="22" t="n"/>
      <c r="I392" s="22" t="n"/>
      <c r="J392" s="22" t="n"/>
      <c r="K392" s="22" t="n"/>
      <c r="L392" s="22" t="n"/>
      <c r="M392" s="22" t="n"/>
      <c r="N392" s="22" t="n"/>
      <c r="O392" s="23">
        <f>IF($C392="","",N(L392)-N(M392))</f>
        <v/>
      </c>
      <c r="P392" s="24" t="n"/>
      <c r="Q392" s="23">
        <f>IF($C392="","",N(M392)+N(N392))</f>
        <v/>
      </c>
      <c r="R392" s="23">
        <f>IF($C392="","",N(J392)+N(Q392))</f>
        <v/>
      </c>
      <c r="S392" s="25">
        <f>IF(OR($C392="",N($G392)=0),"",R392/$G392)</f>
        <v/>
      </c>
      <c r="T392" s="23">
        <f>IF($C392="","",N($G392)-N(R392))</f>
        <v/>
      </c>
      <c r="U392" s="24" t="n"/>
      <c r="V392" s="22" t="n"/>
    </row>
    <row r="393">
      <c r="B393" s="13">
        <f>IF($C393="","",COUNTA($C$9:$C393))</f>
        <v/>
      </c>
      <c r="C393" s="21" t="n"/>
      <c r="D393" s="14" t="n"/>
      <c r="E393" s="14" t="n"/>
      <c r="F393" s="14" t="n"/>
      <c r="G393" s="22" t="n"/>
      <c r="H393" s="22" t="n"/>
      <c r="I393" s="22" t="n"/>
      <c r="J393" s="22" t="n"/>
      <c r="K393" s="22" t="n"/>
      <c r="L393" s="22" t="n"/>
      <c r="M393" s="22" t="n"/>
      <c r="N393" s="22" t="n"/>
      <c r="O393" s="23">
        <f>IF($C393="","",N(L393)-N(M393))</f>
        <v/>
      </c>
      <c r="P393" s="24" t="n"/>
      <c r="Q393" s="23">
        <f>IF($C393="","",N(M393)+N(N393))</f>
        <v/>
      </c>
      <c r="R393" s="23">
        <f>IF($C393="","",N(J393)+N(Q393))</f>
        <v/>
      </c>
      <c r="S393" s="25">
        <f>IF(OR($C393="",N($G393)=0),"",R393/$G393)</f>
        <v/>
      </c>
      <c r="T393" s="23">
        <f>IF($C393="","",N($G393)-N(R393))</f>
        <v/>
      </c>
      <c r="U393" s="24" t="n"/>
      <c r="V393" s="22" t="n"/>
    </row>
    <row r="394">
      <c r="B394" s="13">
        <f>IF($C394="","",COUNTA($C$9:$C394))</f>
        <v/>
      </c>
      <c r="C394" s="21" t="n"/>
      <c r="D394" s="14" t="n"/>
      <c r="E394" s="14" t="n"/>
      <c r="F394" s="14" t="n"/>
      <c r="G394" s="22" t="n"/>
      <c r="H394" s="22" t="n"/>
      <c r="I394" s="22" t="n"/>
      <c r="J394" s="22" t="n"/>
      <c r="K394" s="22" t="n"/>
      <c r="L394" s="22" t="n"/>
      <c r="M394" s="22" t="n"/>
      <c r="N394" s="22" t="n"/>
      <c r="O394" s="23">
        <f>IF($C394="","",N(L394)-N(M394))</f>
        <v/>
      </c>
      <c r="P394" s="24" t="n"/>
      <c r="Q394" s="23">
        <f>IF($C394="","",N(M394)+N(N394))</f>
        <v/>
      </c>
      <c r="R394" s="23">
        <f>IF($C394="","",N(J394)+N(Q394))</f>
        <v/>
      </c>
      <c r="S394" s="25">
        <f>IF(OR($C394="",N($G394)=0),"",R394/$G394)</f>
        <v/>
      </c>
      <c r="T394" s="23">
        <f>IF($C394="","",N($G394)-N(R394))</f>
        <v/>
      </c>
      <c r="U394" s="24" t="n"/>
      <c r="V394" s="22" t="n"/>
    </row>
    <row r="395">
      <c r="B395" s="13">
        <f>IF($C395="","",COUNTA($C$9:$C395))</f>
        <v/>
      </c>
      <c r="C395" s="21" t="n"/>
      <c r="D395" s="14" t="n"/>
      <c r="E395" s="14" t="n"/>
      <c r="F395" s="14" t="n"/>
      <c r="G395" s="22" t="n"/>
      <c r="H395" s="22" t="n"/>
      <c r="I395" s="22" t="n"/>
      <c r="J395" s="22" t="n"/>
      <c r="K395" s="22" t="n"/>
      <c r="L395" s="22" t="n"/>
      <c r="M395" s="22" t="n"/>
      <c r="N395" s="22" t="n"/>
      <c r="O395" s="23">
        <f>IF($C395="","",N(L395)-N(M395))</f>
        <v/>
      </c>
      <c r="P395" s="24" t="n"/>
      <c r="Q395" s="23">
        <f>IF($C395="","",N(M395)+N(N395))</f>
        <v/>
      </c>
      <c r="R395" s="23">
        <f>IF($C395="","",N(J395)+N(Q395))</f>
        <v/>
      </c>
      <c r="S395" s="25">
        <f>IF(OR($C395="",N($G395)=0),"",R395/$G395)</f>
        <v/>
      </c>
      <c r="T395" s="23">
        <f>IF($C395="","",N($G395)-N(R395))</f>
        <v/>
      </c>
      <c r="U395" s="24" t="n"/>
      <c r="V395" s="22" t="n"/>
    </row>
    <row r="396">
      <c r="B396" s="13">
        <f>IF($C396="","",COUNTA($C$9:$C396))</f>
        <v/>
      </c>
      <c r="C396" s="21" t="n"/>
      <c r="D396" s="14" t="n"/>
      <c r="E396" s="14" t="n"/>
      <c r="F396" s="14" t="n"/>
      <c r="G396" s="22" t="n"/>
      <c r="H396" s="22" t="n"/>
      <c r="I396" s="22" t="n"/>
      <c r="J396" s="22" t="n"/>
      <c r="K396" s="22" t="n"/>
      <c r="L396" s="22" t="n"/>
      <c r="M396" s="22" t="n"/>
      <c r="N396" s="22" t="n"/>
      <c r="O396" s="23">
        <f>IF($C396="","",N(L396)-N(M396))</f>
        <v/>
      </c>
      <c r="P396" s="24" t="n"/>
      <c r="Q396" s="23">
        <f>IF($C396="","",N(M396)+N(N396))</f>
        <v/>
      </c>
      <c r="R396" s="23">
        <f>IF($C396="","",N(J396)+N(Q396))</f>
        <v/>
      </c>
      <c r="S396" s="25">
        <f>IF(OR($C396="",N($G396)=0),"",R396/$G396)</f>
        <v/>
      </c>
      <c r="T396" s="23">
        <f>IF($C396="","",N($G396)-N(R396))</f>
        <v/>
      </c>
      <c r="U396" s="24" t="n"/>
      <c r="V396" s="22" t="n"/>
    </row>
    <row r="397">
      <c r="B397" s="13">
        <f>IF($C397="","",COUNTA($C$9:$C397))</f>
        <v/>
      </c>
      <c r="C397" s="21" t="n"/>
      <c r="D397" s="14" t="n"/>
      <c r="E397" s="14" t="n"/>
      <c r="F397" s="14" t="n"/>
      <c r="G397" s="22" t="n"/>
      <c r="H397" s="22" t="n"/>
      <c r="I397" s="22" t="n"/>
      <c r="J397" s="22" t="n"/>
      <c r="K397" s="22" t="n"/>
      <c r="L397" s="22" t="n"/>
      <c r="M397" s="22" t="n"/>
      <c r="N397" s="22" t="n"/>
      <c r="O397" s="23">
        <f>IF($C397="","",N(L397)-N(M397))</f>
        <v/>
      </c>
      <c r="P397" s="24" t="n"/>
      <c r="Q397" s="23">
        <f>IF($C397="","",N(M397)+N(N397))</f>
        <v/>
      </c>
      <c r="R397" s="23">
        <f>IF($C397="","",N(J397)+N(Q397))</f>
        <v/>
      </c>
      <c r="S397" s="25">
        <f>IF(OR($C397="",N($G397)=0),"",R397/$G397)</f>
        <v/>
      </c>
      <c r="T397" s="23">
        <f>IF($C397="","",N($G397)-N(R397))</f>
        <v/>
      </c>
      <c r="U397" s="24" t="n"/>
      <c r="V397" s="22" t="n"/>
    </row>
    <row r="398">
      <c r="B398" s="13">
        <f>IF($C398="","",COUNTA($C$9:$C398))</f>
        <v/>
      </c>
      <c r="C398" s="21" t="n"/>
      <c r="D398" s="14" t="n"/>
      <c r="E398" s="14" t="n"/>
      <c r="F398" s="14" t="n"/>
      <c r="G398" s="22" t="n"/>
      <c r="H398" s="22" t="n"/>
      <c r="I398" s="22" t="n"/>
      <c r="J398" s="22" t="n"/>
      <c r="K398" s="22" t="n"/>
      <c r="L398" s="22" t="n"/>
      <c r="M398" s="22" t="n"/>
      <c r="N398" s="22" t="n"/>
      <c r="O398" s="23">
        <f>IF($C398="","",N(L398)-N(M398))</f>
        <v/>
      </c>
      <c r="P398" s="24" t="n"/>
      <c r="Q398" s="23">
        <f>IF($C398="","",N(M398)+N(N398))</f>
        <v/>
      </c>
      <c r="R398" s="23">
        <f>IF($C398="","",N(J398)+N(Q398))</f>
        <v/>
      </c>
      <c r="S398" s="25">
        <f>IF(OR($C398="",N($G398)=0),"",R398/$G398)</f>
        <v/>
      </c>
      <c r="T398" s="23">
        <f>IF($C398="","",N($G398)-N(R398))</f>
        <v/>
      </c>
      <c r="U398" s="24" t="n"/>
      <c r="V398" s="22" t="n"/>
    </row>
    <row r="399">
      <c r="B399" s="13">
        <f>IF($C399="","",COUNTA($C$9:$C399))</f>
        <v/>
      </c>
      <c r="C399" s="21" t="n"/>
      <c r="D399" s="14" t="n"/>
      <c r="E399" s="14" t="n"/>
      <c r="F399" s="14" t="n"/>
      <c r="G399" s="22" t="n"/>
      <c r="H399" s="22" t="n"/>
      <c r="I399" s="22" t="n"/>
      <c r="J399" s="22" t="n"/>
      <c r="K399" s="22" t="n"/>
      <c r="L399" s="22" t="n"/>
      <c r="M399" s="22" t="n"/>
      <c r="N399" s="22" t="n"/>
      <c r="O399" s="23">
        <f>IF($C399="","",N(L399)-N(M399))</f>
        <v/>
      </c>
      <c r="P399" s="24" t="n"/>
      <c r="Q399" s="23">
        <f>IF($C399="","",N(M399)+N(N399))</f>
        <v/>
      </c>
      <c r="R399" s="23">
        <f>IF($C399="","",N(J399)+N(Q399))</f>
        <v/>
      </c>
      <c r="S399" s="25">
        <f>IF(OR($C399="",N($G399)=0),"",R399/$G399)</f>
        <v/>
      </c>
      <c r="T399" s="23">
        <f>IF($C399="","",N($G399)-N(R399))</f>
        <v/>
      </c>
      <c r="U399" s="24" t="n"/>
      <c r="V399" s="22" t="n"/>
    </row>
    <row r="400">
      <c r="B400" s="13">
        <f>IF($C400="","",COUNTA($C$9:$C400))</f>
        <v/>
      </c>
      <c r="C400" s="21" t="n"/>
      <c r="D400" s="14" t="n"/>
      <c r="E400" s="14" t="n"/>
      <c r="F400" s="14" t="n"/>
      <c r="G400" s="22" t="n"/>
      <c r="H400" s="22" t="n"/>
      <c r="I400" s="22" t="n"/>
      <c r="J400" s="22" t="n"/>
      <c r="K400" s="22" t="n"/>
      <c r="L400" s="22" t="n"/>
      <c r="M400" s="22" t="n"/>
      <c r="N400" s="22" t="n"/>
      <c r="O400" s="23">
        <f>IF($C400="","",N(L400)-N(M400))</f>
        <v/>
      </c>
      <c r="P400" s="24" t="n"/>
      <c r="Q400" s="23">
        <f>IF($C400="","",N(M400)+N(N400))</f>
        <v/>
      </c>
      <c r="R400" s="23">
        <f>IF($C400="","",N(J400)+N(Q400))</f>
        <v/>
      </c>
      <c r="S400" s="25">
        <f>IF(OR($C400="",N($G400)=0),"",R400/$G400)</f>
        <v/>
      </c>
      <c r="T400" s="23">
        <f>IF($C400="","",N($G400)-N(R400))</f>
        <v/>
      </c>
      <c r="U400" s="24" t="n"/>
      <c r="V400" s="22" t="n"/>
    </row>
    <row r="401">
      <c r="B401" s="13">
        <f>IF($C401="","",COUNTA($C$9:$C401))</f>
        <v/>
      </c>
      <c r="C401" s="21" t="n"/>
      <c r="D401" s="14" t="n"/>
      <c r="E401" s="14" t="n"/>
      <c r="F401" s="14" t="n"/>
      <c r="G401" s="22" t="n"/>
      <c r="H401" s="22" t="n"/>
      <c r="I401" s="22" t="n"/>
      <c r="J401" s="22" t="n"/>
      <c r="K401" s="22" t="n"/>
      <c r="L401" s="22" t="n"/>
      <c r="M401" s="22" t="n"/>
      <c r="N401" s="22" t="n"/>
      <c r="O401" s="23">
        <f>IF($C401="","",N(L401)-N(M401))</f>
        <v/>
      </c>
      <c r="P401" s="24" t="n"/>
      <c r="Q401" s="23">
        <f>IF($C401="","",N(M401)+N(N401))</f>
        <v/>
      </c>
      <c r="R401" s="23">
        <f>IF($C401="","",N(J401)+N(Q401))</f>
        <v/>
      </c>
      <c r="S401" s="25">
        <f>IF(OR($C401="",N($G401)=0),"",R401/$G401)</f>
        <v/>
      </c>
      <c r="T401" s="23">
        <f>IF($C401="","",N($G401)-N(R401))</f>
        <v/>
      </c>
      <c r="U401" s="24" t="n"/>
      <c r="V401" s="22" t="n"/>
    </row>
    <row r="402">
      <c r="B402" s="13">
        <f>IF($C402="","",COUNTA($C$9:$C402))</f>
        <v/>
      </c>
      <c r="C402" s="21" t="n"/>
      <c r="D402" s="14" t="n"/>
      <c r="E402" s="14" t="n"/>
      <c r="F402" s="14" t="n"/>
      <c r="G402" s="22" t="n"/>
      <c r="H402" s="22" t="n"/>
      <c r="I402" s="22" t="n"/>
      <c r="J402" s="22" t="n"/>
      <c r="K402" s="22" t="n"/>
      <c r="L402" s="22" t="n"/>
      <c r="M402" s="22" t="n"/>
      <c r="N402" s="22" t="n"/>
      <c r="O402" s="23">
        <f>IF($C402="","",N(L402)-N(M402))</f>
        <v/>
      </c>
      <c r="P402" s="24" t="n"/>
      <c r="Q402" s="23">
        <f>IF($C402="","",N(M402)+N(N402))</f>
        <v/>
      </c>
      <c r="R402" s="23">
        <f>IF($C402="","",N(J402)+N(Q402))</f>
        <v/>
      </c>
      <c r="S402" s="25">
        <f>IF(OR($C402="",N($G402)=0),"",R402/$G402)</f>
        <v/>
      </c>
      <c r="T402" s="23">
        <f>IF($C402="","",N($G402)-N(R402))</f>
        <v/>
      </c>
      <c r="U402" s="24" t="n"/>
      <c r="V402" s="22" t="n"/>
    </row>
    <row r="403">
      <c r="B403" s="13">
        <f>IF($C403="","",COUNTA($C$9:$C403))</f>
        <v/>
      </c>
      <c r="C403" s="21" t="n"/>
      <c r="D403" s="14" t="n"/>
      <c r="E403" s="14" t="n"/>
      <c r="F403" s="14" t="n"/>
      <c r="G403" s="22" t="n"/>
      <c r="H403" s="22" t="n"/>
      <c r="I403" s="22" t="n"/>
      <c r="J403" s="22" t="n"/>
      <c r="K403" s="22" t="n"/>
      <c r="L403" s="22" t="n"/>
      <c r="M403" s="22" t="n"/>
      <c r="N403" s="22" t="n"/>
      <c r="O403" s="23">
        <f>IF($C403="","",N(L403)-N(M403))</f>
        <v/>
      </c>
      <c r="P403" s="24" t="n"/>
      <c r="Q403" s="23">
        <f>IF($C403="","",N(M403)+N(N403))</f>
        <v/>
      </c>
      <c r="R403" s="23">
        <f>IF($C403="","",N(J403)+N(Q403))</f>
        <v/>
      </c>
      <c r="S403" s="25">
        <f>IF(OR($C403="",N($G403)=0),"",R403/$G403)</f>
        <v/>
      </c>
      <c r="T403" s="23">
        <f>IF($C403="","",N($G403)-N(R403))</f>
        <v/>
      </c>
      <c r="U403" s="24" t="n"/>
      <c r="V403" s="22" t="n"/>
    </row>
    <row r="404">
      <c r="B404" s="13">
        <f>IF($C404="","",COUNTA($C$9:$C404))</f>
        <v/>
      </c>
      <c r="C404" s="21" t="n"/>
      <c r="D404" s="14" t="n"/>
      <c r="E404" s="14" t="n"/>
      <c r="F404" s="14" t="n"/>
      <c r="G404" s="22" t="n"/>
      <c r="H404" s="22" t="n"/>
      <c r="I404" s="22" t="n"/>
      <c r="J404" s="22" t="n"/>
      <c r="K404" s="22" t="n"/>
      <c r="L404" s="22" t="n"/>
      <c r="M404" s="22" t="n"/>
      <c r="N404" s="22" t="n"/>
      <c r="O404" s="23">
        <f>IF($C404="","",N(L404)-N(M404))</f>
        <v/>
      </c>
      <c r="P404" s="24" t="n"/>
      <c r="Q404" s="23">
        <f>IF($C404="","",N(M404)+N(N404))</f>
        <v/>
      </c>
      <c r="R404" s="23">
        <f>IF($C404="","",N(J404)+N(Q404))</f>
        <v/>
      </c>
      <c r="S404" s="25">
        <f>IF(OR($C404="",N($G404)=0),"",R404/$G404)</f>
        <v/>
      </c>
      <c r="T404" s="23">
        <f>IF($C404="","",N($G404)-N(R404))</f>
        <v/>
      </c>
      <c r="U404" s="24" t="n"/>
      <c r="V404" s="22" t="n"/>
    </row>
    <row r="405">
      <c r="B405" s="13">
        <f>IF($C405="","",COUNTA($C$9:$C405))</f>
        <v/>
      </c>
      <c r="C405" s="21" t="n"/>
      <c r="D405" s="14" t="n"/>
      <c r="E405" s="14" t="n"/>
      <c r="F405" s="14" t="n"/>
      <c r="G405" s="22" t="n"/>
      <c r="H405" s="22" t="n"/>
      <c r="I405" s="22" t="n"/>
      <c r="J405" s="22" t="n"/>
      <c r="K405" s="22" t="n"/>
      <c r="L405" s="22" t="n"/>
      <c r="M405" s="22" t="n"/>
      <c r="N405" s="22" t="n"/>
      <c r="O405" s="23">
        <f>IF($C405="","",N(L405)-N(M405))</f>
        <v/>
      </c>
      <c r="P405" s="24" t="n"/>
      <c r="Q405" s="23">
        <f>IF($C405="","",N(M405)+N(N405))</f>
        <v/>
      </c>
      <c r="R405" s="23">
        <f>IF($C405="","",N(J405)+N(Q405))</f>
        <v/>
      </c>
      <c r="S405" s="25">
        <f>IF(OR($C405="",N($G405)=0),"",R405/$G405)</f>
        <v/>
      </c>
      <c r="T405" s="23">
        <f>IF($C405="","",N($G405)-N(R405))</f>
        <v/>
      </c>
      <c r="U405" s="24" t="n"/>
      <c r="V405" s="22" t="n"/>
    </row>
    <row r="406">
      <c r="B406" s="13">
        <f>IF($C406="","",COUNTA($C$9:$C406))</f>
        <v/>
      </c>
      <c r="C406" s="21" t="n"/>
      <c r="D406" s="14" t="n"/>
      <c r="E406" s="14" t="n"/>
      <c r="F406" s="14" t="n"/>
      <c r="G406" s="22" t="n"/>
      <c r="H406" s="22" t="n"/>
      <c r="I406" s="22" t="n"/>
      <c r="J406" s="22" t="n"/>
      <c r="K406" s="22" t="n"/>
      <c r="L406" s="22" t="n"/>
      <c r="M406" s="22" t="n"/>
      <c r="N406" s="22" t="n"/>
      <c r="O406" s="23">
        <f>IF($C406="","",N(L406)-N(M406))</f>
        <v/>
      </c>
      <c r="P406" s="24" t="n"/>
      <c r="Q406" s="23">
        <f>IF($C406="","",N(M406)+N(N406))</f>
        <v/>
      </c>
      <c r="R406" s="23">
        <f>IF($C406="","",N(J406)+N(Q406))</f>
        <v/>
      </c>
      <c r="S406" s="25">
        <f>IF(OR($C406="",N($G406)=0),"",R406/$G406)</f>
        <v/>
      </c>
      <c r="T406" s="23">
        <f>IF($C406="","",N($G406)-N(R406))</f>
        <v/>
      </c>
      <c r="U406" s="24" t="n"/>
      <c r="V406" s="22" t="n"/>
    </row>
    <row r="407">
      <c r="B407" s="13">
        <f>IF($C407="","",COUNTA($C$9:$C407))</f>
        <v/>
      </c>
      <c r="C407" s="21" t="n"/>
      <c r="D407" s="14" t="n"/>
      <c r="E407" s="14" t="n"/>
      <c r="F407" s="14" t="n"/>
      <c r="G407" s="22" t="n"/>
      <c r="H407" s="22" t="n"/>
      <c r="I407" s="22" t="n"/>
      <c r="J407" s="22" t="n"/>
      <c r="K407" s="22" t="n"/>
      <c r="L407" s="22" t="n"/>
      <c r="M407" s="22" t="n"/>
      <c r="N407" s="22" t="n"/>
      <c r="O407" s="23">
        <f>IF($C407="","",N(L407)-N(M407))</f>
        <v/>
      </c>
      <c r="P407" s="24" t="n"/>
      <c r="Q407" s="23">
        <f>IF($C407="","",N(M407)+N(N407))</f>
        <v/>
      </c>
      <c r="R407" s="23">
        <f>IF($C407="","",N(J407)+N(Q407))</f>
        <v/>
      </c>
      <c r="S407" s="25">
        <f>IF(OR($C407="",N($G407)=0),"",R407/$G407)</f>
        <v/>
      </c>
      <c r="T407" s="23">
        <f>IF($C407="","",N($G407)-N(R407))</f>
        <v/>
      </c>
      <c r="U407" s="24" t="n"/>
      <c r="V407" s="22" t="n"/>
    </row>
    <row r="408">
      <c r="B408" s="13">
        <f>IF($C408="","",COUNTA($C$9:$C408))</f>
        <v/>
      </c>
      <c r="C408" s="21" t="n"/>
      <c r="D408" s="14" t="n"/>
      <c r="E408" s="14" t="n"/>
      <c r="F408" s="14" t="n"/>
      <c r="G408" s="22" t="n"/>
      <c r="H408" s="22" t="n"/>
      <c r="I408" s="22" t="n"/>
      <c r="J408" s="22" t="n"/>
      <c r="K408" s="22" t="n"/>
      <c r="L408" s="22" t="n"/>
      <c r="M408" s="22" t="n"/>
      <c r="N408" s="22" t="n"/>
      <c r="O408" s="23">
        <f>IF($C408="","",N(L408)-N(M408))</f>
        <v/>
      </c>
      <c r="P408" s="24" t="n"/>
      <c r="Q408" s="23">
        <f>IF($C408="","",N(M408)+N(N408))</f>
        <v/>
      </c>
      <c r="R408" s="23">
        <f>IF($C408="","",N(J408)+N(Q408))</f>
        <v/>
      </c>
      <c r="S408" s="25">
        <f>IF(OR($C408="",N($G408)=0),"",R408/$G408)</f>
        <v/>
      </c>
      <c r="T408" s="23">
        <f>IF($C408="","",N($G408)-N(R408))</f>
        <v/>
      </c>
      <c r="U408" s="24" t="n"/>
      <c r="V408" s="22" t="n"/>
    </row>
  </sheetData>
  <autoFilter ref="B7:V408"/>
  <mergeCells count="2">
    <mergeCell ref="C4:V4"/>
    <mergeCell ref="C3:V3"/>
  </mergeCells>
  <conditionalFormatting sqref="O9:O408">
    <cfRule type="cellIs" priority="1" operator="greaterThan" dxfId="0">
      <formula>0</formula>
    </cfRule>
  </conditionalFormatting>
  <conditionalFormatting sqref="S9:S408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dataValidations count="3">
    <dataValidation sqref="D9:D408" showDropDown="0" showInputMessage="0" showErrorMessage="0" allowBlank="1" type="list">
      <formula1>=Areas</formula1>
    </dataValidation>
    <dataValidation sqref="E9:E408" showDropDown="0" showInputMessage="0" showErrorMessage="0" allowBlank="1" type="list">
      <formula1>=Activities</formula1>
    </dataValidation>
    <dataValidation sqref="F9:F408" showDropDown="0" showInputMessage="0" showErrorMessage="0" allowBlank="1" type="list">
      <formula1>=Agencies</formula1>
    </dataValidation>
  </dataValidation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B1:V408"/>
  <sheetViews>
    <sheetView zoomScale="85" workbookViewId="0">
      <pane xSplit="6" ySplit="8" topLeftCell="G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6" customWidth="1" min="2" max="2"/>
    <col width="38" customWidth="1" min="3" max="3"/>
    <col width="22" customWidth="1" min="4" max="4"/>
    <col width="24" customWidth="1" min="5" max="5"/>
    <col width="22" customWidth="1" min="6" max="6"/>
    <col width="11" customWidth="1" min="7" max="7"/>
    <col width="12" customWidth="1" min="8" max="8"/>
    <col width="12" customWidth="1" min="9" max="9"/>
    <col width="13" customWidth="1" min="10" max="10"/>
    <col width="11" customWidth="1" min="11" max="11"/>
    <col width="11" customWidth="1" min="12" max="12"/>
    <col width="11" customWidth="1" min="13" max="13"/>
    <col width="13" customWidth="1" min="14" max="14"/>
    <col width="12" customWidth="1" min="15" max="15"/>
    <col width="26" customWidth="1" min="16" max="16"/>
    <col width="13" customWidth="1" min="17" max="17"/>
    <col width="13" customWidth="1" min="18" max="18"/>
    <col width="10" customWidth="1" min="19" max="19"/>
    <col width="11" customWidth="1" min="20" max="20"/>
    <col width="30" customWidth="1" min="21" max="21"/>
    <col width="11" customWidth="1" min="22" max="22"/>
  </cols>
  <sheetData>
    <row r="1" ht="15" customHeight="1"/>
    <row r="2" ht="15" customHeight="1">
      <c r="B2" s="5" t="inlineStr">
        <is>
          <t>JSW</t>
        </is>
      </c>
    </row>
    <row r="3" ht="15" customHeight="1">
      <c r="C3" s="18" t="inlineStr">
        <is>
          <t>Cable Trays  —  Backup Sheet   (UOM: Km)</t>
        </is>
      </c>
    </row>
    <row r="4" ht="15" customHeight="1">
      <c r="C4" s="19">
        <f>Config!$C$4</f>
        <v/>
      </c>
    </row>
    <row r="5" ht="15" customHeight="1">
      <c r="S5" s="8" t="inlineStr">
        <is>
          <t>Data date:</t>
        </is>
      </c>
      <c r="T5" s="9">
        <f>Config!$C$6</f>
        <v/>
      </c>
    </row>
    <row r="6" ht="15" customHeight="1">
      <c r="S6" s="8" t="inlineStr">
        <is>
          <t>Reporting date:</t>
        </is>
      </c>
      <c r="T6" s="9">
        <f>Config!$C$7</f>
        <v/>
      </c>
    </row>
    <row r="7" ht="34" customHeight="1">
      <c r="B7" s="20" t="inlineStr">
        <is>
          <t>SL.</t>
        </is>
      </c>
      <c r="C7" s="20" t="inlineStr">
        <is>
          <t>Name of the Structures</t>
        </is>
      </c>
      <c r="D7" s="20" t="inlineStr">
        <is>
          <t>Area</t>
        </is>
      </c>
      <c r="E7" s="20" t="inlineStr">
        <is>
          <t>Activity</t>
        </is>
      </c>
      <c r="F7" s="20" t="inlineStr">
        <is>
          <t>Agency / Contractor</t>
        </is>
      </c>
      <c r="G7" s="20" t="inlineStr">
        <is>
          <t>Scope</t>
        </is>
      </c>
      <c r="H7" s="20" t="inlineStr">
        <is>
          <t>Drawing Released</t>
        </is>
      </c>
      <c r="I7" s="20" t="inlineStr">
        <is>
          <t>Cum Front Available</t>
        </is>
      </c>
      <c r="J7" s="20" t="inlineStr">
        <is>
          <t>Achieved till last month</t>
        </is>
      </c>
      <c r="K7" s="20" t="inlineStr">
        <is>
          <t>Plan FTM</t>
        </is>
      </c>
      <c r="L7" s="20" t="inlineStr">
        <is>
          <t>Plan FTD</t>
        </is>
      </c>
      <c r="M7" s="20" t="inlineStr">
        <is>
          <t>Achieved FTD</t>
        </is>
      </c>
      <c r="N7" s="20" t="inlineStr">
        <is>
          <t>Achieved FTM till previous date</t>
        </is>
      </c>
      <c r="O7" s="20" t="inlineStr">
        <is>
          <t>Variance for the Day</t>
        </is>
      </c>
      <c r="P7" s="20" t="inlineStr">
        <is>
          <t>Reason(s) for Variance</t>
        </is>
      </c>
      <c r="Q7" s="20" t="inlineStr">
        <is>
          <t>Achieved FTM till date</t>
        </is>
      </c>
      <c r="R7" s="20" t="inlineStr">
        <is>
          <t>Workdone Till Date</t>
        </is>
      </c>
      <c r="S7" s="20" t="inlineStr">
        <is>
          <t>% Complete</t>
        </is>
      </c>
      <c r="T7" s="20" t="inlineStr">
        <is>
          <t>Balance</t>
        </is>
      </c>
      <c r="U7" s="20" t="inlineStr">
        <is>
          <t>Remarks</t>
        </is>
      </c>
      <c r="V7" s="20" t="inlineStr">
        <is>
          <t>Available Manpower</t>
        </is>
      </c>
    </row>
    <row r="8" ht="15" customHeight="1">
      <c r="B8" s="12" t="inlineStr">
        <is>
          <t>a</t>
        </is>
      </c>
      <c r="C8" s="12" t="inlineStr">
        <is>
          <t>b</t>
        </is>
      </c>
      <c r="D8" s="12" t="inlineStr">
        <is>
          <t>c</t>
        </is>
      </c>
      <c r="E8" s="12" t="inlineStr">
        <is>
          <t>d</t>
        </is>
      </c>
      <c r="F8" s="12" t="inlineStr">
        <is>
          <t>e</t>
        </is>
      </c>
      <c r="G8" s="12" t="inlineStr">
        <is>
          <t>f</t>
        </is>
      </c>
      <c r="H8" s="12" t="inlineStr">
        <is>
          <t>g</t>
        </is>
      </c>
      <c r="I8" s="12" t="inlineStr">
        <is>
          <t>h</t>
        </is>
      </c>
      <c r="J8" s="12" t="inlineStr">
        <is>
          <t>i</t>
        </is>
      </c>
      <c r="K8" s="12" t="inlineStr">
        <is>
          <t>j</t>
        </is>
      </c>
      <c r="L8" s="12" t="inlineStr">
        <is>
          <t>k</t>
        </is>
      </c>
      <c r="M8" s="12" t="inlineStr">
        <is>
          <t>l</t>
        </is>
      </c>
      <c r="N8" s="12" t="inlineStr">
        <is>
          <t>m</t>
        </is>
      </c>
      <c r="O8" s="12" t="inlineStr">
        <is>
          <t>n = k-l</t>
        </is>
      </c>
      <c r="P8" s="12" t="inlineStr">
        <is>
          <t>o</t>
        </is>
      </c>
      <c r="Q8" s="12" t="inlineStr">
        <is>
          <t>p = l+m</t>
        </is>
      </c>
      <c r="R8" s="12" t="inlineStr">
        <is>
          <t>q = i+p</t>
        </is>
      </c>
      <c r="S8" s="12" t="inlineStr">
        <is>
          <t>r = (q/f)x100</t>
        </is>
      </c>
      <c r="T8" s="12" t="inlineStr">
        <is>
          <t>s = f-q</t>
        </is>
      </c>
      <c r="U8" s="12" t="inlineStr">
        <is>
          <t>t</t>
        </is>
      </c>
      <c r="V8" s="12" t="inlineStr">
        <is>
          <t>u</t>
        </is>
      </c>
    </row>
    <row r="9">
      <c r="B9" s="13">
        <f>IF($C9="","",COUNTA($C$9:$C9))</f>
        <v/>
      </c>
      <c r="C9" s="21" t="n"/>
      <c r="D9" s="14" t="n"/>
      <c r="E9" s="14" t="n"/>
      <c r="F9" s="14" t="n"/>
      <c r="G9" s="22" t="n"/>
      <c r="H9" s="22" t="n"/>
      <c r="I9" s="22" t="n"/>
      <c r="J9" s="22" t="n"/>
      <c r="K9" s="22" t="n"/>
      <c r="L9" s="22" t="n"/>
      <c r="M9" s="22" t="n"/>
      <c r="N9" s="22" t="n"/>
      <c r="O9" s="23">
        <f>IF($C9="","",N(L9)-N(M9))</f>
        <v/>
      </c>
      <c r="P9" s="24" t="n"/>
      <c r="Q9" s="23">
        <f>IF($C9="","",N(M9)+N(N9))</f>
        <v/>
      </c>
      <c r="R9" s="23">
        <f>IF($C9="","",N(J9)+N(Q9))</f>
        <v/>
      </c>
      <c r="S9" s="25">
        <f>IF(OR($C9="",N($G9)=0),"",R9/$G9)</f>
        <v/>
      </c>
      <c r="T9" s="23">
        <f>IF($C9="","",N($G9)-N(R9))</f>
        <v/>
      </c>
      <c r="U9" s="24" t="n"/>
      <c r="V9" s="22" t="n"/>
    </row>
    <row r="10">
      <c r="B10" s="13">
        <f>IF($C10="","",COUNTA($C$9:$C10))</f>
        <v/>
      </c>
      <c r="C10" s="21" t="n"/>
      <c r="D10" s="14" t="n"/>
      <c r="E10" s="14" t="n"/>
      <c r="F10" s="14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3">
        <f>IF($C10="","",N(L10)-N(M10))</f>
        <v/>
      </c>
      <c r="P10" s="24" t="n"/>
      <c r="Q10" s="23">
        <f>IF($C10="","",N(M10)+N(N10))</f>
        <v/>
      </c>
      <c r="R10" s="23">
        <f>IF($C10="","",N(J10)+N(Q10))</f>
        <v/>
      </c>
      <c r="S10" s="25">
        <f>IF(OR($C10="",N($G10)=0),"",R10/$G10)</f>
        <v/>
      </c>
      <c r="T10" s="23">
        <f>IF($C10="","",N($G10)-N(R10))</f>
        <v/>
      </c>
      <c r="U10" s="24" t="n"/>
      <c r="V10" s="22" t="n"/>
    </row>
    <row r="11">
      <c r="B11" s="13">
        <f>IF($C11="","",COUNTA($C$9:$C11))</f>
        <v/>
      </c>
      <c r="C11" s="21" t="n"/>
      <c r="D11" s="14" t="n"/>
      <c r="E11" s="14" t="n"/>
      <c r="F11" s="14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3">
        <f>IF($C11="","",N(L11)-N(M11))</f>
        <v/>
      </c>
      <c r="P11" s="24" t="n"/>
      <c r="Q11" s="23">
        <f>IF($C11="","",N(M11)+N(N11))</f>
        <v/>
      </c>
      <c r="R11" s="23">
        <f>IF($C11="","",N(J11)+N(Q11))</f>
        <v/>
      </c>
      <c r="S11" s="25">
        <f>IF(OR($C11="",N($G11)=0),"",R11/$G11)</f>
        <v/>
      </c>
      <c r="T11" s="23">
        <f>IF($C11="","",N($G11)-N(R11))</f>
        <v/>
      </c>
      <c r="U11" s="24" t="n"/>
      <c r="V11" s="22" t="n"/>
    </row>
    <row r="12">
      <c r="B12" s="13">
        <f>IF($C12="","",COUNTA($C$9:$C12))</f>
        <v/>
      </c>
      <c r="C12" s="21" t="n"/>
      <c r="D12" s="14" t="n"/>
      <c r="E12" s="14" t="n"/>
      <c r="F12" s="14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3">
        <f>IF($C12="","",N(L12)-N(M12))</f>
        <v/>
      </c>
      <c r="P12" s="24" t="n"/>
      <c r="Q12" s="23">
        <f>IF($C12="","",N(M12)+N(N12))</f>
        <v/>
      </c>
      <c r="R12" s="23">
        <f>IF($C12="","",N(J12)+N(Q12))</f>
        <v/>
      </c>
      <c r="S12" s="25">
        <f>IF(OR($C12="",N($G12)=0),"",R12/$G12)</f>
        <v/>
      </c>
      <c r="T12" s="23">
        <f>IF($C12="","",N($G12)-N(R12))</f>
        <v/>
      </c>
      <c r="U12" s="24" t="n"/>
      <c r="V12" s="22" t="n"/>
    </row>
    <row r="13">
      <c r="B13" s="13">
        <f>IF($C13="","",COUNTA($C$9:$C13))</f>
        <v/>
      </c>
      <c r="C13" s="21" t="n"/>
      <c r="D13" s="14" t="n"/>
      <c r="E13" s="14" t="n"/>
      <c r="F13" s="14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3">
        <f>IF($C13="","",N(L13)-N(M13))</f>
        <v/>
      </c>
      <c r="P13" s="24" t="n"/>
      <c r="Q13" s="23">
        <f>IF($C13="","",N(M13)+N(N13))</f>
        <v/>
      </c>
      <c r="R13" s="23">
        <f>IF($C13="","",N(J13)+N(Q13))</f>
        <v/>
      </c>
      <c r="S13" s="25">
        <f>IF(OR($C13="",N($G13)=0),"",R13/$G13)</f>
        <v/>
      </c>
      <c r="T13" s="23">
        <f>IF($C13="","",N($G13)-N(R13))</f>
        <v/>
      </c>
      <c r="U13" s="24" t="n"/>
      <c r="V13" s="22" t="n"/>
    </row>
    <row r="14">
      <c r="B14" s="13">
        <f>IF($C14="","",COUNTA($C$9:$C14))</f>
        <v/>
      </c>
      <c r="C14" s="21" t="n"/>
      <c r="D14" s="14" t="n"/>
      <c r="E14" s="14" t="n"/>
      <c r="F14" s="14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3">
        <f>IF($C14="","",N(L14)-N(M14))</f>
        <v/>
      </c>
      <c r="P14" s="24" t="n"/>
      <c r="Q14" s="23">
        <f>IF($C14="","",N(M14)+N(N14))</f>
        <v/>
      </c>
      <c r="R14" s="23">
        <f>IF($C14="","",N(J14)+N(Q14))</f>
        <v/>
      </c>
      <c r="S14" s="25">
        <f>IF(OR($C14="",N($G14)=0),"",R14/$G14)</f>
        <v/>
      </c>
      <c r="T14" s="23">
        <f>IF($C14="","",N($G14)-N(R14))</f>
        <v/>
      </c>
      <c r="U14" s="24" t="n"/>
      <c r="V14" s="22" t="n"/>
    </row>
    <row r="15">
      <c r="B15" s="13">
        <f>IF($C15="","",COUNTA($C$9:$C15))</f>
        <v/>
      </c>
      <c r="C15" s="21" t="n"/>
      <c r="D15" s="14" t="n"/>
      <c r="E15" s="14" t="n"/>
      <c r="F15" s="14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3">
        <f>IF($C15="","",N(L15)-N(M15))</f>
        <v/>
      </c>
      <c r="P15" s="24" t="n"/>
      <c r="Q15" s="23">
        <f>IF($C15="","",N(M15)+N(N15))</f>
        <v/>
      </c>
      <c r="R15" s="23">
        <f>IF($C15="","",N(J15)+N(Q15))</f>
        <v/>
      </c>
      <c r="S15" s="25">
        <f>IF(OR($C15="",N($G15)=0),"",R15/$G15)</f>
        <v/>
      </c>
      <c r="T15" s="23">
        <f>IF($C15="","",N($G15)-N(R15))</f>
        <v/>
      </c>
      <c r="U15" s="24" t="n"/>
      <c r="V15" s="22" t="n"/>
    </row>
    <row r="16">
      <c r="B16" s="13">
        <f>IF($C16="","",COUNTA($C$9:$C16))</f>
        <v/>
      </c>
      <c r="C16" s="21" t="n"/>
      <c r="D16" s="14" t="n"/>
      <c r="E16" s="14" t="n"/>
      <c r="F16" s="14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3">
        <f>IF($C16="","",N(L16)-N(M16))</f>
        <v/>
      </c>
      <c r="P16" s="24" t="n"/>
      <c r="Q16" s="23">
        <f>IF($C16="","",N(M16)+N(N16))</f>
        <v/>
      </c>
      <c r="R16" s="23">
        <f>IF($C16="","",N(J16)+N(Q16))</f>
        <v/>
      </c>
      <c r="S16" s="25">
        <f>IF(OR($C16="",N($G16)=0),"",R16/$G16)</f>
        <v/>
      </c>
      <c r="T16" s="23">
        <f>IF($C16="","",N($G16)-N(R16))</f>
        <v/>
      </c>
      <c r="U16" s="24" t="n"/>
      <c r="V16" s="22" t="n"/>
    </row>
    <row r="17">
      <c r="B17" s="13">
        <f>IF($C17="","",COUNTA($C$9:$C17))</f>
        <v/>
      </c>
      <c r="C17" s="21" t="n"/>
      <c r="D17" s="14" t="n"/>
      <c r="E17" s="14" t="n"/>
      <c r="F17" s="14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3">
        <f>IF($C17="","",N(L17)-N(M17))</f>
        <v/>
      </c>
      <c r="P17" s="24" t="n"/>
      <c r="Q17" s="23">
        <f>IF($C17="","",N(M17)+N(N17))</f>
        <v/>
      </c>
      <c r="R17" s="23">
        <f>IF($C17="","",N(J17)+N(Q17))</f>
        <v/>
      </c>
      <c r="S17" s="25">
        <f>IF(OR($C17="",N($G17)=0),"",R17/$G17)</f>
        <v/>
      </c>
      <c r="T17" s="23">
        <f>IF($C17="","",N($G17)-N(R17))</f>
        <v/>
      </c>
      <c r="U17" s="24" t="n"/>
      <c r="V17" s="22" t="n"/>
    </row>
    <row r="18">
      <c r="B18" s="13">
        <f>IF($C18="","",COUNTA($C$9:$C18))</f>
        <v/>
      </c>
      <c r="C18" s="21" t="n"/>
      <c r="D18" s="14" t="n"/>
      <c r="E18" s="14" t="n"/>
      <c r="F18" s="14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3">
        <f>IF($C18="","",N(L18)-N(M18))</f>
        <v/>
      </c>
      <c r="P18" s="24" t="n"/>
      <c r="Q18" s="23">
        <f>IF($C18="","",N(M18)+N(N18))</f>
        <v/>
      </c>
      <c r="R18" s="23">
        <f>IF($C18="","",N(J18)+N(Q18))</f>
        <v/>
      </c>
      <c r="S18" s="25">
        <f>IF(OR($C18="",N($G18)=0),"",R18/$G18)</f>
        <v/>
      </c>
      <c r="T18" s="23">
        <f>IF($C18="","",N($G18)-N(R18))</f>
        <v/>
      </c>
      <c r="U18" s="24" t="n"/>
      <c r="V18" s="22" t="n"/>
    </row>
    <row r="19">
      <c r="B19" s="13">
        <f>IF($C19="","",COUNTA($C$9:$C19))</f>
        <v/>
      </c>
      <c r="C19" s="21" t="n"/>
      <c r="D19" s="14" t="n"/>
      <c r="E19" s="14" t="n"/>
      <c r="F19" s="14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3">
        <f>IF($C19="","",N(L19)-N(M19))</f>
        <v/>
      </c>
      <c r="P19" s="24" t="n"/>
      <c r="Q19" s="23">
        <f>IF($C19="","",N(M19)+N(N19))</f>
        <v/>
      </c>
      <c r="R19" s="23">
        <f>IF($C19="","",N(J19)+N(Q19))</f>
        <v/>
      </c>
      <c r="S19" s="25">
        <f>IF(OR($C19="",N($G19)=0),"",R19/$G19)</f>
        <v/>
      </c>
      <c r="T19" s="23">
        <f>IF($C19="","",N($G19)-N(R19))</f>
        <v/>
      </c>
      <c r="U19" s="24" t="n"/>
      <c r="V19" s="22" t="n"/>
    </row>
    <row r="20">
      <c r="B20" s="13">
        <f>IF($C20="","",COUNTA($C$9:$C20))</f>
        <v/>
      </c>
      <c r="C20" s="21" t="n"/>
      <c r="D20" s="14" t="n"/>
      <c r="E20" s="14" t="n"/>
      <c r="F20" s="14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3">
        <f>IF($C20="","",N(L20)-N(M20))</f>
        <v/>
      </c>
      <c r="P20" s="24" t="n"/>
      <c r="Q20" s="23">
        <f>IF($C20="","",N(M20)+N(N20))</f>
        <v/>
      </c>
      <c r="R20" s="23">
        <f>IF($C20="","",N(J20)+N(Q20))</f>
        <v/>
      </c>
      <c r="S20" s="25">
        <f>IF(OR($C20="",N($G20)=0),"",R20/$G20)</f>
        <v/>
      </c>
      <c r="T20" s="23">
        <f>IF($C20="","",N($G20)-N(R20))</f>
        <v/>
      </c>
      <c r="U20" s="24" t="n"/>
      <c r="V20" s="22" t="n"/>
    </row>
    <row r="21">
      <c r="B21" s="13">
        <f>IF($C21="","",COUNTA($C$9:$C21))</f>
        <v/>
      </c>
      <c r="C21" s="21" t="n"/>
      <c r="D21" s="14" t="n"/>
      <c r="E21" s="14" t="n"/>
      <c r="F21" s="14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3">
        <f>IF($C21="","",N(L21)-N(M21))</f>
        <v/>
      </c>
      <c r="P21" s="24" t="n"/>
      <c r="Q21" s="23">
        <f>IF($C21="","",N(M21)+N(N21))</f>
        <v/>
      </c>
      <c r="R21" s="23">
        <f>IF($C21="","",N(J21)+N(Q21))</f>
        <v/>
      </c>
      <c r="S21" s="25">
        <f>IF(OR($C21="",N($G21)=0),"",R21/$G21)</f>
        <v/>
      </c>
      <c r="T21" s="23">
        <f>IF($C21="","",N($G21)-N(R21))</f>
        <v/>
      </c>
      <c r="U21" s="24" t="n"/>
      <c r="V21" s="22" t="n"/>
    </row>
    <row r="22">
      <c r="B22" s="13">
        <f>IF($C22="","",COUNTA($C$9:$C22))</f>
        <v/>
      </c>
      <c r="C22" s="21" t="n"/>
      <c r="D22" s="14" t="n"/>
      <c r="E22" s="14" t="n"/>
      <c r="F22" s="14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3">
        <f>IF($C22="","",N(L22)-N(M22))</f>
        <v/>
      </c>
      <c r="P22" s="24" t="n"/>
      <c r="Q22" s="23">
        <f>IF($C22="","",N(M22)+N(N22))</f>
        <v/>
      </c>
      <c r="R22" s="23">
        <f>IF($C22="","",N(J22)+N(Q22))</f>
        <v/>
      </c>
      <c r="S22" s="25">
        <f>IF(OR($C22="",N($G22)=0),"",R22/$G22)</f>
        <v/>
      </c>
      <c r="T22" s="23">
        <f>IF($C22="","",N($G22)-N(R22))</f>
        <v/>
      </c>
      <c r="U22" s="24" t="n"/>
      <c r="V22" s="22" t="n"/>
    </row>
    <row r="23">
      <c r="B23" s="13">
        <f>IF($C23="","",COUNTA($C$9:$C23))</f>
        <v/>
      </c>
      <c r="C23" s="21" t="n"/>
      <c r="D23" s="14" t="n"/>
      <c r="E23" s="14" t="n"/>
      <c r="F23" s="14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3">
        <f>IF($C23="","",N(L23)-N(M23))</f>
        <v/>
      </c>
      <c r="P23" s="24" t="n"/>
      <c r="Q23" s="23">
        <f>IF($C23="","",N(M23)+N(N23))</f>
        <v/>
      </c>
      <c r="R23" s="23">
        <f>IF($C23="","",N(J23)+N(Q23))</f>
        <v/>
      </c>
      <c r="S23" s="25">
        <f>IF(OR($C23="",N($G23)=0),"",R23/$G23)</f>
        <v/>
      </c>
      <c r="T23" s="23">
        <f>IF($C23="","",N($G23)-N(R23))</f>
        <v/>
      </c>
      <c r="U23" s="24" t="n"/>
      <c r="V23" s="22" t="n"/>
    </row>
    <row r="24">
      <c r="B24" s="13">
        <f>IF($C24="","",COUNTA($C$9:$C24))</f>
        <v/>
      </c>
      <c r="C24" s="21" t="n"/>
      <c r="D24" s="14" t="n"/>
      <c r="E24" s="14" t="n"/>
      <c r="F24" s="14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3">
        <f>IF($C24="","",N(L24)-N(M24))</f>
        <v/>
      </c>
      <c r="P24" s="24" t="n"/>
      <c r="Q24" s="23">
        <f>IF($C24="","",N(M24)+N(N24))</f>
        <v/>
      </c>
      <c r="R24" s="23">
        <f>IF($C24="","",N(J24)+N(Q24))</f>
        <v/>
      </c>
      <c r="S24" s="25">
        <f>IF(OR($C24="",N($G24)=0),"",R24/$G24)</f>
        <v/>
      </c>
      <c r="T24" s="23">
        <f>IF($C24="","",N($G24)-N(R24))</f>
        <v/>
      </c>
      <c r="U24" s="24" t="n"/>
      <c r="V24" s="22" t="n"/>
    </row>
    <row r="25">
      <c r="B25" s="13">
        <f>IF($C25="","",COUNTA($C$9:$C25))</f>
        <v/>
      </c>
      <c r="C25" s="21" t="n"/>
      <c r="D25" s="14" t="n"/>
      <c r="E25" s="14" t="n"/>
      <c r="F25" s="14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3">
        <f>IF($C25="","",N(L25)-N(M25))</f>
        <v/>
      </c>
      <c r="P25" s="24" t="n"/>
      <c r="Q25" s="23">
        <f>IF($C25="","",N(M25)+N(N25))</f>
        <v/>
      </c>
      <c r="R25" s="23">
        <f>IF($C25="","",N(J25)+N(Q25))</f>
        <v/>
      </c>
      <c r="S25" s="25">
        <f>IF(OR($C25="",N($G25)=0),"",R25/$G25)</f>
        <v/>
      </c>
      <c r="T25" s="23">
        <f>IF($C25="","",N($G25)-N(R25))</f>
        <v/>
      </c>
      <c r="U25" s="24" t="n"/>
      <c r="V25" s="22" t="n"/>
    </row>
    <row r="26">
      <c r="B26" s="13">
        <f>IF($C26="","",COUNTA($C$9:$C26))</f>
        <v/>
      </c>
      <c r="C26" s="21" t="n"/>
      <c r="D26" s="14" t="n"/>
      <c r="E26" s="14" t="n"/>
      <c r="F26" s="14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3">
        <f>IF($C26="","",N(L26)-N(M26))</f>
        <v/>
      </c>
      <c r="P26" s="24" t="n"/>
      <c r="Q26" s="23">
        <f>IF($C26="","",N(M26)+N(N26))</f>
        <v/>
      </c>
      <c r="R26" s="23">
        <f>IF($C26="","",N(J26)+N(Q26))</f>
        <v/>
      </c>
      <c r="S26" s="25">
        <f>IF(OR($C26="",N($G26)=0),"",R26/$G26)</f>
        <v/>
      </c>
      <c r="T26" s="23">
        <f>IF($C26="","",N($G26)-N(R26))</f>
        <v/>
      </c>
      <c r="U26" s="24" t="n"/>
      <c r="V26" s="22" t="n"/>
    </row>
    <row r="27">
      <c r="B27" s="13">
        <f>IF($C27="","",COUNTA($C$9:$C27))</f>
        <v/>
      </c>
      <c r="C27" s="21" t="n"/>
      <c r="D27" s="14" t="n"/>
      <c r="E27" s="14" t="n"/>
      <c r="F27" s="14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3">
        <f>IF($C27="","",N(L27)-N(M27))</f>
        <v/>
      </c>
      <c r="P27" s="24" t="n"/>
      <c r="Q27" s="23">
        <f>IF($C27="","",N(M27)+N(N27))</f>
        <v/>
      </c>
      <c r="R27" s="23">
        <f>IF($C27="","",N(J27)+N(Q27))</f>
        <v/>
      </c>
      <c r="S27" s="25">
        <f>IF(OR($C27="",N($G27)=0),"",R27/$G27)</f>
        <v/>
      </c>
      <c r="T27" s="23">
        <f>IF($C27="","",N($G27)-N(R27))</f>
        <v/>
      </c>
      <c r="U27" s="24" t="n"/>
      <c r="V27" s="22" t="n"/>
    </row>
    <row r="28">
      <c r="B28" s="13">
        <f>IF($C28="","",COUNTA($C$9:$C28))</f>
        <v/>
      </c>
      <c r="C28" s="21" t="n"/>
      <c r="D28" s="14" t="n"/>
      <c r="E28" s="14" t="n"/>
      <c r="F28" s="14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3">
        <f>IF($C28="","",N(L28)-N(M28))</f>
        <v/>
      </c>
      <c r="P28" s="24" t="n"/>
      <c r="Q28" s="23">
        <f>IF($C28="","",N(M28)+N(N28))</f>
        <v/>
      </c>
      <c r="R28" s="23">
        <f>IF($C28="","",N(J28)+N(Q28))</f>
        <v/>
      </c>
      <c r="S28" s="25">
        <f>IF(OR($C28="",N($G28)=0),"",R28/$G28)</f>
        <v/>
      </c>
      <c r="T28" s="23">
        <f>IF($C28="","",N($G28)-N(R28))</f>
        <v/>
      </c>
      <c r="U28" s="24" t="n"/>
      <c r="V28" s="22" t="n"/>
    </row>
    <row r="29">
      <c r="B29" s="13">
        <f>IF($C29="","",COUNTA($C$9:$C29))</f>
        <v/>
      </c>
      <c r="C29" s="21" t="n"/>
      <c r="D29" s="14" t="n"/>
      <c r="E29" s="14" t="n"/>
      <c r="F29" s="14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3">
        <f>IF($C29="","",N(L29)-N(M29))</f>
        <v/>
      </c>
      <c r="P29" s="24" t="n"/>
      <c r="Q29" s="23">
        <f>IF($C29="","",N(M29)+N(N29))</f>
        <v/>
      </c>
      <c r="R29" s="23">
        <f>IF($C29="","",N(J29)+N(Q29))</f>
        <v/>
      </c>
      <c r="S29" s="25">
        <f>IF(OR($C29="",N($G29)=0),"",R29/$G29)</f>
        <v/>
      </c>
      <c r="T29" s="23">
        <f>IF($C29="","",N($G29)-N(R29))</f>
        <v/>
      </c>
      <c r="U29" s="24" t="n"/>
      <c r="V29" s="22" t="n"/>
    </row>
    <row r="30">
      <c r="B30" s="13">
        <f>IF($C30="","",COUNTA($C$9:$C30))</f>
        <v/>
      </c>
      <c r="C30" s="21" t="n"/>
      <c r="D30" s="14" t="n"/>
      <c r="E30" s="14" t="n"/>
      <c r="F30" s="14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3">
        <f>IF($C30="","",N(L30)-N(M30))</f>
        <v/>
      </c>
      <c r="P30" s="24" t="n"/>
      <c r="Q30" s="23">
        <f>IF($C30="","",N(M30)+N(N30))</f>
        <v/>
      </c>
      <c r="R30" s="23">
        <f>IF($C30="","",N(J30)+N(Q30))</f>
        <v/>
      </c>
      <c r="S30" s="25">
        <f>IF(OR($C30="",N($G30)=0),"",R30/$G30)</f>
        <v/>
      </c>
      <c r="T30" s="23">
        <f>IF($C30="","",N($G30)-N(R30))</f>
        <v/>
      </c>
      <c r="U30" s="24" t="n"/>
      <c r="V30" s="22" t="n"/>
    </row>
    <row r="31">
      <c r="B31" s="13">
        <f>IF($C31="","",COUNTA($C$9:$C31))</f>
        <v/>
      </c>
      <c r="C31" s="21" t="n"/>
      <c r="D31" s="14" t="n"/>
      <c r="E31" s="14" t="n"/>
      <c r="F31" s="14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3">
        <f>IF($C31="","",N(L31)-N(M31))</f>
        <v/>
      </c>
      <c r="P31" s="24" t="n"/>
      <c r="Q31" s="23">
        <f>IF($C31="","",N(M31)+N(N31))</f>
        <v/>
      </c>
      <c r="R31" s="23">
        <f>IF($C31="","",N(J31)+N(Q31))</f>
        <v/>
      </c>
      <c r="S31" s="25">
        <f>IF(OR($C31="",N($G31)=0),"",R31/$G31)</f>
        <v/>
      </c>
      <c r="T31" s="23">
        <f>IF($C31="","",N($G31)-N(R31))</f>
        <v/>
      </c>
      <c r="U31" s="24" t="n"/>
      <c r="V31" s="22" t="n"/>
    </row>
    <row r="32">
      <c r="B32" s="13">
        <f>IF($C32="","",COUNTA($C$9:$C32))</f>
        <v/>
      </c>
      <c r="C32" s="21" t="n"/>
      <c r="D32" s="14" t="n"/>
      <c r="E32" s="14" t="n"/>
      <c r="F32" s="14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3">
        <f>IF($C32="","",N(L32)-N(M32))</f>
        <v/>
      </c>
      <c r="P32" s="24" t="n"/>
      <c r="Q32" s="23">
        <f>IF($C32="","",N(M32)+N(N32))</f>
        <v/>
      </c>
      <c r="R32" s="23">
        <f>IF($C32="","",N(J32)+N(Q32))</f>
        <v/>
      </c>
      <c r="S32" s="25">
        <f>IF(OR($C32="",N($G32)=0),"",R32/$G32)</f>
        <v/>
      </c>
      <c r="T32" s="23">
        <f>IF($C32="","",N($G32)-N(R32))</f>
        <v/>
      </c>
      <c r="U32" s="24" t="n"/>
      <c r="V32" s="22" t="n"/>
    </row>
    <row r="33">
      <c r="B33" s="13">
        <f>IF($C33="","",COUNTA($C$9:$C33))</f>
        <v/>
      </c>
      <c r="C33" s="21" t="n"/>
      <c r="D33" s="14" t="n"/>
      <c r="E33" s="14" t="n"/>
      <c r="F33" s="14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3">
        <f>IF($C33="","",N(L33)-N(M33))</f>
        <v/>
      </c>
      <c r="P33" s="24" t="n"/>
      <c r="Q33" s="23">
        <f>IF($C33="","",N(M33)+N(N33))</f>
        <v/>
      </c>
      <c r="R33" s="23">
        <f>IF($C33="","",N(J33)+N(Q33))</f>
        <v/>
      </c>
      <c r="S33" s="25">
        <f>IF(OR($C33="",N($G33)=0),"",R33/$G33)</f>
        <v/>
      </c>
      <c r="T33" s="23">
        <f>IF($C33="","",N($G33)-N(R33))</f>
        <v/>
      </c>
      <c r="U33" s="24" t="n"/>
      <c r="V33" s="22" t="n"/>
    </row>
    <row r="34">
      <c r="B34" s="13">
        <f>IF($C34="","",COUNTA($C$9:$C34))</f>
        <v/>
      </c>
      <c r="C34" s="21" t="n"/>
      <c r="D34" s="14" t="n"/>
      <c r="E34" s="14" t="n"/>
      <c r="F34" s="14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3">
        <f>IF($C34="","",N(L34)-N(M34))</f>
        <v/>
      </c>
      <c r="P34" s="24" t="n"/>
      <c r="Q34" s="23">
        <f>IF($C34="","",N(M34)+N(N34))</f>
        <v/>
      </c>
      <c r="R34" s="23">
        <f>IF($C34="","",N(J34)+N(Q34))</f>
        <v/>
      </c>
      <c r="S34" s="25">
        <f>IF(OR($C34="",N($G34)=0),"",R34/$G34)</f>
        <v/>
      </c>
      <c r="T34" s="23">
        <f>IF($C34="","",N($G34)-N(R34))</f>
        <v/>
      </c>
      <c r="U34" s="24" t="n"/>
      <c r="V34" s="22" t="n"/>
    </row>
    <row r="35">
      <c r="B35" s="13">
        <f>IF($C35="","",COUNTA($C$9:$C35))</f>
        <v/>
      </c>
      <c r="C35" s="21" t="n"/>
      <c r="D35" s="14" t="n"/>
      <c r="E35" s="14" t="n"/>
      <c r="F35" s="14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3">
        <f>IF($C35="","",N(L35)-N(M35))</f>
        <v/>
      </c>
      <c r="P35" s="24" t="n"/>
      <c r="Q35" s="23">
        <f>IF($C35="","",N(M35)+N(N35))</f>
        <v/>
      </c>
      <c r="R35" s="23">
        <f>IF($C35="","",N(J35)+N(Q35))</f>
        <v/>
      </c>
      <c r="S35" s="25">
        <f>IF(OR($C35="",N($G35)=0),"",R35/$G35)</f>
        <v/>
      </c>
      <c r="T35" s="23">
        <f>IF($C35="","",N($G35)-N(R35))</f>
        <v/>
      </c>
      <c r="U35" s="24" t="n"/>
      <c r="V35" s="22" t="n"/>
    </row>
    <row r="36">
      <c r="B36" s="13">
        <f>IF($C36="","",COUNTA($C$9:$C36))</f>
        <v/>
      </c>
      <c r="C36" s="21" t="n"/>
      <c r="D36" s="14" t="n"/>
      <c r="E36" s="14" t="n"/>
      <c r="F36" s="14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3">
        <f>IF($C36="","",N(L36)-N(M36))</f>
        <v/>
      </c>
      <c r="P36" s="24" t="n"/>
      <c r="Q36" s="23">
        <f>IF($C36="","",N(M36)+N(N36))</f>
        <v/>
      </c>
      <c r="R36" s="23">
        <f>IF($C36="","",N(J36)+N(Q36))</f>
        <v/>
      </c>
      <c r="S36" s="25">
        <f>IF(OR($C36="",N($G36)=0),"",R36/$G36)</f>
        <v/>
      </c>
      <c r="T36" s="23">
        <f>IF($C36="","",N($G36)-N(R36))</f>
        <v/>
      </c>
      <c r="U36" s="24" t="n"/>
      <c r="V36" s="22" t="n"/>
    </row>
    <row r="37">
      <c r="B37" s="13">
        <f>IF($C37="","",COUNTA($C$9:$C37))</f>
        <v/>
      </c>
      <c r="C37" s="21" t="n"/>
      <c r="D37" s="14" t="n"/>
      <c r="E37" s="14" t="n"/>
      <c r="F37" s="14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3">
        <f>IF($C37="","",N(L37)-N(M37))</f>
        <v/>
      </c>
      <c r="P37" s="24" t="n"/>
      <c r="Q37" s="23">
        <f>IF($C37="","",N(M37)+N(N37))</f>
        <v/>
      </c>
      <c r="R37" s="23">
        <f>IF($C37="","",N(J37)+N(Q37))</f>
        <v/>
      </c>
      <c r="S37" s="25">
        <f>IF(OR($C37="",N($G37)=0),"",R37/$G37)</f>
        <v/>
      </c>
      <c r="T37" s="23">
        <f>IF($C37="","",N($G37)-N(R37))</f>
        <v/>
      </c>
      <c r="U37" s="24" t="n"/>
      <c r="V37" s="22" t="n"/>
    </row>
    <row r="38">
      <c r="B38" s="13">
        <f>IF($C38="","",COUNTA($C$9:$C38))</f>
        <v/>
      </c>
      <c r="C38" s="21" t="n"/>
      <c r="D38" s="14" t="n"/>
      <c r="E38" s="14" t="n"/>
      <c r="F38" s="14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3">
        <f>IF($C38="","",N(L38)-N(M38))</f>
        <v/>
      </c>
      <c r="P38" s="24" t="n"/>
      <c r="Q38" s="23">
        <f>IF($C38="","",N(M38)+N(N38))</f>
        <v/>
      </c>
      <c r="R38" s="23">
        <f>IF($C38="","",N(J38)+N(Q38))</f>
        <v/>
      </c>
      <c r="S38" s="25">
        <f>IF(OR($C38="",N($G38)=0),"",R38/$G38)</f>
        <v/>
      </c>
      <c r="T38" s="23">
        <f>IF($C38="","",N($G38)-N(R38))</f>
        <v/>
      </c>
      <c r="U38" s="24" t="n"/>
      <c r="V38" s="22" t="n"/>
    </row>
    <row r="39">
      <c r="B39" s="13">
        <f>IF($C39="","",COUNTA($C$9:$C39))</f>
        <v/>
      </c>
      <c r="C39" s="21" t="n"/>
      <c r="D39" s="14" t="n"/>
      <c r="E39" s="14" t="n"/>
      <c r="F39" s="14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3">
        <f>IF($C39="","",N(L39)-N(M39))</f>
        <v/>
      </c>
      <c r="P39" s="24" t="n"/>
      <c r="Q39" s="23">
        <f>IF($C39="","",N(M39)+N(N39))</f>
        <v/>
      </c>
      <c r="R39" s="23">
        <f>IF($C39="","",N(J39)+N(Q39))</f>
        <v/>
      </c>
      <c r="S39" s="25">
        <f>IF(OR($C39="",N($G39)=0),"",R39/$G39)</f>
        <v/>
      </c>
      <c r="T39" s="23">
        <f>IF($C39="","",N($G39)-N(R39))</f>
        <v/>
      </c>
      <c r="U39" s="24" t="n"/>
      <c r="V39" s="22" t="n"/>
    </row>
    <row r="40">
      <c r="B40" s="13">
        <f>IF($C40="","",COUNTA($C$9:$C40))</f>
        <v/>
      </c>
      <c r="C40" s="21" t="n"/>
      <c r="D40" s="14" t="n"/>
      <c r="E40" s="14" t="n"/>
      <c r="F40" s="14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3">
        <f>IF($C40="","",N(L40)-N(M40))</f>
        <v/>
      </c>
      <c r="P40" s="24" t="n"/>
      <c r="Q40" s="23">
        <f>IF($C40="","",N(M40)+N(N40))</f>
        <v/>
      </c>
      <c r="R40" s="23">
        <f>IF($C40="","",N(J40)+N(Q40))</f>
        <v/>
      </c>
      <c r="S40" s="25">
        <f>IF(OR($C40="",N($G40)=0),"",R40/$G40)</f>
        <v/>
      </c>
      <c r="T40" s="23">
        <f>IF($C40="","",N($G40)-N(R40))</f>
        <v/>
      </c>
      <c r="U40" s="24" t="n"/>
      <c r="V40" s="22" t="n"/>
    </row>
    <row r="41">
      <c r="B41" s="13">
        <f>IF($C41="","",COUNTA($C$9:$C41))</f>
        <v/>
      </c>
      <c r="C41" s="21" t="n"/>
      <c r="D41" s="14" t="n"/>
      <c r="E41" s="14" t="n"/>
      <c r="F41" s="14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3">
        <f>IF($C41="","",N(L41)-N(M41))</f>
        <v/>
      </c>
      <c r="P41" s="24" t="n"/>
      <c r="Q41" s="23">
        <f>IF($C41="","",N(M41)+N(N41))</f>
        <v/>
      </c>
      <c r="R41" s="23">
        <f>IF($C41="","",N(J41)+N(Q41))</f>
        <v/>
      </c>
      <c r="S41" s="25">
        <f>IF(OR($C41="",N($G41)=0),"",R41/$G41)</f>
        <v/>
      </c>
      <c r="T41" s="23">
        <f>IF($C41="","",N($G41)-N(R41))</f>
        <v/>
      </c>
      <c r="U41" s="24" t="n"/>
      <c r="V41" s="22" t="n"/>
    </row>
    <row r="42">
      <c r="B42" s="13">
        <f>IF($C42="","",COUNTA($C$9:$C42))</f>
        <v/>
      </c>
      <c r="C42" s="21" t="n"/>
      <c r="D42" s="14" t="n"/>
      <c r="E42" s="14" t="n"/>
      <c r="F42" s="14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3">
        <f>IF($C42="","",N(L42)-N(M42))</f>
        <v/>
      </c>
      <c r="P42" s="24" t="n"/>
      <c r="Q42" s="23">
        <f>IF($C42="","",N(M42)+N(N42))</f>
        <v/>
      </c>
      <c r="R42" s="23">
        <f>IF($C42="","",N(J42)+N(Q42))</f>
        <v/>
      </c>
      <c r="S42" s="25">
        <f>IF(OR($C42="",N($G42)=0),"",R42/$G42)</f>
        <v/>
      </c>
      <c r="T42" s="23">
        <f>IF($C42="","",N($G42)-N(R42))</f>
        <v/>
      </c>
      <c r="U42" s="24" t="n"/>
      <c r="V42" s="22" t="n"/>
    </row>
    <row r="43">
      <c r="B43" s="13">
        <f>IF($C43="","",COUNTA($C$9:$C43))</f>
        <v/>
      </c>
      <c r="C43" s="21" t="n"/>
      <c r="D43" s="14" t="n"/>
      <c r="E43" s="14" t="n"/>
      <c r="F43" s="14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3">
        <f>IF($C43="","",N(L43)-N(M43))</f>
        <v/>
      </c>
      <c r="P43" s="24" t="n"/>
      <c r="Q43" s="23">
        <f>IF($C43="","",N(M43)+N(N43))</f>
        <v/>
      </c>
      <c r="R43" s="23">
        <f>IF($C43="","",N(J43)+N(Q43))</f>
        <v/>
      </c>
      <c r="S43" s="25">
        <f>IF(OR($C43="",N($G43)=0),"",R43/$G43)</f>
        <v/>
      </c>
      <c r="T43" s="23">
        <f>IF($C43="","",N($G43)-N(R43))</f>
        <v/>
      </c>
      <c r="U43" s="24" t="n"/>
      <c r="V43" s="22" t="n"/>
    </row>
    <row r="44">
      <c r="B44" s="13">
        <f>IF($C44="","",COUNTA($C$9:$C44))</f>
        <v/>
      </c>
      <c r="C44" s="21" t="n"/>
      <c r="D44" s="14" t="n"/>
      <c r="E44" s="14" t="n"/>
      <c r="F44" s="14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3">
        <f>IF($C44="","",N(L44)-N(M44))</f>
        <v/>
      </c>
      <c r="P44" s="24" t="n"/>
      <c r="Q44" s="23">
        <f>IF($C44="","",N(M44)+N(N44))</f>
        <v/>
      </c>
      <c r="R44" s="23">
        <f>IF($C44="","",N(J44)+N(Q44))</f>
        <v/>
      </c>
      <c r="S44" s="25">
        <f>IF(OR($C44="",N($G44)=0),"",R44/$G44)</f>
        <v/>
      </c>
      <c r="T44" s="23">
        <f>IF($C44="","",N($G44)-N(R44))</f>
        <v/>
      </c>
      <c r="U44" s="24" t="n"/>
      <c r="V44" s="22" t="n"/>
    </row>
    <row r="45">
      <c r="B45" s="13">
        <f>IF($C45="","",COUNTA($C$9:$C45))</f>
        <v/>
      </c>
      <c r="C45" s="21" t="n"/>
      <c r="D45" s="14" t="n"/>
      <c r="E45" s="14" t="n"/>
      <c r="F45" s="14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3">
        <f>IF($C45="","",N(L45)-N(M45))</f>
        <v/>
      </c>
      <c r="P45" s="24" t="n"/>
      <c r="Q45" s="23">
        <f>IF($C45="","",N(M45)+N(N45))</f>
        <v/>
      </c>
      <c r="R45" s="23">
        <f>IF($C45="","",N(J45)+N(Q45))</f>
        <v/>
      </c>
      <c r="S45" s="25">
        <f>IF(OR($C45="",N($G45)=0),"",R45/$G45)</f>
        <v/>
      </c>
      <c r="T45" s="23">
        <f>IF($C45="","",N($G45)-N(R45))</f>
        <v/>
      </c>
      <c r="U45" s="24" t="n"/>
      <c r="V45" s="22" t="n"/>
    </row>
    <row r="46">
      <c r="B46" s="13">
        <f>IF($C46="","",COUNTA($C$9:$C46))</f>
        <v/>
      </c>
      <c r="C46" s="21" t="n"/>
      <c r="D46" s="14" t="n"/>
      <c r="E46" s="14" t="n"/>
      <c r="F46" s="14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3">
        <f>IF($C46="","",N(L46)-N(M46))</f>
        <v/>
      </c>
      <c r="P46" s="24" t="n"/>
      <c r="Q46" s="23">
        <f>IF($C46="","",N(M46)+N(N46))</f>
        <v/>
      </c>
      <c r="R46" s="23">
        <f>IF($C46="","",N(J46)+N(Q46))</f>
        <v/>
      </c>
      <c r="S46" s="25">
        <f>IF(OR($C46="",N($G46)=0),"",R46/$G46)</f>
        <v/>
      </c>
      <c r="T46" s="23">
        <f>IF($C46="","",N($G46)-N(R46))</f>
        <v/>
      </c>
      <c r="U46" s="24" t="n"/>
      <c r="V46" s="22" t="n"/>
    </row>
    <row r="47">
      <c r="B47" s="13">
        <f>IF($C47="","",COUNTA($C$9:$C47))</f>
        <v/>
      </c>
      <c r="C47" s="21" t="n"/>
      <c r="D47" s="14" t="n"/>
      <c r="E47" s="14" t="n"/>
      <c r="F47" s="14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3">
        <f>IF($C47="","",N(L47)-N(M47))</f>
        <v/>
      </c>
      <c r="P47" s="24" t="n"/>
      <c r="Q47" s="23">
        <f>IF($C47="","",N(M47)+N(N47))</f>
        <v/>
      </c>
      <c r="R47" s="23">
        <f>IF($C47="","",N(J47)+N(Q47))</f>
        <v/>
      </c>
      <c r="S47" s="25">
        <f>IF(OR($C47="",N($G47)=0),"",R47/$G47)</f>
        <v/>
      </c>
      <c r="T47" s="23">
        <f>IF($C47="","",N($G47)-N(R47))</f>
        <v/>
      </c>
      <c r="U47" s="24" t="n"/>
      <c r="V47" s="22" t="n"/>
    </row>
    <row r="48">
      <c r="B48" s="13">
        <f>IF($C48="","",COUNTA($C$9:$C48))</f>
        <v/>
      </c>
      <c r="C48" s="21" t="n"/>
      <c r="D48" s="14" t="n"/>
      <c r="E48" s="14" t="n"/>
      <c r="F48" s="14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3">
        <f>IF($C48="","",N(L48)-N(M48))</f>
        <v/>
      </c>
      <c r="P48" s="24" t="n"/>
      <c r="Q48" s="23">
        <f>IF($C48="","",N(M48)+N(N48))</f>
        <v/>
      </c>
      <c r="R48" s="23">
        <f>IF($C48="","",N(J48)+N(Q48))</f>
        <v/>
      </c>
      <c r="S48" s="25">
        <f>IF(OR($C48="",N($G48)=0),"",R48/$G48)</f>
        <v/>
      </c>
      <c r="T48" s="23">
        <f>IF($C48="","",N($G48)-N(R48))</f>
        <v/>
      </c>
      <c r="U48" s="24" t="n"/>
      <c r="V48" s="22" t="n"/>
    </row>
    <row r="49">
      <c r="B49" s="13">
        <f>IF($C49="","",COUNTA($C$9:$C49))</f>
        <v/>
      </c>
      <c r="C49" s="21" t="n"/>
      <c r="D49" s="14" t="n"/>
      <c r="E49" s="14" t="n"/>
      <c r="F49" s="14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3">
        <f>IF($C49="","",N(L49)-N(M49))</f>
        <v/>
      </c>
      <c r="P49" s="24" t="n"/>
      <c r="Q49" s="23">
        <f>IF($C49="","",N(M49)+N(N49))</f>
        <v/>
      </c>
      <c r="R49" s="23">
        <f>IF($C49="","",N(J49)+N(Q49))</f>
        <v/>
      </c>
      <c r="S49" s="25">
        <f>IF(OR($C49="",N($G49)=0),"",R49/$G49)</f>
        <v/>
      </c>
      <c r="T49" s="23">
        <f>IF($C49="","",N($G49)-N(R49))</f>
        <v/>
      </c>
      <c r="U49" s="24" t="n"/>
      <c r="V49" s="22" t="n"/>
    </row>
    <row r="50">
      <c r="B50" s="13">
        <f>IF($C50="","",COUNTA($C$9:$C50))</f>
        <v/>
      </c>
      <c r="C50" s="21" t="n"/>
      <c r="D50" s="14" t="n"/>
      <c r="E50" s="14" t="n"/>
      <c r="F50" s="14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3">
        <f>IF($C50="","",N(L50)-N(M50))</f>
        <v/>
      </c>
      <c r="P50" s="24" t="n"/>
      <c r="Q50" s="23">
        <f>IF($C50="","",N(M50)+N(N50))</f>
        <v/>
      </c>
      <c r="R50" s="23">
        <f>IF($C50="","",N(J50)+N(Q50))</f>
        <v/>
      </c>
      <c r="S50" s="25">
        <f>IF(OR($C50="",N($G50)=0),"",R50/$G50)</f>
        <v/>
      </c>
      <c r="T50" s="23">
        <f>IF($C50="","",N($G50)-N(R50))</f>
        <v/>
      </c>
      <c r="U50" s="24" t="n"/>
      <c r="V50" s="22" t="n"/>
    </row>
    <row r="51">
      <c r="B51" s="13">
        <f>IF($C51="","",COUNTA($C$9:$C51))</f>
        <v/>
      </c>
      <c r="C51" s="21" t="n"/>
      <c r="D51" s="14" t="n"/>
      <c r="E51" s="14" t="n"/>
      <c r="F51" s="14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3">
        <f>IF($C51="","",N(L51)-N(M51))</f>
        <v/>
      </c>
      <c r="P51" s="24" t="n"/>
      <c r="Q51" s="23">
        <f>IF($C51="","",N(M51)+N(N51))</f>
        <v/>
      </c>
      <c r="R51" s="23">
        <f>IF($C51="","",N(J51)+N(Q51))</f>
        <v/>
      </c>
      <c r="S51" s="25">
        <f>IF(OR($C51="",N($G51)=0),"",R51/$G51)</f>
        <v/>
      </c>
      <c r="T51" s="23">
        <f>IF($C51="","",N($G51)-N(R51))</f>
        <v/>
      </c>
      <c r="U51" s="24" t="n"/>
      <c r="V51" s="22" t="n"/>
    </row>
    <row r="52">
      <c r="B52" s="13">
        <f>IF($C52="","",COUNTA($C$9:$C52))</f>
        <v/>
      </c>
      <c r="C52" s="21" t="n"/>
      <c r="D52" s="14" t="n"/>
      <c r="E52" s="14" t="n"/>
      <c r="F52" s="14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3">
        <f>IF($C52="","",N(L52)-N(M52))</f>
        <v/>
      </c>
      <c r="P52" s="24" t="n"/>
      <c r="Q52" s="23">
        <f>IF($C52="","",N(M52)+N(N52))</f>
        <v/>
      </c>
      <c r="R52" s="23">
        <f>IF($C52="","",N(J52)+N(Q52))</f>
        <v/>
      </c>
      <c r="S52" s="25">
        <f>IF(OR($C52="",N($G52)=0),"",R52/$G52)</f>
        <v/>
      </c>
      <c r="T52" s="23">
        <f>IF($C52="","",N($G52)-N(R52))</f>
        <v/>
      </c>
      <c r="U52" s="24" t="n"/>
      <c r="V52" s="22" t="n"/>
    </row>
    <row r="53">
      <c r="B53" s="13">
        <f>IF($C53="","",COUNTA($C$9:$C53))</f>
        <v/>
      </c>
      <c r="C53" s="21" t="n"/>
      <c r="D53" s="14" t="n"/>
      <c r="E53" s="14" t="n"/>
      <c r="F53" s="14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3">
        <f>IF($C53="","",N(L53)-N(M53))</f>
        <v/>
      </c>
      <c r="P53" s="24" t="n"/>
      <c r="Q53" s="23">
        <f>IF($C53="","",N(M53)+N(N53))</f>
        <v/>
      </c>
      <c r="R53" s="23">
        <f>IF($C53="","",N(J53)+N(Q53))</f>
        <v/>
      </c>
      <c r="S53" s="25">
        <f>IF(OR($C53="",N($G53)=0),"",R53/$G53)</f>
        <v/>
      </c>
      <c r="T53" s="23">
        <f>IF($C53="","",N($G53)-N(R53))</f>
        <v/>
      </c>
      <c r="U53" s="24" t="n"/>
      <c r="V53" s="22" t="n"/>
    </row>
    <row r="54">
      <c r="B54" s="13">
        <f>IF($C54="","",COUNTA($C$9:$C54))</f>
        <v/>
      </c>
      <c r="C54" s="21" t="n"/>
      <c r="D54" s="14" t="n"/>
      <c r="E54" s="14" t="n"/>
      <c r="F54" s="14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3">
        <f>IF($C54="","",N(L54)-N(M54))</f>
        <v/>
      </c>
      <c r="P54" s="24" t="n"/>
      <c r="Q54" s="23">
        <f>IF($C54="","",N(M54)+N(N54))</f>
        <v/>
      </c>
      <c r="R54" s="23">
        <f>IF($C54="","",N(J54)+N(Q54))</f>
        <v/>
      </c>
      <c r="S54" s="25">
        <f>IF(OR($C54="",N($G54)=0),"",R54/$G54)</f>
        <v/>
      </c>
      <c r="T54" s="23">
        <f>IF($C54="","",N($G54)-N(R54))</f>
        <v/>
      </c>
      <c r="U54" s="24" t="n"/>
      <c r="V54" s="22" t="n"/>
    </row>
    <row r="55">
      <c r="B55" s="13">
        <f>IF($C55="","",COUNTA($C$9:$C55))</f>
        <v/>
      </c>
      <c r="C55" s="21" t="n"/>
      <c r="D55" s="14" t="n"/>
      <c r="E55" s="14" t="n"/>
      <c r="F55" s="14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3">
        <f>IF($C55="","",N(L55)-N(M55))</f>
        <v/>
      </c>
      <c r="P55" s="24" t="n"/>
      <c r="Q55" s="23">
        <f>IF($C55="","",N(M55)+N(N55))</f>
        <v/>
      </c>
      <c r="R55" s="23">
        <f>IF($C55="","",N(J55)+N(Q55))</f>
        <v/>
      </c>
      <c r="S55" s="25">
        <f>IF(OR($C55="",N($G55)=0),"",R55/$G55)</f>
        <v/>
      </c>
      <c r="T55" s="23">
        <f>IF($C55="","",N($G55)-N(R55))</f>
        <v/>
      </c>
      <c r="U55" s="24" t="n"/>
      <c r="V55" s="22" t="n"/>
    </row>
    <row r="56">
      <c r="B56" s="13">
        <f>IF($C56="","",COUNTA($C$9:$C56))</f>
        <v/>
      </c>
      <c r="C56" s="21" t="n"/>
      <c r="D56" s="14" t="n"/>
      <c r="E56" s="14" t="n"/>
      <c r="F56" s="14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3">
        <f>IF($C56="","",N(L56)-N(M56))</f>
        <v/>
      </c>
      <c r="P56" s="24" t="n"/>
      <c r="Q56" s="23">
        <f>IF($C56="","",N(M56)+N(N56))</f>
        <v/>
      </c>
      <c r="R56" s="23">
        <f>IF($C56="","",N(J56)+N(Q56))</f>
        <v/>
      </c>
      <c r="S56" s="25">
        <f>IF(OR($C56="",N($G56)=0),"",R56/$G56)</f>
        <v/>
      </c>
      <c r="T56" s="23">
        <f>IF($C56="","",N($G56)-N(R56))</f>
        <v/>
      </c>
      <c r="U56" s="24" t="n"/>
      <c r="V56" s="22" t="n"/>
    </row>
    <row r="57">
      <c r="B57" s="13">
        <f>IF($C57="","",COUNTA($C$9:$C57))</f>
        <v/>
      </c>
      <c r="C57" s="21" t="n"/>
      <c r="D57" s="14" t="n"/>
      <c r="E57" s="14" t="n"/>
      <c r="F57" s="14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3">
        <f>IF($C57="","",N(L57)-N(M57))</f>
        <v/>
      </c>
      <c r="P57" s="24" t="n"/>
      <c r="Q57" s="23">
        <f>IF($C57="","",N(M57)+N(N57))</f>
        <v/>
      </c>
      <c r="R57" s="23">
        <f>IF($C57="","",N(J57)+N(Q57))</f>
        <v/>
      </c>
      <c r="S57" s="25">
        <f>IF(OR($C57="",N($G57)=0),"",R57/$G57)</f>
        <v/>
      </c>
      <c r="T57" s="23">
        <f>IF($C57="","",N($G57)-N(R57))</f>
        <v/>
      </c>
      <c r="U57" s="24" t="n"/>
      <c r="V57" s="22" t="n"/>
    </row>
    <row r="58">
      <c r="B58" s="13">
        <f>IF($C58="","",COUNTA($C$9:$C58))</f>
        <v/>
      </c>
      <c r="C58" s="21" t="n"/>
      <c r="D58" s="14" t="n"/>
      <c r="E58" s="14" t="n"/>
      <c r="F58" s="14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3">
        <f>IF($C58="","",N(L58)-N(M58))</f>
        <v/>
      </c>
      <c r="P58" s="24" t="n"/>
      <c r="Q58" s="23">
        <f>IF($C58="","",N(M58)+N(N58))</f>
        <v/>
      </c>
      <c r="R58" s="23">
        <f>IF($C58="","",N(J58)+N(Q58))</f>
        <v/>
      </c>
      <c r="S58" s="25">
        <f>IF(OR($C58="",N($G58)=0),"",R58/$G58)</f>
        <v/>
      </c>
      <c r="T58" s="23">
        <f>IF($C58="","",N($G58)-N(R58))</f>
        <v/>
      </c>
      <c r="U58" s="24" t="n"/>
      <c r="V58" s="22" t="n"/>
    </row>
    <row r="59">
      <c r="B59" s="13">
        <f>IF($C59="","",COUNTA($C$9:$C59))</f>
        <v/>
      </c>
      <c r="C59" s="21" t="n"/>
      <c r="D59" s="14" t="n"/>
      <c r="E59" s="14" t="n"/>
      <c r="F59" s="14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3">
        <f>IF($C59="","",N(L59)-N(M59))</f>
        <v/>
      </c>
      <c r="P59" s="24" t="n"/>
      <c r="Q59" s="23">
        <f>IF($C59="","",N(M59)+N(N59))</f>
        <v/>
      </c>
      <c r="R59" s="23">
        <f>IF($C59="","",N(J59)+N(Q59))</f>
        <v/>
      </c>
      <c r="S59" s="25">
        <f>IF(OR($C59="",N($G59)=0),"",R59/$G59)</f>
        <v/>
      </c>
      <c r="T59" s="23">
        <f>IF($C59="","",N($G59)-N(R59))</f>
        <v/>
      </c>
      <c r="U59" s="24" t="n"/>
      <c r="V59" s="22" t="n"/>
    </row>
    <row r="60">
      <c r="B60" s="13">
        <f>IF($C60="","",COUNTA($C$9:$C60))</f>
        <v/>
      </c>
      <c r="C60" s="21" t="n"/>
      <c r="D60" s="14" t="n"/>
      <c r="E60" s="14" t="n"/>
      <c r="F60" s="14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3">
        <f>IF($C60="","",N(L60)-N(M60))</f>
        <v/>
      </c>
      <c r="P60" s="24" t="n"/>
      <c r="Q60" s="23">
        <f>IF($C60="","",N(M60)+N(N60))</f>
        <v/>
      </c>
      <c r="R60" s="23">
        <f>IF($C60="","",N(J60)+N(Q60))</f>
        <v/>
      </c>
      <c r="S60" s="25">
        <f>IF(OR($C60="",N($G60)=0),"",R60/$G60)</f>
        <v/>
      </c>
      <c r="T60" s="23">
        <f>IF($C60="","",N($G60)-N(R60))</f>
        <v/>
      </c>
      <c r="U60" s="24" t="n"/>
      <c r="V60" s="22" t="n"/>
    </row>
    <row r="61">
      <c r="B61" s="13">
        <f>IF($C61="","",COUNTA($C$9:$C61))</f>
        <v/>
      </c>
      <c r="C61" s="21" t="n"/>
      <c r="D61" s="14" t="n"/>
      <c r="E61" s="14" t="n"/>
      <c r="F61" s="14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3">
        <f>IF($C61="","",N(L61)-N(M61))</f>
        <v/>
      </c>
      <c r="P61" s="24" t="n"/>
      <c r="Q61" s="23">
        <f>IF($C61="","",N(M61)+N(N61))</f>
        <v/>
      </c>
      <c r="R61" s="23">
        <f>IF($C61="","",N(J61)+N(Q61))</f>
        <v/>
      </c>
      <c r="S61" s="25">
        <f>IF(OR($C61="",N($G61)=0),"",R61/$G61)</f>
        <v/>
      </c>
      <c r="T61" s="23">
        <f>IF($C61="","",N($G61)-N(R61))</f>
        <v/>
      </c>
      <c r="U61" s="24" t="n"/>
      <c r="V61" s="22" t="n"/>
    </row>
    <row r="62">
      <c r="B62" s="13">
        <f>IF($C62="","",COUNTA($C$9:$C62))</f>
        <v/>
      </c>
      <c r="C62" s="21" t="n"/>
      <c r="D62" s="14" t="n"/>
      <c r="E62" s="14" t="n"/>
      <c r="F62" s="14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3">
        <f>IF($C62="","",N(L62)-N(M62))</f>
        <v/>
      </c>
      <c r="P62" s="24" t="n"/>
      <c r="Q62" s="23">
        <f>IF($C62="","",N(M62)+N(N62))</f>
        <v/>
      </c>
      <c r="R62" s="23">
        <f>IF($C62="","",N(J62)+N(Q62))</f>
        <v/>
      </c>
      <c r="S62" s="25">
        <f>IF(OR($C62="",N($G62)=0),"",R62/$G62)</f>
        <v/>
      </c>
      <c r="T62" s="23">
        <f>IF($C62="","",N($G62)-N(R62))</f>
        <v/>
      </c>
      <c r="U62" s="24" t="n"/>
      <c r="V62" s="22" t="n"/>
    </row>
    <row r="63">
      <c r="B63" s="13">
        <f>IF($C63="","",COUNTA($C$9:$C63))</f>
        <v/>
      </c>
      <c r="C63" s="21" t="n"/>
      <c r="D63" s="14" t="n"/>
      <c r="E63" s="14" t="n"/>
      <c r="F63" s="14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3">
        <f>IF($C63="","",N(L63)-N(M63))</f>
        <v/>
      </c>
      <c r="P63" s="24" t="n"/>
      <c r="Q63" s="23">
        <f>IF($C63="","",N(M63)+N(N63))</f>
        <v/>
      </c>
      <c r="R63" s="23">
        <f>IF($C63="","",N(J63)+N(Q63))</f>
        <v/>
      </c>
      <c r="S63" s="25">
        <f>IF(OR($C63="",N($G63)=0),"",R63/$G63)</f>
        <v/>
      </c>
      <c r="T63" s="23">
        <f>IF($C63="","",N($G63)-N(R63))</f>
        <v/>
      </c>
      <c r="U63" s="24" t="n"/>
      <c r="V63" s="22" t="n"/>
    </row>
    <row r="64">
      <c r="B64" s="13">
        <f>IF($C64="","",COUNTA($C$9:$C64))</f>
        <v/>
      </c>
      <c r="C64" s="21" t="n"/>
      <c r="D64" s="14" t="n"/>
      <c r="E64" s="14" t="n"/>
      <c r="F64" s="14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3">
        <f>IF($C64="","",N(L64)-N(M64))</f>
        <v/>
      </c>
      <c r="P64" s="24" t="n"/>
      <c r="Q64" s="23">
        <f>IF($C64="","",N(M64)+N(N64))</f>
        <v/>
      </c>
      <c r="R64" s="23">
        <f>IF($C64="","",N(J64)+N(Q64))</f>
        <v/>
      </c>
      <c r="S64" s="25">
        <f>IF(OR($C64="",N($G64)=0),"",R64/$G64)</f>
        <v/>
      </c>
      <c r="T64" s="23">
        <f>IF($C64="","",N($G64)-N(R64))</f>
        <v/>
      </c>
      <c r="U64" s="24" t="n"/>
      <c r="V64" s="22" t="n"/>
    </row>
    <row r="65">
      <c r="B65" s="13">
        <f>IF($C65="","",COUNTA($C$9:$C65))</f>
        <v/>
      </c>
      <c r="C65" s="21" t="n"/>
      <c r="D65" s="14" t="n"/>
      <c r="E65" s="14" t="n"/>
      <c r="F65" s="14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3">
        <f>IF($C65="","",N(L65)-N(M65))</f>
        <v/>
      </c>
      <c r="P65" s="24" t="n"/>
      <c r="Q65" s="23">
        <f>IF($C65="","",N(M65)+N(N65))</f>
        <v/>
      </c>
      <c r="R65" s="23">
        <f>IF($C65="","",N(J65)+N(Q65))</f>
        <v/>
      </c>
      <c r="S65" s="25">
        <f>IF(OR($C65="",N($G65)=0),"",R65/$G65)</f>
        <v/>
      </c>
      <c r="T65" s="23">
        <f>IF($C65="","",N($G65)-N(R65))</f>
        <v/>
      </c>
      <c r="U65" s="24" t="n"/>
      <c r="V65" s="22" t="n"/>
    </row>
    <row r="66">
      <c r="B66" s="13">
        <f>IF($C66="","",COUNTA($C$9:$C66))</f>
        <v/>
      </c>
      <c r="C66" s="21" t="n"/>
      <c r="D66" s="14" t="n"/>
      <c r="E66" s="14" t="n"/>
      <c r="F66" s="14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3">
        <f>IF($C66="","",N(L66)-N(M66))</f>
        <v/>
      </c>
      <c r="P66" s="24" t="n"/>
      <c r="Q66" s="23">
        <f>IF($C66="","",N(M66)+N(N66))</f>
        <v/>
      </c>
      <c r="R66" s="23">
        <f>IF($C66="","",N(J66)+N(Q66))</f>
        <v/>
      </c>
      <c r="S66" s="25">
        <f>IF(OR($C66="",N($G66)=0),"",R66/$G66)</f>
        <v/>
      </c>
      <c r="T66" s="23">
        <f>IF($C66="","",N($G66)-N(R66))</f>
        <v/>
      </c>
      <c r="U66" s="24" t="n"/>
      <c r="V66" s="22" t="n"/>
    </row>
    <row r="67">
      <c r="B67" s="13">
        <f>IF($C67="","",COUNTA($C$9:$C67))</f>
        <v/>
      </c>
      <c r="C67" s="21" t="n"/>
      <c r="D67" s="14" t="n"/>
      <c r="E67" s="14" t="n"/>
      <c r="F67" s="14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3">
        <f>IF($C67="","",N(L67)-N(M67))</f>
        <v/>
      </c>
      <c r="P67" s="24" t="n"/>
      <c r="Q67" s="23">
        <f>IF($C67="","",N(M67)+N(N67))</f>
        <v/>
      </c>
      <c r="R67" s="23">
        <f>IF($C67="","",N(J67)+N(Q67))</f>
        <v/>
      </c>
      <c r="S67" s="25">
        <f>IF(OR($C67="",N($G67)=0),"",R67/$G67)</f>
        <v/>
      </c>
      <c r="T67" s="23">
        <f>IF($C67="","",N($G67)-N(R67))</f>
        <v/>
      </c>
      <c r="U67" s="24" t="n"/>
      <c r="V67" s="22" t="n"/>
    </row>
    <row r="68">
      <c r="B68" s="13">
        <f>IF($C68="","",COUNTA($C$9:$C68))</f>
        <v/>
      </c>
      <c r="C68" s="21" t="n"/>
      <c r="D68" s="14" t="n"/>
      <c r="E68" s="14" t="n"/>
      <c r="F68" s="14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3">
        <f>IF($C68="","",N(L68)-N(M68))</f>
        <v/>
      </c>
      <c r="P68" s="24" t="n"/>
      <c r="Q68" s="23">
        <f>IF($C68="","",N(M68)+N(N68))</f>
        <v/>
      </c>
      <c r="R68" s="23">
        <f>IF($C68="","",N(J68)+N(Q68))</f>
        <v/>
      </c>
      <c r="S68" s="25">
        <f>IF(OR($C68="",N($G68)=0),"",R68/$G68)</f>
        <v/>
      </c>
      <c r="T68" s="23">
        <f>IF($C68="","",N($G68)-N(R68))</f>
        <v/>
      </c>
      <c r="U68" s="24" t="n"/>
      <c r="V68" s="22" t="n"/>
    </row>
    <row r="69">
      <c r="B69" s="13">
        <f>IF($C69="","",COUNTA($C$9:$C69))</f>
        <v/>
      </c>
      <c r="C69" s="21" t="n"/>
      <c r="D69" s="14" t="n"/>
      <c r="E69" s="14" t="n"/>
      <c r="F69" s="14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3">
        <f>IF($C69="","",N(L69)-N(M69))</f>
        <v/>
      </c>
      <c r="P69" s="24" t="n"/>
      <c r="Q69" s="23">
        <f>IF($C69="","",N(M69)+N(N69))</f>
        <v/>
      </c>
      <c r="R69" s="23">
        <f>IF($C69="","",N(J69)+N(Q69))</f>
        <v/>
      </c>
      <c r="S69" s="25">
        <f>IF(OR($C69="",N($G69)=0),"",R69/$G69)</f>
        <v/>
      </c>
      <c r="T69" s="23">
        <f>IF($C69="","",N($G69)-N(R69))</f>
        <v/>
      </c>
      <c r="U69" s="24" t="n"/>
      <c r="V69" s="22" t="n"/>
    </row>
    <row r="70">
      <c r="B70" s="13">
        <f>IF($C70="","",COUNTA($C$9:$C70))</f>
        <v/>
      </c>
      <c r="C70" s="21" t="n"/>
      <c r="D70" s="14" t="n"/>
      <c r="E70" s="14" t="n"/>
      <c r="F70" s="14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3">
        <f>IF($C70="","",N(L70)-N(M70))</f>
        <v/>
      </c>
      <c r="P70" s="24" t="n"/>
      <c r="Q70" s="23">
        <f>IF($C70="","",N(M70)+N(N70))</f>
        <v/>
      </c>
      <c r="R70" s="23">
        <f>IF($C70="","",N(J70)+N(Q70))</f>
        <v/>
      </c>
      <c r="S70" s="25">
        <f>IF(OR($C70="",N($G70)=0),"",R70/$G70)</f>
        <v/>
      </c>
      <c r="T70" s="23">
        <f>IF($C70="","",N($G70)-N(R70))</f>
        <v/>
      </c>
      <c r="U70" s="24" t="n"/>
      <c r="V70" s="22" t="n"/>
    </row>
    <row r="71">
      <c r="B71" s="13">
        <f>IF($C71="","",COUNTA($C$9:$C71))</f>
        <v/>
      </c>
      <c r="C71" s="21" t="n"/>
      <c r="D71" s="14" t="n"/>
      <c r="E71" s="14" t="n"/>
      <c r="F71" s="14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3">
        <f>IF($C71="","",N(L71)-N(M71))</f>
        <v/>
      </c>
      <c r="P71" s="24" t="n"/>
      <c r="Q71" s="23">
        <f>IF($C71="","",N(M71)+N(N71))</f>
        <v/>
      </c>
      <c r="R71" s="23">
        <f>IF($C71="","",N(J71)+N(Q71))</f>
        <v/>
      </c>
      <c r="S71" s="25">
        <f>IF(OR($C71="",N($G71)=0),"",R71/$G71)</f>
        <v/>
      </c>
      <c r="T71" s="23">
        <f>IF($C71="","",N($G71)-N(R71))</f>
        <v/>
      </c>
      <c r="U71" s="24" t="n"/>
      <c r="V71" s="22" t="n"/>
    </row>
    <row r="72">
      <c r="B72" s="13">
        <f>IF($C72="","",COUNTA($C$9:$C72))</f>
        <v/>
      </c>
      <c r="C72" s="21" t="n"/>
      <c r="D72" s="14" t="n"/>
      <c r="E72" s="14" t="n"/>
      <c r="F72" s="14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3">
        <f>IF($C72="","",N(L72)-N(M72))</f>
        <v/>
      </c>
      <c r="P72" s="24" t="n"/>
      <c r="Q72" s="23">
        <f>IF($C72="","",N(M72)+N(N72))</f>
        <v/>
      </c>
      <c r="R72" s="23">
        <f>IF($C72="","",N(J72)+N(Q72))</f>
        <v/>
      </c>
      <c r="S72" s="25">
        <f>IF(OR($C72="",N($G72)=0),"",R72/$G72)</f>
        <v/>
      </c>
      <c r="T72" s="23">
        <f>IF($C72="","",N($G72)-N(R72))</f>
        <v/>
      </c>
      <c r="U72" s="24" t="n"/>
      <c r="V72" s="22" t="n"/>
    </row>
    <row r="73">
      <c r="B73" s="13">
        <f>IF($C73="","",COUNTA($C$9:$C73))</f>
        <v/>
      </c>
      <c r="C73" s="21" t="n"/>
      <c r="D73" s="14" t="n"/>
      <c r="E73" s="14" t="n"/>
      <c r="F73" s="14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3">
        <f>IF($C73="","",N(L73)-N(M73))</f>
        <v/>
      </c>
      <c r="P73" s="24" t="n"/>
      <c r="Q73" s="23">
        <f>IF($C73="","",N(M73)+N(N73))</f>
        <v/>
      </c>
      <c r="R73" s="23">
        <f>IF($C73="","",N(J73)+N(Q73))</f>
        <v/>
      </c>
      <c r="S73" s="25">
        <f>IF(OR($C73="",N($G73)=0),"",R73/$G73)</f>
        <v/>
      </c>
      <c r="T73" s="23">
        <f>IF($C73="","",N($G73)-N(R73))</f>
        <v/>
      </c>
      <c r="U73" s="24" t="n"/>
      <c r="V73" s="22" t="n"/>
    </row>
    <row r="74">
      <c r="B74" s="13">
        <f>IF($C74="","",COUNTA($C$9:$C74))</f>
        <v/>
      </c>
      <c r="C74" s="21" t="n"/>
      <c r="D74" s="14" t="n"/>
      <c r="E74" s="14" t="n"/>
      <c r="F74" s="14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3">
        <f>IF($C74="","",N(L74)-N(M74))</f>
        <v/>
      </c>
      <c r="P74" s="24" t="n"/>
      <c r="Q74" s="23">
        <f>IF($C74="","",N(M74)+N(N74))</f>
        <v/>
      </c>
      <c r="R74" s="23">
        <f>IF($C74="","",N(J74)+N(Q74))</f>
        <v/>
      </c>
      <c r="S74" s="25">
        <f>IF(OR($C74="",N($G74)=0),"",R74/$G74)</f>
        <v/>
      </c>
      <c r="T74" s="23">
        <f>IF($C74="","",N($G74)-N(R74))</f>
        <v/>
      </c>
      <c r="U74" s="24" t="n"/>
      <c r="V74" s="22" t="n"/>
    </row>
    <row r="75">
      <c r="B75" s="13">
        <f>IF($C75="","",COUNTA($C$9:$C75))</f>
        <v/>
      </c>
      <c r="C75" s="21" t="n"/>
      <c r="D75" s="14" t="n"/>
      <c r="E75" s="14" t="n"/>
      <c r="F75" s="14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3">
        <f>IF($C75="","",N(L75)-N(M75))</f>
        <v/>
      </c>
      <c r="P75" s="24" t="n"/>
      <c r="Q75" s="23">
        <f>IF($C75="","",N(M75)+N(N75))</f>
        <v/>
      </c>
      <c r="R75" s="23">
        <f>IF($C75="","",N(J75)+N(Q75))</f>
        <v/>
      </c>
      <c r="S75" s="25">
        <f>IF(OR($C75="",N($G75)=0),"",R75/$G75)</f>
        <v/>
      </c>
      <c r="T75" s="23">
        <f>IF($C75="","",N($G75)-N(R75))</f>
        <v/>
      </c>
      <c r="U75" s="24" t="n"/>
      <c r="V75" s="22" t="n"/>
    </row>
    <row r="76">
      <c r="B76" s="13">
        <f>IF($C76="","",COUNTA($C$9:$C76))</f>
        <v/>
      </c>
      <c r="C76" s="21" t="n"/>
      <c r="D76" s="14" t="n"/>
      <c r="E76" s="14" t="n"/>
      <c r="F76" s="14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3">
        <f>IF($C76="","",N(L76)-N(M76))</f>
        <v/>
      </c>
      <c r="P76" s="24" t="n"/>
      <c r="Q76" s="23">
        <f>IF($C76="","",N(M76)+N(N76))</f>
        <v/>
      </c>
      <c r="R76" s="23">
        <f>IF($C76="","",N(J76)+N(Q76))</f>
        <v/>
      </c>
      <c r="S76" s="25">
        <f>IF(OR($C76="",N($G76)=0),"",R76/$G76)</f>
        <v/>
      </c>
      <c r="T76" s="23">
        <f>IF($C76="","",N($G76)-N(R76))</f>
        <v/>
      </c>
      <c r="U76" s="24" t="n"/>
      <c r="V76" s="22" t="n"/>
    </row>
    <row r="77">
      <c r="B77" s="13">
        <f>IF($C77="","",COUNTA($C$9:$C77))</f>
        <v/>
      </c>
      <c r="C77" s="21" t="n"/>
      <c r="D77" s="14" t="n"/>
      <c r="E77" s="14" t="n"/>
      <c r="F77" s="14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3">
        <f>IF($C77="","",N(L77)-N(M77))</f>
        <v/>
      </c>
      <c r="P77" s="24" t="n"/>
      <c r="Q77" s="23">
        <f>IF($C77="","",N(M77)+N(N77))</f>
        <v/>
      </c>
      <c r="R77" s="23">
        <f>IF($C77="","",N(J77)+N(Q77))</f>
        <v/>
      </c>
      <c r="S77" s="25">
        <f>IF(OR($C77="",N($G77)=0),"",R77/$G77)</f>
        <v/>
      </c>
      <c r="T77" s="23">
        <f>IF($C77="","",N($G77)-N(R77))</f>
        <v/>
      </c>
      <c r="U77" s="24" t="n"/>
      <c r="V77" s="22" t="n"/>
    </row>
    <row r="78">
      <c r="B78" s="13">
        <f>IF($C78="","",COUNTA($C$9:$C78))</f>
        <v/>
      </c>
      <c r="C78" s="21" t="n"/>
      <c r="D78" s="14" t="n"/>
      <c r="E78" s="14" t="n"/>
      <c r="F78" s="14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3">
        <f>IF($C78="","",N(L78)-N(M78))</f>
        <v/>
      </c>
      <c r="P78" s="24" t="n"/>
      <c r="Q78" s="23">
        <f>IF($C78="","",N(M78)+N(N78))</f>
        <v/>
      </c>
      <c r="R78" s="23">
        <f>IF($C78="","",N(J78)+N(Q78))</f>
        <v/>
      </c>
      <c r="S78" s="25">
        <f>IF(OR($C78="",N($G78)=0),"",R78/$G78)</f>
        <v/>
      </c>
      <c r="T78" s="23">
        <f>IF($C78="","",N($G78)-N(R78))</f>
        <v/>
      </c>
      <c r="U78" s="24" t="n"/>
      <c r="V78" s="22" t="n"/>
    </row>
    <row r="79">
      <c r="B79" s="13">
        <f>IF($C79="","",COUNTA($C$9:$C79))</f>
        <v/>
      </c>
      <c r="C79" s="21" t="n"/>
      <c r="D79" s="14" t="n"/>
      <c r="E79" s="14" t="n"/>
      <c r="F79" s="14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3">
        <f>IF($C79="","",N(L79)-N(M79))</f>
        <v/>
      </c>
      <c r="P79" s="24" t="n"/>
      <c r="Q79" s="23">
        <f>IF($C79="","",N(M79)+N(N79))</f>
        <v/>
      </c>
      <c r="R79" s="23">
        <f>IF($C79="","",N(J79)+N(Q79))</f>
        <v/>
      </c>
      <c r="S79" s="25">
        <f>IF(OR($C79="",N($G79)=0),"",R79/$G79)</f>
        <v/>
      </c>
      <c r="T79" s="23">
        <f>IF($C79="","",N($G79)-N(R79))</f>
        <v/>
      </c>
      <c r="U79" s="24" t="n"/>
      <c r="V79" s="22" t="n"/>
    </row>
    <row r="80">
      <c r="B80" s="13">
        <f>IF($C80="","",COUNTA($C$9:$C80))</f>
        <v/>
      </c>
      <c r="C80" s="21" t="n"/>
      <c r="D80" s="14" t="n"/>
      <c r="E80" s="14" t="n"/>
      <c r="F80" s="14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3">
        <f>IF($C80="","",N(L80)-N(M80))</f>
        <v/>
      </c>
      <c r="P80" s="24" t="n"/>
      <c r="Q80" s="23">
        <f>IF($C80="","",N(M80)+N(N80))</f>
        <v/>
      </c>
      <c r="R80" s="23">
        <f>IF($C80="","",N(J80)+N(Q80))</f>
        <v/>
      </c>
      <c r="S80" s="25">
        <f>IF(OR($C80="",N($G80)=0),"",R80/$G80)</f>
        <v/>
      </c>
      <c r="T80" s="23">
        <f>IF($C80="","",N($G80)-N(R80))</f>
        <v/>
      </c>
      <c r="U80" s="24" t="n"/>
      <c r="V80" s="22" t="n"/>
    </row>
    <row r="81">
      <c r="B81" s="13">
        <f>IF($C81="","",COUNTA($C$9:$C81))</f>
        <v/>
      </c>
      <c r="C81" s="21" t="n"/>
      <c r="D81" s="14" t="n"/>
      <c r="E81" s="14" t="n"/>
      <c r="F81" s="14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3">
        <f>IF($C81="","",N(L81)-N(M81))</f>
        <v/>
      </c>
      <c r="P81" s="24" t="n"/>
      <c r="Q81" s="23">
        <f>IF($C81="","",N(M81)+N(N81))</f>
        <v/>
      </c>
      <c r="R81" s="23">
        <f>IF($C81="","",N(J81)+N(Q81))</f>
        <v/>
      </c>
      <c r="S81" s="25">
        <f>IF(OR($C81="",N($G81)=0),"",R81/$G81)</f>
        <v/>
      </c>
      <c r="T81" s="23">
        <f>IF($C81="","",N($G81)-N(R81))</f>
        <v/>
      </c>
      <c r="U81" s="24" t="n"/>
      <c r="V81" s="22" t="n"/>
    </row>
    <row r="82">
      <c r="B82" s="13">
        <f>IF($C82="","",COUNTA($C$9:$C82))</f>
        <v/>
      </c>
      <c r="C82" s="21" t="n"/>
      <c r="D82" s="14" t="n"/>
      <c r="E82" s="14" t="n"/>
      <c r="F82" s="14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3">
        <f>IF($C82="","",N(L82)-N(M82))</f>
        <v/>
      </c>
      <c r="P82" s="24" t="n"/>
      <c r="Q82" s="23">
        <f>IF($C82="","",N(M82)+N(N82))</f>
        <v/>
      </c>
      <c r="R82" s="23">
        <f>IF($C82="","",N(J82)+N(Q82))</f>
        <v/>
      </c>
      <c r="S82" s="25">
        <f>IF(OR($C82="",N($G82)=0),"",R82/$G82)</f>
        <v/>
      </c>
      <c r="T82" s="23">
        <f>IF($C82="","",N($G82)-N(R82))</f>
        <v/>
      </c>
      <c r="U82" s="24" t="n"/>
      <c r="V82" s="22" t="n"/>
    </row>
    <row r="83">
      <c r="B83" s="13">
        <f>IF($C83="","",COUNTA($C$9:$C83))</f>
        <v/>
      </c>
      <c r="C83" s="21" t="n"/>
      <c r="D83" s="14" t="n"/>
      <c r="E83" s="14" t="n"/>
      <c r="F83" s="14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3">
        <f>IF($C83="","",N(L83)-N(M83))</f>
        <v/>
      </c>
      <c r="P83" s="24" t="n"/>
      <c r="Q83" s="23">
        <f>IF($C83="","",N(M83)+N(N83))</f>
        <v/>
      </c>
      <c r="R83" s="23">
        <f>IF($C83="","",N(J83)+N(Q83))</f>
        <v/>
      </c>
      <c r="S83" s="25">
        <f>IF(OR($C83="",N($G83)=0),"",R83/$G83)</f>
        <v/>
      </c>
      <c r="T83" s="23">
        <f>IF($C83="","",N($G83)-N(R83))</f>
        <v/>
      </c>
      <c r="U83" s="24" t="n"/>
      <c r="V83" s="22" t="n"/>
    </row>
    <row r="84">
      <c r="B84" s="13">
        <f>IF($C84="","",COUNTA($C$9:$C84))</f>
        <v/>
      </c>
      <c r="C84" s="21" t="n"/>
      <c r="D84" s="14" t="n"/>
      <c r="E84" s="14" t="n"/>
      <c r="F84" s="14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3">
        <f>IF($C84="","",N(L84)-N(M84))</f>
        <v/>
      </c>
      <c r="P84" s="24" t="n"/>
      <c r="Q84" s="23">
        <f>IF($C84="","",N(M84)+N(N84))</f>
        <v/>
      </c>
      <c r="R84" s="23">
        <f>IF($C84="","",N(J84)+N(Q84))</f>
        <v/>
      </c>
      <c r="S84" s="25">
        <f>IF(OR($C84="",N($G84)=0),"",R84/$G84)</f>
        <v/>
      </c>
      <c r="T84" s="23">
        <f>IF($C84="","",N($G84)-N(R84))</f>
        <v/>
      </c>
      <c r="U84" s="24" t="n"/>
      <c r="V84" s="22" t="n"/>
    </row>
    <row r="85">
      <c r="B85" s="13">
        <f>IF($C85="","",COUNTA($C$9:$C85))</f>
        <v/>
      </c>
      <c r="C85" s="21" t="n"/>
      <c r="D85" s="14" t="n"/>
      <c r="E85" s="14" t="n"/>
      <c r="F85" s="14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3">
        <f>IF($C85="","",N(L85)-N(M85))</f>
        <v/>
      </c>
      <c r="P85" s="24" t="n"/>
      <c r="Q85" s="23">
        <f>IF($C85="","",N(M85)+N(N85))</f>
        <v/>
      </c>
      <c r="R85" s="23">
        <f>IF($C85="","",N(J85)+N(Q85))</f>
        <v/>
      </c>
      <c r="S85" s="25">
        <f>IF(OR($C85="",N($G85)=0),"",R85/$G85)</f>
        <v/>
      </c>
      <c r="T85" s="23">
        <f>IF($C85="","",N($G85)-N(R85))</f>
        <v/>
      </c>
      <c r="U85" s="24" t="n"/>
      <c r="V85" s="22" t="n"/>
    </row>
    <row r="86">
      <c r="B86" s="13">
        <f>IF($C86="","",COUNTA($C$9:$C86))</f>
        <v/>
      </c>
      <c r="C86" s="21" t="n"/>
      <c r="D86" s="14" t="n"/>
      <c r="E86" s="14" t="n"/>
      <c r="F86" s="14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3">
        <f>IF($C86="","",N(L86)-N(M86))</f>
        <v/>
      </c>
      <c r="P86" s="24" t="n"/>
      <c r="Q86" s="23">
        <f>IF($C86="","",N(M86)+N(N86))</f>
        <v/>
      </c>
      <c r="R86" s="23">
        <f>IF($C86="","",N(J86)+N(Q86))</f>
        <v/>
      </c>
      <c r="S86" s="25">
        <f>IF(OR($C86="",N($G86)=0),"",R86/$G86)</f>
        <v/>
      </c>
      <c r="T86" s="23">
        <f>IF($C86="","",N($G86)-N(R86))</f>
        <v/>
      </c>
      <c r="U86" s="24" t="n"/>
      <c r="V86" s="22" t="n"/>
    </row>
    <row r="87">
      <c r="B87" s="13">
        <f>IF($C87="","",COUNTA($C$9:$C87))</f>
        <v/>
      </c>
      <c r="C87" s="21" t="n"/>
      <c r="D87" s="14" t="n"/>
      <c r="E87" s="14" t="n"/>
      <c r="F87" s="14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3">
        <f>IF($C87="","",N(L87)-N(M87))</f>
        <v/>
      </c>
      <c r="P87" s="24" t="n"/>
      <c r="Q87" s="23">
        <f>IF($C87="","",N(M87)+N(N87))</f>
        <v/>
      </c>
      <c r="R87" s="23">
        <f>IF($C87="","",N(J87)+N(Q87))</f>
        <v/>
      </c>
      <c r="S87" s="25">
        <f>IF(OR($C87="",N($G87)=0),"",R87/$G87)</f>
        <v/>
      </c>
      <c r="T87" s="23">
        <f>IF($C87="","",N($G87)-N(R87))</f>
        <v/>
      </c>
      <c r="U87" s="24" t="n"/>
      <c r="V87" s="22" t="n"/>
    </row>
    <row r="88">
      <c r="B88" s="13">
        <f>IF($C88="","",COUNTA($C$9:$C88))</f>
        <v/>
      </c>
      <c r="C88" s="21" t="n"/>
      <c r="D88" s="14" t="n"/>
      <c r="E88" s="14" t="n"/>
      <c r="F88" s="14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3">
        <f>IF($C88="","",N(L88)-N(M88))</f>
        <v/>
      </c>
      <c r="P88" s="24" t="n"/>
      <c r="Q88" s="23">
        <f>IF($C88="","",N(M88)+N(N88))</f>
        <v/>
      </c>
      <c r="R88" s="23">
        <f>IF($C88="","",N(J88)+N(Q88))</f>
        <v/>
      </c>
      <c r="S88" s="25">
        <f>IF(OR($C88="",N($G88)=0),"",R88/$G88)</f>
        <v/>
      </c>
      <c r="T88" s="23">
        <f>IF($C88="","",N($G88)-N(R88))</f>
        <v/>
      </c>
      <c r="U88" s="24" t="n"/>
      <c r="V88" s="22" t="n"/>
    </row>
    <row r="89">
      <c r="B89" s="13">
        <f>IF($C89="","",COUNTA($C$9:$C89))</f>
        <v/>
      </c>
      <c r="C89" s="21" t="n"/>
      <c r="D89" s="14" t="n"/>
      <c r="E89" s="14" t="n"/>
      <c r="F89" s="14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3">
        <f>IF($C89="","",N(L89)-N(M89))</f>
        <v/>
      </c>
      <c r="P89" s="24" t="n"/>
      <c r="Q89" s="23">
        <f>IF($C89="","",N(M89)+N(N89))</f>
        <v/>
      </c>
      <c r="R89" s="23">
        <f>IF($C89="","",N(J89)+N(Q89))</f>
        <v/>
      </c>
      <c r="S89" s="25">
        <f>IF(OR($C89="",N($G89)=0),"",R89/$G89)</f>
        <v/>
      </c>
      <c r="T89" s="23">
        <f>IF($C89="","",N($G89)-N(R89))</f>
        <v/>
      </c>
      <c r="U89" s="24" t="n"/>
      <c r="V89" s="22" t="n"/>
    </row>
    <row r="90">
      <c r="B90" s="13">
        <f>IF($C90="","",COUNTA($C$9:$C90))</f>
        <v/>
      </c>
      <c r="C90" s="21" t="n"/>
      <c r="D90" s="14" t="n"/>
      <c r="E90" s="14" t="n"/>
      <c r="F90" s="14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3">
        <f>IF($C90="","",N(L90)-N(M90))</f>
        <v/>
      </c>
      <c r="P90" s="24" t="n"/>
      <c r="Q90" s="23">
        <f>IF($C90="","",N(M90)+N(N90))</f>
        <v/>
      </c>
      <c r="R90" s="23">
        <f>IF($C90="","",N(J90)+N(Q90))</f>
        <v/>
      </c>
      <c r="S90" s="25">
        <f>IF(OR($C90="",N($G90)=0),"",R90/$G90)</f>
        <v/>
      </c>
      <c r="T90" s="23">
        <f>IF($C90="","",N($G90)-N(R90))</f>
        <v/>
      </c>
      <c r="U90" s="24" t="n"/>
      <c r="V90" s="22" t="n"/>
    </row>
    <row r="91">
      <c r="B91" s="13">
        <f>IF($C91="","",COUNTA($C$9:$C91))</f>
        <v/>
      </c>
      <c r="C91" s="21" t="n"/>
      <c r="D91" s="14" t="n"/>
      <c r="E91" s="14" t="n"/>
      <c r="F91" s="14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3">
        <f>IF($C91="","",N(L91)-N(M91))</f>
        <v/>
      </c>
      <c r="P91" s="24" t="n"/>
      <c r="Q91" s="23">
        <f>IF($C91="","",N(M91)+N(N91))</f>
        <v/>
      </c>
      <c r="R91" s="23">
        <f>IF($C91="","",N(J91)+N(Q91))</f>
        <v/>
      </c>
      <c r="S91" s="25">
        <f>IF(OR($C91="",N($G91)=0),"",R91/$G91)</f>
        <v/>
      </c>
      <c r="T91" s="23">
        <f>IF($C91="","",N($G91)-N(R91))</f>
        <v/>
      </c>
      <c r="U91" s="24" t="n"/>
      <c r="V91" s="22" t="n"/>
    </row>
    <row r="92">
      <c r="B92" s="13">
        <f>IF($C92="","",COUNTA($C$9:$C92))</f>
        <v/>
      </c>
      <c r="C92" s="21" t="n"/>
      <c r="D92" s="14" t="n"/>
      <c r="E92" s="14" t="n"/>
      <c r="F92" s="14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3">
        <f>IF($C92="","",N(L92)-N(M92))</f>
        <v/>
      </c>
      <c r="P92" s="24" t="n"/>
      <c r="Q92" s="23">
        <f>IF($C92="","",N(M92)+N(N92))</f>
        <v/>
      </c>
      <c r="R92" s="23">
        <f>IF($C92="","",N(J92)+N(Q92))</f>
        <v/>
      </c>
      <c r="S92" s="25">
        <f>IF(OR($C92="",N($G92)=0),"",R92/$G92)</f>
        <v/>
      </c>
      <c r="T92" s="23">
        <f>IF($C92="","",N($G92)-N(R92))</f>
        <v/>
      </c>
      <c r="U92" s="24" t="n"/>
      <c r="V92" s="22" t="n"/>
    </row>
    <row r="93">
      <c r="B93" s="13">
        <f>IF($C93="","",COUNTA($C$9:$C93))</f>
        <v/>
      </c>
      <c r="C93" s="21" t="n"/>
      <c r="D93" s="14" t="n"/>
      <c r="E93" s="14" t="n"/>
      <c r="F93" s="14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3">
        <f>IF($C93="","",N(L93)-N(M93))</f>
        <v/>
      </c>
      <c r="P93" s="24" t="n"/>
      <c r="Q93" s="23">
        <f>IF($C93="","",N(M93)+N(N93))</f>
        <v/>
      </c>
      <c r="R93" s="23">
        <f>IF($C93="","",N(J93)+N(Q93))</f>
        <v/>
      </c>
      <c r="S93" s="25">
        <f>IF(OR($C93="",N($G93)=0),"",R93/$G93)</f>
        <v/>
      </c>
      <c r="T93" s="23">
        <f>IF($C93="","",N($G93)-N(R93))</f>
        <v/>
      </c>
      <c r="U93" s="24" t="n"/>
      <c r="V93" s="22" t="n"/>
    </row>
    <row r="94">
      <c r="B94" s="13">
        <f>IF($C94="","",COUNTA($C$9:$C94))</f>
        <v/>
      </c>
      <c r="C94" s="21" t="n"/>
      <c r="D94" s="14" t="n"/>
      <c r="E94" s="14" t="n"/>
      <c r="F94" s="14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3">
        <f>IF($C94="","",N(L94)-N(M94))</f>
        <v/>
      </c>
      <c r="P94" s="24" t="n"/>
      <c r="Q94" s="23">
        <f>IF($C94="","",N(M94)+N(N94))</f>
        <v/>
      </c>
      <c r="R94" s="23">
        <f>IF($C94="","",N(J94)+N(Q94))</f>
        <v/>
      </c>
      <c r="S94" s="25">
        <f>IF(OR($C94="",N($G94)=0),"",R94/$G94)</f>
        <v/>
      </c>
      <c r="T94" s="23">
        <f>IF($C94="","",N($G94)-N(R94))</f>
        <v/>
      </c>
      <c r="U94" s="24" t="n"/>
      <c r="V94" s="22" t="n"/>
    </row>
    <row r="95">
      <c r="B95" s="13">
        <f>IF($C95="","",COUNTA($C$9:$C95))</f>
        <v/>
      </c>
      <c r="C95" s="21" t="n"/>
      <c r="D95" s="14" t="n"/>
      <c r="E95" s="14" t="n"/>
      <c r="F95" s="14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3">
        <f>IF($C95="","",N(L95)-N(M95))</f>
        <v/>
      </c>
      <c r="P95" s="24" t="n"/>
      <c r="Q95" s="23">
        <f>IF($C95="","",N(M95)+N(N95))</f>
        <v/>
      </c>
      <c r="R95" s="23">
        <f>IF($C95="","",N(J95)+N(Q95))</f>
        <v/>
      </c>
      <c r="S95" s="25">
        <f>IF(OR($C95="",N($G95)=0),"",R95/$G95)</f>
        <v/>
      </c>
      <c r="T95" s="23">
        <f>IF($C95="","",N($G95)-N(R95))</f>
        <v/>
      </c>
      <c r="U95" s="24" t="n"/>
      <c r="V95" s="22" t="n"/>
    </row>
    <row r="96">
      <c r="B96" s="13">
        <f>IF($C96="","",COUNTA($C$9:$C96))</f>
        <v/>
      </c>
      <c r="C96" s="21" t="n"/>
      <c r="D96" s="14" t="n"/>
      <c r="E96" s="14" t="n"/>
      <c r="F96" s="14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3">
        <f>IF($C96="","",N(L96)-N(M96))</f>
        <v/>
      </c>
      <c r="P96" s="24" t="n"/>
      <c r="Q96" s="23">
        <f>IF($C96="","",N(M96)+N(N96))</f>
        <v/>
      </c>
      <c r="R96" s="23">
        <f>IF($C96="","",N(J96)+N(Q96))</f>
        <v/>
      </c>
      <c r="S96" s="25">
        <f>IF(OR($C96="",N($G96)=0),"",R96/$G96)</f>
        <v/>
      </c>
      <c r="T96" s="23">
        <f>IF($C96="","",N($G96)-N(R96))</f>
        <v/>
      </c>
      <c r="U96" s="24" t="n"/>
      <c r="V96" s="22" t="n"/>
    </row>
    <row r="97">
      <c r="B97" s="13">
        <f>IF($C97="","",COUNTA($C$9:$C97))</f>
        <v/>
      </c>
      <c r="C97" s="21" t="n"/>
      <c r="D97" s="14" t="n"/>
      <c r="E97" s="14" t="n"/>
      <c r="F97" s="14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3">
        <f>IF($C97="","",N(L97)-N(M97))</f>
        <v/>
      </c>
      <c r="P97" s="24" t="n"/>
      <c r="Q97" s="23">
        <f>IF($C97="","",N(M97)+N(N97))</f>
        <v/>
      </c>
      <c r="R97" s="23">
        <f>IF($C97="","",N(J97)+N(Q97))</f>
        <v/>
      </c>
      <c r="S97" s="25">
        <f>IF(OR($C97="",N($G97)=0),"",R97/$G97)</f>
        <v/>
      </c>
      <c r="T97" s="23">
        <f>IF($C97="","",N($G97)-N(R97))</f>
        <v/>
      </c>
      <c r="U97" s="24" t="n"/>
      <c r="V97" s="22" t="n"/>
    </row>
    <row r="98">
      <c r="B98" s="13">
        <f>IF($C98="","",COUNTA($C$9:$C98))</f>
        <v/>
      </c>
      <c r="C98" s="21" t="n"/>
      <c r="D98" s="14" t="n"/>
      <c r="E98" s="14" t="n"/>
      <c r="F98" s="14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3">
        <f>IF($C98="","",N(L98)-N(M98))</f>
        <v/>
      </c>
      <c r="P98" s="24" t="n"/>
      <c r="Q98" s="23">
        <f>IF($C98="","",N(M98)+N(N98))</f>
        <v/>
      </c>
      <c r="R98" s="23">
        <f>IF($C98="","",N(J98)+N(Q98))</f>
        <v/>
      </c>
      <c r="S98" s="25">
        <f>IF(OR($C98="",N($G98)=0),"",R98/$G98)</f>
        <v/>
      </c>
      <c r="T98" s="23">
        <f>IF($C98="","",N($G98)-N(R98))</f>
        <v/>
      </c>
      <c r="U98" s="24" t="n"/>
      <c r="V98" s="22" t="n"/>
    </row>
    <row r="99">
      <c r="B99" s="13">
        <f>IF($C99="","",COUNTA($C$9:$C99))</f>
        <v/>
      </c>
      <c r="C99" s="21" t="n"/>
      <c r="D99" s="14" t="n"/>
      <c r="E99" s="14" t="n"/>
      <c r="F99" s="14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3">
        <f>IF($C99="","",N(L99)-N(M99))</f>
        <v/>
      </c>
      <c r="P99" s="24" t="n"/>
      <c r="Q99" s="23">
        <f>IF($C99="","",N(M99)+N(N99))</f>
        <v/>
      </c>
      <c r="R99" s="23">
        <f>IF($C99="","",N(J99)+N(Q99))</f>
        <v/>
      </c>
      <c r="S99" s="25">
        <f>IF(OR($C99="",N($G99)=0),"",R99/$G99)</f>
        <v/>
      </c>
      <c r="T99" s="23">
        <f>IF($C99="","",N($G99)-N(R99))</f>
        <v/>
      </c>
      <c r="U99" s="24" t="n"/>
      <c r="V99" s="22" t="n"/>
    </row>
    <row r="100">
      <c r="B100" s="13">
        <f>IF($C100="","",COUNTA($C$9:$C100))</f>
        <v/>
      </c>
      <c r="C100" s="21" t="n"/>
      <c r="D100" s="14" t="n"/>
      <c r="E100" s="14" t="n"/>
      <c r="F100" s="14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3">
        <f>IF($C100="","",N(L100)-N(M100))</f>
        <v/>
      </c>
      <c r="P100" s="24" t="n"/>
      <c r="Q100" s="23">
        <f>IF($C100="","",N(M100)+N(N100))</f>
        <v/>
      </c>
      <c r="R100" s="23">
        <f>IF($C100="","",N(J100)+N(Q100))</f>
        <v/>
      </c>
      <c r="S100" s="25">
        <f>IF(OR($C100="",N($G100)=0),"",R100/$G100)</f>
        <v/>
      </c>
      <c r="T100" s="23">
        <f>IF($C100="","",N($G100)-N(R100))</f>
        <v/>
      </c>
      <c r="U100" s="24" t="n"/>
      <c r="V100" s="22" t="n"/>
    </row>
    <row r="101">
      <c r="B101" s="13">
        <f>IF($C101="","",COUNTA($C$9:$C101))</f>
        <v/>
      </c>
      <c r="C101" s="21" t="n"/>
      <c r="D101" s="14" t="n"/>
      <c r="E101" s="14" t="n"/>
      <c r="F101" s="14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3">
        <f>IF($C101="","",N(L101)-N(M101))</f>
        <v/>
      </c>
      <c r="P101" s="24" t="n"/>
      <c r="Q101" s="23">
        <f>IF($C101="","",N(M101)+N(N101))</f>
        <v/>
      </c>
      <c r="R101" s="23">
        <f>IF($C101="","",N(J101)+N(Q101))</f>
        <v/>
      </c>
      <c r="S101" s="25">
        <f>IF(OR($C101="",N($G101)=0),"",R101/$G101)</f>
        <v/>
      </c>
      <c r="T101" s="23">
        <f>IF($C101="","",N($G101)-N(R101))</f>
        <v/>
      </c>
      <c r="U101" s="24" t="n"/>
      <c r="V101" s="22" t="n"/>
    </row>
    <row r="102">
      <c r="B102" s="13">
        <f>IF($C102="","",COUNTA($C$9:$C102))</f>
        <v/>
      </c>
      <c r="C102" s="21" t="n"/>
      <c r="D102" s="14" t="n"/>
      <c r="E102" s="14" t="n"/>
      <c r="F102" s="14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3">
        <f>IF($C102="","",N(L102)-N(M102))</f>
        <v/>
      </c>
      <c r="P102" s="24" t="n"/>
      <c r="Q102" s="23">
        <f>IF($C102="","",N(M102)+N(N102))</f>
        <v/>
      </c>
      <c r="R102" s="23">
        <f>IF($C102="","",N(J102)+N(Q102))</f>
        <v/>
      </c>
      <c r="S102" s="25">
        <f>IF(OR($C102="",N($G102)=0),"",R102/$G102)</f>
        <v/>
      </c>
      <c r="T102" s="23">
        <f>IF($C102="","",N($G102)-N(R102))</f>
        <v/>
      </c>
      <c r="U102" s="24" t="n"/>
      <c r="V102" s="22" t="n"/>
    </row>
    <row r="103">
      <c r="B103" s="13">
        <f>IF($C103="","",COUNTA($C$9:$C103))</f>
        <v/>
      </c>
      <c r="C103" s="21" t="n"/>
      <c r="D103" s="14" t="n"/>
      <c r="E103" s="14" t="n"/>
      <c r="F103" s="14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3">
        <f>IF($C103="","",N(L103)-N(M103))</f>
        <v/>
      </c>
      <c r="P103" s="24" t="n"/>
      <c r="Q103" s="23">
        <f>IF($C103="","",N(M103)+N(N103))</f>
        <v/>
      </c>
      <c r="R103" s="23">
        <f>IF($C103="","",N(J103)+N(Q103))</f>
        <v/>
      </c>
      <c r="S103" s="25">
        <f>IF(OR($C103="",N($G103)=0),"",R103/$G103)</f>
        <v/>
      </c>
      <c r="T103" s="23">
        <f>IF($C103="","",N($G103)-N(R103))</f>
        <v/>
      </c>
      <c r="U103" s="24" t="n"/>
      <c r="V103" s="22" t="n"/>
    </row>
    <row r="104">
      <c r="B104" s="13">
        <f>IF($C104="","",COUNTA($C$9:$C104))</f>
        <v/>
      </c>
      <c r="C104" s="21" t="n"/>
      <c r="D104" s="14" t="n"/>
      <c r="E104" s="14" t="n"/>
      <c r="F104" s="14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3">
        <f>IF($C104="","",N(L104)-N(M104))</f>
        <v/>
      </c>
      <c r="P104" s="24" t="n"/>
      <c r="Q104" s="23">
        <f>IF($C104="","",N(M104)+N(N104))</f>
        <v/>
      </c>
      <c r="R104" s="23">
        <f>IF($C104="","",N(J104)+N(Q104))</f>
        <v/>
      </c>
      <c r="S104" s="25">
        <f>IF(OR($C104="",N($G104)=0),"",R104/$G104)</f>
        <v/>
      </c>
      <c r="T104" s="23">
        <f>IF($C104="","",N($G104)-N(R104))</f>
        <v/>
      </c>
      <c r="U104" s="24" t="n"/>
      <c r="V104" s="22" t="n"/>
    </row>
    <row r="105">
      <c r="B105" s="13">
        <f>IF($C105="","",COUNTA($C$9:$C105))</f>
        <v/>
      </c>
      <c r="C105" s="21" t="n"/>
      <c r="D105" s="14" t="n"/>
      <c r="E105" s="14" t="n"/>
      <c r="F105" s="14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3">
        <f>IF($C105="","",N(L105)-N(M105))</f>
        <v/>
      </c>
      <c r="P105" s="24" t="n"/>
      <c r="Q105" s="23">
        <f>IF($C105="","",N(M105)+N(N105))</f>
        <v/>
      </c>
      <c r="R105" s="23">
        <f>IF($C105="","",N(J105)+N(Q105))</f>
        <v/>
      </c>
      <c r="S105" s="25">
        <f>IF(OR($C105="",N($G105)=0),"",R105/$G105)</f>
        <v/>
      </c>
      <c r="T105" s="23">
        <f>IF($C105="","",N($G105)-N(R105))</f>
        <v/>
      </c>
      <c r="U105" s="24" t="n"/>
      <c r="V105" s="22" t="n"/>
    </row>
    <row r="106">
      <c r="B106" s="13">
        <f>IF($C106="","",COUNTA($C$9:$C106))</f>
        <v/>
      </c>
      <c r="C106" s="21" t="n"/>
      <c r="D106" s="14" t="n"/>
      <c r="E106" s="14" t="n"/>
      <c r="F106" s="14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3">
        <f>IF($C106="","",N(L106)-N(M106))</f>
        <v/>
      </c>
      <c r="P106" s="24" t="n"/>
      <c r="Q106" s="23">
        <f>IF($C106="","",N(M106)+N(N106))</f>
        <v/>
      </c>
      <c r="R106" s="23">
        <f>IF($C106="","",N(J106)+N(Q106))</f>
        <v/>
      </c>
      <c r="S106" s="25">
        <f>IF(OR($C106="",N($G106)=0),"",R106/$G106)</f>
        <v/>
      </c>
      <c r="T106" s="23">
        <f>IF($C106="","",N($G106)-N(R106))</f>
        <v/>
      </c>
      <c r="U106" s="24" t="n"/>
      <c r="V106" s="22" t="n"/>
    </row>
    <row r="107">
      <c r="B107" s="13">
        <f>IF($C107="","",COUNTA($C$9:$C107))</f>
        <v/>
      </c>
      <c r="C107" s="21" t="n"/>
      <c r="D107" s="14" t="n"/>
      <c r="E107" s="14" t="n"/>
      <c r="F107" s="14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3">
        <f>IF($C107="","",N(L107)-N(M107))</f>
        <v/>
      </c>
      <c r="P107" s="24" t="n"/>
      <c r="Q107" s="23">
        <f>IF($C107="","",N(M107)+N(N107))</f>
        <v/>
      </c>
      <c r="R107" s="23">
        <f>IF($C107="","",N(J107)+N(Q107))</f>
        <v/>
      </c>
      <c r="S107" s="25">
        <f>IF(OR($C107="",N($G107)=0),"",R107/$G107)</f>
        <v/>
      </c>
      <c r="T107" s="23">
        <f>IF($C107="","",N($G107)-N(R107))</f>
        <v/>
      </c>
      <c r="U107" s="24" t="n"/>
      <c r="V107" s="22" t="n"/>
    </row>
    <row r="108">
      <c r="B108" s="13">
        <f>IF($C108="","",COUNTA($C$9:$C108))</f>
        <v/>
      </c>
      <c r="C108" s="21" t="n"/>
      <c r="D108" s="14" t="n"/>
      <c r="E108" s="14" t="n"/>
      <c r="F108" s="14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3">
        <f>IF($C108="","",N(L108)-N(M108))</f>
        <v/>
      </c>
      <c r="P108" s="24" t="n"/>
      <c r="Q108" s="23">
        <f>IF($C108="","",N(M108)+N(N108))</f>
        <v/>
      </c>
      <c r="R108" s="23">
        <f>IF($C108="","",N(J108)+N(Q108))</f>
        <v/>
      </c>
      <c r="S108" s="25">
        <f>IF(OR($C108="",N($G108)=0),"",R108/$G108)</f>
        <v/>
      </c>
      <c r="T108" s="23">
        <f>IF($C108="","",N($G108)-N(R108))</f>
        <v/>
      </c>
      <c r="U108" s="24" t="n"/>
      <c r="V108" s="22" t="n"/>
    </row>
    <row r="109">
      <c r="B109" s="13">
        <f>IF($C109="","",COUNTA($C$9:$C109))</f>
        <v/>
      </c>
      <c r="C109" s="21" t="n"/>
      <c r="D109" s="14" t="n"/>
      <c r="E109" s="14" t="n"/>
      <c r="F109" s="14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3">
        <f>IF($C109="","",N(L109)-N(M109))</f>
        <v/>
      </c>
      <c r="P109" s="24" t="n"/>
      <c r="Q109" s="23">
        <f>IF($C109="","",N(M109)+N(N109))</f>
        <v/>
      </c>
      <c r="R109" s="23">
        <f>IF($C109="","",N(J109)+N(Q109))</f>
        <v/>
      </c>
      <c r="S109" s="25">
        <f>IF(OR($C109="",N($G109)=0),"",R109/$G109)</f>
        <v/>
      </c>
      <c r="T109" s="23">
        <f>IF($C109="","",N($G109)-N(R109))</f>
        <v/>
      </c>
      <c r="U109" s="24" t="n"/>
      <c r="V109" s="22" t="n"/>
    </row>
    <row r="110">
      <c r="B110" s="13">
        <f>IF($C110="","",COUNTA($C$9:$C110))</f>
        <v/>
      </c>
      <c r="C110" s="21" t="n"/>
      <c r="D110" s="14" t="n"/>
      <c r="E110" s="14" t="n"/>
      <c r="F110" s="14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3">
        <f>IF($C110="","",N(L110)-N(M110))</f>
        <v/>
      </c>
      <c r="P110" s="24" t="n"/>
      <c r="Q110" s="23">
        <f>IF($C110="","",N(M110)+N(N110))</f>
        <v/>
      </c>
      <c r="R110" s="23">
        <f>IF($C110="","",N(J110)+N(Q110))</f>
        <v/>
      </c>
      <c r="S110" s="25">
        <f>IF(OR($C110="",N($G110)=0),"",R110/$G110)</f>
        <v/>
      </c>
      <c r="T110" s="23">
        <f>IF($C110="","",N($G110)-N(R110))</f>
        <v/>
      </c>
      <c r="U110" s="24" t="n"/>
      <c r="V110" s="22" t="n"/>
    </row>
    <row r="111">
      <c r="B111" s="13">
        <f>IF($C111="","",COUNTA($C$9:$C111))</f>
        <v/>
      </c>
      <c r="C111" s="21" t="n"/>
      <c r="D111" s="14" t="n"/>
      <c r="E111" s="14" t="n"/>
      <c r="F111" s="14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3">
        <f>IF($C111="","",N(L111)-N(M111))</f>
        <v/>
      </c>
      <c r="P111" s="24" t="n"/>
      <c r="Q111" s="23">
        <f>IF($C111="","",N(M111)+N(N111))</f>
        <v/>
      </c>
      <c r="R111" s="23">
        <f>IF($C111="","",N(J111)+N(Q111))</f>
        <v/>
      </c>
      <c r="S111" s="25">
        <f>IF(OR($C111="",N($G111)=0),"",R111/$G111)</f>
        <v/>
      </c>
      <c r="T111" s="23">
        <f>IF($C111="","",N($G111)-N(R111))</f>
        <v/>
      </c>
      <c r="U111" s="24" t="n"/>
      <c r="V111" s="22" t="n"/>
    </row>
    <row r="112">
      <c r="B112" s="13">
        <f>IF($C112="","",COUNTA($C$9:$C112))</f>
        <v/>
      </c>
      <c r="C112" s="21" t="n"/>
      <c r="D112" s="14" t="n"/>
      <c r="E112" s="14" t="n"/>
      <c r="F112" s="14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3">
        <f>IF($C112="","",N(L112)-N(M112))</f>
        <v/>
      </c>
      <c r="P112" s="24" t="n"/>
      <c r="Q112" s="23">
        <f>IF($C112="","",N(M112)+N(N112))</f>
        <v/>
      </c>
      <c r="R112" s="23">
        <f>IF($C112="","",N(J112)+N(Q112))</f>
        <v/>
      </c>
      <c r="S112" s="25">
        <f>IF(OR($C112="",N($G112)=0),"",R112/$G112)</f>
        <v/>
      </c>
      <c r="T112" s="23">
        <f>IF($C112="","",N($G112)-N(R112))</f>
        <v/>
      </c>
      <c r="U112" s="24" t="n"/>
      <c r="V112" s="22" t="n"/>
    </row>
    <row r="113">
      <c r="B113" s="13">
        <f>IF($C113="","",COUNTA($C$9:$C113))</f>
        <v/>
      </c>
      <c r="C113" s="21" t="n"/>
      <c r="D113" s="14" t="n"/>
      <c r="E113" s="14" t="n"/>
      <c r="F113" s="14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3">
        <f>IF($C113="","",N(L113)-N(M113))</f>
        <v/>
      </c>
      <c r="P113" s="24" t="n"/>
      <c r="Q113" s="23">
        <f>IF($C113="","",N(M113)+N(N113))</f>
        <v/>
      </c>
      <c r="R113" s="23">
        <f>IF($C113="","",N(J113)+N(Q113))</f>
        <v/>
      </c>
      <c r="S113" s="25">
        <f>IF(OR($C113="",N($G113)=0),"",R113/$G113)</f>
        <v/>
      </c>
      <c r="T113" s="23">
        <f>IF($C113="","",N($G113)-N(R113))</f>
        <v/>
      </c>
      <c r="U113" s="24" t="n"/>
      <c r="V113" s="22" t="n"/>
    </row>
    <row r="114">
      <c r="B114" s="13">
        <f>IF($C114="","",COUNTA($C$9:$C114))</f>
        <v/>
      </c>
      <c r="C114" s="21" t="n"/>
      <c r="D114" s="14" t="n"/>
      <c r="E114" s="14" t="n"/>
      <c r="F114" s="14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3">
        <f>IF($C114="","",N(L114)-N(M114))</f>
        <v/>
      </c>
      <c r="P114" s="24" t="n"/>
      <c r="Q114" s="23">
        <f>IF($C114="","",N(M114)+N(N114))</f>
        <v/>
      </c>
      <c r="R114" s="23">
        <f>IF($C114="","",N(J114)+N(Q114))</f>
        <v/>
      </c>
      <c r="S114" s="25">
        <f>IF(OR($C114="",N($G114)=0),"",R114/$G114)</f>
        <v/>
      </c>
      <c r="T114" s="23">
        <f>IF($C114="","",N($G114)-N(R114))</f>
        <v/>
      </c>
      <c r="U114" s="24" t="n"/>
      <c r="V114" s="22" t="n"/>
    </row>
    <row r="115">
      <c r="B115" s="13">
        <f>IF($C115="","",COUNTA($C$9:$C115))</f>
        <v/>
      </c>
      <c r="C115" s="21" t="n"/>
      <c r="D115" s="14" t="n"/>
      <c r="E115" s="14" t="n"/>
      <c r="F115" s="14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3">
        <f>IF($C115="","",N(L115)-N(M115))</f>
        <v/>
      </c>
      <c r="P115" s="24" t="n"/>
      <c r="Q115" s="23">
        <f>IF($C115="","",N(M115)+N(N115))</f>
        <v/>
      </c>
      <c r="R115" s="23">
        <f>IF($C115="","",N(J115)+N(Q115))</f>
        <v/>
      </c>
      <c r="S115" s="25">
        <f>IF(OR($C115="",N($G115)=0),"",R115/$G115)</f>
        <v/>
      </c>
      <c r="T115" s="23">
        <f>IF($C115="","",N($G115)-N(R115))</f>
        <v/>
      </c>
      <c r="U115" s="24" t="n"/>
      <c r="V115" s="22" t="n"/>
    </row>
    <row r="116">
      <c r="B116" s="13">
        <f>IF($C116="","",COUNTA($C$9:$C116))</f>
        <v/>
      </c>
      <c r="C116" s="21" t="n"/>
      <c r="D116" s="14" t="n"/>
      <c r="E116" s="14" t="n"/>
      <c r="F116" s="14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3">
        <f>IF($C116="","",N(L116)-N(M116))</f>
        <v/>
      </c>
      <c r="P116" s="24" t="n"/>
      <c r="Q116" s="23">
        <f>IF($C116="","",N(M116)+N(N116))</f>
        <v/>
      </c>
      <c r="R116" s="23">
        <f>IF($C116="","",N(J116)+N(Q116))</f>
        <v/>
      </c>
      <c r="S116" s="25">
        <f>IF(OR($C116="",N($G116)=0),"",R116/$G116)</f>
        <v/>
      </c>
      <c r="T116" s="23">
        <f>IF($C116="","",N($G116)-N(R116))</f>
        <v/>
      </c>
      <c r="U116" s="24" t="n"/>
      <c r="V116" s="22" t="n"/>
    </row>
    <row r="117">
      <c r="B117" s="13">
        <f>IF($C117="","",COUNTA($C$9:$C117))</f>
        <v/>
      </c>
      <c r="C117" s="21" t="n"/>
      <c r="D117" s="14" t="n"/>
      <c r="E117" s="14" t="n"/>
      <c r="F117" s="14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3">
        <f>IF($C117="","",N(L117)-N(M117))</f>
        <v/>
      </c>
      <c r="P117" s="24" t="n"/>
      <c r="Q117" s="23">
        <f>IF($C117="","",N(M117)+N(N117))</f>
        <v/>
      </c>
      <c r="R117" s="23">
        <f>IF($C117="","",N(J117)+N(Q117))</f>
        <v/>
      </c>
      <c r="S117" s="25">
        <f>IF(OR($C117="",N($G117)=0),"",R117/$G117)</f>
        <v/>
      </c>
      <c r="T117" s="23">
        <f>IF($C117="","",N($G117)-N(R117))</f>
        <v/>
      </c>
      <c r="U117" s="24" t="n"/>
      <c r="V117" s="22" t="n"/>
    </row>
    <row r="118">
      <c r="B118" s="13">
        <f>IF($C118="","",COUNTA($C$9:$C118))</f>
        <v/>
      </c>
      <c r="C118" s="21" t="n"/>
      <c r="D118" s="14" t="n"/>
      <c r="E118" s="14" t="n"/>
      <c r="F118" s="14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3">
        <f>IF($C118="","",N(L118)-N(M118))</f>
        <v/>
      </c>
      <c r="P118" s="24" t="n"/>
      <c r="Q118" s="23">
        <f>IF($C118="","",N(M118)+N(N118))</f>
        <v/>
      </c>
      <c r="R118" s="23">
        <f>IF($C118="","",N(J118)+N(Q118))</f>
        <v/>
      </c>
      <c r="S118" s="25">
        <f>IF(OR($C118="",N($G118)=0),"",R118/$G118)</f>
        <v/>
      </c>
      <c r="T118" s="23">
        <f>IF($C118="","",N($G118)-N(R118))</f>
        <v/>
      </c>
      <c r="U118" s="24" t="n"/>
      <c r="V118" s="22" t="n"/>
    </row>
    <row r="119">
      <c r="B119" s="13">
        <f>IF($C119="","",COUNTA($C$9:$C119))</f>
        <v/>
      </c>
      <c r="C119" s="21" t="n"/>
      <c r="D119" s="14" t="n"/>
      <c r="E119" s="14" t="n"/>
      <c r="F119" s="14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3">
        <f>IF($C119="","",N(L119)-N(M119))</f>
        <v/>
      </c>
      <c r="P119" s="24" t="n"/>
      <c r="Q119" s="23">
        <f>IF($C119="","",N(M119)+N(N119))</f>
        <v/>
      </c>
      <c r="R119" s="23">
        <f>IF($C119="","",N(J119)+N(Q119))</f>
        <v/>
      </c>
      <c r="S119" s="25">
        <f>IF(OR($C119="",N($G119)=0),"",R119/$G119)</f>
        <v/>
      </c>
      <c r="T119" s="23">
        <f>IF($C119="","",N($G119)-N(R119))</f>
        <v/>
      </c>
      <c r="U119" s="24" t="n"/>
      <c r="V119" s="22" t="n"/>
    </row>
    <row r="120">
      <c r="B120" s="13">
        <f>IF($C120="","",COUNTA($C$9:$C120))</f>
        <v/>
      </c>
      <c r="C120" s="21" t="n"/>
      <c r="D120" s="14" t="n"/>
      <c r="E120" s="14" t="n"/>
      <c r="F120" s="14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3">
        <f>IF($C120="","",N(L120)-N(M120))</f>
        <v/>
      </c>
      <c r="P120" s="24" t="n"/>
      <c r="Q120" s="23">
        <f>IF($C120="","",N(M120)+N(N120))</f>
        <v/>
      </c>
      <c r="R120" s="23">
        <f>IF($C120="","",N(J120)+N(Q120))</f>
        <v/>
      </c>
      <c r="S120" s="25">
        <f>IF(OR($C120="",N($G120)=0),"",R120/$G120)</f>
        <v/>
      </c>
      <c r="T120" s="23">
        <f>IF($C120="","",N($G120)-N(R120))</f>
        <v/>
      </c>
      <c r="U120" s="24" t="n"/>
      <c r="V120" s="22" t="n"/>
    </row>
    <row r="121">
      <c r="B121" s="13">
        <f>IF($C121="","",COUNTA($C$9:$C121))</f>
        <v/>
      </c>
      <c r="C121" s="21" t="n"/>
      <c r="D121" s="14" t="n"/>
      <c r="E121" s="14" t="n"/>
      <c r="F121" s="14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3">
        <f>IF($C121="","",N(L121)-N(M121))</f>
        <v/>
      </c>
      <c r="P121" s="24" t="n"/>
      <c r="Q121" s="23">
        <f>IF($C121="","",N(M121)+N(N121))</f>
        <v/>
      </c>
      <c r="R121" s="23">
        <f>IF($C121="","",N(J121)+N(Q121))</f>
        <v/>
      </c>
      <c r="S121" s="25">
        <f>IF(OR($C121="",N($G121)=0),"",R121/$G121)</f>
        <v/>
      </c>
      <c r="T121" s="23">
        <f>IF($C121="","",N($G121)-N(R121))</f>
        <v/>
      </c>
      <c r="U121" s="24" t="n"/>
      <c r="V121" s="22" t="n"/>
    </row>
    <row r="122">
      <c r="B122" s="13">
        <f>IF($C122="","",COUNTA($C$9:$C122))</f>
        <v/>
      </c>
      <c r="C122" s="21" t="n"/>
      <c r="D122" s="14" t="n"/>
      <c r="E122" s="14" t="n"/>
      <c r="F122" s="14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3">
        <f>IF($C122="","",N(L122)-N(M122))</f>
        <v/>
      </c>
      <c r="P122" s="24" t="n"/>
      <c r="Q122" s="23">
        <f>IF($C122="","",N(M122)+N(N122))</f>
        <v/>
      </c>
      <c r="R122" s="23">
        <f>IF($C122="","",N(J122)+N(Q122))</f>
        <v/>
      </c>
      <c r="S122" s="25">
        <f>IF(OR($C122="",N($G122)=0),"",R122/$G122)</f>
        <v/>
      </c>
      <c r="T122" s="23">
        <f>IF($C122="","",N($G122)-N(R122))</f>
        <v/>
      </c>
      <c r="U122" s="24" t="n"/>
      <c r="V122" s="22" t="n"/>
    </row>
    <row r="123">
      <c r="B123" s="13">
        <f>IF($C123="","",COUNTA($C$9:$C123))</f>
        <v/>
      </c>
      <c r="C123" s="21" t="n"/>
      <c r="D123" s="14" t="n"/>
      <c r="E123" s="14" t="n"/>
      <c r="F123" s="14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3">
        <f>IF($C123="","",N(L123)-N(M123))</f>
        <v/>
      </c>
      <c r="P123" s="24" t="n"/>
      <c r="Q123" s="23">
        <f>IF($C123="","",N(M123)+N(N123))</f>
        <v/>
      </c>
      <c r="R123" s="23">
        <f>IF($C123="","",N(J123)+N(Q123))</f>
        <v/>
      </c>
      <c r="S123" s="25">
        <f>IF(OR($C123="",N($G123)=0),"",R123/$G123)</f>
        <v/>
      </c>
      <c r="T123" s="23">
        <f>IF($C123="","",N($G123)-N(R123))</f>
        <v/>
      </c>
      <c r="U123" s="24" t="n"/>
      <c r="V123" s="22" t="n"/>
    </row>
    <row r="124">
      <c r="B124" s="13">
        <f>IF($C124="","",COUNTA($C$9:$C124))</f>
        <v/>
      </c>
      <c r="C124" s="21" t="n"/>
      <c r="D124" s="14" t="n"/>
      <c r="E124" s="14" t="n"/>
      <c r="F124" s="14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3">
        <f>IF($C124="","",N(L124)-N(M124))</f>
        <v/>
      </c>
      <c r="P124" s="24" t="n"/>
      <c r="Q124" s="23">
        <f>IF($C124="","",N(M124)+N(N124))</f>
        <v/>
      </c>
      <c r="R124" s="23">
        <f>IF($C124="","",N(J124)+N(Q124))</f>
        <v/>
      </c>
      <c r="S124" s="25">
        <f>IF(OR($C124="",N($G124)=0),"",R124/$G124)</f>
        <v/>
      </c>
      <c r="T124" s="23">
        <f>IF($C124="","",N($G124)-N(R124))</f>
        <v/>
      </c>
      <c r="U124" s="24" t="n"/>
      <c r="V124" s="22" t="n"/>
    </row>
    <row r="125">
      <c r="B125" s="13">
        <f>IF($C125="","",COUNTA($C$9:$C125))</f>
        <v/>
      </c>
      <c r="C125" s="21" t="n"/>
      <c r="D125" s="14" t="n"/>
      <c r="E125" s="14" t="n"/>
      <c r="F125" s="14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3">
        <f>IF($C125="","",N(L125)-N(M125))</f>
        <v/>
      </c>
      <c r="P125" s="24" t="n"/>
      <c r="Q125" s="23">
        <f>IF($C125="","",N(M125)+N(N125))</f>
        <v/>
      </c>
      <c r="R125" s="23">
        <f>IF($C125="","",N(J125)+N(Q125))</f>
        <v/>
      </c>
      <c r="S125" s="25">
        <f>IF(OR($C125="",N($G125)=0),"",R125/$G125)</f>
        <v/>
      </c>
      <c r="T125" s="23">
        <f>IF($C125="","",N($G125)-N(R125))</f>
        <v/>
      </c>
      <c r="U125" s="24" t="n"/>
      <c r="V125" s="22" t="n"/>
    </row>
    <row r="126">
      <c r="B126" s="13">
        <f>IF($C126="","",COUNTA($C$9:$C126))</f>
        <v/>
      </c>
      <c r="C126" s="21" t="n"/>
      <c r="D126" s="14" t="n"/>
      <c r="E126" s="14" t="n"/>
      <c r="F126" s="14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3">
        <f>IF($C126="","",N(L126)-N(M126))</f>
        <v/>
      </c>
      <c r="P126" s="24" t="n"/>
      <c r="Q126" s="23">
        <f>IF($C126="","",N(M126)+N(N126))</f>
        <v/>
      </c>
      <c r="R126" s="23">
        <f>IF($C126="","",N(J126)+N(Q126))</f>
        <v/>
      </c>
      <c r="S126" s="25">
        <f>IF(OR($C126="",N($G126)=0),"",R126/$G126)</f>
        <v/>
      </c>
      <c r="T126" s="23">
        <f>IF($C126="","",N($G126)-N(R126))</f>
        <v/>
      </c>
      <c r="U126" s="24" t="n"/>
      <c r="V126" s="22" t="n"/>
    </row>
    <row r="127">
      <c r="B127" s="13">
        <f>IF($C127="","",COUNTA($C$9:$C127))</f>
        <v/>
      </c>
      <c r="C127" s="21" t="n"/>
      <c r="D127" s="14" t="n"/>
      <c r="E127" s="14" t="n"/>
      <c r="F127" s="14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3">
        <f>IF($C127="","",N(L127)-N(M127))</f>
        <v/>
      </c>
      <c r="P127" s="24" t="n"/>
      <c r="Q127" s="23">
        <f>IF($C127="","",N(M127)+N(N127))</f>
        <v/>
      </c>
      <c r="R127" s="23">
        <f>IF($C127="","",N(J127)+N(Q127))</f>
        <v/>
      </c>
      <c r="S127" s="25">
        <f>IF(OR($C127="",N($G127)=0),"",R127/$G127)</f>
        <v/>
      </c>
      <c r="T127" s="23">
        <f>IF($C127="","",N($G127)-N(R127))</f>
        <v/>
      </c>
      <c r="U127" s="24" t="n"/>
      <c r="V127" s="22" t="n"/>
    </row>
    <row r="128">
      <c r="B128" s="13">
        <f>IF($C128="","",COUNTA($C$9:$C128))</f>
        <v/>
      </c>
      <c r="C128" s="21" t="n"/>
      <c r="D128" s="14" t="n"/>
      <c r="E128" s="14" t="n"/>
      <c r="F128" s="14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3">
        <f>IF($C128="","",N(L128)-N(M128))</f>
        <v/>
      </c>
      <c r="P128" s="24" t="n"/>
      <c r="Q128" s="23">
        <f>IF($C128="","",N(M128)+N(N128))</f>
        <v/>
      </c>
      <c r="R128" s="23">
        <f>IF($C128="","",N(J128)+N(Q128))</f>
        <v/>
      </c>
      <c r="S128" s="25">
        <f>IF(OR($C128="",N($G128)=0),"",R128/$G128)</f>
        <v/>
      </c>
      <c r="T128" s="23">
        <f>IF($C128="","",N($G128)-N(R128))</f>
        <v/>
      </c>
      <c r="U128" s="24" t="n"/>
      <c r="V128" s="22" t="n"/>
    </row>
    <row r="129">
      <c r="B129" s="13">
        <f>IF($C129="","",COUNTA($C$9:$C129))</f>
        <v/>
      </c>
      <c r="C129" s="21" t="n"/>
      <c r="D129" s="14" t="n"/>
      <c r="E129" s="14" t="n"/>
      <c r="F129" s="14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3">
        <f>IF($C129="","",N(L129)-N(M129))</f>
        <v/>
      </c>
      <c r="P129" s="24" t="n"/>
      <c r="Q129" s="23">
        <f>IF($C129="","",N(M129)+N(N129))</f>
        <v/>
      </c>
      <c r="R129" s="23">
        <f>IF($C129="","",N(J129)+N(Q129))</f>
        <v/>
      </c>
      <c r="S129" s="25">
        <f>IF(OR($C129="",N($G129)=0),"",R129/$G129)</f>
        <v/>
      </c>
      <c r="T129" s="23">
        <f>IF($C129="","",N($G129)-N(R129))</f>
        <v/>
      </c>
      <c r="U129" s="24" t="n"/>
      <c r="V129" s="22" t="n"/>
    </row>
    <row r="130">
      <c r="B130" s="13">
        <f>IF($C130="","",COUNTA($C$9:$C130))</f>
        <v/>
      </c>
      <c r="C130" s="21" t="n"/>
      <c r="D130" s="14" t="n"/>
      <c r="E130" s="14" t="n"/>
      <c r="F130" s="14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3">
        <f>IF($C130="","",N(L130)-N(M130))</f>
        <v/>
      </c>
      <c r="P130" s="24" t="n"/>
      <c r="Q130" s="23">
        <f>IF($C130="","",N(M130)+N(N130))</f>
        <v/>
      </c>
      <c r="R130" s="23">
        <f>IF($C130="","",N(J130)+N(Q130))</f>
        <v/>
      </c>
      <c r="S130" s="25">
        <f>IF(OR($C130="",N($G130)=0),"",R130/$G130)</f>
        <v/>
      </c>
      <c r="T130" s="23">
        <f>IF($C130="","",N($G130)-N(R130))</f>
        <v/>
      </c>
      <c r="U130" s="24" t="n"/>
      <c r="V130" s="22" t="n"/>
    </row>
    <row r="131">
      <c r="B131" s="13">
        <f>IF($C131="","",COUNTA($C$9:$C131))</f>
        <v/>
      </c>
      <c r="C131" s="21" t="n"/>
      <c r="D131" s="14" t="n"/>
      <c r="E131" s="14" t="n"/>
      <c r="F131" s="14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3">
        <f>IF($C131="","",N(L131)-N(M131))</f>
        <v/>
      </c>
      <c r="P131" s="24" t="n"/>
      <c r="Q131" s="23">
        <f>IF($C131="","",N(M131)+N(N131))</f>
        <v/>
      </c>
      <c r="R131" s="23">
        <f>IF($C131="","",N(J131)+N(Q131))</f>
        <v/>
      </c>
      <c r="S131" s="25">
        <f>IF(OR($C131="",N($G131)=0),"",R131/$G131)</f>
        <v/>
      </c>
      <c r="T131" s="23">
        <f>IF($C131="","",N($G131)-N(R131))</f>
        <v/>
      </c>
      <c r="U131" s="24" t="n"/>
      <c r="V131" s="22" t="n"/>
    </row>
    <row r="132">
      <c r="B132" s="13">
        <f>IF($C132="","",COUNTA($C$9:$C132))</f>
        <v/>
      </c>
      <c r="C132" s="21" t="n"/>
      <c r="D132" s="14" t="n"/>
      <c r="E132" s="14" t="n"/>
      <c r="F132" s="14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3">
        <f>IF($C132="","",N(L132)-N(M132))</f>
        <v/>
      </c>
      <c r="P132" s="24" t="n"/>
      <c r="Q132" s="23">
        <f>IF($C132="","",N(M132)+N(N132))</f>
        <v/>
      </c>
      <c r="R132" s="23">
        <f>IF($C132="","",N(J132)+N(Q132))</f>
        <v/>
      </c>
      <c r="S132" s="25">
        <f>IF(OR($C132="",N($G132)=0),"",R132/$G132)</f>
        <v/>
      </c>
      <c r="T132" s="23">
        <f>IF($C132="","",N($G132)-N(R132))</f>
        <v/>
      </c>
      <c r="U132" s="24" t="n"/>
      <c r="V132" s="22" t="n"/>
    </row>
    <row r="133">
      <c r="B133" s="13">
        <f>IF($C133="","",COUNTA($C$9:$C133))</f>
        <v/>
      </c>
      <c r="C133" s="21" t="n"/>
      <c r="D133" s="14" t="n"/>
      <c r="E133" s="14" t="n"/>
      <c r="F133" s="14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3">
        <f>IF($C133="","",N(L133)-N(M133))</f>
        <v/>
      </c>
      <c r="P133" s="24" t="n"/>
      <c r="Q133" s="23">
        <f>IF($C133="","",N(M133)+N(N133))</f>
        <v/>
      </c>
      <c r="R133" s="23">
        <f>IF($C133="","",N(J133)+N(Q133))</f>
        <v/>
      </c>
      <c r="S133" s="25">
        <f>IF(OR($C133="",N($G133)=0),"",R133/$G133)</f>
        <v/>
      </c>
      <c r="T133" s="23">
        <f>IF($C133="","",N($G133)-N(R133))</f>
        <v/>
      </c>
      <c r="U133" s="24" t="n"/>
      <c r="V133" s="22" t="n"/>
    </row>
    <row r="134">
      <c r="B134" s="13">
        <f>IF($C134="","",COUNTA($C$9:$C134))</f>
        <v/>
      </c>
      <c r="C134" s="21" t="n"/>
      <c r="D134" s="14" t="n"/>
      <c r="E134" s="14" t="n"/>
      <c r="F134" s="14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3">
        <f>IF($C134="","",N(L134)-N(M134))</f>
        <v/>
      </c>
      <c r="P134" s="24" t="n"/>
      <c r="Q134" s="23">
        <f>IF($C134="","",N(M134)+N(N134))</f>
        <v/>
      </c>
      <c r="R134" s="23">
        <f>IF($C134="","",N(J134)+N(Q134))</f>
        <v/>
      </c>
      <c r="S134" s="25">
        <f>IF(OR($C134="",N($G134)=0),"",R134/$G134)</f>
        <v/>
      </c>
      <c r="T134" s="23">
        <f>IF($C134="","",N($G134)-N(R134))</f>
        <v/>
      </c>
      <c r="U134" s="24" t="n"/>
      <c r="V134" s="22" t="n"/>
    </row>
    <row r="135">
      <c r="B135" s="13">
        <f>IF($C135="","",COUNTA($C$9:$C135))</f>
        <v/>
      </c>
      <c r="C135" s="21" t="n"/>
      <c r="D135" s="14" t="n"/>
      <c r="E135" s="14" t="n"/>
      <c r="F135" s="14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3">
        <f>IF($C135="","",N(L135)-N(M135))</f>
        <v/>
      </c>
      <c r="P135" s="24" t="n"/>
      <c r="Q135" s="23">
        <f>IF($C135="","",N(M135)+N(N135))</f>
        <v/>
      </c>
      <c r="R135" s="23">
        <f>IF($C135="","",N(J135)+N(Q135))</f>
        <v/>
      </c>
      <c r="S135" s="25">
        <f>IF(OR($C135="",N($G135)=0),"",R135/$G135)</f>
        <v/>
      </c>
      <c r="T135" s="23">
        <f>IF($C135="","",N($G135)-N(R135))</f>
        <v/>
      </c>
      <c r="U135" s="24" t="n"/>
      <c r="V135" s="22" t="n"/>
    </row>
    <row r="136">
      <c r="B136" s="13">
        <f>IF($C136="","",COUNTA($C$9:$C136))</f>
        <v/>
      </c>
      <c r="C136" s="21" t="n"/>
      <c r="D136" s="14" t="n"/>
      <c r="E136" s="14" t="n"/>
      <c r="F136" s="14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3">
        <f>IF($C136="","",N(L136)-N(M136))</f>
        <v/>
      </c>
      <c r="P136" s="24" t="n"/>
      <c r="Q136" s="23">
        <f>IF($C136="","",N(M136)+N(N136))</f>
        <v/>
      </c>
      <c r="R136" s="23">
        <f>IF($C136="","",N(J136)+N(Q136))</f>
        <v/>
      </c>
      <c r="S136" s="25">
        <f>IF(OR($C136="",N($G136)=0),"",R136/$G136)</f>
        <v/>
      </c>
      <c r="T136" s="23">
        <f>IF($C136="","",N($G136)-N(R136))</f>
        <v/>
      </c>
      <c r="U136" s="24" t="n"/>
      <c r="V136" s="22" t="n"/>
    </row>
    <row r="137">
      <c r="B137" s="13">
        <f>IF($C137="","",COUNTA($C$9:$C137))</f>
        <v/>
      </c>
      <c r="C137" s="21" t="n"/>
      <c r="D137" s="14" t="n"/>
      <c r="E137" s="14" t="n"/>
      <c r="F137" s="14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3">
        <f>IF($C137="","",N(L137)-N(M137))</f>
        <v/>
      </c>
      <c r="P137" s="24" t="n"/>
      <c r="Q137" s="23">
        <f>IF($C137="","",N(M137)+N(N137))</f>
        <v/>
      </c>
      <c r="R137" s="23">
        <f>IF($C137="","",N(J137)+N(Q137))</f>
        <v/>
      </c>
      <c r="S137" s="25">
        <f>IF(OR($C137="",N($G137)=0),"",R137/$G137)</f>
        <v/>
      </c>
      <c r="T137" s="23">
        <f>IF($C137="","",N($G137)-N(R137))</f>
        <v/>
      </c>
      <c r="U137" s="24" t="n"/>
      <c r="V137" s="22" t="n"/>
    </row>
    <row r="138">
      <c r="B138" s="13">
        <f>IF($C138="","",COUNTA($C$9:$C138))</f>
        <v/>
      </c>
      <c r="C138" s="21" t="n"/>
      <c r="D138" s="14" t="n"/>
      <c r="E138" s="14" t="n"/>
      <c r="F138" s="14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3">
        <f>IF($C138="","",N(L138)-N(M138))</f>
        <v/>
      </c>
      <c r="P138" s="24" t="n"/>
      <c r="Q138" s="23">
        <f>IF($C138="","",N(M138)+N(N138))</f>
        <v/>
      </c>
      <c r="R138" s="23">
        <f>IF($C138="","",N(J138)+N(Q138))</f>
        <v/>
      </c>
      <c r="S138" s="25">
        <f>IF(OR($C138="",N($G138)=0),"",R138/$G138)</f>
        <v/>
      </c>
      <c r="T138" s="23">
        <f>IF($C138="","",N($G138)-N(R138))</f>
        <v/>
      </c>
      <c r="U138" s="24" t="n"/>
      <c r="V138" s="22" t="n"/>
    </row>
    <row r="139">
      <c r="B139" s="13">
        <f>IF($C139="","",COUNTA($C$9:$C139))</f>
        <v/>
      </c>
      <c r="C139" s="21" t="n"/>
      <c r="D139" s="14" t="n"/>
      <c r="E139" s="14" t="n"/>
      <c r="F139" s="14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3">
        <f>IF($C139="","",N(L139)-N(M139))</f>
        <v/>
      </c>
      <c r="P139" s="24" t="n"/>
      <c r="Q139" s="23">
        <f>IF($C139="","",N(M139)+N(N139))</f>
        <v/>
      </c>
      <c r="R139" s="23">
        <f>IF($C139="","",N(J139)+N(Q139))</f>
        <v/>
      </c>
      <c r="S139" s="25">
        <f>IF(OR($C139="",N($G139)=0),"",R139/$G139)</f>
        <v/>
      </c>
      <c r="T139" s="23">
        <f>IF($C139="","",N($G139)-N(R139))</f>
        <v/>
      </c>
      <c r="U139" s="24" t="n"/>
      <c r="V139" s="22" t="n"/>
    </row>
    <row r="140">
      <c r="B140" s="13">
        <f>IF($C140="","",COUNTA($C$9:$C140))</f>
        <v/>
      </c>
      <c r="C140" s="21" t="n"/>
      <c r="D140" s="14" t="n"/>
      <c r="E140" s="14" t="n"/>
      <c r="F140" s="14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3">
        <f>IF($C140="","",N(L140)-N(M140))</f>
        <v/>
      </c>
      <c r="P140" s="24" t="n"/>
      <c r="Q140" s="23">
        <f>IF($C140="","",N(M140)+N(N140))</f>
        <v/>
      </c>
      <c r="R140" s="23">
        <f>IF($C140="","",N(J140)+N(Q140))</f>
        <v/>
      </c>
      <c r="S140" s="25">
        <f>IF(OR($C140="",N($G140)=0),"",R140/$G140)</f>
        <v/>
      </c>
      <c r="T140" s="23">
        <f>IF($C140="","",N($G140)-N(R140))</f>
        <v/>
      </c>
      <c r="U140" s="24" t="n"/>
      <c r="V140" s="22" t="n"/>
    </row>
    <row r="141">
      <c r="B141" s="13">
        <f>IF($C141="","",COUNTA($C$9:$C141))</f>
        <v/>
      </c>
      <c r="C141" s="21" t="n"/>
      <c r="D141" s="14" t="n"/>
      <c r="E141" s="14" t="n"/>
      <c r="F141" s="14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3">
        <f>IF($C141="","",N(L141)-N(M141))</f>
        <v/>
      </c>
      <c r="P141" s="24" t="n"/>
      <c r="Q141" s="23">
        <f>IF($C141="","",N(M141)+N(N141))</f>
        <v/>
      </c>
      <c r="R141" s="23">
        <f>IF($C141="","",N(J141)+N(Q141))</f>
        <v/>
      </c>
      <c r="S141" s="25">
        <f>IF(OR($C141="",N($G141)=0),"",R141/$G141)</f>
        <v/>
      </c>
      <c r="T141" s="23">
        <f>IF($C141="","",N($G141)-N(R141))</f>
        <v/>
      </c>
      <c r="U141" s="24" t="n"/>
      <c r="V141" s="22" t="n"/>
    </row>
    <row r="142">
      <c r="B142" s="13">
        <f>IF($C142="","",COUNTA($C$9:$C142))</f>
        <v/>
      </c>
      <c r="C142" s="21" t="n"/>
      <c r="D142" s="14" t="n"/>
      <c r="E142" s="14" t="n"/>
      <c r="F142" s="14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3">
        <f>IF($C142="","",N(L142)-N(M142))</f>
        <v/>
      </c>
      <c r="P142" s="24" t="n"/>
      <c r="Q142" s="23">
        <f>IF($C142="","",N(M142)+N(N142))</f>
        <v/>
      </c>
      <c r="R142" s="23">
        <f>IF($C142="","",N(J142)+N(Q142))</f>
        <v/>
      </c>
      <c r="S142" s="25">
        <f>IF(OR($C142="",N($G142)=0),"",R142/$G142)</f>
        <v/>
      </c>
      <c r="T142" s="23">
        <f>IF($C142="","",N($G142)-N(R142))</f>
        <v/>
      </c>
      <c r="U142" s="24" t="n"/>
      <c r="V142" s="22" t="n"/>
    </row>
    <row r="143">
      <c r="B143" s="13">
        <f>IF($C143="","",COUNTA($C$9:$C143))</f>
        <v/>
      </c>
      <c r="C143" s="21" t="n"/>
      <c r="D143" s="14" t="n"/>
      <c r="E143" s="14" t="n"/>
      <c r="F143" s="14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3">
        <f>IF($C143="","",N(L143)-N(M143))</f>
        <v/>
      </c>
      <c r="P143" s="24" t="n"/>
      <c r="Q143" s="23">
        <f>IF($C143="","",N(M143)+N(N143))</f>
        <v/>
      </c>
      <c r="R143" s="23">
        <f>IF($C143="","",N(J143)+N(Q143))</f>
        <v/>
      </c>
      <c r="S143" s="25">
        <f>IF(OR($C143="",N($G143)=0),"",R143/$G143)</f>
        <v/>
      </c>
      <c r="T143" s="23">
        <f>IF($C143="","",N($G143)-N(R143))</f>
        <v/>
      </c>
      <c r="U143" s="24" t="n"/>
      <c r="V143" s="22" t="n"/>
    </row>
    <row r="144">
      <c r="B144" s="13">
        <f>IF($C144="","",COUNTA($C$9:$C144))</f>
        <v/>
      </c>
      <c r="C144" s="21" t="n"/>
      <c r="D144" s="14" t="n"/>
      <c r="E144" s="14" t="n"/>
      <c r="F144" s="14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3">
        <f>IF($C144="","",N(L144)-N(M144))</f>
        <v/>
      </c>
      <c r="P144" s="24" t="n"/>
      <c r="Q144" s="23">
        <f>IF($C144="","",N(M144)+N(N144))</f>
        <v/>
      </c>
      <c r="R144" s="23">
        <f>IF($C144="","",N(J144)+N(Q144))</f>
        <v/>
      </c>
      <c r="S144" s="25">
        <f>IF(OR($C144="",N($G144)=0),"",R144/$G144)</f>
        <v/>
      </c>
      <c r="T144" s="23">
        <f>IF($C144="","",N($G144)-N(R144))</f>
        <v/>
      </c>
      <c r="U144" s="24" t="n"/>
      <c r="V144" s="22" t="n"/>
    </row>
    <row r="145">
      <c r="B145" s="13">
        <f>IF($C145="","",COUNTA($C$9:$C145))</f>
        <v/>
      </c>
      <c r="C145" s="21" t="n"/>
      <c r="D145" s="14" t="n"/>
      <c r="E145" s="14" t="n"/>
      <c r="F145" s="14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3">
        <f>IF($C145="","",N(L145)-N(M145))</f>
        <v/>
      </c>
      <c r="P145" s="24" t="n"/>
      <c r="Q145" s="23">
        <f>IF($C145="","",N(M145)+N(N145))</f>
        <v/>
      </c>
      <c r="R145" s="23">
        <f>IF($C145="","",N(J145)+N(Q145))</f>
        <v/>
      </c>
      <c r="S145" s="25">
        <f>IF(OR($C145="",N($G145)=0),"",R145/$G145)</f>
        <v/>
      </c>
      <c r="T145" s="23">
        <f>IF($C145="","",N($G145)-N(R145))</f>
        <v/>
      </c>
      <c r="U145" s="24" t="n"/>
      <c r="V145" s="22" t="n"/>
    </row>
    <row r="146">
      <c r="B146" s="13">
        <f>IF($C146="","",COUNTA($C$9:$C146))</f>
        <v/>
      </c>
      <c r="C146" s="21" t="n"/>
      <c r="D146" s="14" t="n"/>
      <c r="E146" s="14" t="n"/>
      <c r="F146" s="14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3">
        <f>IF($C146="","",N(L146)-N(M146))</f>
        <v/>
      </c>
      <c r="P146" s="24" t="n"/>
      <c r="Q146" s="23">
        <f>IF($C146="","",N(M146)+N(N146))</f>
        <v/>
      </c>
      <c r="R146" s="23">
        <f>IF($C146="","",N(J146)+N(Q146))</f>
        <v/>
      </c>
      <c r="S146" s="25">
        <f>IF(OR($C146="",N($G146)=0),"",R146/$G146)</f>
        <v/>
      </c>
      <c r="T146" s="23">
        <f>IF($C146="","",N($G146)-N(R146))</f>
        <v/>
      </c>
      <c r="U146" s="24" t="n"/>
      <c r="V146" s="22" t="n"/>
    </row>
    <row r="147">
      <c r="B147" s="13">
        <f>IF($C147="","",COUNTA($C$9:$C147))</f>
        <v/>
      </c>
      <c r="C147" s="21" t="n"/>
      <c r="D147" s="14" t="n"/>
      <c r="E147" s="14" t="n"/>
      <c r="F147" s="14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3">
        <f>IF($C147="","",N(L147)-N(M147))</f>
        <v/>
      </c>
      <c r="P147" s="24" t="n"/>
      <c r="Q147" s="23">
        <f>IF($C147="","",N(M147)+N(N147))</f>
        <v/>
      </c>
      <c r="R147" s="23">
        <f>IF($C147="","",N(J147)+N(Q147))</f>
        <v/>
      </c>
      <c r="S147" s="25">
        <f>IF(OR($C147="",N($G147)=0),"",R147/$G147)</f>
        <v/>
      </c>
      <c r="T147" s="23">
        <f>IF($C147="","",N($G147)-N(R147))</f>
        <v/>
      </c>
      <c r="U147" s="24" t="n"/>
      <c r="V147" s="22" t="n"/>
    </row>
    <row r="148">
      <c r="B148" s="13">
        <f>IF($C148="","",COUNTA($C$9:$C148))</f>
        <v/>
      </c>
      <c r="C148" s="21" t="n"/>
      <c r="D148" s="14" t="n"/>
      <c r="E148" s="14" t="n"/>
      <c r="F148" s="14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3">
        <f>IF($C148="","",N(L148)-N(M148))</f>
        <v/>
      </c>
      <c r="P148" s="24" t="n"/>
      <c r="Q148" s="23">
        <f>IF($C148="","",N(M148)+N(N148))</f>
        <v/>
      </c>
      <c r="R148" s="23">
        <f>IF($C148="","",N(J148)+N(Q148))</f>
        <v/>
      </c>
      <c r="S148" s="25">
        <f>IF(OR($C148="",N($G148)=0),"",R148/$G148)</f>
        <v/>
      </c>
      <c r="T148" s="23">
        <f>IF($C148="","",N($G148)-N(R148))</f>
        <v/>
      </c>
      <c r="U148" s="24" t="n"/>
      <c r="V148" s="22" t="n"/>
    </row>
    <row r="149">
      <c r="B149" s="13">
        <f>IF($C149="","",COUNTA($C$9:$C149))</f>
        <v/>
      </c>
      <c r="C149" s="21" t="n"/>
      <c r="D149" s="14" t="n"/>
      <c r="E149" s="14" t="n"/>
      <c r="F149" s="14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3">
        <f>IF($C149="","",N(L149)-N(M149))</f>
        <v/>
      </c>
      <c r="P149" s="24" t="n"/>
      <c r="Q149" s="23">
        <f>IF($C149="","",N(M149)+N(N149))</f>
        <v/>
      </c>
      <c r="R149" s="23">
        <f>IF($C149="","",N(J149)+N(Q149))</f>
        <v/>
      </c>
      <c r="S149" s="25">
        <f>IF(OR($C149="",N($G149)=0),"",R149/$G149)</f>
        <v/>
      </c>
      <c r="T149" s="23">
        <f>IF($C149="","",N($G149)-N(R149))</f>
        <v/>
      </c>
      <c r="U149" s="24" t="n"/>
      <c r="V149" s="22" t="n"/>
    </row>
    <row r="150">
      <c r="B150" s="13">
        <f>IF($C150="","",COUNTA($C$9:$C150))</f>
        <v/>
      </c>
      <c r="C150" s="21" t="n"/>
      <c r="D150" s="14" t="n"/>
      <c r="E150" s="14" t="n"/>
      <c r="F150" s="14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3">
        <f>IF($C150="","",N(L150)-N(M150))</f>
        <v/>
      </c>
      <c r="P150" s="24" t="n"/>
      <c r="Q150" s="23">
        <f>IF($C150="","",N(M150)+N(N150))</f>
        <v/>
      </c>
      <c r="R150" s="23">
        <f>IF($C150="","",N(J150)+N(Q150))</f>
        <v/>
      </c>
      <c r="S150" s="25">
        <f>IF(OR($C150="",N($G150)=0),"",R150/$G150)</f>
        <v/>
      </c>
      <c r="T150" s="23">
        <f>IF($C150="","",N($G150)-N(R150))</f>
        <v/>
      </c>
      <c r="U150" s="24" t="n"/>
      <c r="V150" s="22" t="n"/>
    </row>
    <row r="151">
      <c r="B151" s="13">
        <f>IF($C151="","",COUNTA($C$9:$C151))</f>
        <v/>
      </c>
      <c r="C151" s="21" t="n"/>
      <c r="D151" s="14" t="n"/>
      <c r="E151" s="14" t="n"/>
      <c r="F151" s="14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3">
        <f>IF($C151="","",N(L151)-N(M151))</f>
        <v/>
      </c>
      <c r="P151" s="24" t="n"/>
      <c r="Q151" s="23">
        <f>IF($C151="","",N(M151)+N(N151))</f>
        <v/>
      </c>
      <c r="R151" s="23">
        <f>IF($C151="","",N(J151)+N(Q151))</f>
        <v/>
      </c>
      <c r="S151" s="25">
        <f>IF(OR($C151="",N($G151)=0),"",R151/$G151)</f>
        <v/>
      </c>
      <c r="T151" s="23">
        <f>IF($C151="","",N($G151)-N(R151))</f>
        <v/>
      </c>
      <c r="U151" s="24" t="n"/>
      <c r="V151" s="22" t="n"/>
    </row>
    <row r="152">
      <c r="B152" s="13">
        <f>IF($C152="","",COUNTA($C$9:$C152))</f>
        <v/>
      </c>
      <c r="C152" s="21" t="n"/>
      <c r="D152" s="14" t="n"/>
      <c r="E152" s="14" t="n"/>
      <c r="F152" s="14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3">
        <f>IF($C152="","",N(L152)-N(M152))</f>
        <v/>
      </c>
      <c r="P152" s="24" t="n"/>
      <c r="Q152" s="23">
        <f>IF($C152="","",N(M152)+N(N152))</f>
        <v/>
      </c>
      <c r="R152" s="23">
        <f>IF($C152="","",N(J152)+N(Q152))</f>
        <v/>
      </c>
      <c r="S152" s="25">
        <f>IF(OR($C152="",N($G152)=0),"",R152/$G152)</f>
        <v/>
      </c>
      <c r="T152" s="23">
        <f>IF($C152="","",N($G152)-N(R152))</f>
        <v/>
      </c>
      <c r="U152" s="24" t="n"/>
      <c r="V152" s="22" t="n"/>
    </row>
    <row r="153">
      <c r="B153" s="13">
        <f>IF($C153="","",COUNTA($C$9:$C153))</f>
        <v/>
      </c>
      <c r="C153" s="21" t="n"/>
      <c r="D153" s="14" t="n"/>
      <c r="E153" s="14" t="n"/>
      <c r="F153" s="14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3">
        <f>IF($C153="","",N(L153)-N(M153))</f>
        <v/>
      </c>
      <c r="P153" s="24" t="n"/>
      <c r="Q153" s="23">
        <f>IF($C153="","",N(M153)+N(N153))</f>
        <v/>
      </c>
      <c r="R153" s="23">
        <f>IF($C153="","",N(J153)+N(Q153))</f>
        <v/>
      </c>
      <c r="S153" s="25">
        <f>IF(OR($C153="",N($G153)=0),"",R153/$G153)</f>
        <v/>
      </c>
      <c r="T153" s="23">
        <f>IF($C153="","",N($G153)-N(R153))</f>
        <v/>
      </c>
      <c r="U153" s="24" t="n"/>
      <c r="V153" s="22" t="n"/>
    </row>
    <row r="154">
      <c r="B154" s="13">
        <f>IF($C154="","",COUNTA($C$9:$C154))</f>
        <v/>
      </c>
      <c r="C154" s="21" t="n"/>
      <c r="D154" s="14" t="n"/>
      <c r="E154" s="14" t="n"/>
      <c r="F154" s="14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3">
        <f>IF($C154="","",N(L154)-N(M154))</f>
        <v/>
      </c>
      <c r="P154" s="24" t="n"/>
      <c r="Q154" s="23">
        <f>IF($C154="","",N(M154)+N(N154))</f>
        <v/>
      </c>
      <c r="R154" s="23">
        <f>IF($C154="","",N(J154)+N(Q154))</f>
        <v/>
      </c>
      <c r="S154" s="25">
        <f>IF(OR($C154="",N($G154)=0),"",R154/$G154)</f>
        <v/>
      </c>
      <c r="T154" s="23">
        <f>IF($C154="","",N($G154)-N(R154))</f>
        <v/>
      </c>
      <c r="U154" s="24" t="n"/>
      <c r="V154" s="22" t="n"/>
    </row>
    <row r="155">
      <c r="B155" s="13">
        <f>IF($C155="","",COUNTA($C$9:$C155))</f>
        <v/>
      </c>
      <c r="C155" s="21" t="n"/>
      <c r="D155" s="14" t="n"/>
      <c r="E155" s="14" t="n"/>
      <c r="F155" s="14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3">
        <f>IF($C155="","",N(L155)-N(M155))</f>
        <v/>
      </c>
      <c r="P155" s="24" t="n"/>
      <c r="Q155" s="23">
        <f>IF($C155="","",N(M155)+N(N155))</f>
        <v/>
      </c>
      <c r="R155" s="23">
        <f>IF($C155="","",N(J155)+N(Q155))</f>
        <v/>
      </c>
      <c r="S155" s="25">
        <f>IF(OR($C155="",N($G155)=0),"",R155/$G155)</f>
        <v/>
      </c>
      <c r="T155" s="23">
        <f>IF($C155="","",N($G155)-N(R155))</f>
        <v/>
      </c>
      <c r="U155" s="24" t="n"/>
      <c r="V155" s="22" t="n"/>
    </row>
    <row r="156">
      <c r="B156" s="13">
        <f>IF($C156="","",COUNTA($C$9:$C156))</f>
        <v/>
      </c>
      <c r="C156" s="21" t="n"/>
      <c r="D156" s="14" t="n"/>
      <c r="E156" s="14" t="n"/>
      <c r="F156" s="14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3">
        <f>IF($C156="","",N(L156)-N(M156))</f>
        <v/>
      </c>
      <c r="P156" s="24" t="n"/>
      <c r="Q156" s="23">
        <f>IF($C156="","",N(M156)+N(N156))</f>
        <v/>
      </c>
      <c r="R156" s="23">
        <f>IF($C156="","",N(J156)+N(Q156))</f>
        <v/>
      </c>
      <c r="S156" s="25">
        <f>IF(OR($C156="",N($G156)=0),"",R156/$G156)</f>
        <v/>
      </c>
      <c r="T156" s="23">
        <f>IF($C156="","",N($G156)-N(R156))</f>
        <v/>
      </c>
      <c r="U156" s="24" t="n"/>
      <c r="V156" s="22" t="n"/>
    </row>
    <row r="157">
      <c r="B157" s="13">
        <f>IF($C157="","",COUNTA($C$9:$C157))</f>
        <v/>
      </c>
      <c r="C157" s="21" t="n"/>
      <c r="D157" s="14" t="n"/>
      <c r="E157" s="14" t="n"/>
      <c r="F157" s="14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3">
        <f>IF($C157="","",N(L157)-N(M157))</f>
        <v/>
      </c>
      <c r="P157" s="24" t="n"/>
      <c r="Q157" s="23">
        <f>IF($C157="","",N(M157)+N(N157))</f>
        <v/>
      </c>
      <c r="R157" s="23">
        <f>IF($C157="","",N(J157)+N(Q157))</f>
        <v/>
      </c>
      <c r="S157" s="25">
        <f>IF(OR($C157="",N($G157)=0),"",R157/$G157)</f>
        <v/>
      </c>
      <c r="T157" s="23">
        <f>IF($C157="","",N($G157)-N(R157))</f>
        <v/>
      </c>
      <c r="U157" s="24" t="n"/>
      <c r="V157" s="22" t="n"/>
    </row>
    <row r="158">
      <c r="B158" s="13">
        <f>IF($C158="","",COUNTA($C$9:$C158))</f>
        <v/>
      </c>
      <c r="C158" s="21" t="n"/>
      <c r="D158" s="14" t="n"/>
      <c r="E158" s="14" t="n"/>
      <c r="F158" s="14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3">
        <f>IF($C158="","",N(L158)-N(M158))</f>
        <v/>
      </c>
      <c r="P158" s="24" t="n"/>
      <c r="Q158" s="23">
        <f>IF($C158="","",N(M158)+N(N158))</f>
        <v/>
      </c>
      <c r="R158" s="23">
        <f>IF($C158="","",N(J158)+N(Q158))</f>
        <v/>
      </c>
      <c r="S158" s="25">
        <f>IF(OR($C158="",N($G158)=0),"",R158/$G158)</f>
        <v/>
      </c>
      <c r="T158" s="23">
        <f>IF($C158="","",N($G158)-N(R158))</f>
        <v/>
      </c>
      <c r="U158" s="24" t="n"/>
      <c r="V158" s="22" t="n"/>
    </row>
    <row r="159">
      <c r="B159" s="13">
        <f>IF($C159="","",COUNTA($C$9:$C159))</f>
        <v/>
      </c>
      <c r="C159" s="21" t="n"/>
      <c r="D159" s="14" t="n"/>
      <c r="E159" s="14" t="n"/>
      <c r="F159" s="14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3">
        <f>IF($C159="","",N(L159)-N(M159))</f>
        <v/>
      </c>
      <c r="P159" s="24" t="n"/>
      <c r="Q159" s="23">
        <f>IF($C159="","",N(M159)+N(N159))</f>
        <v/>
      </c>
      <c r="R159" s="23">
        <f>IF($C159="","",N(J159)+N(Q159))</f>
        <v/>
      </c>
      <c r="S159" s="25">
        <f>IF(OR($C159="",N($G159)=0),"",R159/$G159)</f>
        <v/>
      </c>
      <c r="T159" s="23">
        <f>IF($C159="","",N($G159)-N(R159))</f>
        <v/>
      </c>
      <c r="U159" s="24" t="n"/>
      <c r="V159" s="22" t="n"/>
    </row>
    <row r="160">
      <c r="B160" s="13">
        <f>IF($C160="","",COUNTA($C$9:$C160))</f>
        <v/>
      </c>
      <c r="C160" s="21" t="n"/>
      <c r="D160" s="14" t="n"/>
      <c r="E160" s="14" t="n"/>
      <c r="F160" s="14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3">
        <f>IF($C160="","",N(L160)-N(M160))</f>
        <v/>
      </c>
      <c r="P160" s="24" t="n"/>
      <c r="Q160" s="23">
        <f>IF($C160="","",N(M160)+N(N160))</f>
        <v/>
      </c>
      <c r="R160" s="23">
        <f>IF($C160="","",N(J160)+N(Q160))</f>
        <v/>
      </c>
      <c r="S160" s="25">
        <f>IF(OR($C160="",N($G160)=0),"",R160/$G160)</f>
        <v/>
      </c>
      <c r="T160" s="23">
        <f>IF($C160="","",N($G160)-N(R160))</f>
        <v/>
      </c>
      <c r="U160" s="24" t="n"/>
      <c r="V160" s="22" t="n"/>
    </row>
    <row r="161">
      <c r="B161" s="13">
        <f>IF($C161="","",COUNTA($C$9:$C161))</f>
        <v/>
      </c>
      <c r="C161" s="21" t="n"/>
      <c r="D161" s="14" t="n"/>
      <c r="E161" s="14" t="n"/>
      <c r="F161" s="14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3">
        <f>IF($C161="","",N(L161)-N(M161))</f>
        <v/>
      </c>
      <c r="P161" s="24" t="n"/>
      <c r="Q161" s="23">
        <f>IF($C161="","",N(M161)+N(N161))</f>
        <v/>
      </c>
      <c r="R161" s="23">
        <f>IF($C161="","",N(J161)+N(Q161))</f>
        <v/>
      </c>
      <c r="S161" s="25">
        <f>IF(OR($C161="",N($G161)=0),"",R161/$G161)</f>
        <v/>
      </c>
      <c r="T161" s="23">
        <f>IF($C161="","",N($G161)-N(R161))</f>
        <v/>
      </c>
      <c r="U161" s="24" t="n"/>
      <c r="V161" s="22" t="n"/>
    </row>
    <row r="162">
      <c r="B162" s="13">
        <f>IF($C162="","",COUNTA($C$9:$C162))</f>
        <v/>
      </c>
      <c r="C162" s="21" t="n"/>
      <c r="D162" s="14" t="n"/>
      <c r="E162" s="14" t="n"/>
      <c r="F162" s="14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3">
        <f>IF($C162="","",N(L162)-N(M162))</f>
        <v/>
      </c>
      <c r="P162" s="24" t="n"/>
      <c r="Q162" s="23">
        <f>IF($C162="","",N(M162)+N(N162))</f>
        <v/>
      </c>
      <c r="R162" s="23">
        <f>IF($C162="","",N(J162)+N(Q162))</f>
        <v/>
      </c>
      <c r="S162" s="25">
        <f>IF(OR($C162="",N($G162)=0),"",R162/$G162)</f>
        <v/>
      </c>
      <c r="T162" s="23">
        <f>IF($C162="","",N($G162)-N(R162))</f>
        <v/>
      </c>
      <c r="U162" s="24" t="n"/>
      <c r="V162" s="22" t="n"/>
    </row>
    <row r="163">
      <c r="B163" s="13">
        <f>IF($C163="","",COUNTA($C$9:$C163))</f>
        <v/>
      </c>
      <c r="C163" s="21" t="n"/>
      <c r="D163" s="14" t="n"/>
      <c r="E163" s="14" t="n"/>
      <c r="F163" s="14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3">
        <f>IF($C163="","",N(L163)-N(M163))</f>
        <v/>
      </c>
      <c r="P163" s="24" t="n"/>
      <c r="Q163" s="23">
        <f>IF($C163="","",N(M163)+N(N163))</f>
        <v/>
      </c>
      <c r="R163" s="23">
        <f>IF($C163="","",N(J163)+N(Q163))</f>
        <v/>
      </c>
      <c r="S163" s="25">
        <f>IF(OR($C163="",N($G163)=0),"",R163/$G163)</f>
        <v/>
      </c>
      <c r="T163" s="23">
        <f>IF($C163="","",N($G163)-N(R163))</f>
        <v/>
      </c>
      <c r="U163" s="24" t="n"/>
      <c r="V163" s="22" t="n"/>
    </row>
    <row r="164">
      <c r="B164" s="13">
        <f>IF($C164="","",COUNTA($C$9:$C164))</f>
        <v/>
      </c>
      <c r="C164" s="21" t="n"/>
      <c r="D164" s="14" t="n"/>
      <c r="E164" s="14" t="n"/>
      <c r="F164" s="14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3">
        <f>IF($C164="","",N(L164)-N(M164))</f>
        <v/>
      </c>
      <c r="P164" s="24" t="n"/>
      <c r="Q164" s="23">
        <f>IF($C164="","",N(M164)+N(N164))</f>
        <v/>
      </c>
      <c r="R164" s="23">
        <f>IF($C164="","",N(J164)+N(Q164))</f>
        <v/>
      </c>
      <c r="S164" s="25">
        <f>IF(OR($C164="",N($G164)=0),"",R164/$G164)</f>
        <v/>
      </c>
      <c r="T164" s="23">
        <f>IF($C164="","",N($G164)-N(R164))</f>
        <v/>
      </c>
      <c r="U164" s="24" t="n"/>
      <c r="V164" s="22" t="n"/>
    </row>
    <row r="165">
      <c r="B165" s="13">
        <f>IF($C165="","",COUNTA($C$9:$C165))</f>
        <v/>
      </c>
      <c r="C165" s="21" t="n"/>
      <c r="D165" s="14" t="n"/>
      <c r="E165" s="14" t="n"/>
      <c r="F165" s="14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3">
        <f>IF($C165="","",N(L165)-N(M165))</f>
        <v/>
      </c>
      <c r="P165" s="24" t="n"/>
      <c r="Q165" s="23">
        <f>IF($C165="","",N(M165)+N(N165))</f>
        <v/>
      </c>
      <c r="R165" s="23">
        <f>IF($C165="","",N(J165)+N(Q165))</f>
        <v/>
      </c>
      <c r="S165" s="25">
        <f>IF(OR($C165="",N($G165)=0),"",R165/$G165)</f>
        <v/>
      </c>
      <c r="T165" s="23">
        <f>IF($C165="","",N($G165)-N(R165))</f>
        <v/>
      </c>
      <c r="U165" s="24" t="n"/>
      <c r="V165" s="22" t="n"/>
    </row>
    <row r="166">
      <c r="B166" s="13">
        <f>IF($C166="","",COUNTA($C$9:$C166))</f>
        <v/>
      </c>
      <c r="C166" s="21" t="n"/>
      <c r="D166" s="14" t="n"/>
      <c r="E166" s="14" t="n"/>
      <c r="F166" s="14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3">
        <f>IF($C166="","",N(L166)-N(M166))</f>
        <v/>
      </c>
      <c r="P166" s="24" t="n"/>
      <c r="Q166" s="23">
        <f>IF($C166="","",N(M166)+N(N166))</f>
        <v/>
      </c>
      <c r="R166" s="23">
        <f>IF($C166="","",N(J166)+N(Q166))</f>
        <v/>
      </c>
      <c r="S166" s="25">
        <f>IF(OR($C166="",N($G166)=0),"",R166/$G166)</f>
        <v/>
      </c>
      <c r="T166" s="23">
        <f>IF($C166="","",N($G166)-N(R166))</f>
        <v/>
      </c>
      <c r="U166" s="24" t="n"/>
      <c r="V166" s="22" t="n"/>
    </row>
    <row r="167">
      <c r="B167" s="13">
        <f>IF($C167="","",COUNTA($C$9:$C167))</f>
        <v/>
      </c>
      <c r="C167" s="21" t="n"/>
      <c r="D167" s="14" t="n"/>
      <c r="E167" s="14" t="n"/>
      <c r="F167" s="14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3">
        <f>IF($C167="","",N(L167)-N(M167))</f>
        <v/>
      </c>
      <c r="P167" s="24" t="n"/>
      <c r="Q167" s="23">
        <f>IF($C167="","",N(M167)+N(N167))</f>
        <v/>
      </c>
      <c r="R167" s="23">
        <f>IF($C167="","",N(J167)+N(Q167))</f>
        <v/>
      </c>
      <c r="S167" s="25">
        <f>IF(OR($C167="",N($G167)=0),"",R167/$G167)</f>
        <v/>
      </c>
      <c r="T167" s="23">
        <f>IF($C167="","",N($G167)-N(R167))</f>
        <v/>
      </c>
      <c r="U167" s="24" t="n"/>
      <c r="V167" s="22" t="n"/>
    </row>
    <row r="168">
      <c r="B168" s="13">
        <f>IF($C168="","",COUNTA($C$9:$C168))</f>
        <v/>
      </c>
      <c r="C168" s="21" t="n"/>
      <c r="D168" s="14" t="n"/>
      <c r="E168" s="14" t="n"/>
      <c r="F168" s="14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3">
        <f>IF($C168="","",N(L168)-N(M168))</f>
        <v/>
      </c>
      <c r="P168" s="24" t="n"/>
      <c r="Q168" s="23">
        <f>IF($C168="","",N(M168)+N(N168))</f>
        <v/>
      </c>
      <c r="R168" s="23">
        <f>IF($C168="","",N(J168)+N(Q168))</f>
        <v/>
      </c>
      <c r="S168" s="25">
        <f>IF(OR($C168="",N($G168)=0),"",R168/$G168)</f>
        <v/>
      </c>
      <c r="T168" s="23">
        <f>IF($C168="","",N($G168)-N(R168))</f>
        <v/>
      </c>
      <c r="U168" s="24" t="n"/>
      <c r="V168" s="22" t="n"/>
    </row>
    <row r="169">
      <c r="B169" s="13">
        <f>IF($C169="","",COUNTA($C$9:$C169))</f>
        <v/>
      </c>
      <c r="C169" s="21" t="n"/>
      <c r="D169" s="14" t="n"/>
      <c r="E169" s="14" t="n"/>
      <c r="F169" s="14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3">
        <f>IF($C169="","",N(L169)-N(M169))</f>
        <v/>
      </c>
      <c r="P169" s="24" t="n"/>
      <c r="Q169" s="23">
        <f>IF($C169="","",N(M169)+N(N169))</f>
        <v/>
      </c>
      <c r="R169" s="23">
        <f>IF($C169="","",N(J169)+N(Q169))</f>
        <v/>
      </c>
      <c r="S169" s="25">
        <f>IF(OR($C169="",N($G169)=0),"",R169/$G169)</f>
        <v/>
      </c>
      <c r="T169" s="23">
        <f>IF($C169="","",N($G169)-N(R169))</f>
        <v/>
      </c>
      <c r="U169" s="24" t="n"/>
      <c r="V169" s="22" t="n"/>
    </row>
    <row r="170">
      <c r="B170" s="13">
        <f>IF($C170="","",COUNTA($C$9:$C170))</f>
        <v/>
      </c>
      <c r="C170" s="21" t="n"/>
      <c r="D170" s="14" t="n"/>
      <c r="E170" s="14" t="n"/>
      <c r="F170" s="14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3">
        <f>IF($C170="","",N(L170)-N(M170))</f>
        <v/>
      </c>
      <c r="P170" s="24" t="n"/>
      <c r="Q170" s="23">
        <f>IF($C170="","",N(M170)+N(N170))</f>
        <v/>
      </c>
      <c r="R170" s="23">
        <f>IF($C170="","",N(J170)+N(Q170))</f>
        <v/>
      </c>
      <c r="S170" s="25">
        <f>IF(OR($C170="",N($G170)=0),"",R170/$G170)</f>
        <v/>
      </c>
      <c r="T170" s="23">
        <f>IF($C170="","",N($G170)-N(R170))</f>
        <v/>
      </c>
      <c r="U170" s="24" t="n"/>
      <c r="V170" s="22" t="n"/>
    </row>
    <row r="171">
      <c r="B171" s="13">
        <f>IF($C171="","",COUNTA($C$9:$C171))</f>
        <v/>
      </c>
      <c r="C171" s="21" t="n"/>
      <c r="D171" s="14" t="n"/>
      <c r="E171" s="14" t="n"/>
      <c r="F171" s="14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3">
        <f>IF($C171="","",N(L171)-N(M171))</f>
        <v/>
      </c>
      <c r="P171" s="24" t="n"/>
      <c r="Q171" s="23">
        <f>IF($C171="","",N(M171)+N(N171))</f>
        <v/>
      </c>
      <c r="R171" s="23">
        <f>IF($C171="","",N(J171)+N(Q171))</f>
        <v/>
      </c>
      <c r="S171" s="25">
        <f>IF(OR($C171="",N($G171)=0),"",R171/$G171)</f>
        <v/>
      </c>
      <c r="T171" s="23">
        <f>IF($C171="","",N($G171)-N(R171))</f>
        <v/>
      </c>
      <c r="U171" s="24" t="n"/>
      <c r="V171" s="22" t="n"/>
    </row>
    <row r="172">
      <c r="B172" s="13">
        <f>IF($C172="","",COUNTA($C$9:$C172))</f>
        <v/>
      </c>
      <c r="C172" s="21" t="n"/>
      <c r="D172" s="14" t="n"/>
      <c r="E172" s="14" t="n"/>
      <c r="F172" s="14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3">
        <f>IF($C172="","",N(L172)-N(M172))</f>
        <v/>
      </c>
      <c r="P172" s="24" t="n"/>
      <c r="Q172" s="23">
        <f>IF($C172="","",N(M172)+N(N172))</f>
        <v/>
      </c>
      <c r="R172" s="23">
        <f>IF($C172="","",N(J172)+N(Q172))</f>
        <v/>
      </c>
      <c r="S172" s="25">
        <f>IF(OR($C172="",N($G172)=0),"",R172/$G172)</f>
        <v/>
      </c>
      <c r="T172" s="23">
        <f>IF($C172="","",N($G172)-N(R172))</f>
        <v/>
      </c>
      <c r="U172" s="24" t="n"/>
      <c r="V172" s="22" t="n"/>
    </row>
    <row r="173">
      <c r="B173" s="13">
        <f>IF($C173="","",COUNTA($C$9:$C173))</f>
        <v/>
      </c>
      <c r="C173" s="21" t="n"/>
      <c r="D173" s="14" t="n"/>
      <c r="E173" s="14" t="n"/>
      <c r="F173" s="14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3">
        <f>IF($C173="","",N(L173)-N(M173))</f>
        <v/>
      </c>
      <c r="P173" s="24" t="n"/>
      <c r="Q173" s="23">
        <f>IF($C173="","",N(M173)+N(N173))</f>
        <v/>
      </c>
      <c r="R173" s="23">
        <f>IF($C173="","",N(J173)+N(Q173))</f>
        <v/>
      </c>
      <c r="S173" s="25">
        <f>IF(OR($C173="",N($G173)=0),"",R173/$G173)</f>
        <v/>
      </c>
      <c r="T173" s="23">
        <f>IF($C173="","",N($G173)-N(R173))</f>
        <v/>
      </c>
      <c r="U173" s="24" t="n"/>
      <c r="V173" s="22" t="n"/>
    </row>
    <row r="174">
      <c r="B174" s="13">
        <f>IF($C174="","",COUNTA($C$9:$C174))</f>
        <v/>
      </c>
      <c r="C174" s="21" t="n"/>
      <c r="D174" s="14" t="n"/>
      <c r="E174" s="14" t="n"/>
      <c r="F174" s="14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3">
        <f>IF($C174="","",N(L174)-N(M174))</f>
        <v/>
      </c>
      <c r="P174" s="24" t="n"/>
      <c r="Q174" s="23">
        <f>IF($C174="","",N(M174)+N(N174))</f>
        <v/>
      </c>
      <c r="R174" s="23">
        <f>IF($C174="","",N(J174)+N(Q174))</f>
        <v/>
      </c>
      <c r="S174" s="25">
        <f>IF(OR($C174="",N($G174)=0),"",R174/$G174)</f>
        <v/>
      </c>
      <c r="T174" s="23">
        <f>IF($C174="","",N($G174)-N(R174))</f>
        <v/>
      </c>
      <c r="U174" s="24" t="n"/>
      <c r="V174" s="22" t="n"/>
    </row>
    <row r="175">
      <c r="B175" s="13">
        <f>IF($C175="","",COUNTA($C$9:$C175))</f>
        <v/>
      </c>
      <c r="C175" s="21" t="n"/>
      <c r="D175" s="14" t="n"/>
      <c r="E175" s="14" t="n"/>
      <c r="F175" s="14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3">
        <f>IF($C175="","",N(L175)-N(M175))</f>
        <v/>
      </c>
      <c r="P175" s="24" t="n"/>
      <c r="Q175" s="23">
        <f>IF($C175="","",N(M175)+N(N175))</f>
        <v/>
      </c>
      <c r="R175" s="23">
        <f>IF($C175="","",N(J175)+N(Q175))</f>
        <v/>
      </c>
      <c r="S175" s="25">
        <f>IF(OR($C175="",N($G175)=0),"",R175/$G175)</f>
        <v/>
      </c>
      <c r="T175" s="23">
        <f>IF($C175="","",N($G175)-N(R175))</f>
        <v/>
      </c>
      <c r="U175" s="24" t="n"/>
      <c r="V175" s="22" t="n"/>
    </row>
    <row r="176">
      <c r="B176" s="13">
        <f>IF($C176="","",COUNTA($C$9:$C176))</f>
        <v/>
      </c>
      <c r="C176" s="21" t="n"/>
      <c r="D176" s="14" t="n"/>
      <c r="E176" s="14" t="n"/>
      <c r="F176" s="14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3">
        <f>IF($C176="","",N(L176)-N(M176))</f>
        <v/>
      </c>
      <c r="P176" s="24" t="n"/>
      <c r="Q176" s="23">
        <f>IF($C176="","",N(M176)+N(N176))</f>
        <v/>
      </c>
      <c r="R176" s="23">
        <f>IF($C176="","",N(J176)+N(Q176))</f>
        <v/>
      </c>
      <c r="S176" s="25">
        <f>IF(OR($C176="",N($G176)=0),"",R176/$G176)</f>
        <v/>
      </c>
      <c r="T176" s="23">
        <f>IF($C176="","",N($G176)-N(R176))</f>
        <v/>
      </c>
      <c r="U176" s="24" t="n"/>
      <c r="V176" s="22" t="n"/>
    </row>
    <row r="177">
      <c r="B177" s="13">
        <f>IF($C177="","",COUNTA($C$9:$C177))</f>
        <v/>
      </c>
      <c r="C177" s="21" t="n"/>
      <c r="D177" s="14" t="n"/>
      <c r="E177" s="14" t="n"/>
      <c r="F177" s="14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3">
        <f>IF($C177="","",N(L177)-N(M177))</f>
        <v/>
      </c>
      <c r="P177" s="24" t="n"/>
      <c r="Q177" s="23">
        <f>IF($C177="","",N(M177)+N(N177))</f>
        <v/>
      </c>
      <c r="R177" s="23">
        <f>IF($C177="","",N(J177)+N(Q177))</f>
        <v/>
      </c>
      <c r="S177" s="25">
        <f>IF(OR($C177="",N($G177)=0),"",R177/$G177)</f>
        <v/>
      </c>
      <c r="T177" s="23">
        <f>IF($C177="","",N($G177)-N(R177))</f>
        <v/>
      </c>
      <c r="U177" s="24" t="n"/>
      <c r="V177" s="22" t="n"/>
    </row>
    <row r="178">
      <c r="B178" s="13">
        <f>IF($C178="","",COUNTA($C$9:$C178))</f>
        <v/>
      </c>
      <c r="C178" s="21" t="n"/>
      <c r="D178" s="14" t="n"/>
      <c r="E178" s="14" t="n"/>
      <c r="F178" s="14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3">
        <f>IF($C178="","",N(L178)-N(M178))</f>
        <v/>
      </c>
      <c r="P178" s="24" t="n"/>
      <c r="Q178" s="23">
        <f>IF($C178="","",N(M178)+N(N178))</f>
        <v/>
      </c>
      <c r="R178" s="23">
        <f>IF($C178="","",N(J178)+N(Q178))</f>
        <v/>
      </c>
      <c r="S178" s="25">
        <f>IF(OR($C178="",N($G178)=0),"",R178/$G178)</f>
        <v/>
      </c>
      <c r="T178" s="23">
        <f>IF($C178="","",N($G178)-N(R178))</f>
        <v/>
      </c>
      <c r="U178" s="24" t="n"/>
      <c r="V178" s="22" t="n"/>
    </row>
    <row r="179">
      <c r="B179" s="13">
        <f>IF($C179="","",COUNTA($C$9:$C179))</f>
        <v/>
      </c>
      <c r="C179" s="21" t="n"/>
      <c r="D179" s="14" t="n"/>
      <c r="E179" s="14" t="n"/>
      <c r="F179" s="14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3">
        <f>IF($C179="","",N(L179)-N(M179))</f>
        <v/>
      </c>
      <c r="P179" s="24" t="n"/>
      <c r="Q179" s="23">
        <f>IF($C179="","",N(M179)+N(N179))</f>
        <v/>
      </c>
      <c r="R179" s="23">
        <f>IF($C179="","",N(J179)+N(Q179))</f>
        <v/>
      </c>
      <c r="S179" s="25">
        <f>IF(OR($C179="",N($G179)=0),"",R179/$G179)</f>
        <v/>
      </c>
      <c r="T179" s="23">
        <f>IF($C179="","",N($G179)-N(R179))</f>
        <v/>
      </c>
      <c r="U179" s="24" t="n"/>
      <c r="V179" s="22" t="n"/>
    </row>
    <row r="180">
      <c r="B180" s="13">
        <f>IF($C180="","",COUNTA($C$9:$C180))</f>
        <v/>
      </c>
      <c r="C180" s="21" t="n"/>
      <c r="D180" s="14" t="n"/>
      <c r="E180" s="14" t="n"/>
      <c r="F180" s="14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3">
        <f>IF($C180="","",N(L180)-N(M180))</f>
        <v/>
      </c>
      <c r="P180" s="24" t="n"/>
      <c r="Q180" s="23">
        <f>IF($C180="","",N(M180)+N(N180))</f>
        <v/>
      </c>
      <c r="R180" s="23">
        <f>IF($C180="","",N(J180)+N(Q180))</f>
        <v/>
      </c>
      <c r="S180" s="25">
        <f>IF(OR($C180="",N($G180)=0),"",R180/$G180)</f>
        <v/>
      </c>
      <c r="T180" s="23">
        <f>IF($C180="","",N($G180)-N(R180))</f>
        <v/>
      </c>
      <c r="U180" s="24" t="n"/>
      <c r="V180" s="22" t="n"/>
    </row>
    <row r="181">
      <c r="B181" s="13">
        <f>IF($C181="","",COUNTA($C$9:$C181))</f>
        <v/>
      </c>
      <c r="C181" s="21" t="n"/>
      <c r="D181" s="14" t="n"/>
      <c r="E181" s="14" t="n"/>
      <c r="F181" s="14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3">
        <f>IF($C181="","",N(L181)-N(M181))</f>
        <v/>
      </c>
      <c r="P181" s="24" t="n"/>
      <c r="Q181" s="23">
        <f>IF($C181="","",N(M181)+N(N181))</f>
        <v/>
      </c>
      <c r="R181" s="23">
        <f>IF($C181="","",N(J181)+N(Q181))</f>
        <v/>
      </c>
      <c r="S181" s="25">
        <f>IF(OR($C181="",N($G181)=0),"",R181/$G181)</f>
        <v/>
      </c>
      <c r="T181" s="23">
        <f>IF($C181="","",N($G181)-N(R181))</f>
        <v/>
      </c>
      <c r="U181" s="24" t="n"/>
      <c r="V181" s="22" t="n"/>
    </row>
    <row r="182">
      <c r="B182" s="13">
        <f>IF($C182="","",COUNTA($C$9:$C182))</f>
        <v/>
      </c>
      <c r="C182" s="21" t="n"/>
      <c r="D182" s="14" t="n"/>
      <c r="E182" s="14" t="n"/>
      <c r="F182" s="14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3">
        <f>IF($C182="","",N(L182)-N(M182))</f>
        <v/>
      </c>
      <c r="P182" s="24" t="n"/>
      <c r="Q182" s="23">
        <f>IF($C182="","",N(M182)+N(N182))</f>
        <v/>
      </c>
      <c r="R182" s="23">
        <f>IF($C182="","",N(J182)+N(Q182))</f>
        <v/>
      </c>
      <c r="S182" s="25">
        <f>IF(OR($C182="",N($G182)=0),"",R182/$G182)</f>
        <v/>
      </c>
      <c r="T182" s="23">
        <f>IF($C182="","",N($G182)-N(R182))</f>
        <v/>
      </c>
      <c r="U182" s="24" t="n"/>
      <c r="V182" s="22" t="n"/>
    </row>
    <row r="183">
      <c r="B183" s="13">
        <f>IF($C183="","",COUNTA($C$9:$C183))</f>
        <v/>
      </c>
      <c r="C183" s="21" t="n"/>
      <c r="D183" s="14" t="n"/>
      <c r="E183" s="14" t="n"/>
      <c r="F183" s="14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3">
        <f>IF($C183="","",N(L183)-N(M183))</f>
        <v/>
      </c>
      <c r="P183" s="24" t="n"/>
      <c r="Q183" s="23">
        <f>IF($C183="","",N(M183)+N(N183))</f>
        <v/>
      </c>
      <c r="R183" s="23">
        <f>IF($C183="","",N(J183)+N(Q183))</f>
        <v/>
      </c>
      <c r="S183" s="25">
        <f>IF(OR($C183="",N($G183)=0),"",R183/$G183)</f>
        <v/>
      </c>
      <c r="T183" s="23">
        <f>IF($C183="","",N($G183)-N(R183))</f>
        <v/>
      </c>
      <c r="U183" s="24" t="n"/>
      <c r="V183" s="22" t="n"/>
    </row>
    <row r="184">
      <c r="B184" s="13">
        <f>IF($C184="","",COUNTA($C$9:$C184))</f>
        <v/>
      </c>
      <c r="C184" s="21" t="n"/>
      <c r="D184" s="14" t="n"/>
      <c r="E184" s="14" t="n"/>
      <c r="F184" s="14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3">
        <f>IF($C184="","",N(L184)-N(M184))</f>
        <v/>
      </c>
      <c r="P184" s="24" t="n"/>
      <c r="Q184" s="23">
        <f>IF($C184="","",N(M184)+N(N184))</f>
        <v/>
      </c>
      <c r="R184" s="23">
        <f>IF($C184="","",N(J184)+N(Q184))</f>
        <v/>
      </c>
      <c r="S184" s="25">
        <f>IF(OR($C184="",N($G184)=0),"",R184/$G184)</f>
        <v/>
      </c>
      <c r="T184" s="23">
        <f>IF($C184="","",N($G184)-N(R184))</f>
        <v/>
      </c>
      <c r="U184" s="24" t="n"/>
      <c r="V184" s="22" t="n"/>
    </row>
    <row r="185">
      <c r="B185" s="13">
        <f>IF($C185="","",COUNTA($C$9:$C185))</f>
        <v/>
      </c>
      <c r="C185" s="21" t="n"/>
      <c r="D185" s="14" t="n"/>
      <c r="E185" s="14" t="n"/>
      <c r="F185" s="14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3">
        <f>IF($C185="","",N(L185)-N(M185))</f>
        <v/>
      </c>
      <c r="P185" s="24" t="n"/>
      <c r="Q185" s="23">
        <f>IF($C185="","",N(M185)+N(N185))</f>
        <v/>
      </c>
      <c r="R185" s="23">
        <f>IF($C185="","",N(J185)+N(Q185))</f>
        <v/>
      </c>
      <c r="S185" s="25">
        <f>IF(OR($C185="",N($G185)=0),"",R185/$G185)</f>
        <v/>
      </c>
      <c r="T185" s="23">
        <f>IF($C185="","",N($G185)-N(R185))</f>
        <v/>
      </c>
      <c r="U185" s="24" t="n"/>
      <c r="V185" s="22" t="n"/>
    </row>
    <row r="186">
      <c r="B186" s="13">
        <f>IF($C186="","",COUNTA($C$9:$C186))</f>
        <v/>
      </c>
      <c r="C186" s="21" t="n"/>
      <c r="D186" s="14" t="n"/>
      <c r="E186" s="14" t="n"/>
      <c r="F186" s="14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3">
        <f>IF($C186="","",N(L186)-N(M186))</f>
        <v/>
      </c>
      <c r="P186" s="24" t="n"/>
      <c r="Q186" s="23">
        <f>IF($C186="","",N(M186)+N(N186))</f>
        <v/>
      </c>
      <c r="R186" s="23">
        <f>IF($C186="","",N(J186)+N(Q186))</f>
        <v/>
      </c>
      <c r="S186" s="25">
        <f>IF(OR($C186="",N($G186)=0),"",R186/$G186)</f>
        <v/>
      </c>
      <c r="T186" s="23">
        <f>IF($C186="","",N($G186)-N(R186))</f>
        <v/>
      </c>
      <c r="U186" s="24" t="n"/>
      <c r="V186" s="22" t="n"/>
    </row>
    <row r="187">
      <c r="B187" s="13">
        <f>IF($C187="","",COUNTA($C$9:$C187))</f>
        <v/>
      </c>
      <c r="C187" s="21" t="n"/>
      <c r="D187" s="14" t="n"/>
      <c r="E187" s="14" t="n"/>
      <c r="F187" s="14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3">
        <f>IF($C187="","",N(L187)-N(M187))</f>
        <v/>
      </c>
      <c r="P187" s="24" t="n"/>
      <c r="Q187" s="23">
        <f>IF($C187="","",N(M187)+N(N187))</f>
        <v/>
      </c>
      <c r="R187" s="23">
        <f>IF($C187="","",N(J187)+N(Q187))</f>
        <v/>
      </c>
      <c r="S187" s="25">
        <f>IF(OR($C187="",N($G187)=0),"",R187/$G187)</f>
        <v/>
      </c>
      <c r="T187" s="23">
        <f>IF($C187="","",N($G187)-N(R187))</f>
        <v/>
      </c>
      <c r="U187" s="24" t="n"/>
      <c r="V187" s="22" t="n"/>
    </row>
    <row r="188">
      <c r="B188" s="13">
        <f>IF($C188="","",COUNTA($C$9:$C188))</f>
        <v/>
      </c>
      <c r="C188" s="21" t="n"/>
      <c r="D188" s="14" t="n"/>
      <c r="E188" s="14" t="n"/>
      <c r="F188" s="14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3">
        <f>IF($C188="","",N(L188)-N(M188))</f>
        <v/>
      </c>
      <c r="P188" s="24" t="n"/>
      <c r="Q188" s="23">
        <f>IF($C188="","",N(M188)+N(N188))</f>
        <v/>
      </c>
      <c r="R188" s="23">
        <f>IF($C188="","",N(J188)+N(Q188))</f>
        <v/>
      </c>
      <c r="S188" s="25">
        <f>IF(OR($C188="",N($G188)=0),"",R188/$G188)</f>
        <v/>
      </c>
      <c r="T188" s="23">
        <f>IF($C188="","",N($G188)-N(R188))</f>
        <v/>
      </c>
      <c r="U188" s="24" t="n"/>
      <c r="V188" s="22" t="n"/>
    </row>
    <row r="189">
      <c r="B189" s="13">
        <f>IF($C189="","",COUNTA($C$9:$C189))</f>
        <v/>
      </c>
      <c r="C189" s="21" t="n"/>
      <c r="D189" s="14" t="n"/>
      <c r="E189" s="14" t="n"/>
      <c r="F189" s="14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3">
        <f>IF($C189="","",N(L189)-N(M189))</f>
        <v/>
      </c>
      <c r="P189" s="24" t="n"/>
      <c r="Q189" s="23">
        <f>IF($C189="","",N(M189)+N(N189))</f>
        <v/>
      </c>
      <c r="R189" s="23">
        <f>IF($C189="","",N(J189)+N(Q189))</f>
        <v/>
      </c>
      <c r="S189" s="25">
        <f>IF(OR($C189="",N($G189)=0),"",R189/$G189)</f>
        <v/>
      </c>
      <c r="T189" s="23">
        <f>IF($C189="","",N($G189)-N(R189))</f>
        <v/>
      </c>
      <c r="U189" s="24" t="n"/>
      <c r="V189" s="22" t="n"/>
    </row>
    <row r="190">
      <c r="B190" s="13">
        <f>IF($C190="","",COUNTA($C$9:$C190))</f>
        <v/>
      </c>
      <c r="C190" s="21" t="n"/>
      <c r="D190" s="14" t="n"/>
      <c r="E190" s="14" t="n"/>
      <c r="F190" s="14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3">
        <f>IF($C190="","",N(L190)-N(M190))</f>
        <v/>
      </c>
      <c r="P190" s="24" t="n"/>
      <c r="Q190" s="23">
        <f>IF($C190="","",N(M190)+N(N190))</f>
        <v/>
      </c>
      <c r="R190" s="23">
        <f>IF($C190="","",N(J190)+N(Q190))</f>
        <v/>
      </c>
      <c r="S190" s="25">
        <f>IF(OR($C190="",N($G190)=0),"",R190/$G190)</f>
        <v/>
      </c>
      <c r="T190" s="23">
        <f>IF($C190="","",N($G190)-N(R190))</f>
        <v/>
      </c>
      <c r="U190" s="24" t="n"/>
      <c r="V190" s="22" t="n"/>
    </row>
    <row r="191">
      <c r="B191" s="13">
        <f>IF($C191="","",COUNTA($C$9:$C191))</f>
        <v/>
      </c>
      <c r="C191" s="21" t="n"/>
      <c r="D191" s="14" t="n"/>
      <c r="E191" s="14" t="n"/>
      <c r="F191" s="14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3">
        <f>IF($C191="","",N(L191)-N(M191))</f>
        <v/>
      </c>
      <c r="P191" s="24" t="n"/>
      <c r="Q191" s="23">
        <f>IF($C191="","",N(M191)+N(N191))</f>
        <v/>
      </c>
      <c r="R191" s="23">
        <f>IF($C191="","",N(J191)+N(Q191))</f>
        <v/>
      </c>
      <c r="S191" s="25">
        <f>IF(OR($C191="",N($G191)=0),"",R191/$G191)</f>
        <v/>
      </c>
      <c r="T191" s="23">
        <f>IF($C191="","",N($G191)-N(R191))</f>
        <v/>
      </c>
      <c r="U191" s="24" t="n"/>
      <c r="V191" s="22" t="n"/>
    </row>
    <row r="192">
      <c r="B192" s="13">
        <f>IF($C192="","",COUNTA($C$9:$C192))</f>
        <v/>
      </c>
      <c r="C192" s="21" t="n"/>
      <c r="D192" s="14" t="n"/>
      <c r="E192" s="14" t="n"/>
      <c r="F192" s="14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3">
        <f>IF($C192="","",N(L192)-N(M192))</f>
        <v/>
      </c>
      <c r="P192" s="24" t="n"/>
      <c r="Q192" s="23">
        <f>IF($C192="","",N(M192)+N(N192))</f>
        <v/>
      </c>
      <c r="R192" s="23">
        <f>IF($C192="","",N(J192)+N(Q192))</f>
        <v/>
      </c>
      <c r="S192" s="25">
        <f>IF(OR($C192="",N($G192)=0),"",R192/$G192)</f>
        <v/>
      </c>
      <c r="T192" s="23">
        <f>IF($C192="","",N($G192)-N(R192))</f>
        <v/>
      </c>
      <c r="U192" s="24" t="n"/>
      <c r="V192" s="22" t="n"/>
    </row>
    <row r="193">
      <c r="B193" s="13">
        <f>IF($C193="","",COUNTA($C$9:$C193))</f>
        <v/>
      </c>
      <c r="C193" s="21" t="n"/>
      <c r="D193" s="14" t="n"/>
      <c r="E193" s="14" t="n"/>
      <c r="F193" s="14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3">
        <f>IF($C193="","",N(L193)-N(M193))</f>
        <v/>
      </c>
      <c r="P193" s="24" t="n"/>
      <c r="Q193" s="23">
        <f>IF($C193="","",N(M193)+N(N193))</f>
        <v/>
      </c>
      <c r="R193" s="23">
        <f>IF($C193="","",N(J193)+N(Q193))</f>
        <v/>
      </c>
      <c r="S193" s="25">
        <f>IF(OR($C193="",N($G193)=0),"",R193/$G193)</f>
        <v/>
      </c>
      <c r="T193" s="23">
        <f>IF($C193="","",N($G193)-N(R193))</f>
        <v/>
      </c>
      <c r="U193" s="24" t="n"/>
      <c r="V193" s="22" t="n"/>
    </row>
    <row r="194">
      <c r="B194" s="13">
        <f>IF($C194="","",COUNTA($C$9:$C194))</f>
        <v/>
      </c>
      <c r="C194" s="21" t="n"/>
      <c r="D194" s="14" t="n"/>
      <c r="E194" s="14" t="n"/>
      <c r="F194" s="14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3">
        <f>IF($C194="","",N(L194)-N(M194))</f>
        <v/>
      </c>
      <c r="P194" s="24" t="n"/>
      <c r="Q194" s="23">
        <f>IF($C194="","",N(M194)+N(N194))</f>
        <v/>
      </c>
      <c r="R194" s="23">
        <f>IF($C194="","",N(J194)+N(Q194))</f>
        <v/>
      </c>
      <c r="S194" s="25">
        <f>IF(OR($C194="",N($G194)=0),"",R194/$G194)</f>
        <v/>
      </c>
      <c r="T194" s="23">
        <f>IF($C194="","",N($G194)-N(R194))</f>
        <v/>
      </c>
      <c r="U194" s="24" t="n"/>
      <c r="V194" s="22" t="n"/>
    </row>
    <row r="195">
      <c r="B195" s="13">
        <f>IF($C195="","",COUNTA($C$9:$C195))</f>
        <v/>
      </c>
      <c r="C195" s="21" t="n"/>
      <c r="D195" s="14" t="n"/>
      <c r="E195" s="14" t="n"/>
      <c r="F195" s="14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3">
        <f>IF($C195="","",N(L195)-N(M195))</f>
        <v/>
      </c>
      <c r="P195" s="24" t="n"/>
      <c r="Q195" s="23">
        <f>IF($C195="","",N(M195)+N(N195))</f>
        <v/>
      </c>
      <c r="R195" s="23">
        <f>IF($C195="","",N(J195)+N(Q195))</f>
        <v/>
      </c>
      <c r="S195" s="25">
        <f>IF(OR($C195="",N($G195)=0),"",R195/$G195)</f>
        <v/>
      </c>
      <c r="T195" s="23">
        <f>IF($C195="","",N($G195)-N(R195))</f>
        <v/>
      </c>
      <c r="U195" s="24" t="n"/>
      <c r="V195" s="22" t="n"/>
    </row>
    <row r="196">
      <c r="B196" s="13">
        <f>IF($C196="","",COUNTA($C$9:$C196))</f>
        <v/>
      </c>
      <c r="C196" s="21" t="n"/>
      <c r="D196" s="14" t="n"/>
      <c r="E196" s="14" t="n"/>
      <c r="F196" s="14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3">
        <f>IF($C196="","",N(L196)-N(M196))</f>
        <v/>
      </c>
      <c r="P196" s="24" t="n"/>
      <c r="Q196" s="23">
        <f>IF($C196="","",N(M196)+N(N196))</f>
        <v/>
      </c>
      <c r="R196" s="23">
        <f>IF($C196="","",N(J196)+N(Q196))</f>
        <v/>
      </c>
      <c r="S196" s="25">
        <f>IF(OR($C196="",N($G196)=0),"",R196/$G196)</f>
        <v/>
      </c>
      <c r="T196" s="23">
        <f>IF($C196="","",N($G196)-N(R196))</f>
        <v/>
      </c>
      <c r="U196" s="24" t="n"/>
      <c r="V196" s="22" t="n"/>
    </row>
    <row r="197">
      <c r="B197" s="13">
        <f>IF($C197="","",COUNTA($C$9:$C197))</f>
        <v/>
      </c>
      <c r="C197" s="21" t="n"/>
      <c r="D197" s="14" t="n"/>
      <c r="E197" s="14" t="n"/>
      <c r="F197" s="14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3">
        <f>IF($C197="","",N(L197)-N(M197))</f>
        <v/>
      </c>
      <c r="P197" s="24" t="n"/>
      <c r="Q197" s="23">
        <f>IF($C197="","",N(M197)+N(N197))</f>
        <v/>
      </c>
      <c r="R197" s="23">
        <f>IF($C197="","",N(J197)+N(Q197))</f>
        <v/>
      </c>
      <c r="S197" s="25">
        <f>IF(OR($C197="",N($G197)=0),"",R197/$G197)</f>
        <v/>
      </c>
      <c r="T197" s="23">
        <f>IF($C197="","",N($G197)-N(R197))</f>
        <v/>
      </c>
      <c r="U197" s="24" t="n"/>
      <c r="V197" s="22" t="n"/>
    </row>
    <row r="198">
      <c r="B198" s="13">
        <f>IF($C198="","",COUNTA($C$9:$C198))</f>
        <v/>
      </c>
      <c r="C198" s="21" t="n"/>
      <c r="D198" s="14" t="n"/>
      <c r="E198" s="14" t="n"/>
      <c r="F198" s="14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3">
        <f>IF($C198="","",N(L198)-N(M198))</f>
        <v/>
      </c>
      <c r="P198" s="24" t="n"/>
      <c r="Q198" s="23">
        <f>IF($C198="","",N(M198)+N(N198))</f>
        <v/>
      </c>
      <c r="R198" s="23">
        <f>IF($C198="","",N(J198)+N(Q198))</f>
        <v/>
      </c>
      <c r="S198" s="25">
        <f>IF(OR($C198="",N($G198)=0),"",R198/$G198)</f>
        <v/>
      </c>
      <c r="T198" s="23">
        <f>IF($C198="","",N($G198)-N(R198))</f>
        <v/>
      </c>
      <c r="U198" s="24" t="n"/>
      <c r="V198" s="22" t="n"/>
    </row>
    <row r="199">
      <c r="B199" s="13">
        <f>IF($C199="","",COUNTA($C$9:$C199))</f>
        <v/>
      </c>
      <c r="C199" s="21" t="n"/>
      <c r="D199" s="14" t="n"/>
      <c r="E199" s="14" t="n"/>
      <c r="F199" s="14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3">
        <f>IF($C199="","",N(L199)-N(M199))</f>
        <v/>
      </c>
      <c r="P199" s="24" t="n"/>
      <c r="Q199" s="23">
        <f>IF($C199="","",N(M199)+N(N199))</f>
        <v/>
      </c>
      <c r="R199" s="23">
        <f>IF($C199="","",N(J199)+N(Q199))</f>
        <v/>
      </c>
      <c r="S199" s="25">
        <f>IF(OR($C199="",N($G199)=0),"",R199/$G199)</f>
        <v/>
      </c>
      <c r="T199" s="23">
        <f>IF($C199="","",N($G199)-N(R199))</f>
        <v/>
      </c>
      <c r="U199" s="24" t="n"/>
      <c r="V199" s="22" t="n"/>
    </row>
    <row r="200">
      <c r="B200" s="13">
        <f>IF($C200="","",COUNTA($C$9:$C200))</f>
        <v/>
      </c>
      <c r="C200" s="21" t="n"/>
      <c r="D200" s="14" t="n"/>
      <c r="E200" s="14" t="n"/>
      <c r="F200" s="14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3">
        <f>IF($C200="","",N(L200)-N(M200))</f>
        <v/>
      </c>
      <c r="P200" s="24" t="n"/>
      <c r="Q200" s="23">
        <f>IF($C200="","",N(M200)+N(N200))</f>
        <v/>
      </c>
      <c r="R200" s="23">
        <f>IF($C200="","",N(J200)+N(Q200))</f>
        <v/>
      </c>
      <c r="S200" s="25">
        <f>IF(OR($C200="",N($G200)=0),"",R200/$G200)</f>
        <v/>
      </c>
      <c r="T200" s="23">
        <f>IF($C200="","",N($G200)-N(R200))</f>
        <v/>
      </c>
      <c r="U200" s="24" t="n"/>
      <c r="V200" s="22" t="n"/>
    </row>
    <row r="201">
      <c r="B201" s="13">
        <f>IF($C201="","",COUNTA($C$9:$C201))</f>
        <v/>
      </c>
      <c r="C201" s="21" t="n"/>
      <c r="D201" s="14" t="n"/>
      <c r="E201" s="14" t="n"/>
      <c r="F201" s="14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3">
        <f>IF($C201="","",N(L201)-N(M201))</f>
        <v/>
      </c>
      <c r="P201" s="24" t="n"/>
      <c r="Q201" s="23">
        <f>IF($C201="","",N(M201)+N(N201))</f>
        <v/>
      </c>
      <c r="R201" s="23">
        <f>IF($C201="","",N(J201)+N(Q201))</f>
        <v/>
      </c>
      <c r="S201" s="25">
        <f>IF(OR($C201="",N($G201)=0),"",R201/$G201)</f>
        <v/>
      </c>
      <c r="T201" s="23">
        <f>IF($C201="","",N($G201)-N(R201))</f>
        <v/>
      </c>
      <c r="U201" s="24" t="n"/>
      <c r="V201" s="22" t="n"/>
    </row>
    <row r="202">
      <c r="B202" s="13">
        <f>IF($C202="","",COUNTA($C$9:$C202))</f>
        <v/>
      </c>
      <c r="C202" s="21" t="n"/>
      <c r="D202" s="14" t="n"/>
      <c r="E202" s="14" t="n"/>
      <c r="F202" s="14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3">
        <f>IF($C202="","",N(L202)-N(M202))</f>
        <v/>
      </c>
      <c r="P202" s="24" t="n"/>
      <c r="Q202" s="23">
        <f>IF($C202="","",N(M202)+N(N202))</f>
        <v/>
      </c>
      <c r="R202" s="23">
        <f>IF($C202="","",N(J202)+N(Q202))</f>
        <v/>
      </c>
      <c r="S202" s="25">
        <f>IF(OR($C202="",N($G202)=0),"",R202/$G202)</f>
        <v/>
      </c>
      <c r="T202" s="23">
        <f>IF($C202="","",N($G202)-N(R202))</f>
        <v/>
      </c>
      <c r="U202" s="24" t="n"/>
      <c r="V202" s="22" t="n"/>
    </row>
    <row r="203">
      <c r="B203" s="13">
        <f>IF($C203="","",COUNTA($C$9:$C203))</f>
        <v/>
      </c>
      <c r="C203" s="21" t="n"/>
      <c r="D203" s="14" t="n"/>
      <c r="E203" s="14" t="n"/>
      <c r="F203" s="14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3">
        <f>IF($C203="","",N(L203)-N(M203))</f>
        <v/>
      </c>
      <c r="P203" s="24" t="n"/>
      <c r="Q203" s="23">
        <f>IF($C203="","",N(M203)+N(N203))</f>
        <v/>
      </c>
      <c r="R203" s="23">
        <f>IF($C203="","",N(J203)+N(Q203))</f>
        <v/>
      </c>
      <c r="S203" s="25">
        <f>IF(OR($C203="",N($G203)=0),"",R203/$G203)</f>
        <v/>
      </c>
      <c r="T203" s="23">
        <f>IF($C203="","",N($G203)-N(R203))</f>
        <v/>
      </c>
      <c r="U203" s="24" t="n"/>
      <c r="V203" s="22" t="n"/>
    </row>
    <row r="204">
      <c r="B204" s="13">
        <f>IF($C204="","",COUNTA($C$9:$C204))</f>
        <v/>
      </c>
      <c r="C204" s="21" t="n"/>
      <c r="D204" s="14" t="n"/>
      <c r="E204" s="14" t="n"/>
      <c r="F204" s="14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3">
        <f>IF($C204="","",N(L204)-N(M204))</f>
        <v/>
      </c>
      <c r="P204" s="24" t="n"/>
      <c r="Q204" s="23">
        <f>IF($C204="","",N(M204)+N(N204))</f>
        <v/>
      </c>
      <c r="R204" s="23">
        <f>IF($C204="","",N(J204)+N(Q204))</f>
        <v/>
      </c>
      <c r="S204" s="25">
        <f>IF(OR($C204="",N($G204)=0),"",R204/$G204)</f>
        <v/>
      </c>
      <c r="T204" s="23">
        <f>IF($C204="","",N($G204)-N(R204))</f>
        <v/>
      </c>
      <c r="U204" s="24" t="n"/>
      <c r="V204" s="22" t="n"/>
    </row>
    <row r="205">
      <c r="B205" s="13">
        <f>IF($C205="","",COUNTA($C$9:$C205))</f>
        <v/>
      </c>
      <c r="C205" s="21" t="n"/>
      <c r="D205" s="14" t="n"/>
      <c r="E205" s="14" t="n"/>
      <c r="F205" s="14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3">
        <f>IF($C205="","",N(L205)-N(M205))</f>
        <v/>
      </c>
      <c r="P205" s="24" t="n"/>
      <c r="Q205" s="23">
        <f>IF($C205="","",N(M205)+N(N205))</f>
        <v/>
      </c>
      <c r="R205" s="23">
        <f>IF($C205="","",N(J205)+N(Q205))</f>
        <v/>
      </c>
      <c r="S205" s="25">
        <f>IF(OR($C205="",N($G205)=0),"",R205/$G205)</f>
        <v/>
      </c>
      <c r="T205" s="23">
        <f>IF($C205="","",N($G205)-N(R205))</f>
        <v/>
      </c>
      <c r="U205" s="24" t="n"/>
      <c r="V205" s="22" t="n"/>
    </row>
    <row r="206">
      <c r="B206" s="13">
        <f>IF($C206="","",COUNTA($C$9:$C206))</f>
        <v/>
      </c>
      <c r="C206" s="21" t="n"/>
      <c r="D206" s="14" t="n"/>
      <c r="E206" s="14" t="n"/>
      <c r="F206" s="14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3">
        <f>IF($C206="","",N(L206)-N(M206))</f>
        <v/>
      </c>
      <c r="P206" s="24" t="n"/>
      <c r="Q206" s="23">
        <f>IF($C206="","",N(M206)+N(N206))</f>
        <v/>
      </c>
      <c r="R206" s="23">
        <f>IF($C206="","",N(J206)+N(Q206))</f>
        <v/>
      </c>
      <c r="S206" s="25">
        <f>IF(OR($C206="",N($G206)=0),"",R206/$G206)</f>
        <v/>
      </c>
      <c r="T206" s="23">
        <f>IF($C206="","",N($G206)-N(R206))</f>
        <v/>
      </c>
      <c r="U206" s="24" t="n"/>
      <c r="V206" s="22" t="n"/>
    </row>
    <row r="207">
      <c r="B207" s="13">
        <f>IF($C207="","",COUNTA($C$9:$C207))</f>
        <v/>
      </c>
      <c r="C207" s="21" t="n"/>
      <c r="D207" s="14" t="n"/>
      <c r="E207" s="14" t="n"/>
      <c r="F207" s="14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3">
        <f>IF($C207="","",N(L207)-N(M207))</f>
        <v/>
      </c>
      <c r="P207" s="24" t="n"/>
      <c r="Q207" s="23">
        <f>IF($C207="","",N(M207)+N(N207))</f>
        <v/>
      </c>
      <c r="R207" s="23">
        <f>IF($C207="","",N(J207)+N(Q207))</f>
        <v/>
      </c>
      <c r="S207" s="25">
        <f>IF(OR($C207="",N($G207)=0),"",R207/$G207)</f>
        <v/>
      </c>
      <c r="T207" s="23">
        <f>IF($C207="","",N($G207)-N(R207))</f>
        <v/>
      </c>
      <c r="U207" s="24" t="n"/>
      <c r="V207" s="22" t="n"/>
    </row>
    <row r="208">
      <c r="B208" s="13">
        <f>IF($C208="","",COUNTA($C$9:$C208))</f>
        <v/>
      </c>
      <c r="C208" s="21" t="n"/>
      <c r="D208" s="14" t="n"/>
      <c r="E208" s="14" t="n"/>
      <c r="F208" s="14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3">
        <f>IF($C208="","",N(L208)-N(M208))</f>
        <v/>
      </c>
      <c r="P208" s="24" t="n"/>
      <c r="Q208" s="23">
        <f>IF($C208="","",N(M208)+N(N208))</f>
        <v/>
      </c>
      <c r="R208" s="23">
        <f>IF($C208="","",N(J208)+N(Q208))</f>
        <v/>
      </c>
      <c r="S208" s="25">
        <f>IF(OR($C208="",N($G208)=0),"",R208/$G208)</f>
        <v/>
      </c>
      <c r="T208" s="23">
        <f>IF($C208="","",N($G208)-N(R208))</f>
        <v/>
      </c>
      <c r="U208" s="24" t="n"/>
      <c r="V208" s="22" t="n"/>
    </row>
    <row r="209">
      <c r="B209" s="13">
        <f>IF($C209="","",COUNTA($C$9:$C209))</f>
        <v/>
      </c>
      <c r="C209" s="21" t="n"/>
      <c r="D209" s="14" t="n"/>
      <c r="E209" s="14" t="n"/>
      <c r="F209" s="14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3">
        <f>IF($C209="","",N(L209)-N(M209))</f>
        <v/>
      </c>
      <c r="P209" s="24" t="n"/>
      <c r="Q209" s="23">
        <f>IF($C209="","",N(M209)+N(N209))</f>
        <v/>
      </c>
      <c r="R209" s="23">
        <f>IF($C209="","",N(J209)+N(Q209))</f>
        <v/>
      </c>
      <c r="S209" s="25">
        <f>IF(OR($C209="",N($G209)=0),"",R209/$G209)</f>
        <v/>
      </c>
      <c r="T209" s="23">
        <f>IF($C209="","",N($G209)-N(R209))</f>
        <v/>
      </c>
      <c r="U209" s="24" t="n"/>
      <c r="V209" s="22" t="n"/>
    </row>
    <row r="210">
      <c r="B210" s="13">
        <f>IF($C210="","",COUNTA($C$9:$C210))</f>
        <v/>
      </c>
      <c r="C210" s="21" t="n"/>
      <c r="D210" s="14" t="n"/>
      <c r="E210" s="14" t="n"/>
      <c r="F210" s="14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3">
        <f>IF($C210="","",N(L210)-N(M210))</f>
        <v/>
      </c>
      <c r="P210" s="24" t="n"/>
      <c r="Q210" s="23">
        <f>IF($C210="","",N(M210)+N(N210))</f>
        <v/>
      </c>
      <c r="R210" s="23">
        <f>IF($C210="","",N(J210)+N(Q210))</f>
        <v/>
      </c>
      <c r="S210" s="25">
        <f>IF(OR($C210="",N($G210)=0),"",R210/$G210)</f>
        <v/>
      </c>
      <c r="T210" s="23">
        <f>IF($C210="","",N($G210)-N(R210))</f>
        <v/>
      </c>
      <c r="U210" s="24" t="n"/>
      <c r="V210" s="22" t="n"/>
    </row>
    <row r="211">
      <c r="B211" s="13">
        <f>IF($C211="","",COUNTA($C$9:$C211))</f>
        <v/>
      </c>
      <c r="C211" s="21" t="n"/>
      <c r="D211" s="14" t="n"/>
      <c r="E211" s="14" t="n"/>
      <c r="F211" s="14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3">
        <f>IF($C211="","",N(L211)-N(M211))</f>
        <v/>
      </c>
      <c r="P211" s="24" t="n"/>
      <c r="Q211" s="23">
        <f>IF($C211="","",N(M211)+N(N211))</f>
        <v/>
      </c>
      <c r="R211" s="23">
        <f>IF($C211="","",N(J211)+N(Q211))</f>
        <v/>
      </c>
      <c r="S211" s="25">
        <f>IF(OR($C211="",N($G211)=0),"",R211/$G211)</f>
        <v/>
      </c>
      <c r="T211" s="23">
        <f>IF($C211="","",N($G211)-N(R211))</f>
        <v/>
      </c>
      <c r="U211" s="24" t="n"/>
      <c r="V211" s="22" t="n"/>
    </row>
    <row r="212">
      <c r="B212" s="13">
        <f>IF($C212="","",COUNTA($C$9:$C212))</f>
        <v/>
      </c>
      <c r="C212" s="21" t="n"/>
      <c r="D212" s="14" t="n"/>
      <c r="E212" s="14" t="n"/>
      <c r="F212" s="14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3">
        <f>IF($C212="","",N(L212)-N(M212))</f>
        <v/>
      </c>
      <c r="P212" s="24" t="n"/>
      <c r="Q212" s="23">
        <f>IF($C212="","",N(M212)+N(N212))</f>
        <v/>
      </c>
      <c r="R212" s="23">
        <f>IF($C212="","",N(J212)+N(Q212))</f>
        <v/>
      </c>
      <c r="S212" s="25">
        <f>IF(OR($C212="",N($G212)=0),"",R212/$G212)</f>
        <v/>
      </c>
      <c r="T212" s="23">
        <f>IF($C212="","",N($G212)-N(R212))</f>
        <v/>
      </c>
      <c r="U212" s="24" t="n"/>
      <c r="V212" s="22" t="n"/>
    </row>
    <row r="213">
      <c r="B213" s="13">
        <f>IF($C213="","",COUNTA($C$9:$C213))</f>
        <v/>
      </c>
      <c r="C213" s="21" t="n"/>
      <c r="D213" s="14" t="n"/>
      <c r="E213" s="14" t="n"/>
      <c r="F213" s="14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3">
        <f>IF($C213="","",N(L213)-N(M213))</f>
        <v/>
      </c>
      <c r="P213" s="24" t="n"/>
      <c r="Q213" s="23">
        <f>IF($C213="","",N(M213)+N(N213))</f>
        <v/>
      </c>
      <c r="R213" s="23">
        <f>IF($C213="","",N(J213)+N(Q213))</f>
        <v/>
      </c>
      <c r="S213" s="25">
        <f>IF(OR($C213="",N($G213)=0),"",R213/$G213)</f>
        <v/>
      </c>
      <c r="T213" s="23">
        <f>IF($C213="","",N($G213)-N(R213))</f>
        <v/>
      </c>
      <c r="U213" s="24" t="n"/>
      <c r="V213" s="22" t="n"/>
    </row>
    <row r="214">
      <c r="B214" s="13">
        <f>IF($C214="","",COUNTA($C$9:$C214))</f>
        <v/>
      </c>
      <c r="C214" s="21" t="n"/>
      <c r="D214" s="14" t="n"/>
      <c r="E214" s="14" t="n"/>
      <c r="F214" s="14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3">
        <f>IF($C214="","",N(L214)-N(M214))</f>
        <v/>
      </c>
      <c r="P214" s="24" t="n"/>
      <c r="Q214" s="23">
        <f>IF($C214="","",N(M214)+N(N214))</f>
        <v/>
      </c>
      <c r="R214" s="23">
        <f>IF($C214="","",N(J214)+N(Q214))</f>
        <v/>
      </c>
      <c r="S214" s="25">
        <f>IF(OR($C214="",N($G214)=0),"",R214/$G214)</f>
        <v/>
      </c>
      <c r="T214" s="23">
        <f>IF($C214="","",N($G214)-N(R214))</f>
        <v/>
      </c>
      <c r="U214" s="24" t="n"/>
      <c r="V214" s="22" t="n"/>
    </row>
    <row r="215">
      <c r="B215" s="13">
        <f>IF($C215="","",COUNTA($C$9:$C215))</f>
        <v/>
      </c>
      <c r="C215" s="21" t="n"/>
      <c r="D215" s="14" t="n"/>
      <c r="E215" s="14" t="n"/>
      <c r="F215" s="14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3">
        <f>IF($C215="","",N(L215)-N(M215))</f>
        <v/>
      </c>
      <c r="P215" s="24" t="n"/>
      <c r="Q215" s="23">
        <f>IF($C215="","",N(M215)+N(N215))</f>
        <v/>
      </c>
      <c r="R215" s="23">
        <f>IF($C215="","",N(J215)+N(Q215))</f>
        <v/>
      </c>
      <c r="S215" s="25">
        <f>IF(OR($C215="",N($G215)=0),"",R215/$G215)</f>
        <v/>
      </c>
      <c r="T215" s="23">
        <f>IF($C215="","",N($G215)-N(R215))</f>
        <v/>
      </c>
      <c r="U215" s="24" t="n"/>
      <c r="V215" s="22" t="n"/>
    </row>
    <row r="216">
      <c r="B216" s="13">
        <f>IF($C216="","",COUNTA($C$9:$C216))</f>
        <v/>
      </c>
      <c r="C216" s="21" t="n"/>
      <c r="D216" s="14" t="n"/>
      <c r="E216" s="14" t="n"/>
      <c r="F216" s="14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3">
        <f>IF($C216="","",N(L216)-N(M216))</f>
        <v/>
      </c>
      <c r="P216" s="24" t="n"/>
      <c r="Q216" s="23">
        <f>IF($C216="","",N(M216)+N(N216))</f>
        <v/>
      </c>
      <c r="R216" s="23">
        <f>IF($C216="","",N(J216)+N(Q216))</f>
        <v/>
      </c>
      <c r="S216" s="25">
        <f>IF(OR($C216="",N($G216)=0),"",R216/$G216)</f>
        <v/>
      </c>
      <c r="T216" s="23">
        <f>IF($C216="","",N($G216)-N(R216))</f>
        <v/>
      </c>
      <c r="U216" s="24" t="n"/>
      <c r="V216" s="22" t="n"/>
    </row>
    <row r="217">
      <c r="B217" s="13">
        <f>IF($C217="","",COUNTA($C$9:$C217))</f>
        <v/>
      </c>
      <c r="C217" s="21" t="n"/>
      <c r="D217" s="14" t="n"/>
      <c r="E217" s="14" t="n"/>
      <c r="F217" s="14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3">
        <f>IF($C217="","",N(L217)-N(M217))</f>
        <v/>
      </c>
      <c r="P217" s="24" t="n"/>
      <c r="Q217" s="23">
        <f>IF($C217="","",N(M217)+N(N217))</f>
        <v/>
      </c>
      <c r="R217" s="23">
        <f>IF($C217="","",N(J217)+N(Q217))</f>
        <v/>
      </c>
      <c r="S217" s="25">
        <f>IF(OR($C217="",N($G217)=0),"",R217/$G217)</f>
        <v/>
      </c>
      <c r="T217" s="23">
        <f>IF($C217="","",N($G217)-N(R217))</f>
        <v/>
      </c>
      <c r="U217" s="24" t="n"/>
      <c r="V217" s="22" t="n"/>
    </row>
    <row r="218">
      <c r="B218" s="13">
        <f>IF($C218="","",COUNTA($C$9:$C218))</f>
        <v/>
      </c>
      <c r="C218" s="21" t="n"/>
      <c r="D218" s="14" t="n"/>
      <c r="E218" s="14" t="n"/>
      <c r="F218" s="14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3">
        <f>IF($C218="","",N(L218)-N(M218))</f>
        <v/>
      </c>
      <c r="P218" s="24" t="n"/>
      <c r="Q218" s="23">
        <f>IF($C218="","",N(M218)+N(N218))</f>
        <v/>
      </c>
      <c r="R218" s="23">
        <f>IF($C218="","",N(J218)+N(Q218))</f>
        <v/>
      </c>
      <c r="S218" s="25">
        <f>IF(OR($C218="",N($G218)=0),"",R218/$G218)</f>
        <v/>
      </c>
      <c r="T218" s="23">
        <f>IF($C218="","",N($G218)-N(R218))</f>
        <v/>
      </c>
      <c r="U218" s="24" t="n"/>
      <c r="V218" s="22" t="n"/>
    </row>
    <row r="219">
      <c r="B219" s="13">
        <f>IF($C219="","",COUNTA($C$9:$C219))</f>
        <v/>
      </c>
      <c r="C219" s="21" t="n"/>
      <c r="D219" s="14" t="n"/>
      <c r="E219" s="14" t="n"/>
      <c r="F219" s="14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3">
        <f>IF($C219="","",N(L219)-N(M219))</f>
        <v/>
      </c>
      <c r="P219" s="24" t="n"/>
      <c r="Q219" s="23">
        <f>IF($C219="","",N(M219)+N(N219))</f>
        <v/>
      </c>
      <c r="R219" s="23">
        <f>IF($C219="","",N(J219)+N(Q219))</f>
        <v/>
      </c>
      <c r="S219" s="25">
        <f>IF(OR($C219="",N($G219)=0),"",R219/$G219)</f>
        <v/>
      </c>
      <c r="T219" s="23">
        <f>IF($C219="","",N($G219)-N(R219))</f>
        <v/>
      </c>
      <c r="U219" s="24" t="n"/>
      <c r="V219" s="22" t="n"/>
    </row>
    <row r="220">
      <c r="B220" s="13">
        <f>IF($C220="","",COUNTA($C$9:$C220))</f>
        <v/>
      </c>
      <c r="C220" s="21" t="n"/>
      <c r="D220" s="14" t="n"/>
      <c r="E220" s="14" t="n"/>
      <c r="F220" s="14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3">
        <f>IF($C220="","",N(L220)-N(M220))</f>
        <v/>
      </c>
      <c r="P220" s="24" t="n"/>
      <c r="Q220" s="23">
        <f>IF($C220="","",N(M220)+N(N220))</f>
        <v/>
      </c>
      <c r="R220" s="23">
        <f>IF($C220="","",N(J220)+N(Q220))</f>
        <v/>
      </c>
      <c r="S220" s="25">
        <f>IF(OR($C220="",N($G220)=0),"",R220/$G220)</f>
        <v/>
      </c>
      <c r="T220" s="23">
        <f>IF($C220="","",N($G220)-N(R220))</f>
        <v/>
      </c>
      <c r="U220" s="24" t="n"/>
      <c r="V220" s="22" t="n"/>
    </row>
    <row r="221">
      <c r="B221" s="13">
        <f>IF($C221="","",COUNTA($C$9:$C221))</f>
        <v/>
      </c>
      <c r="C221" s="21" t="n"/>
      <c r="D221" s="14" t="n"/>
      <c r="E221" s="14" t="n"/>
      <c r="F221" s="14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3">
        <f>IF($C221="","",N(L221)-N(M221))</f>
        <v/>
      </c>
      <c r="P221" s="24" t="n"/>
      <c r="Q221" s="23">
        <f>IF($C221="","",N(M221)+N(N221))</f>
        <v/>
      </c>
      <c r="R221" s="23">
        <f>IF($C221="","",N(J221)+N(Q221))</f>
        <v/>
      </c>
      <c r="S221" s="25">
        <f>IF(OR($C221="",N($G221)=0),"",R221/$G221)</f>
        <v/>
      </c>
      <c r="T221" s="23">
        <f>IF($C221="","",N($G221)-N(R221))</f>
        <v/>
      </c>
      <c r="U221" s="24" t="n"/>
      <c r="V221" s="22" t="n"/>
    </row>
    <row r="222">
      <c r="B222" s="13">
        <f>IF($C222="","",COUNTA($C$9:$C222))</f>
        <v/>
      </c>
      <c r="C222" s="21" t="n"/>
      <c r="D222" s="14" t="n"/>
      <c r="E222" s="14" t="n"/>
      <c r="F222" s="14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3">
        <f>IF($C222="","",N(L222)-N(M222))</f>
        <v/>
      </c>
      <c r="P222" s="24" t="n"/>
      <c r="Q222" s="23">
        <f>IF($C222="","",N(M222)+N(N222))</f>
        <v/>
      </c>
      <c r="R222" s="23">
        <f>IF($C222="","",N(J222)+N(Q222))</f>
        <v/>
      </c>
      <c r="S222" s="25">
        <f>IF(OR($C222="",N($G222)=0),"",R222/$G222)</f>
        <v/>
      </c>
      <c r="T222" s="23">
        <f>IF($C222="","",N($G222)-N(R222))</f>
        <v/>
      </c>
      <c r="U222" s="24" t="n"/>
      <c r="V222" s="22" t="n"/>
    </row>
    <row r="223">
      <c r="B223" s="13">
        <f>IF($C223="","",COUNTA($C$9:$C223))</f>
        <v/>
      </c>
      <c r="C223" s="21" t="n"/>
      <c r="D223" s="14" t="n"/>
      <c r="E223" s="14" t="n"/>
      <c r="F223" s="14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3">
        <f>IF($C223="","",N(L223)-N(M223))</f>
        <v/>
      </c>
      <c r="P223" s="24" t="n"/>
      <c r="Q223" s="23">
        <f>IF($C223="","",N(M223)+N(N223))</f>
        <v/>
      </c>
      <c r="R223" s="23">
        <f>IF($C223="","",N(J223)+N(Q223))</f>
        <v/>
      </c>
      <c r="S223" s="25">
        <f>IF(OR($C223="",N($G223)=0),"",R223/$G223)</f>
        <v/>
      </c>
      <c r="T223" s="23">
        <f>IF($C223="","",N($G223)-N(R223))</f>
        <v/>
      </c>
      <c r="U223" s="24" t="n"/>
      <c r="V223" s="22" t="n"/>
    </row>
    <row r="224">
      <c r="B224" s="13">
        <f>IF($C224="","",COUNTA($C$9:$C224))</f>
        <v/>
      </c>
      <c r="C224" s="21" t="n"/>
      <c r="D224" s="14" t="n"/>
      <c r="E224" s="14" t="n"/>
      <c r="F224" s="14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3">
        <f>IF($C224="","",N(L224)-N(M224))</f>
        <v/>
      </c>
      <c r="P224" s="24" t="n"/>
      <c r="Q224" s="23">
        <f>IF($C224="","",N(M224)+N(N224))</f>
        <v/>
      </c>
      <c r="R224" s="23">
        <f>IF($C224="","",N(J224)+N(Q224))</f>
        <v/>
      </c>
      <c r="S224" s="25">
        <f>IF(OR($C224="",N($G224)=0),"",R224/$G224)</f>
        <v/>
      </c>
      <c r="T224" s="23">
        <f>IF($C224="","",N($G224)-N(R224))</f>
        <v/>
      </c>
      <c r="U224" s="24" t="n"/>
      <c r="V224" s="22" t="n"/>
    </row>
    <row r="225">
      <c r="B225" s="13">
        <f>IF($C225="","",COUNTA($C$9:$C225))</f>
        <v/>
      </c>
      <c r="C225" s="21" t="n"/>
      <c r="D225" s="14" t="n"/>
      <c r="E225" s="14" t="n"/>
      <c r="F225" s="14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3">
        <f>IF($C225="","",N(L225)-N(M225))</f>
        <v/>
      </c>
      <c r="P225" s="24" t="n"/>
      <c r="Q225" s="23">
        <f>IF($C225="","",N(M225)+N(N225))</f>
        <v/>
      </c>
      <c r="R225" s="23">
        <f>IF($C225="","",N(J225)+N(Q225))</f>
        <v/>
      </c>
      <c r="S225" s="25">
        <f>IF(OR($C225="",N($G225)=0),"",R225/$G225)</f>
        <v/>
      </c>
      <c r="T225" s="23">
        <f>IF($C225="","",N($G225)-N(R225))</f>
        <v/>
      </c>
      <c r="U225" s="24" t="n"/>
      <c r="V225" s="22" t="n"/>
    </row>
    <row r="226">
      <c r="B226" s="13">
        <f>IF($C226="","",COUNTA($C$9:$C226))</f>
        <v/>
      </c>
      <c r="C226" s="21" t="n"/>
      <c r="D226" s="14" t="n"/>
      <c r="E226" s="14" t="n"/>
      <c r="F226" s="14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3">
        <f>IF($C226="","",N(L226)-N(M226))</f>
        <v/>
      </c>
      <c r="P226" s="24" t="n"/>
      <c r="Q226" s="23">
        <f>IF($C226="","",N(M226)+N(N226))</f>
        <v/>
      </c>
      <c r="R226" s="23">
        <f>IF($C226="","",N(J226)+N(Q226))</f>
        <v/>
      </c>
      <c r="S226" s="25">
        <f>IF(OR($C226="",N($G226)=0),"",R226/$G226)</f>
        <v/>
      </c>
      <c r="T226" s="23">
        <f>IF($C226="","",N($G226)-N(R226))</f>
        <v/>
      </c>
      <c r="U226" s="24" t="n"/>
      <c r="V226" s="22" t="n"/>
    </row>
    <row r="227">
      <c r="B227" s="13">
        <f>IF($C227="","",COUNTA($C$9:$C227))</f>
        <v/>
      </c>
      <c r="C227" s="21" t="n"/>
      <c r="D227" s="14" t="n"/>
      <c r="E227" s="14" t="n"/>
      <c r="F227" s="14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3">
        <f>IF($C227="","",N(L227)-N(M227))</f>
        <v/>
      </c>
      <c r="P227" s="24" t="n"/>
      <c r="Q227" s="23">
        <f>IF($C227="","",N(M227)+N(N227))</f>
        <v/>
      </c>
      <c r="R227" s="23">
        <f>IF($C227="","",N(J227)+N(Q227))</f>
        <v/>
      </c>
      <c r="S227" s="25">
        <f>IF(OR($C227="",N($G227)=0),"",R227/$G227)</f>
        <v/>
      </c>
      <c r="T227" s="23">
        <f>IF($C227="","",N($G227)-N(R227))</f>
        <v/>
      </c>
      <c r="U227" s="24" t="n"/>
      <c r="V227" s="22" t="n"/>
    </row>
    <row r="228">
      <c r="B228" s="13">
        <f>IF($C228="","",COUNTA($C$9:$C228))</f>
        <v/>
      </c>
      <c r="C228" s="21" t="n"/>
      <c r="D228" s="14" t="n"/>
      <c r="E228" s="14" t="n"/>
      <c r="F228" s="14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3">
        <f>IF($C228="","",N(L228)-N(M228))</f>
        <v/>
      </c>
      <c r="P228" s="24" t="n"/>
      <c r="Q228" s="23">
        <f>IF($C228="","",N(M228)+N(N228))</f>
        <v/>
      </c>
      <c r="R228" s="23">
        <f>IF($C228="","",N(J228)+N(Q228))</f>
        <v/>
      </c>
      <c r="S228" s="25">
        <f>IF(OR($C228="",N($G228)=0),"",R228/$G228)</f>
        <v/>
      </c>
      <c r="T228" s="23">
        <f>IF($C228="","",N($G228)-N(R228))</f>
        <v/>
      </c>
      <c r="U228" s="24" t="n"/>
      <c r="V228" s="22" t="n"/>
    </row>
    <row r="229">
      <c r="B229" s="13">
        <f>IF($C229="","",COUNTA($C$9:$C229))</f>
        <v/>
      </c>
      <c r="C229" s="21" t="n"/>
      <c r="D229" s="14" t="n"/>
      <c r="E229" s="14" t="n"/>
      <c r="F229" s="14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3">
        <f>IF($C229="","",N(L229)-N(M229))</f>
        <v/>
      </c>
      <c r="P229" s="24" t="n"/>
      <c r="Q229" s="23">
        <f>IF($C229="","",N(M229)+N(N229))</f>
        <v/>
      </c>
      <c r="R229" s="23">
        <f>IF($C229="","",N(J229)+N(Q229))</f>
        <v/>
      </c>
      <c r="S229" s="25">
        <f>IF(OR($C229="",N($G229)=0),"",R229/$G229)</f>
        <v/>
      </c>
      <c r="T229" s="23">
        <f>IF($C229="","",N($G229)-N(R229))</f>
        <v/>
      </c>
      <c r="U229" s="24" t="n"/>
      <c r="V229" s="22" t="n"/>
    </row>
    <row r="230">
      <c r="B230" s="13">
        <f>IF($C230="","",COUNTA($C$9:$C230))</f>
        <v/>
      </c>
      <c r="C230" s="21" t="n"/>
      <c r="D230" s="14" t="n"/>
      <c r="E230" s="14" t="n"/>
      <c r="F230" s="14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3">
        <f>IF($C230="","",N(L230)-N(M230))</f>
        <v/>
      </c>
      <c r="P230" s="24" t="n"/>
      <c r="Q230" s="23">
        <f>IF($C230="","",N(M230)+N(N230))</f>
        <v/>
      </c>
      <c r="R230" s="23">
        <f>IF($C230="","",N(J230)+N(Q230))</f>
        <v/>
      </c>
      <c r="S230" s="25">
        <f>IF(OR($C230="",N($G230)=0),"",R230/$G230)</f>
        <v/>
      </c>
      <c r="T230" s="23">
        <f>IF($C230="","",N($G230)-N(R230))</f>
        <v/>
      </c>
      <c r="U230" s="24" t="n"/>
      <c r="V230" s="22" t="n"/>
    </row>
    <row r="231">
      <c r="B231" s="13">
        <f>IF($C231="","",COUNTA($C$9:$C231))</f>
        <v/>
      </c>
      <c r="C231" s="21" t="n"/>
      <c r="D231" s="14" t="n"/>
      <c r="E231" s="14" t="n"/>
      <c r="F231" s="14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3">
        <f>IF($C231="","",N(L231)-N(M231))</f>
        <v/>
      </c>
      <c r="P231" s="24" t="n"/>
      <c r="Q231" s="23">
        <f>IF($C231="","",N(M231)+N(N231))</f>
        <v/>
      </c>
      <c r="R231" s="23">
        <f>IF($C231="","",N(J231)+N(Q231))</f>
        <v/>
      </c>
      <c r="S231" s="25">
        <f>IF(OR($C231="",N($G231)=0),"",R231/$G231)</f>
        <v/>
      </c>
      <c r="T231" s="23">
        <f>IF($C231="","",N($G231)-N(R231))</f>
        <v/>
      </c>
      <c r="U231" s="24" t="n"/>
      <c r="V231" s="22" t="n"/>
    </row>
    <row r="232">
      <c r="B232" s="13">
        <f>IF($C232="","",COUNTA($C$9:$C232))</f>
        <v/>
      </c>
      <c r="C232" s="21" t="n"/>
      <c r="D232" s="14" t="n"/>
      <c r="E232" s="14" t="n"/>
      <c r="F232" s="14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3">
        <f>IF($C232="","",N(L232)-N(M232))</f>
        <v/>
      </c>
      <c r="P232" s="24" t="n"/>
      <c r="Q232" s="23">
        <f>IF($C232="","",N(M232)+N(N232))</f>
        <v/>
      </c>
      <c r="R232" s="23">
        <f>IF($C232="","",N(J232)+N(Q232))</f>
        <v/>
      </c>
      <c r="S232" s="25">
        <f>IF(OR($C232="",N($G232)=0),"",R232/$G232)</f>
        <v/>
      </c>
      <c r="T232" s="23">
        <f>IF($C232="","",N($G232)-N(R232))</f>
        <v/>
      </c>
      <c r="U232" s="24" t="n"/>
      <c r="V232" s="22" t="n"/>
    </row>
    <row r="233">
      <c r="B233" s="13">
        <f>IF($C233="","",COUNTA($C$9:$C233))</f>
        <v/>
      </c>
      <c r="C233" s="21" t="n"/>
      <c r="D233" s="14" t="n"/>
      <c r="E233" s="14" t="n"/>
      <c r="F233" s="14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3">
        <f>IF($C233="","",N(L233)-N(M233))</f>
        <v/>
      </c>
      <c r="P233" s="24" t="n"/>
      <c r="Q233" s="23">
        <f>IF($C233="","",N(M233)+N(N233))</f>
        <v/>
      </c>
      <c r="R233" s="23">
        <f>IF($C233="","",N(J233)+N(Q233))</f>
        <v/>
      </c>
      <c r="S233" s="25">
        <f>IF(OR($C233="",N($G233)=0),"",R233/$G233)</f>
        <v/>
      </c>
      <c r="T233" s="23">
        <f>IF($C233="","",N($G233)-N(R233))</f>
        <v/>
      </c>
      <c r="U233" s="24" t="n"/>
      <c r="V233" s="22" t="n"/>
    </row>
    <row r="234">
      <c r="B234" s="13">
        <f>IF($C234="","",COUNTA($C$9:$C234))</f>
        <v/>
      </c>
      <c r="C234" s="21" t="n"/>
      <c r="D234" s="14" t="n"/>
      <c r="E234" s="14" t="n"/>
      <c r="F234" s="14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3">
        <f>IF($C234="","",N(L234)-N(M234))</f>
        <v/>
      </c>
      <c r="P234" s="24" t="n"/>
      <c r="Q234" s="23">
        <f>IF($C234="","",N(M234)+N(N234))</f>
        <v/>
      </c>
      <c r="R234" s="23">
        <f>IF($C234="","",N(J234)+N(Q234))</f>
        <v/>
      </c>
      <c r="S234" s="25">
        <f>IF(OR($C234="",N($G234)=0),"",R234/$G234)</f>
        <v/>
      </c>
      <c r="T234" s="23">
        <f>IF($C234="","",N($G234)-N(R234))</f>
        <v/>
      </c>
      <c r="U234" s="24" t="n"/>
      <c r="V234" s="22" t="n"/>
    </row>
    <row r="235">
      <c r="B235" s="13">
        <f>IF($C235="","",COUNTA($C$9:$C235))</f>
        <v/>
      </c>
      <c r="C235" s="21" t="n"/>
      <c r="D235" s="14" t="n"/>
      <c r="E235" s="14" t="n"/>
      <c r="F235" s="14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3">
        <f>IF($C235="","",N(L235)-N(M235))</f>
        <v/>
      </c>
      <c r="P235" s="24" t="n"/>
      <c r="Q235" s="23">
        <f>IF($C235="","",N(M235)+N(N235))</f>
        <v/>
      </c>
      <c r="R235" s="23">
        <f>IF($C235="","",N(J235)+N(Q235))</f>
        <v/>
      </c>
      <c r="S235" s="25">
        <f>IF(OR($C235="",N($G235)=0),"",R235/$G235)</f>
        <v/>
      </c>
      <c r="T235" s="23">
        <f>IF($C235="","",N($G235)-N(R235))</f>
        <v/>
      </c>
      <c r="U235" s="24" t="n"/>
      <c r="V235" s="22" t="n"/>
    </row>
    <row r="236">
      <c r="B236" s="13">
        <f>IF($C236="","",COUNTA($C$9:$C236))</f>
        <v/>
      </c>
      <c r="C236" s="21" t="n"/>
      <c r="D236" s="14" t="n"/>
      <c r="E236" s="14" t="n"/>
      <c r="F236" s="14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3">
        <f>IF($C236="","",N(L236)-N(M236))</f>
        <v/>
      </c>
      <c r="P236" s="24" t="n"/>
      <c r="Q236" s="23">
        <f>IF($C236="","",N(M236)+N(N236))</f>
        <v/>
      </c>
      <c r="R236" s="23">
        <f>IF($C236="","",N(J236)+N(Q236))</f>
        <v/>
      </c>
      <c r="S236" s="25">
        <f>IF(OR($C236="",N($G236)=0),"",R236/$G236)</f>
        <v/>
      </c>
      <c r="T236" s="23">
        <f>IF($C236="","",N($G236)-N(R236))</f>
        <v/>
      </c>
      <c r="U236" s="24" t="n"/>
      <c r="V236" s="22" t="n"/>
    </row>
    <row r="237">
      <c r="B237" s="13">
        <f>IF($C237="","",COUNTA($C$9:$C237))</f>
        <v/>
      </c>
      <c r="C237" s="21" t="n"/>
      <c r="D237" s="14" t="n"/>
      <c r="E237" s="14" t="n"/>
      <c r="F237" s="14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3">
        <f>IF($C237="","",N(L237)-N(M237))</f>
        <v/>
      </c>
      <c r="P237" s="24" t="n"/>
      <c r="Q237" s="23">
        <f>IF($C237="","",N(M237)+N(N237))</f>
        <v/>
      </c>
      <c r="R237" s="23">
        <f>IF($C237="","",N(J237)+N(Q237))</f>
        <v/>
      </c>
      <c r="S237" s="25">
        <f>IF(OR($C237="",N($G237)=0),"",R237/$G237)</f>
        <v/>
      </c>
      <c r="T237" s="23">
        <f>IF($C237="","",N($G237)-N(R237))</f>
        <v/>
      </c>
      <c r="U237" s="24" t="n"/>
      <c r="V237" s="22" t="n"/>
    </row>
    <row r="238">
      <c r="B238" s="13">
        <f>IF($C238="","",COUNTA($C$9:$C238))</f>
        <v/>
      </c>
      <c r="C238" s="21" t="n"/>
      <c r="D238" s="14" t="n"/>
      <c r="E238" s="14" t="n"/>
      <c r="F238" s="14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3">
        <f>IF($C238="","",N(L238)-N(M238))</f>
        <v/>
      </c>
      <c r="P238" s="24" t="n"/>
      <c r="Q238" s="23">
        <f>IF($C238="","",N(M238)+N(N238))</f>
        <v/>
      </c>
      <c r="R238" s="23">
        <f>IF($C238="","",N(J238)+N(Q238))</f>
        <v/>
      </c>
      <c r="S238" s="25">
        <f>IF(OR($C238="",N($G238)=0),"",R238/$G238)</f>
        <v/>
      </c>
      <c r="T238" s="23">
        <f>IF($C238="","",N($G238)-N(R238))</f>
        <v/>
      </c>
      <c r="U238" s="24" t="n"/>
      <c r="V238" s="22" t="n"/>
    </row>
    <row r="239">
      <c r="B239" s="13">
        <f>IF($C239="","",COUNTA($C$9:$C239))</f>
        <v/>
      </c>
      <c r="C239" s="21" t="n"/>
      <c r="D239" s="14" t="n"/>
      <c r="E239" s="14" t="n"/>
      <c r="F239" s="14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3">
        <f>IF($C239="","",N(L239)-N(M239))</f>
        <v/>
      </c>
      <c r="P239" s="24" t="n"/>
      <c r="Q239" s="23">
        <f>IF($C239="","",N(M239)+N(N239))</f>
        <v/>
      </c>
      <c r="R239" s="23">
        <f>IF($C239="","",N(J239)+N(Q239))</f>
        <v/>
      </c>
      <c r="S239" s="25">
        <f>IF(OR($C239="",N($G239)=0),"",R239/$G239)</f>
        <v/>
      </c>
      <c r="T239" s="23">
        <f>IF($C239="","",N($G239)-N(R239))</f>
        <v/>
      </c>
      <c r="U239" s="24" t="n"/>
      <c r="V239" s="22" t="n"/>
    </row>
    <row r="240">
      <c r="B240" s="13">
        <f>IF($C240="","",COUNTA($C$9:$C240))</f>
        <v/>
      </c>
      <c r="C240" s="21" t="n"/>
      <c r="D240" s="14" t="n"/>
      <c r="E240" s="14" t="n"/>
      <c r="F240" s="14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3">
        <f>IF($C240="","",N(L240)-N(M240))</f>
        <v/>
      </c>
      <c r="P240" s="24" t="n"/>
      <c r="Q240" s="23">
        <f>IF($C240="","",N(M240)+N(N240))</f>
        <v/>
      </c>
      <c r="R240" s="23">
        <f>IF($C240="","",N(J240)+N(Q240))</f>
        <v/>
      </c>
      <c r="S240" s="25">
        <f>IF(OR($C240="",N($G240)=0),"",R240/$G240)</f>
        <v/>
      </c>
      <c r="T240" s="23">
        <f>IF($C240="","",N($G240)-N(R240))</f>
        <v/>
      </c>
      <c r="U240" s="24" t="n"/>
      <c r="V240" s="22" t="n"/>
    </row>
    <row r="241">
      <c r="B241" s="13">
        <f>IF($C241="","",COUNTA($C$9:$C241))</f>
        <v/>
      </c>
      <c r="C241" s="21" t="n"/>
      <c r="D241" s="14" t="n"/>
      <c r="E241" s="14" t="n"/>
      <c r="F241" s="14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3">
        <f>IF($C241="","",N(L241)-N(M241))</f>
        <v/>
      </c>
      <c r="P241" s="24" t="n"/>
      <c r="Q241" s="23">
        <f>IF($C241="","",N(M241)+N(N241))</f>
        <v/>
      </c>
      <c r="R241" s="23">
        <f>IF($C241="","",N(J241)+N(Q241))</f>
        <v/>
      </c>
      <c r="S241" s="25">
        <f>IF(OR($C241="",N($G241)=0),"",R241/$G241)</f>
        <v/>
      </c>
      <c r="T241" s="23">
        <f>IF($C241="","",N($G241)-N(R241))</f>
        <v/>
      </c>
      <c r="U241" s="24" t="n"/>
      <c r="V241" s="22" t="n"/>
    </row>
    <row r="242">
      <c r="B242" s="13">
        <f>IF($C242="","",COUNTA($C$9:$C242))</f>
        <v/>
      </c>
      <c r="C242" s="21" t="n"/>
      <c r="D242" s="14" t="n"/>
      <c r="E242" s="14" t="n"/>
      <c r="F242" s="14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3">
        <f>IF($C242="","",N(L242)-N(M242))</f>
        <v/>
      </c>
      <c r="P242" s="24" t="n"/>
      <c r="Q242" s="23">
        <f>IF($C242="","",N(M242)+N(N242))</f>
        <v/>
      </c>
      <c r="R242" s="23">
        <f>IF($C242="","",N(J242)+N(Q242))</f>
        <v/>
      </c>
      <c r="S242" s="25">
        <f>IF(OR($C242="",N($G242)=0),"",R242/$G242)</f>
        <v/>
      </c>
      <c r="T242" s="23">
        <f>IF($C242="","",N($G242)-N(R242))</f>
        <v/>
      </c>
      <c r="U242" s="24" t="n"/>
      <c r="V242" s="22" t="n"/>
    </row>
    <row r="243">
      <c r="B243" s="13">
        <f>IF($C243="","",COUNTA($C$9:$C243))</f>
        <v/>
      </c>
      <c r="C243" s="21" t="n"/>
      <c r="D243" s="14" t="n"/>
      <c r="E243" s="14" t="n"/>
      <c r="F243" s="14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3">
        <f>IF($C243="","",N(L243)-N(M243))</f>
        <v/>
      </c>
      <c r="P243" s="24" t="n"/>
      <c r="Q243" s="23">
        <f>IF($C243="","",N(M243)+N(N243))</f>
        <v/>
      </c>
      <c r="R243" s="23">
        <f>IF($C243="","",N(J243)+N(Q243))</f>
        <v/>
      </c>
      <c r="S243" s="25">
        <f>IF(OR($C243="",N($G243)=0),"",R243/$G243)</f>
        <v/>
      </c>
      <c r="T243" s="23">
        <f>IF($C243="","",N($G243)-N(R243))</f>
        <v/>
      </c>
      <c r="U243" s="24" t="n"/>
      <c r="V243" s="22" t="n"/>
    </row>
    <row r="244">
      <c r="B244" s="13">
        <f>IF($C244="","",COUNTA($C$9:$C244))</f>
        <v/>
      </c>
      <c r="C244" s="21" t="n"/>
      <c r="D244" s="14" t="n"/>
      <c r="E244" s="14" t="n"/>
      <c r="F244" s="14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3">
        <f>IF($C244="","",N(L244)-N(M244))</f>
        <v/>
      </c>
      <c r="P244" s="24" t="n"/>
      <c r="Q244" s="23">
        <f>IF($C244="","",N(M244)+N(N244))</f>
        <v/>
      </c>
      <c r="R244" s="23">
        <f>IF($C244="","",N(J244)+N(Q244))</f>
        <v/>
      </c>
      <c r="S244" s="25">
        <f>IF(OR($C244="",N($G244)=0),"",R244/$G244)</f>
        <v/>
      </c>
      <c r="T244" s="23">
        <f>IF($C244="","",N($G244)-N(R244))</f>
        <v/>
      </c>
      <c r="U244" s="24" t="n"/>
      <c r="V244" s="22" t="n"/>
    </row>
    <row r="245">
      <c r="B245" s="13">
        <f>IF($C245="","",COUNTA($C$9:$C245))</f>
        <v/>
      </c>
      <c r="C245" s="21" t="n"/>
      <c r="D245" s="14" t="n"/>
      <c r="E245" s="14" t="n"/>
      <c r="F245" s="14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3">
        <f>IF($C245="","",N(L245)-N(M245))</f>
        <v/>
      </c>
      <c r="P245" s="24" t="n"/>
      <c r="Q245" s="23">
        <f>IF($C245="","",N(M245)+N(N245))</f>
        <v/>
      </c>
      <c r="R245" s="23">
        <f>IF($C245="","",N(J245)+N(Q245))</f>
        <v/>
      </c>
      <c r="S245" s="25">
        <f>IF(OR($C245="",N($G245)=0),"",R245/$G245)</f>
        <v/>
      </c>
      <c r="T245" s="23">
        <f>IF($C245="","",N($G245)-N(R245))</f>
        <v/>
      </c>
      <c r="U245" s="24" t="n"/>
      <c r="V245" s="22" t="n"/>
    </row>
    <row r="246">
      <c r="B246" s="13">
        <f>IF($C246="","",COUNTA($C$9:$C246))</f>
        <v/>
      </c>
      <c r="C246" s="21" t="n"/>
      <c r="D246" s="14" t="n"/>
      <c r="E246" s="14" t="n"/>
      <c r="F246" s="14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3">
        <f>IF($C246="","",N(L246)-N(M246))</f>
        <v/>
      </c>
      <c r="P246" s="24" t="n"/>
      <c r="Q246" s="23">
        <f>IF($C246="","",N(M246)+N(N246))</f>
        <v/>
      </c>
      <c r="R246" s="23">
        <f>IF($C246="","",N(J246)+N(Q246))</f>
        <v/>
      </c>
      <c r="S246" s="25">
        <f>IF(OR($C246="",N($G246)=0),"",R246/$G246)</f>
        <v/>
      </c>
      <c r="T246" s="23">
        <f>IF($C246="","",N($G246)-N(R246))</f>
        <v/>
      </c>
      <c r="U246" s="24" t="n"/>
      <c r="V246" s="22" t="n"/>
    </row>
    <row r="247">
      <c r="B247" s="13">
        <f>IF($C247="","",COUNTA($C$9:$C247))</f>
        <v/>
      </c>
      <c r="C247" s="21" t="n"/>
      <c r="D247" s="14" t="n"/>
      <c r="E247" s="14" t="n"/>
      <c r="F247" s="14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3">
        <f>IF($C247="","",N(L247)-N(M247))</f>
        <v/>
      </c>
      <c r="P247" s="24" t="n"/>
      <c r="Q247" s="23">
        <f>IF($C247="","",N(M247)+N(N247))</f>
        <v/>
      </c>
      <c r="R247" s="23">
        <f>IF($C247="","",N(J247)+N(Q247))</f>
        <v/>
      </c>
      <c r="S247" s="25">
        <f>IF(OR($C247="",N($G247)=0),"",R247/$G247)</f>
        <v/>
      </c>
      <c r="T247" s="23">
        <f>IF($C247="","",N($G247)-N(R247))</f>
        <v/>
      </c>
      <c r="U247" s="24" t="n"/>
      <c r="V247" s="22" t="n"/>
    </row>
    <row r="248">
      <c r="B248" s="13">
        <f>IF($C248="","",COUNTA($C$9:$C248))</f>
        <v/>
      </c>
      <c r="C248" s="21" t="n"/>
      <c r="D248" s="14" t="n"/>
      <c r="E248" s="14" t="n"/>
      <c r="F248" s="14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3">
        <f>IF($C248="","",N(L248)-N(M248))</f>
        <v/>
      </c>
      <c r="P248" s="24" t="n"/>
      <c r="Q248" s="23">
        <f>IF($C248="","",N(M248)+N(N248))</f>
        <v/>
      </c>
      <c r="R248" s="23">
        <f>IF($C248="","",N(J248)+N(Q248))</f>
        <v/>
      </c>
      <c r="S248" s="25">
        <f>IF(OR($C248="",N($G248)=0),"",R248/$G248)</f>
        <v/>
      </c>
      <c r="T248" s="23">
        <f>IF($C248="","",N($G248)-N(R248))</f>
        <v/>
      </c>
      <c r="U248" s="24" t="n"/>
      <c r="V248" s="22" t="n"/>
    </row>
    <row r="249">
      <c r="B249" s="13">
        <f>IF($C249="","",COUNTA($C$9:$C249))</f>
        <v/>
      </c>
      <c r="C249" s="21" t="n"/>
      <c r="D249" s="14" t="n"/>
      <c r="E249" s="14" t="n"/>
      <c r="F249" s="14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3">
        <f>IF($C249="","",N(L249)-N(M249))</f>
        <v/>
      </c>
      <c r="P249" s="24" t="n"/>
      <c r="Q249" s="23">
        <f>IF($C249="","",N(M249)+N(N249))</f>
        <v/>
      </c>
      <c r="R249" s="23">
        <f>IF($C249="","",N(J249)+N(Q249))</f>
        <v/>
      </c>
      <c r="S249" s="25">
        <f>IF(OR($C249="",N($G249)=0),"",R249/$G249)</f>
        <v/>
      </c>
      <c r="T249" s="23">
        <f>IF($C249="","",N($G249)-N(R249))</f>
        <v/>
      </c>
      <c r="U249" s="24" t="n"/>
      <c r="V249" s="22" t="n"/>
    </row>
    <row r="250">
      <c r="B250" s="13">
        <f>IF($C250="","",COUNTA($C$9:$C250))</f>
        <v/>
      </c>
      <c r="C250" s="21" t="n"/>
      <c r="D250" s="14" t="n"/>
      <c r="E250" s="14" t="n"/>
      <c r="F250" s="14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3">
        <f>IF($C250="","",N(L250)-N(M250))</f>
        <v/>
      </c>
      <c r="P250" s="24" t="n"/>
      <c r="Q250" s="23">
        <f>IF($C250="","",N(M250)+N(N250))</f>
        <v/>
      </c>
      <c r="R250" s="23">
        <f>IF($C250="","",N(J250)+N(Q250))</f>
        <v/>
      </c>
      <c r="S250" s="25">
        <f>IF(OR($C250="",N($G250)=0),"",R250/$G250)</f>
        <v/>
      </c>
      <c r="T250" s="23">
        <f>IF($C250="","",N($G250)-N(R250))</f>
        <v/>
      </c>
      <c r="U250" s="24" t="n"/>
      <c r="V250" s="22" t="n"/>
    </row>
    <row r="251">
      <c r="B251" s="13">
        <f>IF($C251="","",COUNTA($C$9:$C251))</f>
        <v/>
      </c>
      <c r="C251" s="21" t="n"/>
      <c r="D251" s="14" t="n"/>
      <c r="E251" s="14" t="n"/>
      <c r="F251" s="14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3">
        <f>IF($C251="","",N(L251)-N(M251))</f>
        <v/>
      </c>
      <c r="P251" s="24" t="n"/>
      <c r="Q251" s="23">
        <f>IF($C251="","",N(M251)+N(N251))</f>
        <v/>
      </c>
      <c r="R251" s="23">
        <f>IF($C251="","",N(J251)+N(Q251))</f>
        <v/>
      </c>
      <c r="S251" s="25">
        <f>IF(OR($C251="",N($G251)=0),"",R251/$G251)</f>
        <v/>
      </c>
      <c r="T251" s="23">
        <f>IF($C251="","",N($G251)-N(R251))</f>
        <v/>
      </c>
      <c r="U251" s="24" t="n"/>
      <c r="V251" s="22" t="n"/>
    </row>
    <row r="252">
      <c r="B252" s="13">
        <f>IF($C252="","",COUNTA($C$9:$C252))</f>
        <v/>
      </c>
      <c r="C252" s="21" t="n"/>
      <c r="D252" s="14" t="n"/>
      <c r="E252" s="14" t="n"/>
      <c r="F252" s="14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3">
        <f>IF($C252="","",N(L252)-N(M252))</f>
        <v/>
      </c>
      <c r="P252" s="24" t="n"/>
      <c r="Q252" s="23">
        <f>IF($C252="","",N(M252)+N(N252))</f>
        <v/>
      </c>
      <c r="R252" s="23">
        <f>IF($C252="","",N(J252)+N(Q252))</f>
        <v/>
      </c>
      <c r="S252" s="25">
        <f>IF(OR($C252="",N($G252)=0),"",R252/$G252)</f>
        <v/>
      </c>
      <c r="T252" s="23">
        <f>IF($C252="","",N($G252)-N(R252))</f>
        <v/>
      </c>
      <c r="U252" s="24" t="n"/>
      <c r="V252" s="22" t="n"/>
    </row>
    <row r="253">
      <c r="B253" s="13">
        <f>IF($C253="","",COUNTA($C$9:$C253))</f>
        <v/>
      </c>
      <c r="C253" s="21" t="n"/>
      <c r="D253" s="14" t="n"/>
      <c r="E253" s="14" t="n"/>
      <c r="F253" s="14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3">
        <f>IF($C253="","",N(L253)-N(M253))</f>
        <v/>
      </c>
      <c r="P253" s="24" t="n"/>
      <c r="Q253" s="23">
        <f>IF($C253="","",N(M253)+N(N253))</f>
        <v/>
      </c>
      <c r="R253" s="23">
        <f>IF($C253="","",N(J253)+N(Q253))</f>
        <v/>
      </c>
      <c r="S253" s="25">
        <f>IF(OR($C253="",N($G253)=0),"",R253/$G253)</f>
        <v/>
      </c>
      <c r="T253" s="23">
        <f>IF($C253="","",N($G253)-N(R253))</f>
        <v/>
      </c>
      <c r="U253" s="24" t="n"/>
      <c r="V253" s="22" t="n"/>
    </row>
    <row r="254">
      <c r="B254" s="13">
        <f>IF($C254="","",COUNTA($C$9:$C254))</f>
        <v/>
      </c>
      <c r="C254" s="21" t="n"/>
      <c r="D254" s="14" t="n"/>
      <c r="E254" s="14" t="n"/>
      <c r="F254" s="14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3">
        <f>IF($C254="","",N(L254)-N(M254))</f>
        <v/>
      </c>
      <c r="P254" s="24" t="n"/>
      <c r="Q254" s="23">
        <f>IF($C254="","",N(M254)+N(N254))</f>
        <v/>
      </c>
      <c r="R254" s="23">
        <f>IF($C254="","",N(J254)+N(Q254))</f>
        <v/>
      </c>
      <c r="S254" s="25">
        <f>IF(OR($C254="",N($G254)=0),"",R254/$G254)</f>
        <v/>
      </c>
      <c r="T254" s="23">
        <f>IF($C254="","",N($G254)-N(R254))</f>
        <v/>
      </c>
      <c r="U254" s="24" t="n"/>
      <c r="V254" s="22" t="n"/>
    </row>
    <row r="255">
      <c r="B255" s="13">
        <f>IF($C255="","",COUNTA($C$9:$C255))</f>
        <v/>
      </c>
      <c r="C255" s="21" t="n"/>
      <c r="D255" s="14" t="n"/>
      <c r="E255" s="14" t="n"/>
      <c r="F255" s="14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3">
        <f>IF($C255="","",N(L255)-N(M255))</f>
        <v/>
      </c>
      <c r="P255" s="24" t="n"/>
      <c r="Q255" s="23">
        <f>IF($C255="","",N(M255)+N(N255))</f>
        <v/>
      </c>
      <c r="R255" s="23">
        <f>IF($C255="","",N(J255)+N(Q255))</f>
        <v/>
      </c>
      <c r="S255" s="25">
        <f>IF(OR($C255="",N($G255)=0),"",R255/$G255)</f>
        <v/>
      </c>
      <c r="T255" s="23">
        <f>IF($C255="","",N($G255)-N(R255))</f>
        <v/>
      </c>
      <c r="U255" s="24" t="n"/>
      <c r="V255" s="22" t="n"/>
    </row>
    <row r="256">
      <c r="B256" s="13">
        <f>IF($C256="","",COUNTA($C$9:$C256))</f>
        <v/>
      </c>
      <c r="C256" s="21" t="n"/>
      <c r="D256" s="14" t="n"/>
      <c r="E256" s="14" t="n"/>
      <c r="F256" s="14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3">
        <f>IF($C256="","",N(L256)-N(M256))</f>
        <v/>
      </c>
      <c r="P256" s="24" t="n"/>
      <c r="Q256" s="23">
        <f>IF($C256="","",N(M256)+N(N256))</f>
        <v/>
      </c>
      <c r="R256" s="23">
        <f>IF($C256="","",N(J256)+N(Q256))</f>
        <v/>
      </c>
      <c r="S256" s="25">
        <f>IF(OR($C256="",N($G256)=0),"",R256/$G256)</f>
        <v/>
      </c>
      <c r="T256" s="23">
        <f>IF($C256="","",N($G256)-N(R256))</f>
        <v/>
      </c>
      <c r="U256" s="24" t="n"/>
      <c r="V256" s="22" t="n"/>
    </row>
    <row r="257">
      <c r="B257" s="13">
        <f>IF($C257="","",COUNTA($C$9:$C257))</f>
        <v/>
      </c>
      <c r="C257" s="21" t="n"/>
      <c r="D257" s="14" t="n"/>
      <c r="E257" s="14" t="n"/>
      <c r="F257" s="14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3">
        <f>IF($C257="","",N(L257)-N(M257))</f>
        <v/>
      </c>
      <c r="P257" s="24" t="n"/>
      <c r="Q257" s="23">
        <f>IF($C257="","",N(M257)+N(N257))</f>
        <v/>
      </c>
      <c r="R257" s="23">
        <f>IF($C257="","",N(J257)+N(Q257))</f>
        <v/>
      </c>
      <c r="S257" s="25">
        <f>IF(OR($C257="",N($G257)=0),"",R257/$G257)</f>
        <v/>
      </c>
      <c r="T257" s="23">
        <f>IF($C257="","",N($G257)-N(R257))</f>
        <v/>
      </c>
      <c r="U257" s="24" t="n"/>
      <c r="V257" s="22" t="n"/>
    </row>
    <row r="258">
      <c r="B258" s="13">
        <f>IF($C258="","",COUNTA($C$9:$C258))</f>
        <v/>
      </c>
      <c r="C258" s="21" t="n"/>
      <c r="D258" s="14" t="n"/>
      <c r="E258" s="14" t="n"/>
      <c r="F258" s="14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3">
        <f>IF($C258="","",N(L258)-N(M258))</f>
        <v/>
      </c>
      <c r="P258" s="24" t="n"/>
      <c r="Q258" s="23">
        <f>IF($C258="","",N(M258)+N(N258))</f>
        <v/>
      </c>
      <c r="R258" s="23">
        <f>IF($C258="","",N(J258)+N(Q258))</f>
        <v/>
      </c>
      <c r="S258" s="25">
        <f>IF(OR($C258="",N($G258)=0),"",R258/$G258)</f>
        <v/>
      </c>
      <c r="T258" s="23">
        <f>IF($C258="","",N($G258)-N(R258))</f>
        <v/>
      </c>
      <c r="U258" s="24" t="n"/>
      <c r="V258" s="22" t="n"/>
    </row>
    <row r="259">
      <c r="B259" s="13">
        <f>IF($C259="","",COUNTA($C$9:$C259))</f>
        <v/>
      </c>
      <c r="C259" s="21" t="n"/>
      <c r="D259" s="14" t="n"/>
      <c r="E259" s="14" t="n"/>
      <c r="F259" s="14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3">
        <f>IF($C259="","",N(L259)-N(M259))</f>
        <v/>
      </c>
      <c r="P259" s="24" t="n"/>
      <c r="Q259" s="23">
        <f>IF($C259="","",N(M259)+N(N259))</f>
        <v/>
      </c>
      <c r="R259" s="23">
        <f>IF($C259="","",N(J259)+N(Q259))</f>
        <v/>
      </c>
      <c r="S259" s="25">
        <f>IF(OR($C259="",N($G259)=0),"",R259/$G259)</f>
        <v/>
      </c>
      <c r="T259" s="23">
        <f>IF($C259="","",N($G259)-N(R259))</f>
        <v/>
      </c>
      <c r="U259" s="24" t="n"/>
      <c r="V259" s="22" t="n"/>
    </row>
    <row r="260">
      <c r="B260" s="13">
        <f>IF($C260="","",COUNTA($C$9:$C260))</f>
        <v/>
      </c>
      <c r="C260" s="21" t="n"/>
      <c r="D260" s="14" t="n"/>
      <c r="E260" s="14" t="n"/>
      <c r="F260" s="14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3">
        <f>IF($C260="","",N(L260)-N(M260))</f>
        <v/>
      </c>
      <c r="P260" s="24" t="n"/>
      <c r="Q260" s="23">
        <f>IF($C260="","",N(M260)+N(N260))</f>
        <v/>
      </c>
      <c r="R260" s="23">
        <f>IF($C260="","",N(J260)+N(Q260))</f>
        <v/>
      </c>
      <c r="S260" s="25">
        <f>IF(OR($C260="",N($G260)=0),"",R260/$G260)</f>
        <v/>
      </c>
      <c r="T260" s="23">
        <f>IF($C260="","",N($G260)-N(R260))</f>
        <v/>
      </c>
      <c r="U260" s="24" t="n"/>
      <c r="V260" s="22" t="n"/>
    </row>
    <row r="261">
      <c r="B261" s="13">
        <f>IF($C261="","",COUNTA($C$9:$C261))</f>
        <v/>
      </c>
      <c r="C261" s="21" t="n"/>
      <c r="D261" s="14" t="n"/>
      <c r="E261" s="14" t="n"/>
      <c r="F261" s="14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3">
        <f>IF($C261="","",N(L261)-N(M261))</f>
        <v/>
      </c>
      <c r="P261" s="24" t="n"/>
      <c r="Q261" s="23">
        <f>IF($C261="","",N(M261)+N(N261))</f>
        <v/>
      </c>
      <c r="R261" s="23">
        <f>IF($C261="","",N(J261)+N(Q261))</f>
        <v/>
      </c>
      <c r="S261" s="25">
        <f>IF(OR($C261="",N($G261)=0),"",R261/$G261)</f>
        <v/>
      </c>
      <c r="T261" s="23">
        <f>IF($C261="","",N($G261)-N(R261))</f>
        <v/>
      </c>
      <c r="U261" s="24" t="n"/>
      <c r="V261" s="22" t="n"/>
    </row>
    <row r="262">
      <c r="B262" s="13">
        <f>IF($C262="","",COUNTA($C$9:$C262))</f>
        <v/>
      </c>
      <c r="C262" s="21" t="n"/>
      <c r="D262" s="14" t="n"/>
      <c r="E262" s="14" t="n"/>
      <c r="F262" s="14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3">
        <f>IF($C262="","",N(L262)-N(M262))</f>
        <v/>
      </c>
      <c r="P262" s="24" t="n"/>
      <c r="Q262" s="23">
        <f>IF($C262="","",N(M262)+N(N262))</f>
        <v/>
      </c>
      <c r="R262" s="23">
        <f>IF($C262="","",N(J262)+N(Q262))</f>
        <v/>
      </c>
      <c r="S262" s="25">
        <f>IF(OR($C262="",N($G262)=0),"",R262/$G262)</f>
        <v/>
      </c>
      <c r="T262" s="23">
        <f>IF($C262="","",N($G262)-N(R262))</f>
        <v/>
      </c>
      <c r="U262" s="24" t="n"/>
      <c r="V262" s="22" t="n"/>
    </row>
    <row r="263">
      <c r="B263" s="13">
        <f>IF($C263="","",COUNTA($C$9:$C263))</f>
        <v/>
      </c>
      <c r="C263" s="21" t="n"/>
      <c r="D263" s="14" t="n"/>
      <c r="E263" s="14" t="n"/>
      <c r="F263" s="14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3">
        <f>IF($C263="","",N(L263)-N(M263))</f>
        <v/>
      </c>
      <c r="P263" s="24" t="n"/>
      <c r="Q263" s="23">
        <f>IF($C263="","",N(M263)+N(N263))</f>
        <v/>
      </c>
      <c r="R263" s="23">
        <f>IF($C263="","",N(J263)+N(Q263))</f>
        <v/>
      </c>
      <c r="S263" s="25">
        <f>IF(OR($C263="",N($G263)=0),"",R263/$G263)</f>
        <v/>
      </c>
      <c r="T263" s="23">
        <f>IF($C263="","",N($G263)-N(R263))</f>
        <v/>
      </c>
      <c r="U263" s="24" t="n"/>
      <c r="V263" s="22" t="n"/>
    </row>
    <row r="264">
      <c r="B264" s="13">
        <f>IF($C264="","",COUNTA($C$9:$C264))</f>
        <v/>
      </c>
      <c r="C264" s="21" t="n"/>
      <c r="D264" s="14" t="n"/>
      <c r="E264" s="14" t="n"/>
      <c r="F264" s="14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3">
        <f>IF($C264="","",N(L264)-N(M264))</f>
        <v/>
      </c>
      <c r="P264" s="24" t="n"/>
      <c r="Q264" s="23">
        <f>IF($C264="","",N(M264)+N(N264))</f>
        <v/>
      </c>
      <c r="R264" s="23">
        <f>IF($C264="","",N(J264)+N(Q264))</f>
        <v/>
      </c>
      <c r="S264" s="25">
        <f>IF(OR($C264="",N($G264)=0),"",R264/$G264)</f>
        <v/>
      </c>
      <c r="T264" s="23">
        <f>IF($C264="","",N($G264)-N(R264))</f>
        <v/>
      </c>
      <c r="U264" s="24" t="n"/>
      <c r="V264" s="22" t="n"/>
    </row>
    <row r="265">
      <c r="B265" s="13">
        <f>IF($C265="","",COUNTA($C$9:$C265))</f>
        <v/>
      </c>
      <c r="C265" s="21" t="n"/>
      <c r="D265" s="14" t="n"/>
      <c r="E265" s="14" t="n"/>
      <c r="F265" s="14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3">
        <f>IF($C265="","",N(L265)-N(M265))</f>
        <v/>
      </c>
      <c r="P265" s="24" t="n"/>
      <c r="Q265" s="23">
        <f>IF($C265="","",N(M265)+N(N265))</f>
        <v/>
      </c>
      <c r="R265" s="23">
        <f>IF($C265="","",N(J265)+N(Q265))</f>
        <v/>
      </c>
      <c r="S265" s="25">
        <f>IF(OR($C265="",N($G265)=0),"",R265/$G265)</f>
        <v/>
      </c>
      <c r="T265" s="23">
        <f>IF($C265="","",N($G265)-N(R265))</f>
        <v/>
      </c>
      <c r="U265" s="24" t="n"/>
      <c r="V265" s="22" t="n"/>
    </row>
    <row r="266">
      <c r="B266" s="13">
        <f>IF($C266="","",COUNTA($C$9:$C266))</f>
        <v/>
      </c>
      <c r="C266" s="21" t="n"/>
      <c r="D266" s="14" t="n"/>
      <c r="E266" s="14" t="n"/>
      <c r="F266" s="14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3">
        <f>IF($C266="","",N(L266)-N(M266))</f>
        <v/>
      </c>
      <c r="P266" s="24" t="n"/>
      <c r="Q266" s="23">
        <f>IF($C266="","",N(M266)+N(N266))</f>
        <v/>
      </c>
      <c r="R266" s="23">
        <f>IF($C266="","",N(J266)+N(Q266))</f>
        <v/>
      </c>
      <c r="S266" s="25">
        <f>IF(OR($C266="",N($G266)=0),"",R266/$G266)</f>
        <v/>
      </c>
      <c r="T266" s="23">
        <f>IF($C266="","",N($G266)-N(R266))</f>
        <v/>
      </c>
      <c r="U266" s="24" t="n"/>
      <c r="V266" s="22" t="n"/>
    </row>
    <row r="267">
      <c r="B267" s="13">
        <f>IF($C267="","",COUNTA($C$9:$C267))</f>
        <v/>
      </c>
      <c r="C267" s="21" t="n"/>
      <c r="D267" s="14" t="n"/>
      <c r="E267" s="14" t="n"/>
      <c r="F267" s="14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3">
        <f>IF($C267="","",N(L267)-N(M267))</f>
        <v/>
      </c>
      <c r="P267" s="24" t="n"/>
      <c r="Q267" s="23">
        <f>IF($C267="","",N(M267)+N(N267))</f>
        <v/>
      </c>
      <c r="R267" s="23">
        <f>IF($C267="","",N(J267)+N(Q267))</f>
        <v/>
      </c>
      <c r="S267" s="25">
        <f>IF(OR($C267="",N($G267)=0),"",R267/$G267)</f>
        <v/>
      </c>
      <c r="T267" s="23">
        <f>IF($C267="","",N($G267)-N(R267))</f>
        <v/>
      </c>
      <c r="U267" s="24" t="n"/>
      <c r="V267" s="22" t="n"/>
    </row>
    <row r="268">
      <c r="B268" s="13">
        <f>IF($C268="","",COUNTA($C$9:$C268))</f>
        <v/>
      </c>
      <c r="C268" s="21" t="n"/>
      <c r="D268" s="14" t="n"/>
      <c r="E268" s="14" t="n"/>
      <c r="F268" s="14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3">
        <f>IF($C268="","",N(L268)-N(M268))</f>
        <v/>
      </c>
      <c r="P268" s="24" t="n"/>
      <c r="Q268" s="23">
        <f>IF($C268="","",N(M268)+N(N268))</f>
        <v/>
      </c>
      <c r="R268" s="23">
        <f>IF($C268="","",N(J268)+N(Q268))</f>
        <v/>
      </c>
      <c r="S268" s="25">
        <f>IF(OR($C268="",N($G268)=0),"",R268/$G268)</f>
        <v/>
      </c>
      <c r="T268" s="23">
        <f>IF($C268="","",N($G268)-N(R268))</f>
        <v/>
      </c>
      <c r="U268" s="24" t="n"/>
      <c r="V268" s="22" t="n"/>
    </row>
    <row r="269">
      <c r="B269" s="13">
        <f>IF($C269="","",COUNTA($C$9:$C269))</f>
        <v/>
      </c>
      <c r="C269" s="21" t="n"/>
      <c r="D269" s="14" t="n"/>
      <c r="E269" s="14" t="n"/>
      <c r="F269" s="14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3">
        <f>IF($C269="","",N(L269)-N(M269))</f>
        <v/>
      </c>
      <c r="P269" s="24" t="n"/>
      <c r="Q269" s="23">
        <f>IF($C269="","",N(M269)+N(N269))</f>
        <v/>
      </c>
      <c r="R269" s="23">
        <f>IF($C269="","",N(J269)+N(Q269))</f>
        <v/>
      </c>
      <c r="S269" s="25">
        <f>IF(OR($C269="",N($G269)=0),"",R269/$G269)</f>
        <v/>
      </c>
      <c r="T269" s="23">
        <f>IF($C269="","",N($G269)-N(R269))</f>
        <v/>
      </c>
      <c r="U269" s="24" t="n"/>
      <c r="V269" s="22" t="n"/>
    </row>
    <row r="270">
      <c r="B270" s="13">
        <f>IF($C270="","",COUNTA($C$9:$C270))</f>
        <v/>
      </c>
      <c r="C270" s="21" t="n"/>
      <c r="D270" s="14" t="n"/>
      <c r="E270" s="14" t="n"/>
      <c r="F270" s="14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3">
        <f>IF($C270="","",N(L270)-N(M270))</f>
        <v/>
      </c>
      <c r="P270" s="24" t="n"/>
      <c r="Q270" s="23">
        <f>IF($C270="","",N(M270)+N(N270))</f>
        <v/>
      </c>
      <c r="R270" s="23">
        <f>IF($C270="","",N(J270)+N(Q270))</f>
        <v/>
      </c>
      <c r="S270" s="25">
        <f>IF(OR($C270="",N($G270)=0),"",R270/$G270)</f>
        <v/>
      </c>
      <c r="T270" s="23">
        <f>IF($C270="","",N($G270)-N(R270))</f>
        <v/>
      </c>
      <c r="U270" s="24" t="n"/>
      <c r="V270" s="22" t="n"/>
    </row>
    <row r="271">
      <c r="B271" s="13">
        <f>IF($C271="","",COUNTA($C$9:$C271))</f>
        <v/>
      </c>
      <c r="C271" s="21" t="n"/>
      <c r="D271" s="14" t="n"/>
      <c r="E271" s="14" t="n"/>
      <c r="F271" s="14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3">
        <f>IF($C271="","",N(L271)-N(M271))</f>
        <v/>
      </c>
      <c r="P271" s="24" t="n"/>
      <c r="Q271" s="23">
        <f>IF($C271="","",N(M271)+N(N271))</f>
        <v/>
      </c>
      <c r="R271" s="23">
        <f>IF($C271="","",N(J271)+N(Q271))</f>
        <v/>
      </c>
      <c r="S271" s="25">
        <f>IF(OR($C271="",N($G271)=0),"",R271/$G271)</f>
        <v/>
      </c>
      <c r="T271" s="23">
        <f>IF($C271="","",N($G271)-N(R271))</f>
        <v/>
      </c>
      <c r="U271" s="24" t="n"/>
      <c r="V271" s="22" t="n"/>
    </row>
    <row r="272">
      <c r="B272" s="13">
        <f>IF($C272="","",COUNTA($C$9:$C272))</f>
        <v/>
      </c>
      <c r="C272" s="21" t="n"/>
      <c r="D272" s="14" t="n"/>
      <c r="E272" s="14" t="n"/>
      <c r="F272" s="14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3">
        <f>IF($C272="","",N(L272)-N(M272))</f>
        <v/>
      </c>
      <c r="P272" s="24" t="n"/>
      <c r="Q272" s="23">
        <f>IF($C272="","",N(M272)+N(N272))</f>
        <v/>
      </c>
      <c r="R272" s="23">
        <f>IF($C272="","",N(J272)+N(Q272))</f>
        <v/>
      </c>
      <c r="S272" s="25">
        <f>IF(OR($C272="",N($G272)=0),"",R272/$G272)</f>
        <v/>
      </c>
      <c r="T272" s="23">
        <f>IF($C272="","",N($G272)-N(R272))</f>
        <v/>
      </c>
      <c r="U272" s="24" t="n"/>
      <c r="V272" s="22" t="n"/>
    </row>
    <row r="273">
      <c r="B273" s="13">
        <f>IF($C273="","",COUNTA($C$9:$C273))</f>
        <v/>
      </c>
      <c r="C273" s="21" t="n"/>
      <c r="D273" s="14" t="n"/>
      <c r="E273" s="14" t="n"/>
      <c r="F273" s="14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3">
        <f>IF($C273="","",N(L273)-N(M273))</f>
        <v/>
      </c>
      <c r="P273" s="24" t="n"/>
      <c r="Q273" s="23">
        <f>IF($C273="","",N(M273)+N(N273))</f>
        <v/>
      </c>
      <c r="R273" s="23">
        <f>IF($C273="","",N(J273)+N(Q273))</f>
        <v/>
      </c>
      <c r="S273" s="25">
        <f>IF(OR($C273="",N($G273)=0),"",R273/$G273)</f>
        <v/>
      </c>
      <c r="T273" s="23">
        <f>IF($C273="","",N($G273)-N(R273))</f>
        <v/>
      </c>
      <c r="U273" s="24" t="n"/>
      <c r="V273" s="22" t="n"/>
    </row>
    <row r="274">
      <c r="B274" s="13">
        <f>IF($C274="","",COUNTA($C$9:$C274))</f>
        <v/>
      </c>
      <c r="C274" s="21" t="n"/>
      <c r="D274" s="14" t="n"/>
      <c r="E274" s="14" t="n"/>
      <c r="F274" s="14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3">
        <f>IF($C274="","",N(L274)-N(M274))</f>
        <v/>
      </c>
      <c r="P274" s="24" t="n"/>
      <c r="Q274" s="23">
        <f>IF($C274="","",N(M274)+N(N274))</f>
        <v/>
      </c>
      <c r="R274" s="23">
        <f>IF($C274="","",N(J274)+N(Q274))</f>
        <v/>
      </c>
      <c r="S274" s="25">
        <f>IF(OR($C274="",N($G274)=0),"",R274/$G274)</f>
        <v/>
      </c>
      <c r="T274" s="23">
        <f>IF($C274="","",N($G274)-N(R274))</f>
        <v/>
      </c>
      <c r="U274" s="24" t="n"/>
      <c r="V274" s="22" t="n"/>
    </row>
    <row r="275">
      <c r="B275" s="13">
        <f>IF($C275="","",COUNTA($C$9:$C275))</f>
        <v/>
      </c>
      <c r="C275" s="21" t="n"/>
      <c r="D275" s="14" t="n"/>
      <c r="E275" s="14" t="n"/>
      <c r="F275" s="14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3">
        <f>IF($C275="","",N(L275)-N(M275))</f>
        <v/>
      </c>
      <c r="P275" s="24" t="n"/>
      <c r="Q275" s="23">
        <f>IF($C275="","",N(M275)+N(N275))</f>
        <v/>
      </c>
      <c r="R275" s="23">
        <f>IF($C275="","",N(J275)+N(Q275))</f>
        <v/>
      </c>
      <c r="S275" s="25">
        <f>IF(OR($C275="",N($G275)=0),"",R275/$G275)</f>
        <v/>
      </c>
      <c r="T275" s="23">
        <f>IF($C275="","",N($G275)-N(R275))</f>
        <v/>
      </c>
      <c r="U275" s="24" t="n"/>
      <c r="V275" s="22" t="n"/>
    </row>
    <row r="276">
      <c r="B276" s="13">
        <f>IF($C276="","",COUNTA($C$9:$C276))</f>
        <v/>
      </c>
      <c r="C276" s="21" t="n"/>
      <c r="D276" s="14" t="n"/>
      <c r="E276" s="14" t="n"/>
      <c r="F276" s="14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3">
        <f>IF($C276="","",N(L276)-N(M276))</f>
        <v/>
      </c>
      <c r="P276" s="24" t="n"/>
      <c r="Q276" s="23">
        <f>IF($C276="","",N(M276)+N(N276))</f>
        <v/>
      </c>
      <c r="R276" s="23">
        <f>IF($C276="","",N(J276)+N(Q276))</f>
        <v/>
      </c>
      <c r="S276" s="25">
        <f>IF(OR($C276="",N($G276)=0),"",R276/$G276)</f>
        <v/>
      </c>
      <c r="T276" s="23">
        <f>IF($C276="","",N($G276)-N(R276))</f>
        <v/>
      </c>
      <c r="U276" s="24" t="n"/>
      <c r="V276" s="22" t="n"/>
    </row>
    <row r="277">
      <c r="B277" s="13">
        <f>IF($C277="","",COUNTA($C$9:$C277))</f>
        <v/>
      </c>
      <c r="C277" s="21" t="n"/>
      <c r="D277" s="14" t="n"/>
      <c r="E277" s="14" t="n"/>
      <c r="F277" s="14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3">
        <f>IF($C277="","",N(L277)-N(M277))</f>
        <v/>
      </c>
      <c r="P277" s="24" t="n"/>
      <c r="Q277" s="23">
        <f>IF($C277="","",N(M277)+N(N277))</f>
        <v/>
      </c>
      <c r="R277" s="23">
        <f>IF($C277="","",N(J277)+N(Q277))</f>
        <v/>
      </c>
      <c r="S277" s="25">
        <f>IF(OR($C277="",N($G277)=0),"",R277/$G277)</f>
        <v/>
      </c>
      <c r="T277" s="23">
        <f>IF($C277="","",N($G277)-N(R277))</f>
        <v/>
      </c>
      <c r="U277" s="24" t="n"/>
      <c r="V277" s="22" t="n"/>
    </row>
    <row r="278">
      <c r="B278" s="13">
        <f>IF($C278="","",COUNTA($C$9:$C278))</f>
        <v/>
      </c>
      <c r="C278" s="21" t="n"/>
      <c r="D278" s="14" t="n"/>
      <c r="E278" s="14" t="n"/>
      <c r="F278" s="14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3">
        <f>IF($C278="","",N(L278)-N(M278))</f>
        <v/>
      </c>
      <c r="P278" s="24" t="n"/>
      <c r="Q278" s="23">
        <f>IF($C278="","",N(M278)+N(N278))</f>
        <v/>
      </c>
      <c r="R278" s="23">
        <f>IF($C278="","",N(J278)+N(Q278))</f>
        <v/>
      </c>
      <c r="S278" s="25">
        <f>IF(OR($C278="",N($G278)=0),"",R278/$G278)</f>
        <v/>
      </c>
      <c r="T278" s="23">
        <f>IF($C278="","",N($G278)-N(R278))</f>
        <v/>
      </c>
      <c r="U278" s="24" t="n"/>
      <c r="V278" s="22" t="n"/>
    </row>
    <row r="279">
      <c r="B279" s="13">
        <f>IF($C279="","",COUNTA($C$9:$C279))</f>
        <v/>
      </c>
      <c r="C279" s="21" t="n"/>
      <c r="D279" s="14" t="n"/>
      <c r="E279" s="14" t="n"/>
      <c r="F279" s="14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3">
        <f>IF($C279="","",N(L279)-N(M279))</f>
        <v/>
      </c>
      <c r="P279" s="24" t="n"/>
      <c r="Q279" s="23">
        <f>IF($C279="","",N(M279)+N(N279))</f>
        <v/>
      </c>
      <c r="R279" s="23">
        <f>IF($C279="","",N(J279)+N(Q279))</f>
        <v/>
      </c>
      <c r="S279" s="25">
        <f>IF(OR($C279="",N($G279)=0),"",R279/$G279)</f>
        <v/>
      </c>
      <c r="T279" s="23">
        <f>IF($C279="","",N($G279)-N(R279))</f>
        <v/>
      </c>
      <c r="U279" s="24" t="n"/>
      <c r="V279" s="22" t="n"/>
    </row>
    <row r="280">
      <c r="B280" s="13">
        <f>IF($C280="","",COUNTA($C$9:$C280))</f>
        <v/>
      </c>
      <c r="C280" s="21" t="n"/>
      <c r="D280" s="14" t="n"/>
      <c r="E280" s="14" t="n"/>
      <c r="F280" s="14" t="n"/>
      <c r="G280" s="22" t="n"/>
      <c r="H280" s="22" t="n"/>
      <c r="I280" s="22" t="n"/>
      <c r="J280" s="22" t="n"/>
      <c r="K280" s="22" t="n"/>
      <c r="L280" s="22" t="n"/>
      <c r="M280" s="22" t="n"/>
      <c r="N280" s="22" t="n"/>
      <c r="O280" s="23">
        <f>IF($C280="","",N(L280)-N(M280))</f>
        <v/>
      </c>
      <c r="P280" s="24" t="n"/>
      <c r="Q280" s="23">
        <f>IF($C280="","",N(M280)+N(N280))</f>
        <v/>
      </c>
      <c r="R280" s="23">
        <f>IF($C280="","",N(J280)+N(Q280))</f>
        <v/>
      </c>
      <c r="S280" s="25">
        <f>IF(OR($C280="",N($G280)=0),"",R280/$G280)</f>
        <v/>
      </c>
      <c r="T280" s="23">
        <f>IF($C280="","",N($G280)-N(R280))</f>
        <v/>
      </c>
      <c r="U280" s="24" t="n"/>
      <c r="V280" s="22" t="n"/>
    </row>
    <row r="281">
      <c r="B281" s="13">
        <f>IF($C281="","",COUNTA($C$9:$C281))</f>
        <v/>
      </c>
      <c r="C281" s="21" t="n"/>
      <c r="D281" s="14" t="n"/>
      <c r="E281" s="14" t="n"/>
      <c r="F281" s="14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3">
        <f>IF($C281="","",N(L281)-N(M281))</f>
        <v/>
      </c>
      <c r="P281" s="24" t="n"/>
      <c r="Q281" s="23">
        <f>IF($C281="","",N(M281)+N(N281))</f>
        <v/>
      </c>
      <c r="R281" s="23">
        <f>IF($C281="","",N(J281)+N(Q281))</f>
        <v/>
      </c>
      <c r="S281" s="25">
        <f>IF(OR($C281="",N($G281)=0),"",R281/$G281)</f>
        <v/>
      </c>
      <c r="T281" s="23">
        <f>IF($C281="","",N($G281)-N(R281))</f>
        <v/>
      </c>
      <c r="U281" s="24" t="n"/>
      <c r="V281" s="22" t="n"/>
    </row>
    <row r="282">
      <c r="B282" s="13">
        <f>IF($C282="","",COUNTA($C$9:$C282))</f>
        <v/>
      </c>
      <c r="C282" s="21" t="n"/>
      <c r="D282" s="14" t="n"/>
      <c r="E282" s="14" t="n"/>
      <c r="F282" s="14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3">
        <f>IF($C282="","",N(L282)-N(M282))</f>
        <v/>
      </c>
      <c r="P282" s="24" t="n"/>
      <c r="Q282" s="23">
        <f>IF($C282="","",N(M282)+N(N282))</f>
        <v/>
      </c>
      <c r="R282" s="23">
        <f>IF($C282="","",N(J282)+N(Q282))</f>
        <v/>
      </c>
      <c r="S282" s="25">
        <f>IF(OR($C282="",N($G282)=0),"",R282/$G282)</f>
        <v/>
      </c>
      <c r="T282" s="23">
        <f>IF($C282="","",N($G282)-N(R282))</f>
        <v/>
      </c>
      <c r="U282" s="24" t="n"/>
      <c r="V282" s="22" t="n"/>
    </row>
    <row r="283">
      <c r="B283" s="13">
        <f>IF($C283="","",COUNTA($C$9:$C283))</f>
        <v/>
      </c>
      <c r="C283" s="21" t="n"/>
      <c r="D283" s="14" t="n"/>
      <c r="E283" s="14" t="n"/>
      <c r="F283" s="14" t="n"/>
      <c r="G283" s="22" t="n"/>
      <c r="H283" s="22" t="n"/>
      <c r="I283" s="22" t="n"/>
      <c r="J283" s="22" t="n"/>
      <c r="K283" s="22" t="n"/>
      <c r="L283" s="22" t="n"/>
      <c r="M283" s="22" t="n"/>
      <c r="N283" s="22" t="n"/>
      <c r="O283" s="23">
        <f>IF($C283="","",N(L283)-N(M283))</f>
        <v/>
      </c>
      <c r="P283" s="24" t="n"/>
      <c r="Q283" s="23">
        <f>IF($C283="","",N(M283)+N(N283))</f>
        <v/>
      </c>
      <c r="R283" s="23">
        <f>IF($C283="","",N(J283)+N(Q283))</f>
        <v/>
      </c>
      <c r="S283" s="25">
        <f>IF(OR($C283="",N($G283)=0),"",R283/$G283)</f>
        <v/>
      </c>
      <c r="T283" s="23">
        <f>IF($C283="","",N($G283)-N(R283))</f>
        <v/>
      </c>
      <c r="U283" s="24" t="n"/>
      <c r="V283" s="22" t="n"/>
    </row>
    <row r="284">
      <c r="B284" s="13">
        <f>IF($C284="","",COUNTA($C$9:$C284))</f>
        <v/>
      </c>
      <c r="C284" s="21" t="n"/>
      <c r="D284" s="14" t="n"/>
      <c r="E284" s="14" t="n"/>
      <c r="F284" s="14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3">
        <f>IF($C284="","",N(L284)-N(M284))</f>
        <v/>
      </c>
      <c r="P284" s="24" t="n"/>
      <c r="Q284" s="23">
        <f>IF($C284="","",N(M284)+N(N284))</f>
        <v/>
      </c>
      <c r="R284" s="23">
        <f>IF($C284="","",N(J284)+N(Q284))</f>
        <v/>
      </c>
      <c r="S284" s="25">
        <f>IF(OR($C284="",N($G284)=0),"",R284/$G284)</f>
        <v/>
      </c>
      <c r="T284" s="23">
        <f>IF($C284="","",N($G284)-N(R284))</f>
        <v/>
      </c>
      <c r="U284" s="24" t="n"/>
      <c r="V284" s="22" t="n"/>
    </row>
    <row r="285">
      <c r="B285" s="13">
        <f>IF($C285="","",COUNTA($C$9:$C285))</f>
        <v/>
      </c>
      <c r="C285" s="21" t="n"/>
      <c r="D285" s="14" t="n"/>
      <c r="E285" s="14" t="n"/>
      <c r="F285" s="14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3">
        <f>IF($C285="","",N(L285)-N(M285))</f>
        <v/>
      </c>
      <c r="P285" s="24" t="n"/>
      <c r="Q285" s="23">
        <f>IF($C285="","",N(M285)+N(N285))</f>
        <v/>
      </c>
      <c r="R285" s="23">
        <f>IF($C285="","",N(J285)+N(Q285))</f>
        <v/>
      </c>
      <c r="S285" s="25">
        <f>IF(OR($C285="",N($G285)=0),"",R285/$G285)</f>
        <v/>
      </c>
      <c r="T285" s="23">
        <f>IF($C285="","",N($G285)-N(R285))</f>
        <v/>
      </c>
      <c r="U285" s="24" t="n"/>
      <c r="V285" s="22" t="n"/>
    </row>
    <row r="286">
      <c r="B286" s="13">
        <f>IF($C286="","",COUNTA($C$9:$C286))</f>
        <v/>
      </c>
      <c r="C286" s="21" t="n"/>
      <c r="D286" s="14" t="n"/>
      <c r="E286" s="14" t="n"/>
      <c r="F286" s="14" t="n"/>
      <c r="G286" s="22" t="n"/>
      <c r="H286" s="22" t="n"/>
      <c r="I286" s="22" t="n"/>
      <c r="J286" s="22" t="n"/>
      <c r="K286" s="22" t="n"/>
      <c r="L286" s="22" t="n"/>
      <c r="M286" s="22" t="n"/>
      <c r="N286" s="22" t="n"/>
      <c r="O286" s="23">
        <f>IF($C286="","",N(L286)-N(M286))</f>
        <v/>
      </c>
      <c r="P286" s="24" t="n"/>
      <c r="Q286" s="23">
        <f>IF($C286="","",N(M286)+N(N286))</f>
        <v/>
      </c>
      <c r="R286" s="23">
        <f>IF($C286="","",N(J286)+N(Q286))</f>
        <v/>
      </c>
      <c r="S286" s="25">
        <f>IF(OR($C286="",N($G286)=0),"",R286/$G286)</f>
        <v/>
      </c>
      <c r="T286" s="23">
        <f>IF($C286="","",N($G286)-N(R286))</f>
        <v/>
      </c>
      <c r="U286" s="24" t="n"/>
      <c r="V286" s="22" t="n"/>
    </row>
    <row r="287">
      <c r="B287" s="13">
        <f>IF($C287="","",COUNTA($C$9:$C287))</f>
        <v/>
      </c>
      <c r="C287" s="21" t="n"/>
      <c r="D287" s="14" t="n"/>
      <c r="E287" s="14" t="n"/>
      <c r="F287" s="14" t="n"/>
      <c r="G287" s="22" t="n"/>
      <c r="H287" s="22" t="n"/>
      <c r="I287" s="22" t="n"/>
      <c r="J287" s="22" t="n"/>
      <c r="K287" s="22" t="n"/>
      <c r="L287" s="22" t="n"/>
      <c r="M287" s="22" t="n"/>
      <c r="N287" s="22" t="n"/>
      <c r="O287" s="23">
        <f>IF($C287="","",N(L287)-N(M287))</f>
        <v/>
      </c>
      <c r="P287" s="24" t="n"/>
      <c r="Q287" s="23">
        <f>IF($C287="","",N(M287)+N(N287))</f>
        <v/>
      </c>
      <c r="R287" s="23">
        <f>IF($C287="","",N(J287)+N(Q287))</f>
        <v/>
      </c>
      <c r="S287" s="25">
        <f>IF(OR($C287="",N($G287)=0),"",R287/$G287)</f>
        <v/>
      </c>
      <c r="T287" s="23">
        <f>IF($C287="","",N($G287)-N(R287))</f>
        <v/>
      </c>
      <c r="U287" s="24" t="n"/>
      <c r="V287" s="22" t="n"/>
    </row>
    <row r="288">
      <c r="B288" s="13">
        <f>IF($C288="","",COUNTA($C$9:$C288))</f>
        <v/>
      </c>
      <c r="C288" s="21" t="n"/>
      <c r="D288" s="14" t="n"/>
      <c r="E288" s="14" t="n"/>
      <c r="F288" s="14" t="n"/>
      <c r="G288" s="22" t="n"/>
      <c r="H288" s="22" t="n"/>
      <c r="I288" s="22" t="n"/>
      <c r="J288" s="22" t="n"/>
      <c r="K288" s="22" t="n"/>
      <c r="L288" s="22" t="n"/>
      <c r="M288" s="22" t="n"/>
      <c r="N288" s="22" t="n"/>
      <c r="O288" s="23">
        <f>IF($C288="","",N(L288)-N(M288))</f>
        <v/>
      </c>
      <c r="P288" s="24" t="n"/>
      <c r="Q288" s="23">
        <f>IF($C288="","",N(M288)+N(N288))</f>
        <v/>
      </c>
      <c r="R288" s="23">
        <f>IF($C288="","",N(J288)+N(Q288))</f>
        <v/>
      </c>
      <c r="S288" s="25">
        <f>IF(OR($C288="",N($G288)=0),"",R288/$G288)</f>
        <v/>
      </c>
      <c r="T288" s="23">
        <f>IF($C288="","",N($G288)-N(R288))</f>
        <v/>
      </c>
      <c r="U288" s="24" t="n"/>
      <c r="V288" s="22" t="n"/>
    </row>
    <row r="289">
      <c r="B289" s="13">
        <f>IF($C289="","",COUNTA($C$9:$C289))</f>
        <v/>
      </c>
      <c r="C289" s="21" t="n"/>
      <c r="D289" s="14" t="n"/>
      <c r="E289" s="14" t="n"/>
      <c r="F289" s="14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3">
        <f>IF($C289="","",N(L289)-N(M289))</f>
        <v/>
      </c>
      <c r="P289" s="24" t="n"/>
      <c r="Q289" s="23">
        <f>IF($C289="","",N(M289)+N(N289))</f>
        <v/>
      </c>
      <c r="R289" s="23">
        <f>IF($C289="","",N(J289)+N(Q289))</f>
        <v/>
      </c>
      <c r="S289" s="25">
        <f>IF(OR($C289="",N($G289)=0),"",R289/$G289)</f>
        <v/>
      </c>
      <c r="T289" s="23">
        <f>IF($C289="","",N($G289)-N(R289))</f>
        <v/>
      </c>
      <c r="U289" s="24" t="n"/>
      <c r="V289" s="22" t="n"/>
    </row>
    <row r="290">
      <c r="B290" s="13">
        <f>IF($C290="","",COUNTA($C$9:$C290))</f>
        <v/>
      </c>
      <c r="C290" s="21" t="n"/>
      <c r="D290" s="14" t="n"/>
      <c r="E290" s="14" t="n"/>
      <c r="F290" s="14" t="n"/>
      <c r="G290" s="22" t="n"/>
      <c r="H290" s="22" t="n"/>
      <c r="I290" s="22" t="n"/>
      <c r="J290" s="22" t="n"/>
      <c r="K290" s="22" t="n"/>
      <c r="L290" s="22" t="n"/>
      <c r="M290" s="22" t="n"/>
      <c r="N290" s="22" t="n"/>
      <c r="O290" s="23">
        <f>IF($C290="","",N(L290)-N(M290))</f>
        <v/>
      </c>
      <c r="P290" s="24" t="n"/>
      <c r="Q290" s="23">
        <f>IF($C290="","",N(M290)+N(N290))</f>
        <v/>
      </c>
      <c r="R290" s="23">
        <f>IF($C290="","",N(J290)+N(Q290))</f>
        <v/>
      </c>
      <c r="S290" s="25">
        <f>IF(OR($C290="",N($G290)=0),"",R290/$G290)</f>
        <v/>
      </c>
      <c r="T290" s="23">
        <f>IF($C290="","",N($G290)-N(R290))</f>
        <v/>
      </c>
      <c r="U290" s="24" t="n"/>
      <c r="V290" s="22" t="n"/>
    </row>
    <row r="291">
      <c r="B291" s="13">
        <f>IF($C291="","",COUNTA($C$9:$C291))</f>
        <v/>
      </c>
      <c r="C291" s="21" t="n"/>
      <c r="D291" s="14" t="n"/>
      <c r="E291" s="14" t="n"/>
      <c r="F291" s="14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3">
        <f>IF($C291="","",N(L291)-N(M291))</f>
        <v/>
      </c>
      <c r="P291" s="24" t="n"/>
      <c r="Q291" s="23">
        <f>IF($C291="","",N(M291)+N(N291))</f>
        <v/>
      </c>
      <c r="R291" s="23">
        <f>IF($C291="","",N(J291)+N(Q291))</f>
        <v/>
      </c>
      <c r="S291" s="25">
        <f>IF(OR($C291="",N($G291)=0),"",R291/$G291)</f>
        <v/>
      </c>
      <c r="T291" s="23">
        <f>IF($C291="","",N($G291)-N(R291))</f>
        <v/>
      </c>
      <c r="U291" s="24" t="n"/>
      <c r="V291" s="22" t="n"/>
    </row>
    <row r="292">
      <c r="B292" s="13">
        <f>IF($C292="","",COUNTA($C$9:$C292))</f>
        <v/>
      </c>
      <c r="C292" s="21" t="n"/>
      <c r="D292" s="14" t="n"/>
      <c r="E292" s="14" t="n"/>
      <c r="F292" s="14" t="n"/>
      <c r="G292" s="22" t="n"/>
      <c r="H292" s="22" t="n"/>
      <c r="I292" s="22" t="n"/>
      <c r="J292" s="22" t="n"/>
      <c r="K292" s="22" t="n"/>
      <c r="L292" s="22" t="n"/>
      <c r="M292" s="22" t="n"/>
      <c r="N292" s="22" t="n"/>
      <c r="O292" s="23">
        <f>IF($C292="","",N(L292)-N(M292))</f>
        <v/>
      </c>
      <c r="P292" s="24" t="n"/>
      <c r="Q292" s="23">
        <f>IF($C292="","",N(M292)+N(N292))</f>
        <v/>
      </c>
      <c r="R292" s="23">
        <f>IF($C292="","",N(J292)+N(Q292))</f>
        <v/>
      </c>
      <c r="S292" s="25">
        <f>IF(OR($C292="",N($G292)=0),"",R292/$G292)</f>
        <v/>
      </c>
      <c r="T292" s="23">
        <f>IF($C292="","",N($G292)-N(R292))</f>
        <v/>
      </c>
      <c r="U292" s="24" t="n"/>
      <c r="V292" s="22" t="n"/>
    </row>
    <row r="293">
      <c r="B293" s="13">
        <f>IF($C293="","",COUNTA($C$9:$C293))</f>
        <v/>
      </c>
      <c r="C293" s="21" t="n"/>
      <c r="D293" s="14" t="n"/>
      <c r="E293" s="14" t="n"/>
      <c r="F293" s="14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3">
        <f>IF($C293="","",N(L293)-N(M293))</f>
        <v/>
      </c>
      <c r="P293" s="24" t="n"/>
      <c r="Q293" s="23">
        <f>IF($C293="","",N(M293)+N(N293))</f>
        <v/>
      </c>
      <c r="R293" s="23">
        <f>IF($C293="","",N(J293)+N(Q293))</f>
        <v/>
      </c>
      <c r="S293" s="25">
        <f>IF(OR($C293="",N($G293)=0),"",R293/$G293)</f>
        <v/>
      </c>
      <c r="T293" s="23">
        <f>IF($C293="","",N($G293)-N(R293))</f>
        <v/>
      </c>
      <c r="U293" s="24" t="n"/>
      <c r="V293" s="22" t="n"/>
    </row>
    <row r="294">
      <c r="B294" s="13">
        <f>IF($C294="","",COUNTA($C$9:$C294))</f>
        <v/>
      </c>
      <c r="C294" s="21" t="n"/>
      <c r="D294" s="14" t="n"/>
      <c r="E294" s="14" t="n"/>
      <c r="F294" s="14" t="n"/>
      <c r="G294" s="22" t="n"/>
      <c r="H294" s="22" t="n"/>
      <c r="I294" s="22" t="n"/>
      <c r="J294" s="22" t="n"/>
      <c r="K294" s="22" t="n"/>
      <c r="L294" s="22" t="n"/>
      <c r="M294" s="22" t="n"/>
      <c r="N294" s="22" t="n"/>
      <c r="O294" s="23">
        <f>IF($C294="","",N(L294)-N(M294))</f>
        <v/>
      </c>
      <c r="P294" s="24" t="n"/>
      <c r="Q294" s="23">
        <f>IF($C294="","",N(M294)+N(N294))</f>
        <v/>
      </c>
      <c r="R294" s="23">
        <f>IF($C294="","",N(J294)+N(Q294))</f>
        <v/>
      </c>
      <c r="S294" s="25">
        <f>IF(OR($C294="",N($G294)=0),"",R294/$G294)</f>
        <v/>
      </c>
      <c r="T294" s="23">
        <f>IF($C294="","",N($G294)-N(R294))</f>
        <v/>
      </c>
      <c r="U294" s="24" t="n"/>
      <c r="V294" s="22" t="n"/>
    </row>
    <row r="295">
      <c r="B295" s="13">
        <f>IF($C295="","",COUNTA($C$9:$C295))</f>
        <v/>
      </c>
      <c r="C295" s="21" t="n"/>
      <c r="D295" s="14" t="n"/>
      <c r="E295" s="14" t="n"/>
      <c r="F295" s="14" t="n"/>
      <c r="G295" s="22" t="n"/>
      <c r="H295" s="22" t="n"/>
      <c r="I295" s="22" t="n"/>
      <c r="J295" s="22" t="n"/>
      <c r="K295" s="22" t="n"/>
      <c r="L295" s="22" t="n"/>
      <c r="M295" s="22" t="n"/>
      <c r="N295" s="22" t="n"/>
      <c r="O295" s="23">
        <f>IF($C295="","",N(L295)-N(M295))</f>
        <v/>
      </c>
      <c r="P295" s="24" t="n"/>
      <c r="Q295" s="23">
        <f>IF($C295="","",N(M295)+N(N295))</f>
        <v/>
      </c>
      <c r="R295" s="23">
        <f>IF($C295="","",N(J295)+N(Q295))</f>
        <v/>
      </c>
      <c r="S295" s="25">
        <f>IF(OR($C295="",N($G295)=0),"",R295/$G295)</f>
        <v/>
      </c>
      <c r="T295" s="23">
        <f>IF($C295="","",N($G295)-N(R295))</f>
        <v/>
      </c>
      <c r="U295" s="24" t="n"/>
      <c r="V295" s="22" t="n"/>
    </row>
    <row r="296">
      <c r="B296" s="13">
        <f>IF($C296="","",COUNTA($C$9:$C296))</f>
        <v/>
      </c>
      <c r="C296" s="21" t="n"/>
      <c r="D296" s="14" t="n"/>
      <c r="E296" s="14" t="n"/>
      <c r="F296" s="14" t="n"/>
      <c r="G296" s="22" t="n"/>
      <c r="H296" s="22" t="n"/>
      <c r="I296" s="22" t="n"/>
      <c r="J296" s="22" t="n"/>
      <c r="K296" s="22" t="n"/>
      <c r="L296" s="22" t="n"/>
      <c r="M296" s="22" t="n"/>
      <c r="N296" s="22" t="n"/>
      <c r="O296" s="23">
        <f>IF($C296="","",N(L296)-N(M296))</f>
        <v/>
      </c>
      <c r="P296" s="24" t="n"/>
      <c r="Q296" s="23">
        <f>IF($C296="","",N(M296)+N(N296))</f>
        <v/>
      </c>
      <c r="R296" s="23">
        <f>IF($C296="","",N(J296)+N(Q296))</f>
        <v/>
      </c>
      <c r="S296" s="25">
        <f>IF(OR($C296="",N($G296)=0),"",R296/$G296)</f>
        <v/>
      </c>
      <c r="T296" s="23">
        <f>IF($C296="","",N($G296)-N(R296))</f>
        <v/>
      </c>
      <c r="U296" s="24" t="n"/>
      <c r="V296" s="22" t="n"/>
    </row>
    <row r="297">
      <c r="B297" s="13">
        <f>IF($C297="","",COUNTA($C$9:$C297))</f>
        <v/>
      </c>
      <c r="C297" s="21" t="n"/>
      <c r="D297" s="14" t="n"/>
      <c r="E297" s="14" t="n"/>
      <c r="F297" s="14" t="n"/>
      <c r="G297" s="22" t="n"/>
      <c r="H297" s="22" t="n"/>
      <c r="I297" s="22" t="n"/>
      <c r="J297" s="22" t="n"/>
      <c r="K297" s="22" t="n"/>
      <c r="L297" s="22" t="n"/>
      <c r="M297" s="22" t="n"/>
      <c r="N297" s="22" t="n"/>
      <c r="O297" s="23">
        <f>IF($C297="","",N(L297)-N(M297))</f>
        <v/>
      </c>
      <c r="P297" s="24" t="n"/>
      <c r="Q297" s="23">
        <f>IF($C297="","",N(M297)+N(N297))</f>
        <v/>
      </c>
      <c r="R297" s="23">
        <f>IF($C297="","",N(J297)+N(Q297))</f>
        <v/>
      </c>
      <c r="S297" s="25">
        <f>IF(OR($C297="",N($G297)=0),"",R297/$G297)</f>
        <v/>
      </c>
      <c r="T297" s="23">
        <f>IF($C297="","",N($G297)-N(R297))</f>
        <v/>
      </c>
      <c r="U297" s="24" t="n"/>
      <c r="V297" s="22" t="n"/>
    </row>
    <row r="298">
      <c r="B298" s="13">
        <f>IF($C298="","",COUNTA($C$9:$C298))</f>
        <v/>
      </c>
      <c r="C298" s="21" t="n"/>
      <c r="D298" s="14" t="n"/>
      <c r="E298" s="14" t="n"/>
      <c r="F298" s="14" t="n"/>
      <c r="G298" s="22" t="n"/>
      <c r="H298" s="22" t="n"/>
      <c r="I298" s="22" t="n"/>
      <c r="J298" s="22" t="n"/>
      <c r="K298" s="22" t="n"/>
      <c r="L298" s="22" t="n"/>
      <c r="M298" s="22" t="n"/>
      <c r="N298" s="22" t="n"/>
      <c r="O298" s="23">
        <f>IF($C298="","",N(L298)-N(M298))</f>
        <v/>
      </c>
      <c r="P298" s="24" t="n"/>
      <c r="Q298" s="23">
        <f>IF($C298="","",N(M298)+N(N298))</f>
        <v/>
      </c>
      <c r="R298" s="23">
        <f>IF($C298="","",N(J298)+N(Q298))</f>
        <v/>
      </c>
      <c r="S298" s="25">
        <f>IF(OR($C298="",N($G298)=0),"",R298/$G298)</f>
        <v/>
      </c>
      <c r="T298" s="23">
        <f>IF($C298="","",N($G298)-N(R298))</f>
        <v/>
      </c>
      <c r="U298" s="24" t="n"/>
      <c r="V298" s="22" t="n"/>
    </row>
    <row r="299">
      <c r="B299" s="13">
        <f>IF($C299="","",COUNTA($C$9:$C299))</f>
        <v/>
      </c>
      <c r="C299" s="21" t="n"/>
      <c r="D299" s="14" t="n"/>
      <c r="E299" s="14" t="n"/>
      <c r="F299" s="14" t="n"/>
      <c r="G299" s="22" t="n"/>
      <c r="H299" s="22" t="n"/>
      <c r="I299" s="22" t="n"/>
      <c r="J299" s="22" t="n"/>
      <c r="K299" s="22" t="n"/>
      <c r="L299" s="22" t="n"/>
      <c r="M299" s="22" t="n"/>
      <c r="N299" s="22" t="n"/>
      <c r="O299" s="23">
        <f>IF($C299="","",N(L299)-N(M299))</f>
        <v/>
      </c>
      <c r="P299" s="24" t="n"/>
      <c r="Q299" s="23">
        <f>IF($C299="","",N(M299)+N(N299))</f>
        <v/>
      </c>
      <c r="R299" s="23">
        <f>IF($C299="","",N(J299)+N(Q299))</f>
        <v/>
      </c>
      <c r="S299" s="25">
        <f>IF(OR($C299="",N($G299)=0),"",R299/$G299)</f>
        <v/>
      </c>
      <c r="T299" s="23">
        <f>IF($C299="","",N($G299)-N(R299))</f>
        <v/>
      </c>
      <c r="U299" s="24" t="n"/>
      <c r="V299" s="22" t="n"/>
    </row>
    <row r="300">
      <c r="B300" s="13">
        <f>IF($C300="","",COUNTA($C$9:$C300))</f>
        <v/>
      </c>
      <c r="C300" s="21" t="n"/>
      <c r="D300" s="14" t="n"/>
      <c r="E300" s="14" t="n"/>
      <c r="F300" s="14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3">
        <f>IF($C300="","",N(L300)-N(M300))</f>
        <v/>
      </c>
      <c r="P300" s="24" t="n"/>
      <c r="Q300" s="23">
        <f>IF($C300="","",N(M300)+N(N300))</f>
        <v/>
      </c>
      <c r="R300" s="23">
        <f>IF($C300="","",N(J300)+N(Q300))</f>
        <v/>
      </c>
      <c r="S300" s="25">
        <f>IF(OR($C300="",N($G300)=0),"",R300/$G300)</f>
        <v/>
      </c>
      <c r="T300" s="23">
        <f>IF($C300="","",N($G300)-N(R300))</f>
        <v/>
      </c>
      <c r="U300" s="24" t="n"/>
      <c r="V300" s="22" t="n"/>
    </row>
    <row r="301">
      <c r="B301" s="13">
        <f>IF($C301="","",COUNTA($C$9:$C301))</f>
        <v/>
      </c>
      <c r="C301" s="21" t="n"/>
      <c r="D301" s="14" t="n"/>
      <c r="E301" s="14" t="n"/>
      <c r="F301" s="14" t="n"/>
      <c r="G301" s="22" t="n"/>
      <c r="H301" s="22" t="n"/>
      <c r="I301" s="22" t="n"/>
      <c r="J301" s="22" t="n"/>
      <c r="K301" s="22" t="n"/>
      <c r="L301" s="22" t="n"/>
      <c r="M301" s="22" t="n"/>
      <c r="N301" s="22" t="n"/>
      <c r="O301" s="23">
        <f>IF($C301="","",N(L301)-N(M301))</f>
        <v/>
      </c>
      <c r="P301" s="24" t="n"/>
      <c r="Q301" s="23">
        <f>IF($C301="","",N(M301)+N(N301))</f>
        <v/>
      </c>
      <c r="R301" s="23">
        <f>IF($C301="","",N(J301)+N(Q301))</f>
        <v/>
      </c>
      <c r="S301" s="25">
        <f>IF(OR($C301="",N($G301)=0),"",R301/$G301)</f>
        <v/>
      </c>
      <c r="T301" s="23">
        <f>IF($C301="","",N($G301)-N(R301))</f>
        <v/>
      </c>
      <c r="U301" s="24" t="n"/>
      <c r="V301" s="22" t="n"/>
    </row>
    <row r="302">
      <c r="B302" s="13">
        <f>IF($C302="","",COUNTA($C$9:$C302))</f>
        <v/>
      </c>
      <c r="C302" s="21" t="n"/>
      <c r="D302" s="14" t="n"/>
      <c r="E302" s="14" t="n"/>
      <c r="F302" s="14" t="n"/>
      <c r="G302" s="22" t="n"/>
      <c r="H302" s="22" t="n"/>
      <c r="I302" s="22" t="n"/>
      <c r="J302" s="22" t="n"/>
      <c r="K302" s="22" t="n"/>
      <c r="L302" s="22" t="n"/>
      <c r="M302" s="22" t="n"/>
      <c r="N302" s="22" t="n"/>
      <c r="O302" s="23">
        <f>IF($C302="","",N(L302)-N(M302))</f>
        <v/>
      </c>
      <c r="P302" s="24" t="n"/>
      <c r="Q302" s="23">
        <f>IF($C302="","",N(M302)+N(N302))</f>
        <v/>
      </c>
      <c r="R302" s="23">
        <f>IF($C302="","",N(J302)+N(Q302))</f>
        <v/>
      </c>
      <c r="S302" s="25">
        <f>IF(OR($C302="",N($G302)=0),"",R302/$G302)</f>
        <v/>
      </c>
      <c r="T302" s="23">
        <f>IF($C302="","",N($G302)-N(R302))</f>
        <v/>
      </c>
      <c r="U302" s="24" t="n"/>
      <c r="V302" s="22" t="n"/>
    </row>
    <row r="303">
      <c r="B303" s="13">
        <f>IF($C303="","",COUNTA($C$9:$C303))</f>
        <v/>
      </c>
      <c r="C303" s="21" t="n"/>
      <c r="D303" s="14" t="n"/>
      <c r="E303" s="14" t="n"/>
      <c r="F303" s="14" t="n"/>
      <c r="G303" s="22" t="n"/>
      <c r="H303" s="22" t="n"/>
      <c r="I303" s="22" t="n"/>
      <c r="J303" s="22" t="n"/>
      <c r="K303" s="22" t="n"/>
      <c r="L303" s="22" t="n"/>
      <c r="M303" s="22" t="n"/>
      <c r="N303" s="22" t="n"/>
      <c r="O303" s="23">
        <f>IF($C303="","",N(L303)-N(M303))</f>
        <v/>
      </c>
      <c r="P303" s="24" t="n"/>
      <c r="Q303" s="23">
        <f>IF($C303="","",N(M303)+N(N303))</f>
        <v/>
      </c>
      <c r="R303" s="23">
        <f>IF($C303="","",N(J303)+N(Q303))</f>
        <v/>
      </c>
      <c r="S303" s="25">
        <f>IF(OR($C303="",N($G303)=0),"",R303/$G303)</f>
        <v/>
      </c>
      <c r="T303" s="23">
        <f>IF($C303="","",N($G303)-N(R303))</f>
        <v/>
      </c>
      <c r="U303" s="24" t="n"/>
      <c r="V303" s="22" t="n"/>
    </row>
    <row r="304">
      <c r="B304" s="13">
        <f>IF($C304="","",COUNTA($C$9:$C304))</f>
        <v/>
      </c>
      <c r="C304" s="21" t="n"/>
      <c r="D304" s="14" t="n"/>
      <c r="E304" s="14" t="n"/>
      <c r="F304" s="14" t="n"/>
      <c r="G304" s="22" t="n"/>
      <c r="H304" s="22" t="n"/>
      <c r="I304" s="22" t="n"/>
      <c r="J304" s="22" t="n"/>
      <c r="K304" s="22" t="n"/>
      <c r="L304" s="22" t="n"/>
      <c r="M304" s="22" t="n"/>
      <c r="N304" s="22" t="n"/>
      <c r="O304" s="23">
        <f>IF($C304="","",N(L304)-N(M304))</f>
        <v/>
      </c>
      <c r="P304" s="24" t="n"/>
      <c r="Q304" s="23">
        <f>IF($C304="","",N(M304)+N(N304))</f>
        <v/>
      </c>
      <c r="R304" s="23">
        <f>IF($C304="","",N(J304)+N(Q304))</f>
        <v/>
      </c>
      <c r="S304" s="25">
        <f>IF(OR($C304="",N($G304)=0),"",R304/$G304)</f>
        <v/>
      </c>
      <c r="T304" s="23">
        <f>IF($C304="","",N($G304)-N(R304))</f>
        <v/>
      </c>
      <c r="U304" s="24" t="n"/>
      <c r="V304" s="22" t="n"/>
    </row>
    <row r="305">
      <c r="B305" s="13">
        <f>IF($C305="","",COUNTA($C$9:$C305))</f>
        <v/>
      </c>
      <c r="C305" s="21" t="n"/>
      <c r="D305" s="14" t="n"/>
      <c r="E305" s="14" t="n"/>
      <c r="F305" s="14" t="n"/>
      <c r="G305" s="22" t="n"/>
      <c r="H305" s="22" t="n"/>
      <c r="I305" s="22" t="n"/>
      <c r="J305" s="22" t="n"/>
      <c r="K305" s="22" t="n"/>
      <c r="L305" s="22" t="n"/>
      <c r="M305" s="22" t="n"/>
      <c r="N305" s="22" t="n"/>
      <c r="O305" s="23">
        <f>IF($C305="","",N(L305)-N(M305))</f>
        <v/>
      </c>
      <c r="P305" s="24" t="n"/>
      <c r="Q305" s="23">
        <f>IF($C305="","",N(M305)+N(N305))</f>
        <v/>
      </c>
      <c r="R305" s="23">
        <f>IF($C305="","",N(J305)+N(Q305))</f>
        <v/>
      </c>
      <c r="S305" s="25">
        <f>IF(OR($C305="",N($G305)=0),"",R305/$G305)</f>
        <v/>
      </c>
      <c r="T305" s="23">
        <f>IF($C305="","",N($G305)-N(R305))</f>
        <v/>
      </c>
      <c r="U305" s="24" t="n"/>
      <c r="V305" s="22" t="n"/>
    </row>
    <row r="306">
      <c r="B306" s="13">
        <f>IF($C306="","",COUNTA($C$9:$C306))</f>
        <v/>
      </c>
      <c r="C306" s="21" t="n"/>
      <c r="D306" s="14" t="n"/>
      <c r="E306" s="14" t="n"/>
      <c r="F306" s="14" t="n"/>
      <c r="G306" s="22" t="n"/>
      <c r="H306" s="22" t="n"/>
      <c r="I306" s="22" t="n"/>
      <c r="J306" s="22" t="n"/>
      <c r="K306" s="22" t="n"/>
      <c r="L306" s="22" t="n"/>
      <c r="M306" s="22" t="n"/>
      <c r="N306" s="22" t="n"/>
      <c r="O306" s="23">
        <f>IF($C306="","",N(L306)-N(M306))</f>
        <v/>
      </c>
      <c r="P306" s="24" t="n"/>
      <c r="Q306" s="23">
        <f>IF($C306="","",N(M306)+N(N306))</f>
        <v/>
      </c>
      <c r="R306" s="23">
        <f>IF($C306="","",N(J306)+N(Q306))</f>
        <v/>
      </c>
      <c r="S306" s="25">
        <f>IF(OR($C306="",N($G306)=0),"",R306/$G306)</f>
        <v/>
      </c>
      <c r="T306" s="23">
        <f>IF($C306="","",N($G306)-N(R306))</f>
        <v/>
      </c>
      <c r="U306" s="24" t="n"/>
      <c r="V306" s="22" t="n"/>
    </row>
    <row r="307">
      <c r="B307" s="13">
        <f>IF($C307="","",COUNTA($C$9:$C307))</f>
        <v/>
      </c>
      <c r="C307" s="21" t="n"/>
      <c r="D307" s="14" t="n"/>
      <c r="E307" s="14" t="n"/>
      <c r="F307" s="14" t="n"/>
      <c r="G307" s="22" t="n"/>
      <c r="H307" s="22" t="n"/>
      <c r="I307" s="22" t="n"/>
      <c r="J307" s="22" t="n"/>
      <c r="K307" s="22" t="n"/>
      <c r="L307" s="22" t="n"/>
      <c r="M307" s="22" t="n"/>
      <c r="N307" s="22" t="n"/>
      <c r="O307" s="23">
        <f>IF($C307="","",N(L307)-N(M307))</f>
        <v/>
      </c>
      <c r="P307" s="24" t="n"/>
      <c r="Q307" s="23">
        <f>IF($C307="","",N(M307)+N(N307))</f>
        <v/>
      </c>
      <c r="R307" s="23">
        <f>IF($C307="","",N(J307)+N(Q307))</f>
        <v/>
      </c>
      <c r="S307" s="25">
        <f>IF(OR($C307="",N($G307)=0),"",R307/$G307)</f>
        <v/>
      </c>
      <c r="T307" s="23">
        <f>IF($C307="","",N($G307)-N(R307))</f>
        <v/>
      </c>
      <c r="U307" s="24" t="n"/>
      <c r="V307" s="22" t="n"/>
    </row>
    <row r="308">
      <c r="B308" s="13">
        <f>IF($C308="","",COUNTA($C$9:$C308))</f>
        <v/>
      </c>
      <c r="C308" s="21" t="n"/>
      <c r="D308" s="14" t="n"/>
      <c r="E308" s="14" t="n"/>
      <c r="F308" s="14" t="n"/>
      <c r="G308" s="22" t="n"/>
      <c r="H308" s="22" t="n"/>
      <c r="I308" s="22" t="n"/>
      <c r="J308" s="22" t="n"/>
      <c r="K308" s="22" t="n"/>
      <c r="L308" s="22" t="n"/>
      <c r="M308" s="22" t="n"/>
      <c r="N308" s="22" t="n"/>
      <c r="O308" s="23">
        <f>IF($C308="","",N(L308)-N(M308))</f>
        <v/>
      </c>
      <c r="P308" s="24" t="n"/>
      <c r="Q308" s="23">
        <f>IF($C308="","",N(M308)+N(N308))</f>
        <v/>
      </c>
      <c r="R308" s="23">
        <f>IF($C308="","",N(J308)+N(Q308))</f>
        <v/>
      </c>
      <c r="S308" s="25">
        <f>IF(OR($C308="",N($G308)=0),"",R308/$G308)</f>
        <v/>
      </c>
      <c r="T308" s="23">
        <f>IF($C308="","",N($G308)-N(R308))</f>
        <v/>
      </c>
      <c r="U308" s="24" t="n"/>
      <c r="V308" s="22" t="n"/>
    </row>
    <row r="309">
      <c r="B309" s="13">
        <f>IF($C309="","",COUNTA($C$9:$C309))</f>
        <v/>
      </c>
      <c r="C309" s="21" t="n"/>
      <c r="D309" s="14" t="n"/>
      <c r="E309" s="14" t="n"/>
      <c r="F309" s="14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3">
        <f>IF($C309="","",N(L309)-N(M309))</f>
        <v/>
      </c>
      <c r="P309" s="24" t="n"/>
      <c r="Q309" s="23">
        <f>IF($C309="","",N(M309)+N(N309))</f>
        <v/>
      </c>
      <c r="R309" s="23">
        <f>IF($C309="","",N(J309)+N(Q309))</f>
        <v/>
      </c>
      <c r="S309" s="25">
        <f>IF(OR($C309="",N($G309)=0),"",R309/$G309)</f>
        <v/>
      </c>
      <c r="T309" s="23">
        <f>IF($C309="","",N($G309)-N(R309))</f>
        <v/>
      </c>
      <c r="U309" s="24" t="n"/>
      <c r="V309" s="22" t="n"/>
    </row>
    <row r="310">
      <c r="B310" s="13">
        <f>IF($C310="","",COUNTA($C$9:$C310))</f>
        <v/>
      </c>
      <c r="C310" s="21" t="n"/>
      <c r="D310" s="14" t="n"/>
      <c r="E310" s="14" t="n"/>
      <c r="F310" s="14" t="n"/>
      <c r="G310" s="22" t="n"/>
      <c r="H310" s="22" t="n"/>
      <c r="I310" s="22" t="n"/>
      <c r="J310" s="22" t="n"/>
      <c r="K310" s="22" t="n"/>
      <c r="L310" s="22" t="n"/>
      <c r="M310" s="22" t="n"/>
      <c r="N310" s="22" t="n"/>
      <c r="O310" s="23">
        <f>IF($C310="","",N(L310)-N(M310))</f>
        <v/>
      </c>
      <c r="P310" s="24" t="n"/>
      <c r="Q310" s="23">
        <f>IF($C310="","",N(M310)+N(N310))</f>
        <v/>
      </c>
      <c r="R310" s="23">
        <f>IF($C310="","",N(J310)+N(Q310))</f>
        <v/>
      </c>
      <c r="S310" s="25">
        <f>IF(OR($C310="",N($G310)=0),"",R310/$G310)</f>
        <v/>
      </c>
      <c r="T310" s="23">
        <f>IF($C310="","",N($G310)-N(R310))</f>
        <v/>
      </c>
      <c r="U310" s="24" t="n"/>
      <c r="V310" s="22" t="n"/>
    </row>
    <row r="311">
      <c r="B311" s="13">
        <f>IF($C311="","",COUNTA($C$9:$C311))</f>
        <v/>
      </c>
      <c r="C311" s="21" t="n"/>
      <c r="D311" s="14" t="n"/>
      <c r="E311" s="14" t="n"/>
      <c r="F311" s="14" t="n"/>
      <c r="G311" s="22" t="n"/>
      <c r="H311" s="22" t="n"/>
      <c r="I311" s="22" t="n"/>
      <c r="J311" s="22" t="n"/>
      <c r="K311" s="22" t="n"/>
      <c r="L311" s="22" t="n"/>
      <c r="M311" s="22" t="n"/>
      <c r="N311" s="22" t="n"/>
      <c r="O311" s="23">
        <f>IF($C311="","",N(L311)-N(M311))</f>
        <v/>
      </c>
      <c r="P311" s="24" t="n"/>
      <c r="Q311" s="23">
        <f>IF($C311="","",N(M311)+N(N311))</f>
        <v/>
      </c>
      <c r="R311" s="23">
        <f>IF($C311="","",N(J311)+N(Q311))</f>
        <v/>
      </c>
      <c r="S311" s="25">
        <f>IF(OR($C311="",N($G311)=0),"",R311/$G311)</f>
        <v/>
      </c>
      <c r="T311" s="23">
        <f>IF($C311="","",N($G311)-N(R311))</f>
        <v/>
      </c>
      <c r="U311" s="24" t="n"/>
      <c r="V311" s="22" t="n"/>
    </row>
    <row r="312">
      <c r="B312" s="13">
        <f>IF($C312="","",COUNTA($C$9:$C312))</f>
        <v/>
      </c>
      <c r="C312" s="21" t="n"/>
      <c r="D312" s="14" t="n"/>
      <c r="E312" s="14" t="n"/>
      <c r="F312" s="14" t="n"/>
      <c r="G312" s="22" t="n"/>
      <c r="H312" s="22" t="n"/>
      <c r="I312" s="22" t="n"/>
      <c r="J312" s="22" t="n"/>
      <c r="K312" s="22" t="n"/>
      <c r="L312" s="22" t="n"/>
      <c r="M312" s="22" t="n"/>
      <c r="N312" s="22" t="n"/>
      <c r="O312" s="23">
        <f>IF($C312="","",N(L312)-N(M312))</f>
        <v/>
      </c>
      <c r="P312" s="24" t="n"/>
      <c r="Q312" s="23">
        <f>IF($C312="","",N(M312)+N(N312))</f>
        <v/>
      </c>
      <c r="R312" s="23">
        <f>IF($C312="","",N(J312)+N(Q312))</f>
        <v/>
      </c>
      <c r="S312" s="25">
        <f>IF(OR($C312="",N($G312)=0),"",R312/$G312)</f>
        <v/>
      </c>
      <c r="T312" s="23">
        <f>IF($C312="","",N($G312)-N(R312))</f>
        <v/>
      </c>
      <c r="U312" s="24" t="n"/>
      <c r="V312" s="22" t="n"/>
    </row>
    <row r="313">
      <c r="B313" s="13">
        <f>IF($C313="","",COUNTA($C$9:$C313))</f>
        <v/>
      </c>
      <c r="C313" s="21" t="n"/>
      <c r="D313" s="14" t="n"/>
      <c r="E313" s="14" t="n"/>
      <c r="F313" s="14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3">
        <f>IF($C313="","",N(L313)-N(M313))</f>
        <v/>
      </c>
      <c r="P313" s="24" t="n"/>
      <c r="Q313" s="23">
        <f>IF($C313="","",N(M313)+N(N313))</f>
        <v/>
      </c>
      <c r="R313" s="23">
        <f>IF($C313="","",N(J313)+N(Q313))</f>
        <v/>
      </c>
      <c r="S313" s="25">
        <f>IF(OR($C313="",N($G313)=0),"",R313/$G313)</f>
        <v/>
      </c>
      <c r="T313" s="23">
        <f>IF($C313="","",N($G313)-N(R313))</f>
        <v/>
      </c>
      <c r="U313" s="24" t="n"/>
      <c r="V313" s="22" t="n"/>
    </row>
    <row r="314">
      <c r="B314" s="13">
        <f>IF($C314="","",COUNTA($C$9:$C314))</f>
        <v/>
      </c>
      <c r="C314" s="21" t="n"/>
      <c r="D314" s="14" t="n"/>
      <c r="E314" s="14" t="n"/>
      <c r="F314" s="14" t="n"/>
      <c r="G314" s="22" t="n"/>
      <c r="H314" s="22" t="n"/>
      <c r="I314" s="22" t="n"/>
      <c r="J314" s="22" t="n"/>
      <c r="K314" s="22" t="n"/>
      <c r="L314" s="22" t="n"/>
      <c r="M314" s="22" t="n"/>
      <c r="N314" s="22" t="n"/>
      <c r="O314" s="23">
        <f>IF($C314="","",N(L314)-N(M314))</f>
        <v/>
      </c>
      <c r="P314" s="24" t="n"/>
      <c r="Q314" s="23">
        <f>IF($C314="","",N(M314)+N(N314))</f>
        <v/>
      </c>
      <c r="R314" s="23">
        <f>IF($C314="","",N(J314)+N(Q314))</f>
        <v/>
      </c>
      <c r="S314" s="25">
        <f>IF(OR($C314="",N($G314)=0),"",R314/$G314)</f>
        <v/>
      </c>
      <c r="T314" s="23">
        <f>IF($C314="","",N($G314)-N(R314))</f>
        <v/>
      </c>
      <c r="U314" s="24" t="n"/>
      <c r="V314" s="22" t="n"/>
    </row>
    <row r="315">
      <c r="B315" s="13">
        <f>IF($C315="","",COUNTA($C$9:$C315))</f>
        <v/>
      </c>
      <c r="C315" s="21" t="n"/>
      <c r="D315" s="14" t="n"/>
      <c r="E315" s="14" t="n"/>
      <c r="F315" s="14" t="n"/>
      <c r="G315" s="22" t="n"/>
      <c r="H315" s="22" t="n"/>
      <c r="I315" s="22" t="n"/>
      <c r="J315" s="22" t="n"/>
      <c r="K315" s="22" t="n"/>
      <c r="L315" s="22" t="n"/>
      <c r="M315" s="22" t="n"/>
      <c r="N315" s="22" t="n"/>
      <c r="O315" s="23">
        <f>IF($C315="","",N(L315)-N(M315))</f>
        <v/>
      </c>
      <c r="P315" s="24" t="n"/>
      <c r="Q315" s="23">
        <f>IF($C315="","",N(M315)+N(N315))</f>
        <v/>
      </c>
      <c r="R315" s="23">
        <f>IF($C315="","",N(J315)+N(Q315))</f>
        <v/>
      </c>
      <c r="S315" s="25">
        <f>IF(OR($C315="",N($G315)=0),"",R315/$G315)</f>
        <v/>
      </c>
      <c r="T315" s="23">
        <f>IF($C315="","",N($G315)-N(R315))</f>
        <v/>
      </c>
      <c r="U315" s="24" t="n"/>
      <c r="V315" s="22" t="n"/>
    </row>
    <row r="316">
      <c r="B316" s="13">
        <f>IF($C316="","",COUNTA($C$9:$C316))</f>
        <v/>
      </c>
      <c r="C316" s="21" t="n"/>
      <c r="D316" s="14" t="n"/>
      <c r="E316" s="14" t="n"/>
      <c r="F316" s="14" t="n"/>
      <c r="G316" s="22" t="n"/>
      <c r="H316" s="22" t="n"/>
      <c r="I316" s="22" t="n"/>
      <c r="J316" s="22" t="n"/>
      <c r="K316" s="22" t="n"/>
      <c r="L316" s="22" t="n"/>
      <c r="M316" s="22" t="n"/>
      <c r="N316" s="22" t="n"/>
      <c r="O316" s="23">
        <f>IF($C316="","",N(L316)-N(M316))</f>
        <v/>
      </c>
      <c r="P316" s="24" t="n"/>
      <c r="Q316" s="23">
        <f>IF($C316="","",N(M316)+N(N316))</f>
        <v/>
      </c>
      <c r="R316" s="23">
        <f>IF($C316="","",N(J316)+N(Q316))</f>
        <v/>
      </c>
      <c r="S316" s="25">
        <f>IF(OR($C316="",N($G316)=0),"",R316/$G316)</f>
        <v/>
      </c>
      <c r="T316" s="23">
        <f>IF($C316="","",N($G316)-N(R316))</f>
        <v/>
      </c>
      <c r="U316" s="24" t="n"/>
      <c r="V316" s="22" t="n"/>
    </row>
    <row r="317">
      <c r="B317" s="13">
        <f>IF($C317="","",COUNTA($C$9:$C317))</f>
        <v/>
      </c>
      <c r="C317" s="21" t="n"/>
      <c r="D317" s="14" t="n"/>
      <c r="E317" s="14" t="n"/>
      <c r="F317" s="14" t="n"/>
      <c r="G317" s="22" t="n"/>
      <c r="H317" s="22" t="n"/>
      <c r="I317" s="22" t="n"/>
      <c r="J317" s="22" t="n"/>
      <c r="K317" s="22" t="n"/>
      <c r="L317" s="22" t="n"/>
      <c r="M317" s="22" t="n"/>
      <c r="N317" s="22" t="n"/>
      <c r="O317" s="23">
        <f>IF($C317="","",N(L317)-N(M317))</f>
        <v/>
      </c>
      <c r="P317" s="24" t="n"/>
      <c r="Q317" s="23">
        <f>IF($C317="","",N(M317)+N(N317))</f>
        <v/>
      </c>
      <c r="R317" s="23">
        <f>IF($C317="","",N(J317)+N(Q317))</f>
        <v/>
      </c>
      <c r="S317" s="25">
        <f>IF(OR($C317="",N($G317)=0),"",R317/$G317)</f>
        <v/>
      </c>
      <c r="T317" s="23">
        <f>IF($C317="","",N($G317)-N(R317))</f>
        <v/>
      </c>
      <c r="U317" s="24" t="n"/>
      <c r="V317" s="22" t="n"/>
    </row>
    <row r="318">
      <c r="B318" s="13">
        <f>IF($C318="","",COUNTA($C$9:$C318))</f>
        <v/>
      </c>
      <c r="C318" s="21" t="n"/>
      <c r="D318" s="14" t="n"/>
      <c r="E318" s="14" t="n"/>
      <c r="F318" s="14" t="n"/>
      <c r="G318" s="22" t="n"/>
      <c r="H318" s="22" t="n"/>
      <c r="I318" s="22" t="n"/>
      <c r="J318" s="22" t="n"/>
      <c r="K318" s="22" t="n"/>
      <c r="L318" s="22" t="n"/>
      <c r="M318" s="22" t="n"/>
      <c r="N318" s="22" t="n"/>
      <c r="O318" s="23">
        <f>IF($C318="","",N(L318)-N(M318))</f>
        <v/>
      </c>
      <c r="P318" s="24" t="n"/>
      <c r="Q318" s="23">
        <f>IF($C318="","",N(M318)+N(N318))</f>
        <v/>
      </c>
      <c r="R318" s="23">
        <f>IF($C318="","",N(J318)+N(Q318))</f>
        <v/>
      </c>
      <c r="S318" s="25">
        <f>IF(OR($C318="",N($G318)=0),"",R318/$G318)</f>
        <v/>
      </c>
      <c r="T318" s="23">
        <f>IF($C318="","",N($G318)-N(R318))</f>
        <v/>
      </c>
      <c r="U318" s="24" t="n"/>
      <c r="V318" s="22" t="n"/>
    </row>
    <row r="319">
      <c r="B319" s="13">
        <f>IF($C319="","",COUNTA($C$9:$C319))</f>
        <v/>
      </c>
      <c r="C319" s="21" t="n"/>
      <c r="D319" s="14" t="n"/>
      <c r="E319" s="14" t="n"/>
      <c r="F319" s="14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3">
        <f>IF($C319="","",N(L319)-N(M319))</f>
        <v/>
      </c>
      <c r="P319" s="24" t="n"/>
      <c r="Q319" s="23">
        <f>IF($C319="","",N(M319)+N(N319))</f>
        <v/>
      </c>
      <c r="R319" s="23">
        <f>IF($C319="","",N(J319)+N(Q319))</f>
        <v/>
      </c>
      <c r="S319" s="25">
        <f>IF(OR($C319="",N($G319)=0),"",R319/$G319)</f>
        <v/>
      </c>
      <c r="T319" s="23">
        <f>IF($C319="","",N($G319)-N(R319))</f>
        <v/>
      </c>
      <c r="U319" s="24" t="n"/>
      <c r="V319" s="22" t="n"/>
    </row>
    <row r="320">
      <c r="B320" s="13">
        <f>IF($C320="","",COUNTA($C$9:$C320))</f>
        <v/>
      </c>
      <c r="C320" s="21" t="n"/>
      <c r="D320" s="14" t="n"/>
      <c r="E320" s="14" t="n"/>
      <c r="F320" s="14" t="n"/>
      <c r="G320" s="22" t="n"/>
      <c r="H320" s="22" t="n"/>
      <c r="I320" s="22" t="n"/>
      <c r="J320" s="22" t="n"/>
      <c r="K320" s="22" t="n"/>
      <c r="L320" s="22" t="n"/>
      <c r="M320" s="22" t="n"/>
      <c r="N320" s="22" t="n"/>
      <c r="O320" s="23">
        <f>IF($C320="","",N(L320)-N(M320))</f>
        <v/>
      </c>
      <c r="P320" s="24" t="n"/>
      <c r="Q320" s="23">
        <f>IF($C320="","",N(M320)+N(N320))</f>
        <v/>
      </c>
      <c r="R320" s="23">
        <f>IF($C320="","",N(J320)+N(Q320))</f>
        <v/>
      </c>
      <c r="S320" s="25">
        <f>IF(OR($C320="",N($G320)=0),"",R320/$G320)</f>
        <v/>
      </c>
      <c r="T320" s="23">
        <f>IF($C320="","",N($G320)-N(R320))</f>
        <v/>
      </c>
      <c r="U320" s="24" t="n"/>
      <c r="V320" s="22" t="n"/>
    </row>
    <row r="321">
      <c r="B321" s="13">
        <f>IF($C321="","",COUNTA($C$9:$C321))</f>
        <v/>
      </c>
      <c r="C321" s="21" t="n"/>
      <c r="D321" s="14" t="n"/>
      <c r="E321" s="14" t="n"/>
      <c r="F321" s="14" t="n"/>
      <c r="G321" s="22" t="n"/>
      <c r="H321" s="22" t="n"/>
      <c r="I321" s="22" t="n"/>
      <c r="J321" s="22" t="n"/>
      <c r="K321" s="22" t="n"/>
      <c r="L321" s="22" t="n"/>
      <c r="M321" s="22" t="n"/>
      <c r="N321" s="22" t="n"/>
      <c r="O321" s="23">
        <f>IF($C321="","",N(L321)-N(M321))</f>
        <v/>
      </c>
      <c r="P321" s="24" t="n"/>
      <c r="Q321" s="23">
        <f>IF($C321="","",N(M321)+N(N321))</f>
        <v/>
      </c>
      <c r="R321" s="23">
        <f>IF($C321="","",N(J321)+N(Q321))</f>
        <v/>
      </c>
      <c r="S321" s="25">
        <f>IF(OR($C321="",N($G321)=0),"",R321/$G321)</f>
        <v/>
      </c>
      <c r="T321" s="23">
        <f>IF($C321="","",N($G321)-N(R321))</f>
        <v/>
      </c>
      <c r="U321" s="24" t="n"/>
      <c r="V321" s="22" t="n"/>
    </row>
    <row r="322">
      <c r="B322" s="13">
        <f>IF($C322="","",COUNTA($C$9:$C322))</f>
        <v/>
      </c>
      <c r="C322" s="21" t="n"/>
      <c r="D322" s="14" t="n"/>
      <c r="E322" s="14" t="n"/>
      <c r="F322" s="14" t="n"/>
      <c r="G322" s="22" t="n"/>
      <c r="H322" s="22" t="n"/>
      <c r="I322" s="22" t="n"/>
      <c r="J322" s="22" t="n"/>
      <c r="K322" s="22" t="n"/>
      <c r="L322" s="22" t="n"/>
      <c r="M322" s="22" t="n"/>
      <c r="N322" s="22" t="n"/>
      <c r="O322" s="23">
        <f>IF($C322="","",N(L322)-N(M322))</f>
        <v/>
      </c>
      <c r="P322" s="24" t="n"/>
      <c r="Q322" s="23">
        <f>IF($C322="","",N(M322)+N(N322))</f>
        <v/>
      </c>
      <c r="R322" s="23">
        <f>IF($C322="","",N(J322)+N(Q322))</f>
        <v/>
      </c>
      <c r="S322" s="25">
        <f>IF(OR($C322="",N($G322)=0),"",R322/$G322)</f>
        <v/>
      </c>
      <c r="T322" s="23">
        <f>IF($C322="","",N($G322)-N(R322))</f>
        <v/>
      </c>
      <c r="U322" s="24" t="n"/>
      <c r="V322" s="22" t="n"/>
    </row>
    <row r="323">
      <c r="B323" s="13">
        <f>IF($C323="","",COUNTA($C$9:$C323))</f>
        <v/>
      </c>
      <c r="C323" s="21" t="n"/>
      <c r="D323" s="14" t="n"/>
      <c r="E323" s="14" t="n"/>
      <c r="F323" s="14" t="n"/>
      <c r="G323" s="22" t="n"/>
      <c r="H323" s="22" t="n"/>
      <c r="I323" s="22" t="n"/>
      <c r="J323" s="22" t="n"/>
      <c r="K323" s="22" t="n"/>
      <c r="L323" s="22" t="n"/>
      <c r="M323" s="22" t="n"/>
      <c r="N323" s="22" t="n"/>
      <c r="O323" s="23">
        <f>IF($C323="","",N(L323)-N(M323))</f>
        <v/>
      </c>
      <c r="P323" s="24" t="n"/>
      <c r="Q323" s="23">
        <f>IF($C323="","",N(M323)+N(N323))</f>
        <v/>
      </c>
      <c r="R323" s="23">
        <f>IF($C323="","",N(J323)+N(Q323))</f>
        <v/>
      </c>
      <c r="S323" s="25">
        <f>IF(OR($C323="",N($G323)=0),"",R323/$G323)</f>
        <v/>
      </c>
      <c r="T323" s="23">
        <f>IF($C323="","",N($G323)-N(R323))</f>
        <v/>
      </c>
      <c r="U323" s="24" t="n"/>
      <c r="V323" s="22" t="n"/>
    </row>
    <row r="324">
      <c r="B324" s="13">
        <f>IF($C324="","",COUNTA($C$9:$C324))</f>
        <v/>
      </c>
      <c r="C324" s="21" t="n"/>
      <c r="D324" s="14" t="n"/>
      <c r="E324" s="14" t="n"/>
      <c r="F324" s="14" t="n"/>
      <c r="G324" s="22" t="n"/>
      <c r="H324" s="22" t="n"/>
      <c r="I324" s="22" t="n"/>
      <c r="J324" s="22" t="n"/>
      <c r="K324" s="22" t="n"/>
      <c r="L324" s="22" t="n"/>
      <c r="M324" s="22" t="n"/>
      <c r="N324" s="22" t="n"/>
      <c r="O324" s="23">
        <f>IF($C324="","",N(L324)-N(M324))</f>
        <v/>
      </c>
      <c r="P324" s="24" t="n"/>
      <c r="Q324" s="23">
        <f>IF($C324="","",N(M324)+N(N324))</f>
        <v/>
      </c>
      <c r="R324" s="23">
        <f>IF($C324="","",N(J324)+N(Q324))</f>
        <v/>
      </c>
      <c r="S324" s="25">
        <f>IF(OR($C324="",N($G324)=0),"",R324/$G324)</f>
        <v/>
      </c>
      <c r="T324" s="23">
        <f>IF($C324="","",N($G324)-N(R324))</f>
        <v/>
      </c>
      <c r="U324" s="24" t="n"/>
      <c r="V324" s="22" t="n"/>
    </row>
    <row r="325">
      <c r="B325" s="13">
        <f>IF($C325="","",COUNTA($C$9:$C325))</f>
        <v/>
      </c>
      <c r="C325" s="21" t="n"/>
      <c r="D325" s="14" t="n"/>
      <c r="E325" s="14" t="n"/>
      <c r="F325" s="14" t="n"/>
      <c r="G325" s="22" t="n"/>
      <c r="H325" s="22" t="n"/>
      <c r="I325" s="22" t="n"/>
      <c r="J325" s="22" t="n"/>
      <c r="K325" s="22" t="n"/>
      <c r="L325" s="22" t="n"/>
      <c r="M325" s="22" t="n"/>
      <c r="N325" s="22" t="n"/>
      <c r="O325" s="23">
        <f>IF($C325="","",N(L325)-N(M325))</f>
        <v/>
      </c>
      <c r="P325" s="24" t="n"/>
      <c r="Q325" s="23">
        <f>IF($C325="","",N(M325)+N(N325))</f>
        <v/>
      </c>
      <c r="R325" s="23">
        <f>IF($C325="","",N(J325)+N(Q325))</f>
        <v/>
      </c>
      <c r="S325" s="25">
        <f>IF(OR($C325="",N($G325)=0),"",R325/$G325)</f>
        <v/>
      </c>
      <c r="T325" s="23">
        <f>IF($C325="","",N($G325)-N(R325))</f>
        <v/>
      </c>
      <c r="U325" s="24" t="n"/>
      <c r="V325" s="22" t="n"/>
    </row>
    <row r="326">
      <c r="B326" s="13">
        <f>IF($C326="","",COUNTA($C$9:$C326))</f>
        <v/>
      </c>
      <c r="C326" s="21" t="n"/>
      <c r="D326" s="14" t="n"/>
      <c r="E326" s="14" t="n"/>
      <c r="F326" s="14" t="n"/>
      <c r="G326" s="22" t="n"/>
      <c r="H326" s="22" t="n"/>
      <c r="I326" s="22" t="n"/>
      <c r="J326" s="22" t="n"/>
      <c r="K326" s="22" t="n"/>
      <c r="L326" s="22" t="n"/>
      <c r="M326" s="22" t="n"/>
      <c r="N326" s="22" t="n"/>
      <c r="O326" s="23">
        <f>IF($C326="","",N(L326)-N(M326))</f>
        <v/>
      </c>
      <c r="P326" s="24" t="n"/>
      <c r="Q326" s="23">
        <f>IF($C326="","",N(M326)+N(N326))</f>
        <v/>
      </c>
      <c r="R326" s="23">
        <f>IF($C326="","",N(J326)+N(Q326))</f>
        <v/>
      </c>
      <c r="S326" s="25">
        <f>IF(OR($C326="",N($G326)=0),"",R326/$G326)</f>
        <v/>
      </c>
      <c r="T326" s="23">
        <f>IF($C326="","",N($G326)-N(R326))</f>
        <v/>
      </c>
      <c r="U326" s="24" t="n"/>
      <c r="V326" s="22" t="n"/>
    </row>
    <row r="327">
      <c r="B327" s="13">
        <f>IF($C327="","",COUNTA($C$9:$C327))</f>
        <v/>
      </c>
      <c r="C327" s="21" t="n"/>
      <c r="D327" s="14" t="n"/>
      <c r="E327" s="14" t="n"/>
      <c r="F327" s="14" t="n"/>
      <c r="G327" s="22" t="n"/>
      <c r="H327" s="22" t="n"/>
      <c r="I327" s="22" t="n"/>
      <c r="J327" s="22" t="n"/>
      <c r="K327" s="22" t="n"/>
      <c r="L327" s="22" t="n"/>
      <c r="M327" s="22" t="n"/>
      <c r="N327" s="22" t="n"/>
      <c r="O327" s="23">
        <f>IF($C327="","",N(L327)-N(M327))</f>
        <v/>
      </c>
      <c r="P327" s="24" t="n"/>
      <c r="Q327" s="23">
        <f>IF($C327="","",N(M327)+N(N327))</f>
        <v/>
      </c>
      <c r="R327" s="23">
        <f>IF($C327="","",N(J327)+N(Q327))</f>
        <v/>
      </c>
      <c r="S327" s="25">
        <f>IF(OR($C327="",N($G327)=0),"",R327/$G327)</f>
        <v/>
      </c>
      <c r="T327" s="23">
        <f>IF($C327="","",N($G327)-N(R327))</f>
        <v/>
      </c>
      <c r="U327" s="24" t="n"/>
      <c r="V327" s="22" t="n"/>
    </row>
    <row r="328">
      <c r="B328" s="13">
        <f>IF($C328="","",COUNTA($C$9:$C328))</f>
        <v/>
      </c>
      <c r="C328" s="21" t="n"/>
      <c r="D328" s="14" t="n"/>
      <c r="E328" s="14" t="n"/>
      <c r="F328" s="14" t="n"/>
      <c r="G328" s="22" t="n"/>
      <c r="H328" s="22" t="n"/>
      <c r="I328" s="22" t="n"/>
      <c r="J328" s="22" t="n"/>
      <c r="K328" s="22" t="n"/>
      <c r="L328" s="22" t="n"/>
      <c r="M328" s="22" t="n"/>
      <c r="N328" s="22" t="n"/>
      <c r="O328" s="23">
        <f>IF($C328="","",N(L328)-N(M328))</f>
        <v/>
      </c>
      <c r="P328" s="24" t="n"/>
      <c r="Q328" s="23">
        <f>IF($C328="","",N(M328)+N(N328))</f>
        <v/>
      </c>
      <c r="R328" s="23">
        <f>IF($C328="","",N(J328)+N(Q328))</f>
        <v/>
      </c>
      <c r="S328" s="25">
        <f>IF(OR($C328="",N($G328)=0),"",R328/$G328)</f>
        <v/>
      </c>
      <c r="T328" s="23">
        <f>IF($C328="","",N($G328)-N(R328))</f>
        <v/>
      </c>
      <c r="U328" s="24" t="n"/>
      <c r="V328" s="22" t="n"/>
    </row>
    <row r="329">
      <c r="B329" s="13">
        <f>IF($C329="","",COUNTA($C$9:$C329))</f>
        <v/>
      </c>
      <c r="C329" s="21" t="n"/>
      <c r="D329" s="14" t="n"/>
      <c r="E329" s="14" t="n"/>
      <c r="F329" s="14" t="n"/>
      <c r="G329" s="22" t="n"/>
      <c r="H329" s="22" t="n"/>
      <c r="I329" s="22" t="n"/>
      <c r="J329" s="22" t="n"/>
      <c r="K329" s="22" t="n"/>
      <c r="L329" s="22" t="n"/>
      <c r="M329" s="22" t="n"/>
      <c r="N329" s="22" t="n"/>
      <c r="O329" s="23">
        <f>IF($C329="","",N(L329)-N(M329))</f>
        <v/>
      </c>
      <c r="P329" s="24" t="n"/>
      <c r="Q329" s="23">
        <f>IF($C329="","",N(M329)+N(N329))</f>
        <v/>
      </c>
      <c r="R329" s="23">
        <f>IF($C329="","",N(J329)+N(Q329))</f>
        <v/>
      </c>
      <c r="S329" s="25">
        <f>IF(OR($C329="",N($G329)=0),"",R329/$G329)</f>
        <v/>
      </c>
      <c r="T329" s="23">
        <f>IF($C329="","",N($G329)-N(R329))</f>
        <v/>
      </c>
      <c r="U329" s="24" t="n"/>
      <c r="V329" s="22" t="n"/>
    </row>
    <row r="330">
      <c r="B330" s="13">
        <f>IF($C330="","",COUNTA($C$9:$C330))</f>
        <v/>
      </c>
      <c r="C330" s="21" t="n"/>
      <c r="D330" s="14" t="n"/>
      <c r="E330" s="14" t="n"/>
      <c r="F330" s="14" t="n"/>
      <c r="G330" s="22" t="n"/>
      <c r="H330" s="22" t="n"/>
      <c r="I330" s="22" t="n"/>
      <c r="J330" s="22" t="n"/>
      <c r="K330" s="22" t="n"/>
      <c r="L330" s="22" t="n"/>
      <c r="M330" s="22" t="n"/>
      <c r="N330" s="22" t="n"/>
      <c r="O330" s="23">
        <f>IF($C330="","",N(L330)-N(M330))</f>
        <v/>
      </c>
      <c r="P330" s="24" t="n"/>
      <c r="Q330" s="23">
        <f>IF($C330="","",N(M330)+N(N330))</f>
        <v/>
      </c>
      <c r="R330" s="23">
        <f>IF($C330="","",N(J330)+N(Q330))</f>
        <v/>
      </c>
      <c r="S330" s="25">
        <f>IF(OR($C330="",N($G330)=0),"",R330/$G330)</f>
        <v/>
      </c>
      <c r="T330" s="23">
        <f>IF($C330="","",N($G330)-N(R330))</f>
        <v/>
      </c>
      <c r="U330" s="24" t="n"/>
      <c r="V330" s="22" t="n"/>
    </row>
    <row r="331">
      <c r="B331" s="13">
        <f>IF($C331="","",COUNTA($C$9:$C331))</f>
        <v/>
      </c>
      <c r="C331" s="21" t="n"/>
      <c r="D331" s="14" t="n"/>
      <c r="E331" s="14" t="n"/>
      <c r="F331" s="14" t="n"/>
      <c r="G331" s="22" t="n"/>
      <c r="H331" s="22" t="n"/>
      <c r="I331" s="22" t="n"/>
      <c r="J331" s="22" t="n"/>
      <c r="K331" s="22" t="n"/>
      <c r="L331" s="22" t="n"/>
      <c r="M331" s="22" t="n"/>
      <c r="N331" s="22" t="n"/>
      <c r="O331" s="23">
        <f>IF($C331="","",N(L331)-N(M331))</f>
        <v/>
      </c>
      <c r="P331" s="24" t="n"/>
      <c r="Q331" s="23">
        <f>IF($C331="","",N(M331)+N(N331))</f>
        <v/>
      </c>
      <c r="R331" s="23">
        <f>IF($C331="","",N(J331)+N(Q331))</f>
        <v/>
      </c>
      <c r="S331" s="25">
        <f>IF(OR($C331="",N($G331)=0),"",R331/$G331)</f>
        <v/>
      </c>
      <c r="T331" s="23">
        <f>IF($C331="","",N($G331)-N(R331))</f>
        <v/>
      </c>
      <c r="U331" s="24" t="n"/>
      <c r="V331" s="22" t="n"/>
    </row>
    <row r="332">
      <c r="B332" s="13">
        <f>IF($C332="","",COUNTA($C$9:$C332))</f>
        <v/>
      </c>
      <c r="C332" s="21" t="n"/>
      <c r="D332" s="14" t="n"/>
      <c r="E332" s="14" t="n"/>
      <c r="F332" s="14" t="n"/>
      <c r="G332" s="22" t="n"/>
      <c r="H332" s="22" t="n"/>
      <c r="I332" s="22" t="n"/>
      <c r="J332" s="22" t="n"/>
      <c r="K332" s="22" t="n"/>
      <c r="L332" s="22" t="n"/>
      <c r="M332" s="22" t="n"/>
      <c r="N332" s="22" t="n"/>
      <c r="O332" s="23">
        <f>IF($C332="","",N(L332)-N(M332))</f>
        <v/>
      </c>
      <c r="P332" s="24" t="n"/>
      <c r="Q332" s="23">
        <f>IF($C332="","",N(M332)+N(N332))</f>
        <v/>
      </c>
      <c r="R332" s="23">
        <f>IF($C332="","",N(J332)+N(Q332))</f>
        <v/>
      </c>
      <c r="S332" s="25">
        <f>IF(OR($C332="",N($G332)=0),"",R332/$G332)</f>
        <v/>
      </c>
      <c r="T332" s="23">
        <f>IF($C332="","",N($G332)-N(R332))</f>
        <v/>
      </c>
      <c r="U332" s="24" t="n"/>
      <c r="V332" s="22" t="n"/>
    </row>
    <row r="333">
      <c r="B333" s="13">
        <f>IF($C333="","",COUNTA($C$9:$C333))</f>
        <v/>
      </c>
      <c r="C333" s="21" t="n"/>
      <c r="D333" s="14" t="n"/>
      <c r="E333" s="14" t="n"/>
      <c r="F333" s="14" t="n"/>
      <c r="G333" s="22" t="n"/>
      <c r="H333" s="22" t="n"/>
      <c r="I333" s="22" t="n"/>
      <c r="J333" s="22" t="n"/>
      <c r="K333" s="22" t="n"/>
      <c r="L333" s="22" t="n"/>
      <c r="M333" s="22" t="n"/>
      <c r="N333" s="22" t="n"/>
      <c r="O333" s="23">
        <f>IF($C333="","",N(L333)-N(M333))</f>
        <v/>
      </c>
      <c r="P333" s="24" t="n"/>
      <c r="Q333" s="23">
        <f>IF($C333="","",N(M333)+N(N333))</f>
        <v/>
      </c>
      <c r="R333" s="23">
        <f>IF($C333="","",N(J333)+N(Q333))</f>
        <v/>
      </c>
      <c r="S333" s="25">
        <f>IF(OR($C333="",N($G333)=0),"",R333/$G333)</f>
        <v/>
      </c>
      <c r="T333" s="23">
        <f>IF($C333="","",N($G333)-N(R333))</f>
        <v/>
      </c>
      <c r="U333" s="24" t="n"/>
      <c r="V333" s="22" t="n"/>
    </row>
    <row r="334">
      <c r="B334" s="13">
        <f>IF($C334="","",COUNTA($C$9:$C334))</f>
        <v/>
      </c>
      <c r="C334" s="21" t="n"/>
      <c r="D334" s="14" t="n"/>
      <c r="E334" s="14" t="n"/>
      <c r="F334" s="14" t="n"/>
      <c r="G334" s="22" t="n"/>
      <c r="H334" s="22" t="n"/>
      <c r="I334" s="22" t="n"/>
      <c r="J334" s="22" t="n"/>
      <c r="K334" s="22" t="n"/>
      <c r="L334" s="22" t="n"/>
      <c r="M334" s="22" t="n"/>
      <c r="N334" s="22" t="n"/>
      <c r="O334" s="23">
        <f>IF($C334="","",N(L334)-N(M334))</f>
        <v/>
      </c>
      <c r="P334" s="24" t="n"/>
      <c r="Q334" s="23">
        <f>IF($C334="","",N(M334)+N(N334))</f>
        <v/>
      </c>
      <c r="R334" s="23">
        <f>IF($C334="","",N(J334)+N(Q334))</f>
        <v/>
      </c>
      <c r="S334" s="25">
        <f>IF(OR($C334="",N($G334)=0),"",R334/$G334)</f>
        <v/>
      </c>
      <c r="T334" s="23">
        <f>IF($C334="","",N($G334)-N(R334))</f>
        <v/>
      </c>
      <c r="U334" s="24" t="n"/>
      <c r="V334" s="22" t="n"/>
    </row>
    <row r="335">
      <c r="B335" s="13">
        <f>IF($C335="","",COUNTA($C$9:$C335))</f>
        <v/>
      </c>
      <c r="C335" s="21" t="n"/>
      <c r="D335" s="14" t="n"/>
      <c r="E335" s="14" t="n"/>
      <c r="F335" s="14" t="n"/>
      <c r="G335" s="22" t="n"/>
      <c r="H335" s="22" t="n"/>
      <c r="I335" s="22" t="n"/>
      <c r="J335" s="22" t="n"/>
      <c r="K335" s="22" t="n"/>
      <c r="L335" s="22" t="n"/>
      <c r="M335" s="22" t="n"/>
      <c r="N335" s="22" t="n"/>
      <c r="O335" s="23">
        <f>IF($C335="","",N(L335)-N(M335))</f>
        <v/>
      </c>
      <c r="P335" s="24" t="n"/>
      <c r="Q335" s="23">
        <f>IF($C335="","",N(M335)+N(N335))</f>
        <v/>
      </c>
      <c r="R335" s="23">
        <f>IF($C335="","",N(J335)+N(Q335))</f>
        <v/>
      </c>
      <c r="S335" s="25">
        <f>IF(OR($C335="",N($G335)=0),"",R335/$G335)</f>
        <v/>
      </c>
      <c r="T335" s="23">
        <f>IF($C335="","",N($G335)-N(R335))</f>
        <v/>
      </c>
      <c r="U335" s="24" t="n"/>
      <c r="V335" s="22" t="n"/>
    </row>
    <row r="336">
      <c r="B336" s="13">
        <f>IF($C336="","",COUNTA($C$9:$C336))</f>
        <v/>
      </c>
      <c r="C336" s="21" t="n"/>
      <c r="D336" s="14" t="n"/>
      <c r="E336" s="14" t="n"/>
      <c r="F336" s="14" t="n"/>
      <c r="G336" s="22" t="n"/>
      <c r="H336" s="22" t="n"/>
      <c r="I336" s="22" t="n"/>
      <c r="J336" s="22" t="n"/>
      <c r="K336" s="22" t="n"/>
      <c r="L336" s="22" t="n"/>
      <c r="M336" s="22" t="n"/>
      <c r="N336" s="22" t="n"/>
      <c r="O336" s="23">
        <f>IF($C336="","",N(L336)-N(M336))</f>
        <v/>
      </c>
      <c r="P336" s="24" t="n"/>
      <c r="Q336" s="23">
        <f>IF($C336="","",N(M336)+N(N336))</f>
        <v/>
      </c>
      <c r="R336" s="23">
        <f>IF($C336="","",N(J336)+N(Q336))</f>
        <v/>
      </c>
      <c r="S336" s="25">
        <f>IF(OR($C336="",N($G336)=0),"",R336/$G336)</f>
        <v/>
      </c>
      <c r="T336" s="23">
        <f>IF($C336="","",N($G336)-N(R336))</f>
        <v/>
      </c>
      <c r="U336" s="24" t="n"/>
      <c r="V336" s="22" t="n"/>
    </row>
    <row r="337">
      <c r="B337" s="13">
        <f>IF($C337="","",COUNTA($C$9:$C337))</f>
        <v/>
      </c>
      <c r="C337" s="21" t="n"/>
      <c r="D337" s="14" t="n"/>
      <c r="E337" s="14" t="n"/>
      <c r="F337" s="14" t="n"/>
      <c r="G337" s="22" t="n"/>
      <c r="H337" s="22" t="n"/>
      <c r="I337" s="22" t="n"/>
      <c r="J337" s="22" t="n"/>
      <c r="K337" s="22" t="n"/>
      <c r="L337" s="22" t="n"/>
      <c r="M337" s="22" t="n"/>
      <c r="N337" s="22" t="n"/>
      <c r="O337" s="23">
        <f>IF($C337="","",N(L337)-N(M337))</f>
        <v/>
      </c>
      <c r="P337" s="24" t="n"/>
      <c r="Q337" s="23">
        <f>IF($C337="","",N(M337)+N(N337))</f>
        <v/>
      </c>
      <c r="R337" s="23">
        <f>IF($C337="","",N(J337)+N(Q337))</f>
        <v/>
      </c>
      <c r="S337" s="25">
        <f>IF(OR($C337="",N($G337)=0),"",R337/$G337)</f>
        <v/>
      </c>
      <c r="T337" s="23">
        <f>IF($C337="","",N($G337)-N(R337))</f>
        <v/>
      </c>
      <c r="U337" s="24" t="n"/>
      <c r="V337" s="22" t="n"/>
    </row>
    <row r="338">
      <c r="B338" s="13">
        <f>IF($C338="","",COUNTA($C$9:$C338))</f>
        <v/>
      </c>
      <c r="C338" s="21" t="n"/>
      <c r="D338" s="14" t="n"/>
      <c r="E338" s="14" t="n"/>
      <c r="F338" s="14" t="n"/>
      <c r="G338" s="22" t="n"/>
      <c r="H338" s="22" t="n"/>
      <c r="I338" s="22" t="n"/>
      <c r="J338" s="22" t="n"/>
      <c r="K338" s="22" t="n"/>
      <c r="L338" s="22" t="n"/>
      <c r="M338" s="22" t="n"/>
      <c r="N338" s="22" t="n"/>
      <c r="O338" s="23">
        <f>IF($C338="","",N(L338)-N(M338))</f>
        <v/>
      </c>
      <c r="P338" s="24" t="n"/>
      <c r="Q338" s="23">
        <f>IF($C338="","",N(M338)+N(N338))</f>
        <v/>
      </c>
      <c r="R338" s="23">
        <f>IF($C338="","",N(J338)+N(Q338))</f>
        <v/>
      </c>
      <c r="S338" s="25">
        <f>IF(OR($C338="",N($G338)=0),"",R338/$G338)</f>
        <v/>
      </c>
      <c r="T338" s="23">
        <f>IF($C338="","",N($G338)-N(R338))</f>
        <v/>
      </c>
      <c r="U338" s="24" t="n"/>
      <c r="V338" s="22" t="n"/>
    </row>
    <row r="339">
      <c r="B339" s="13">
        <f>IF($C339="","",COUNTA($C$9:$C339))</f>
        <v/>
      </c>
      <c r="C339" s="21" t="n"/>
      <c r="D339" s="14" t="n"/>
      <c r="E339" s="14" t="n"/>
      <c r="F339" s="14" t="n"/>
      <c r="G339" s="22" t="n"/>
      <c r="H339" s="22" t="n"/>
      <c r="I339" s="22" t="n"/>
      <c r="J339" s="22" t="n"/>
      <c r="K339" s="22" t="n"/>
      <c r="L339" s="22" t="n"/>
      <c r="M339" s="22" t="n"/>
      <c r="N339" s="22" t="n"/>
      <c r="O339" s="23">
        <f>IF($C339="","",N(L339)-N(M339))</f>
        <v/>
      </c>
      <c r="P339" s="24" t="n"/>
      <c r="Q339" s="23">
        <f>IF($C339="","",N(M339)+N(N339))</f>
        <v/>
      </c>
      <c r="R339" s="23">
        <f>IF($C339="","",N(J339)+N(Q339))</f>
        <v/>
      </c>
      <c r="S339" s="25">
        <f>IF(OR($C339="",N($G339)=0),"",R339/$G339)</f>
        <v/>
      </c>
      <c r="T339" s="23">
        <f>IF($C339="","",N($G339)-N(R339))</f>
        <v/>
      </c>
      <c r="U339" s="24" t="n"/>
      <c r="V339" s="22" t="n"/>
    </row>
    <row r="340">
      <c r="B340" s="13">
        <f>IF($C340="","",COUNTA($C$9:$C340))</f>
        <v/>
      </c>
      <c r="C340" s="21" t="n"/>
      <c r="D340" s="14" t="n"/>
      <c r="E340" s="14" t="n"/>
      <c r="F340" s="14" t="n"/>
      <c r="G340" s="22" t="n"/>
      <c r="H340" s="22" t="n"/>
      <c r="I340" s="22" t="n"/>
      <c r="J340" s="22" t="n"/>
      <c r="K340" s="22" t="n"/>
      <c r="L340" s="22" t="n"/>
      <c r="M340" s="22" t="n"/>
      <c r="N340" s="22" t="n"/>
      <c r="O340" s="23">
        <f>IF($C340="","",N(L340)-N(M340))</f>
        <v/>
      </c>
      <c r="P340" s="24" t="n"/>
      <c r="Q340" s="23">
        <f>IF($C340="","",N(M340)+N(N340))</f>
        <v/>
      </c>
      <c r="R340" s="23">
        <f>IF($C340="","",N(J340)+N(Q340))</f>
        <v/>
      </c>
      <c r="S340" s="25">
        <f>IF(OR($C340="",N($G340)=0),"",R340/$G340)</f>
        <v/>
      </c>
      <c r="T340" s="23">
        <f>IF($C340="","",N($G340)-N(R340))</f>
        <v/>
      </c>
      <c r="U340" s="24" t="n"/>
      <c r="V340" s="22" t="n"/>
    </row>
    <row r="341">
      <c r="B341" s="13">
        <f>IF($C341="","",COUNTA($C$9:$C341))</f>
        <v/>
      </c>
      <c r="C341" s="21" t="n"/>
      <c r="D341" s="14" t="n"/>
      <c r="E341" s="14" t="n"/>
      <c r="F341" s="14" t="n"/>
      <c r="G341" s="22" t="n"/>
      <c r="H341" s="22" t="n"/>
      <c r="I341" s="22" t="n"/>
      <c r="J341" s="22" t="n"/>
      <c r="K341" s="22" t="n"/>
      <c r="L341" s="22" t="n"/>
      <c r="M341" s="22" t="n"/>
      <c r="N341" s="22" t="n"/>
      <c r="O341" s="23">
        <f>IF($C341="","",N(L341)-N(M341))</f>
        <v/>
      </c>
      <c r="P341" s="24" t="n"/>
      <c r="Q341" s="23">
        <f>IF($C341="","",N(M341)+N(N341))</f>
        <v/>
      </c>
      <c r="R341" s="23">
        <f>IF($C341="","",N(J341)+N(Q341))</f>
        <v/>
      </c>
      <c r="S341" s="25">
        <f>IF(OR($C341="",N($G341)=0),"",R341/$G341)</f>
        <v/>
      </c>
      <c r="T341" s="23">
        <f>IF($C341="","",N($G341)-N(R341))</f>
        <v/>
      </c>
      <c r="U341" s="24" t="n"/>
      <c r="V341" s="22" t="n"/>
    </row>
    <row r="342">
      <c r="B342" s="13">
        <f>IF($C342="","",COUNTA($C$9:$C342))</f>
        <v/>
      </c>
      <c r="C342" s="21" t="n"/>
      <c r="D342" s="14" t="n"/>
      <c r="E342" s="14" t="n"/>
      <c r="F342" s="14" t="n"/>
      <c r="G342" s="22" t="n"/>
      <c r="H342" s="22" t="n"/>
      <c r="I342" s="22" t="n"/>
      <c r="J342" s="22" t="n"/>
      <c r="K342" s="22" t="n"/>
      <c r="L342" s="22" t="n"/>
      <c r="M342" s="22" t="n"/>
      <c r="N342" s="22" t="n"/>
      <c r="O342" s="23">
        <f>IF($C342="","",N(L342)-N(M342))</f>
        <v/>
      </c>
      <c r="P342" s="24" t="n"/>
      <c r="Q342" s="23">
        <f>IF($C342="","",N(M342)+N(N342))</f>
        <v/>
      </c>
      <c r="R342" s="23">
        <f>IF($C342="","",N(J342)+N(Q342))</f>
        <v/>
      </c>
      <c r="S342" s="25">
        <f>IF(OR($C342="",N($G342)=0),"",R342/$G342)</f>
        <v/>
      </c>
      <c r="T342" s="23">
        <f>IF($C342="","",N($G342)-N(R342))</f>
        <v/>
      </c>
      <c r="U342" s="24" t="n"/>
      <c r="V342" s="22" t="n"/>
    </row>
    <row r="343">
      <c r="B343" s="13">
        <f>IF($C343="","",COUNTA($C$9:$C343))</f>
        <v/>
      </c>
      <c r="C343" s="21" t="n"/>
      <c r="D343" s="14" t="n"/>
      <c r="E343" s="14" t="n"/>
      <c r="F343" s="14" t="n"/>
      <c r="G343" s="22" t="n"/>
      <c r="H343" s="22" t="n"/>
      <c r="I343" s="22" t="n"/>
      <c r="J343" s="22" t="n"/>
      <c r="K343" s="22" t="n"/>
      <c r="L343" s="22" t="n"/>
      <c r="M343" s="22" t="n"/>
      <c r="N343" s="22" t="n"/>
      <c r="O343" s="23">
        <f>IF($C343="","",N(L343)-N(M343))</f>
        <v/>
      </c>
      <c r="P343" s="24" t="n"/>
      <c r="Q343" s="23">
        <f>IF($C343="","",N(M343)+N(N343))</f>
        <v/>
      </c>
      <c r="R343" s="23">
        <f>IF($C343="","",N(J343)+N(Q343))</f>
        <v/>
      </c>
      <c r="S343" s="25">
        <f>IF(OR($C343="",N($G343)=0),"",R343/$G343)</f>
        <v/>
      </c>
      <c r="T343" s="23">
        <f>IF($C343="","",N($G343)-N(R343))</f>
        <v/>
      </c>
      <c r="U343" s="24" t="n"/>
      <c r="V343" s="22" t="n"/>
    </row>
    <row r="344">
      <c r="B344" s="13">
        <f>IF($C344="","",COUNTA($C$9:$C344))</f>
        <v/>
      </c>
      <c r="C344" s="21" t="n"/>
      <c r="D344" s="14" t="n"/>
      <c r="E344" s="14" t="n"/>
      <c r="F344" s="14" t="n"/>
      <c r="G344" s="22" t="n"/>
      <c r="H344" s="22" t="n"/>
      <c r="I344" s="22" t="n"/>
      <c r="J344" s="22" t="n"/>
      <c r="K344" s="22" t="n"/>
      <c r="L344" s="22" t="n"/>
      <c r="M344" s="22" t="n"/>
      <c r="N344" s="22" t="n"/>
      <c r="O344" s="23">
        <f>IF($C344="","",N(L344)-N(M344))</f>
        <v/>
      </c>
      <c r="P344" s="24" t="n"/>
      <c r="Q344" s="23">
        <f>IF($C344="","",N(M344)+N(N344))</f>
        <v/>
      </c>
      <c r="R344" s="23">
        <f>IF($C344="","",N(J344)+N(Q344))</f>
        <v/>
      </c>
      <c r="S344" s="25">
        <f>IF(OR($C344="",N($G344)=0),"",R344/$G344)</f>
        <v/>
      </c>
      <c r="T344" s="23">
        <f>IF($C344="","",N($G344)-N(R344))</f>
        <v/>
      </c>
      <c r="U344" s="24" t="n"/>
      <c r="V344" s="22" t="n"/>
    </row>
    <row r="345">
      <c r="B345" s="13">
        <f>IF($C345="","",COUNTA($C$9:$C345))</f>
        <v/>
      </c>
      <c r="C345" s="21" t="n"/>
      <c r="D345" s="14" t="n"/>
      <c r="E345" s="14" t="n"/>
      <c r="F345" s="14" t="n"/>
      <c r="G345" s="22" t="n"/>
      <c r="H345" s="22" t="n"/>
      <c r="I345" s="22" t="n"/>
      <c r="J345" s="22" t="n"/>
      <c r="K345" s="22" t="n"/>
      <c r="L345" s="22" t="n"/>
      <c r="M345" s="22" t="n"/>
      <c r="N345" s="22" t="n"/>
      <c r="O345" s="23">
        <f>IF($C345="","",N(L345)-N(M345))</f>
        <v/>
      </c>
      <c r="P345" s="24" t="n"/>
      <c r="Q345" s="23">
        <f>IF($C345="","",N(M345)+N(N345))</f>
        <v/>
      </c>
      <c r="R345" s="23">
        <f>IF($C345="","",N(J345)+N(Q345))</f>
        <v/>
      </c>
      <c r="S345" s="25">
        <f>IF(OR($C345="",N($G345)=0),"",R345/$G345)</f>
        <v/>
      </c>
      <c r="T345" s="23">
        <f>IF($C345="","",N($G345)-N(R345))</f>
        <v/>
      </c>
      <c r="U345" s="24" t="n"/>
      <c r="V345" s="22" t="n"/>
    </row>
    <row r="346">
      <c r="B346" s="13">
        <f>IF($C346="","",COUNTA($C$9:$C346))</f>
        <v/>
      </c>
      <c r="C346" s="21" t="n"/>
      <c r="D346" s="14" t="n"/>
      <c r="E346" s="14" t="n"/>
      <c r="F346" s="14" t="n"/>
      <c r="G346" s="22" t="n"/>
      <c r="H346" s="22" t="n"/>
      <c r="I346" s="22" t="n"/>
      <c r="J346" s="22" t="n"/>
      <c r="K346" s="22" t="n"/>
      <c r="L346" s="22" t="n"/>
      <c r="M346" s="22" t="n"/>
      <c r="N346" s="22" t="n"/>
      <c r="O346" s="23">
        <f>IF($C346="","",N(L346)-N(M346))</f>
        <v/>
      </c>
      <c r="P346" s="24" t="n"/>
      <c r="Q346" s="23">
        <f>IF($C346="","",N(M346)+N(N346))</f>
        <v/>
      </c>
      <c r="R346" s="23">
        <f>IF($C346="","",N(J346)+N(Q346))</f>
        <v/>
      </c>
      <c r="S346" s="25">
        <f>IF(OR($C346="",N($G346)=0),"",R346/$G346)</f>
        <v/>
      </c>
      <c r="T346" s="23">
        <f>IF($C346="","",N($G346)-N(R346))</f>
        <v/>
      </c>
      <c r="U346" s="24" t="n"/>
      <c r="V346" s="22" t="n"/>
    </row>
    <row r="347">
      <c r="B347" s="13">
        <f>IF($C347="","",COUNTA($C$9:$C347))</f>
        <v/>
      </c>
      <c r="C347" s="21" t="n"/>
      <c r="D347" s="14" t="n"/>
      <c r="E347" s="14" t="n"/>
      <c r="F347" s="14" t="n"/>
      <c r="G347" s="22" t="n"/>
      <c r="H347" s="22" t="n"/>
      <c r="I347" s="22" t="n"/>
      <c r="J347" s="22" t="n"/>
      <c r="K347" s="22" t="n"/>
      <c r="L347" s="22" t="n"/>
      <c r="M347" s="22" t="n"/>
      <c r="N347" s="22" t="n"/>
      <c r="O347" s="23">
        <f>IF($C347="","",N(L347)-N(M347))</f>
        <v/>
      </c>
      <c r="P347" s="24" t="n"/>
      <c r="Q347" s="23">
        <f>IF($C347="","",N(M347)+N(N347))</f>
        <v/>
      </c>
      <c r="R347" s="23">
        <f>IF($C347="","",N(J347)+N(Q347))</f>
        <v/>
      </c>
      <c r="S347" s="25">
        <f>IF(OR($C347="",N($G347)=0),"",R347/$G347)</f>
        <v/>
      </c>
      <c r="T347" s="23">
        <f>IF($C347="","",N($G347)-N(R347))</f>
        <v/>
      </c>
      <c r="U347" s="24" t="n"/>
      <c r="V347" s="22" t="n"/>
    </row>
    <row r="348">
      <c r="B348" s="13">
        <f>IF($C348="","",COUNTA($C$9:$C348))</f>
        <v/>
      </c>
      <c r="C348" s="21" t="n"/>
      <c r="D348" s="14" t="n"/>
      <c r="E348" s="14" t="n"/>
      <c r="F348" s="14" t="n"/>
      <c r="G348" s="22" t="n"/>
      <c r="H348" s="22" t="n"/>
      <c r="I348" s="22" t="n"/>
      <c r="J348" s="22" t="n"/>
      <c r="K348" s="22" t="n"/>
      <c r="L348" s="22" t="n"/>
      <c r="M348" s="22" t="n"/>
      <c r="N348" s="22" t="n"/>
      <c r="O348" s="23">
        <f>IF($C348="","",N(L348)-N(M348))</f>
        <v/>
      </c>
      <c r="P348" s="24" t="n"/>
      <c r="Q348" s="23">
        <f>IF($C348="","",N(M348)+N(N348))</f>
        <v/>
      </c>
      <c r="R348" s="23">
        <f>IF($C348="","",N(J348)+N(Q348))</f>
        <v/>
      </c>
      <c r="S348" s="25">
        <f>IF(OR($C348="",N($G348)=0),"",R348/$G348)</f>
        <v/>
      </c>
      <c r="T348" s="23">
        <f>IF($C348="","",N($G348)-N(R348))</f>
        <v/>
      </c>
      <c r="U348" s="24" t="n"/>
      <c r="V348" s="22" t="n"/>
    </row>
    <row r="349">
      <c r="B349" s="13">
        <f>IF($C349="","",COUNTA($C$9:$C349))</f>
        <v/>
      </c>
      <c r="C349" s="21" t="n"/>
      <c r="D349" s="14" t="n"/>
      <c r="E349" s="14" t="n"/>
      <c r="F349" s="14" t="n"/>
      <c r="G349" s="22" t="n"/>
      <c r="H349" s="22" t="n"/>
      <c r="I349" s="22" t="n"/>
      <c r="J349" s="22" t="n"/>
      <c r="K349" s="22" t="n"/>
      <c r="L349" s="22" t="n"/>
      <c r="M349" s="22" t="n"/>
      <c r="N349" s="22" t="n"/>
      <c r="O349" s="23">
        <f>IF($C349="","",N(L349)-N(M349))</f>
        <v/>
      </c>
      <c r="P349" s="24" t="n"/>
      <c r="Q349" s="23">
        <f>IF($C349="","",N(M349)+N(N349))</f>
        <v/>
      </c>
      <c r="R349" s="23">
        <f>IF($C349="","",N(J349)+N(Q349))</f>
        <v/>
      </c>
      <c r="S349" s="25">
        <f>IF(OR($C349="",N($G349)=0),"",R349/$G349)</f>
        <v/>
      </c>
      <c r="T349" s="23">
        <f>IF($C349="","",N($G349)-N(R349))</f>
        <v/>
      </c>
      <c r="U349" s="24" t="n"/>
      <c r="V349" s="22" t="n"/>
    </row>
    <row r="350">
      <c r="B350" s="13">
        <f>IF($C350="","",COUNTA($C$9:$C350))</f>
        <v/>
      </c>
      <c r="C350" s="21" t="n"/>
      <c r="D350" s="14" t="n"/>
      <c r="E350" s="14" t="n"/>
      <c r="F350" s="14" t="n"/>
      <c r="G350" s="22" t="n"/>
      <c r="H350" s="22" t="n"/>
      <c r="I350" s="22" t="n"/>
      <c r="J350" s="22" t="n"/>
      <c r="K350" s="22" t="n"/>
      <c r="L350" s="22" t="n"/>
      <c r="M350" s="22" t="n"/>
      <c r="N350" s="22" t="n"/>
      <c r="O350" s="23">
        <f>IF($C350="","",N(L350)-N(M350))</f>
        <v/>
      </c>
      <c r="P350" s="24" t="n"/>
      <c r="Q350" s="23">
        <f>IF($C350="","",N(M350)+N(N350))</f>
        <v/>
      </c>
      <c r="R350" s="23">
        <f>IF($C350="","",N(J350)+N(Q350))</f>
        <v/>
      </c>
      <c r="S350" s="25">
        <f>IF(OR($C350="",N($G350)=0),"",R350/$G350)</f>
        <v/>
      </c>
      <c r="T350" s="23">
        <f>IF($C350="","",N($G350)-N(R350))</f>
        <v/>
      </c>
      <c r="U350" s="24" t="n"/>
      <c r="V350" s="22" t="n"/>
    </row>
    <row r="351">
      <c r="B351" s="13">
        <f>IF($C351="","",COUNTA($C$9:$C351))</f>
        <v/>
      </c>
      <c r="C351" s="21" t="n"/>
      <c r="D351" s="14" t="n"/>
      <c r="E351" s="14" t="n"/>
      <c r="F351" s="14" t="n"/>
      <c r="G351" s="22" t="n"/>
      <c r="H351" s="22" t="n"/>
      <c r="I351" s="22" t="n"/>
      <c r="J351" s="22" t="n"/>
      <c r="K351" s="22" t="n"/>
      <c r="L351" s="22" t="n"/>
      <c r="M351" s="22" t="n"/>
      <c r="N351" s="22" t="n"/>
      <c r="O351" s="23">
        <f>IF($C351="","",N(L351)-N(M351))</f>
        <v/>
      </c>
      <c r="P351" s="24" t="n"/>
      <c r="Q351" s="23">
        <f>IF($C351="","",N(M351)+N(N351))</f>
        <v/>
      </c>
      <c r="R351" s="23">
        <f>IF($C351="","",N(J351)+N(Q351))</f>
        <v/>
      </c>
      <c r="S351" s="25">
        <f>IF(OR($C351="",N($G351)=0),"",R351/$G351)</f>
        <v/>
      </c>
      <c r="T351" s="23">
        <f>IF($C351="","",N($G351)-N(R351))</f>
        <v/>
      </c>
      <c r="U351" s="24" t="n"/>
      <c r="V351" s="22" t="n"/>
    </row>
    <row r="352">
      <c r="B352" s="13">
        <f>IF($C352="","",COUNTA($C$9:$C352))</f>
        <v/>
      </c>
      <c r="C352" s="21" t="n"/>
      <c r="D352" s="14" t="n"/>
      <c r="E352" s="14" t="n"/>
      <c r="F352" s="14" t="n"/>
      <c r="G352" s="22" t="n"/>
      <c r="H352" s="22" t="n"/>
      <c r="I352" s="22" t="n"/>
      <c r="J352" s="22" t="n"/>
      <c r="K352" s="22" t="n"/>
      <c r="L352" s="22" t="n"/>
      <c r="M352" s="22" t="n"/>
      <c r="N352" s="22" t="n"/>
      <c r="O352" s="23">
        <f>IF($C352="","",N(L352)-N(M352))</f>
        <v/>
      </c>
      <c r="P352" s="24" t="n"/>
      <c r="Q352" s="23">
        <f>IF($C352="","",N(M352)+N(N352))</f>
        <v/>
      </c>
      <c r="R352" s="23">
        <f>IF($C352="","",N(J352)+N(Q352))</f>
        <v/>
      </c>
      <c r="S352" s="25">
        <f>IF(OR($C352="",N($G352)=0),"",R352/$G352)</f>
        <v/>
      </c>
      <c r="T352" s="23">
        <f>IF($C352="","",N($G352)-N(R352))</f>
        <v/>
      </c>
      <c r="U352" s="24" t="n"/>
      <c r="V352" s="22" t="n"/>
    </row>
    <row r="353">
      <c r="B353" s="13">
        <f>IF($C353="","",COUNTA($C$9:$C353))</f>
        <v/>
      </c>
      <c r="C353" s="21" t="n"/>
      <c r="D353" s="14" t="n"/>
      <c r="E353" s="14" t="n"/>
      <c r="F353" s="14" t="n"/>
      <c r="G353" s="22" t="n"/>
      <c r="H353" s="22" t="n"/>
      <c r="I353" s="22" t="n"/>
      <c r="J353" s="22" t="n"/>
      <c r="K353" s="22" t="n"/>
      <c r="L353" s="22" t="n"/>
      <c r="M353" s="22" t="n"/>
      <c r="N353" s="22" t="n"/>
      <c r="O353" s="23">
        <f>IF($C353="","",N(L353)-N(M353))</f>
        <v/>
      </c>
      <c r="P353" s="24" t="n"/>
      <c r="Q353" s="23">
        <f>IF($C353="","",N(M353)+N(N353))</f>
        <v/>
      </c>
      <c r="R353" s="23">
        <f>IF($C353="","",N(J353)+N(Q353))</f>
        <v/>
      </c>
      <c r="S353" s="25">
        <f>IF(OR($C353="",N($G353)=0),"",R353/$G353)</f>
        <v/>
      </c>
      <c r="T353" s="23">
        <f>IF($C353="","",N($G353)-N(R353))</f>
        <v/>
      </c>
      <c r="U353" s="24" t="n"/>
      <c r="V353" s="22" t="n"/>
    </row>
    <row r="354">
      <c r="B354" s="13">
        <f>IF($C354="","",COUNTA($C$9:$C354))</f>
        <v/>
      </c>
      <c r="C354" s="21" t="n"/>
      <c r="D354" s="14" t="n"/>
      <c r="E354" s="14" t="n"/>
      <c r="F354" s="14" t="n"/>
      <c r="G354" s="22" t="n"/>
      <c r="H354" s="22" t="n"/>
      <c r="I354" s="22" t="n"/>
      <c r="J354" s="22" t="n"/>
      <c r="K354" s="22" t="n"/>
      <c r="L354" s="22" t="n"/>
      <c r="M354" s="22" t="n"/>
      <c r="N354" s="22" t="n"/>
      <c r="O354" s="23">
        <f>IF($C354="","",N(L354)-N(M354))</f>
        <v/>
      </c>
      <c r="P354" s="24" t="n"/>
      <c r="Q354" s="23">
        <f>IF($C354="","",N(M354)+N(N354))</f>
        <v/>
      </c>
      <c r="R354" s="23">
        <f>IF($C354="","",N(J354)+N(Q354))</f>
        <v/>
      </c>
      <c r="S354" s="25">
        <f>IF(OR($C354="",N($G354)=0),"",R354/$G354)</f>
        <v/>
      </c>
      <c r="T354" s="23">
        <f>IF($C354="","",N($G354)-N(R354))</f>
        <v/>
      </c>
      <c r="U354" s="24" t="n"/>
      <c r="V354" s="22" t="n"/>
    </row>
    <row r="355">
      <c r="B355" s="13">
        <f>IF($C355="","",COUNTA($C$9:$C355))</f>
        <v/>
      </c>
      <c r="C355" s="21" t="n"/>
      <c r="D355" s="14" t="n"/>
      <c r="E355" s="14" t="n"/>
      <c r="F355" s="14" t="n"/>
      <c r="G355" s="22" t="n"/>
      <c r="H355" s="22" t="n"/>
      <c r="I355" s="22" t="n"/>
      <c r="J355" s="22" t="n"/>
      <c r="K355" s="22" t="n"/>
      <c r="L355" s="22" t="n"/>
      <c r="M355" s="22" t="n"/>
      <c r="N355" s="22" t="n"/>
      <c r="O355" s="23">
        <f>IF($C355="","",N(L355)-N(M355))</f>
        <v/>
      </c>
      <c r="P355" s="24" t="n"/>
      <c r="Q355" s="23">
        <f>IF($C355="","",N(M355)+N(N355))</f>
        <v/>
      </c>
      <c r="R355" s="23">
        <f>IF($C355="","",N(J355)+N(Q355))</f>
        <v/>
      </c>
      <c r="S355" s="25">
        <f>IF(OR($C355="",N($G355)=0),"",R355/$G355)</f>
        <v/>
      </c>
      <c r="T355" s="23">
        <f>IF($C355="","",N($G355)-N(R355))</f>
        <v/>
      </c>
      <c r="U355" s="24" t="n"/>
      <c r="V355" s="22" t="n"/>
    </row>
    <row r="356">
      <c r="B356" s="13">
        <f>IF($C356="","",COUNTA($C$9:$C356))</f>
        <v/>
      </c>
      <c r="C356" s="21" t="n"/>
      <c r="D356" s="14" t="n"/>
      <c r="E356" s="14" t="n"/>
      <c r="F356" s="14" t="n"/>
      <c r="G356" s="22" t="n"/>
      <c r="H356" s="22" t="n"/>
      <c r="I356" s="22" t="n"/>
      <c r="J356" s="22" t="n"/>
      <c r="K356" s="22" t="n"/>
      <c r="L356" s="22" t="n"/>
      <c r="M356" s="22" t="n"/>
      <c r="N356" s="22" t="n"/>
      <c r="O356" s="23">
        <f>IF($C356="","",N(L356)-N(M356))</f>
        <v/>
      </c>
      <c r="P356" s="24" t="n"/>
      <c r="Q356" s="23">
        <f>IF($C356="","",N(M356)+N(N356))</f>
        <v/>
      </c>
      <c r="R356" s="23">
        <f>IF($C356="","",N(J356)+N(Q356))</f>
        <v/>
      </c>
      <c r="S356" s="25">
        <f>IF(OR($C356="",N($G356)=0),"",R356/$G356)</f>
        <v/>
      </c>
      <c r="T356" s="23">
        <f>IF($C356="","",N($G356)-N(R356))</f>
        <v/>
      </c>
      <c r="U356" s="24" t="n"/>
      <c r="V356" s="22" t="n"/>
    </row>
    <row r="357">
      <c r="B357" s="13">
        <f>IF($C357="","",COUNTA($C$9:$C357))</f>
        <v/>
      </c>
      <c r="C357" s="21" t="n"/>
      <c r="D357" s="14" t="n"/>
      <c r="E357" s="14" t="n"/>
      <c r="F357" s="14" t="n"/>
      <c r="G357" s="22" t="n"/>
      <c r="H357" s="22" t="n"/>
      <c r="I357" s="22" t="n"/>
      <c r="J357" s="22" t="n"/>
      <c r="K357" s="22" t="n"/>
      <c r="L357" s="22" t="n"/>
      <c r="M357" s="22" t="n"/>
      <c r="N357" s="22" t="n"/>
      <c r="O357" s="23">
        <f>IF($C357="","",N(L357)-N(M357))</f>
        <v/>
      </c>
      <c r="P357" s="24" t="n"/>
      <c r="Q357" s="23">
        <f>IF($C357="","",N(M357)+N(N357))</f>
        <v/>
      </c>
      <c r="R357" s="23">
        <f>IF($C357="","",N(J357)+N(Q357))</f>
        <v/>
      </c>
      <c r="S357" s="25">
        <f>IF(OR($C357="",N($G357)=0),"",R357/$G357)</f>
        <v/>
      </c>
      <c r="T357" s="23">
        <f>IF($C357="","",N($G357)-N(R357))</f>
        <v/>
      </c>
      <c r="U357" s="24" t="n"/>
      <c r="V357" s="22" t="n"/>
    </row>
    <row r="358">
      <c r="B358" s="13">
        <f>IF($C358="","",COUNTA($C$9:$C358))</f>
        <v/>
      </c>
      <c r="C358" s="21" t="n"/>
      <c r="D358" s="14" t="n"/>
      <c r="E358" s="14" t="n"/>
      <c r="F358" s="14" t="n"/>
      <c r="G358" s="22" t="n"/>
      <c r="H358" s="22" t="n"/>
      <c r="I358" s="22" t="n"/>
      <c r="J358" s="22" t="n"/>
      <c r="K358" s="22" t="n"/>
      <c r="L358" s="22" t="n"/>
      <c r="M358" s="22" t="n"/>
      <c r="N358" s="22" t="n"/>
      <c r="O358" s="23">
        <f>IF($C358="","",N(L358)-N(M358))</f>
        <v/>
      </c>
      <c r="P358" s="24" t="n"/>
      <c r="Q358" s="23">
        <f>IF($C358="","",N(M358)+N(N358))</f>
        <v/>
      </c>
      <c r="R358" s="23">
        <f>IF($C358="","",N(J358)+N(Q358))</f>
        <v/>
      </c>
      <c r="S358" s="25">
        <f>IF(OR($C358="",N($G358)=0),"",R358/$G358)</f>
        <v/>
      </c>
      <c r="T358" s="23">
        <f>IF($C358="","",N($G358)-N(R358))</f>
        <v/>
      </c>
      <c r="U358" s="24" t="n"/>
      <c r="V358" s="22" t="n"/>
    </row>
    <row r="359">
      <c r="B359" s="13">
        <f>IF($C359="","",COUNTA($C$9:$C359))</f>
        <v/>
      </c>
      <c r="C359" s="21" t="n"/>
      <c r="D359" s="14" t="n"/>
      <c r="E359" s="14" t="n"/>
      <c r="F359" s="14" t="n"/>
      <c r="G359" s="22" t="n"/>
      <c r="H359" s="22" t="n"/>
      <c r="I359" s="22" t="n"/>
      <c r="J359" s="22" t="n"/>
      <c r="K359" s="22" t="n"/>
      <c r="L359" s="22" t="n"/>
      <c r="M359" s="22" t="n"/>
      <c r="N359" s="22" t="n"/>
      <c r="O359" s="23">
        <f>IF($C359="","",N(L359)-N(M359))</f>
        <v/>
      </c>
      <c r="P359" s="24" t="n"/>
      <c r="Q359" s="23">
        <f>IF($C359="","",N(M359)+N(N359))</f>
        <v/>
      </c>
      <c r="R359" s="23">
        <f>IF($C359="","",N(J359)+N(Q359))</f>
        <v/>
      </c>
      <c r="S359" s="25">
        <f>IF(OR($C359="",N($G359)=0),"",R359/$G359)</f>
        <v/>
      </c>
      <c r="T359" s="23">
        <f>IF($C359="","",N($G359)-N(R359))</f>
        <v/>
      </c>
      <c r="U359" s="24" t="n"/>
      <c r="V359" s="22" t="n"/>
    </row>
    <row r="360">
      <c r="B360" s="13">
        <f>IF($C360="","",COUNTA($C$9:$C360))</f>
        <v/>
      </c>
      <c r="C360" s="21" t="n"/>
      <c r="D360" s="14" t="n"/>
      <c r="E360" s="14" t="n"/>
      <c r="F360" s="14" t="n"/>
      <c r="G360" s="22" t="n"/>
      <c r="H360" s="22" t="n"/>
      <c r="I360" s="22" t="n"/>
      <c r="J360" s="22" t="n"/>
      <c r="K360" s="22" t="n"/>
      <c r="L360" s="22" t="n"/>
      <c r="M360" s="22" t="n"/>
      <c r="N360" s="22" t="n"/>
      <c r="O360" s="23">
        <f>IF($C360="","",N(L360)-N(M360))</f>
        <v/>
      </c>
      <c r="P360" s="24" t="n"/>
      <c r="Q360" s="23">
        <f>IF($C360="","",N(M360)+N(N360))</f>
        <v/>
      </c>
      <c r="R360" s="23">
        <f>IF($C360="","",N(J360)+N(Q360))</f>
        <v/>
      </c>
      <c r="S360" s="25">
        <f>IF(OR($C360="",N($G360)=0),"",R360/$G360)</f>
        <v/>
      </c>
      <c r="T360" s="23">
        <f>IF($C360="","",N($G360)-N(R360))</f>
        <v/>
      </c>
      <c r="U360" s="24" t="n"/>
      <c r="V360" s="22" t="n"/>
    </row>
    <row r="361">
      <c r="B361" s="13">
        <f>IF($C361="","",COUNTA($C$9:$C361))</f>
        <v/>
      </c>
      <c r="C361" s="21" t="n"/>
      <c r="D361" s="14" t="n"/>
      <c r="E361" s="14" t="n"/>
      <c r="F361" s="14" t="n"/>
      <c r="G361" s="22" t="n"/>
      <c r="H361" s="22" t="n"/>
      <c r="I361" s="22" t="n"/>
      <c r="J361" s="22" t="n"/>
      <c r="K361" s="22" t="n"/>
      <c r="L361" s="22" t="n"/>
      <c r="M361" s="22" t="n"/>
      <c r="N361" s="22" t="n"/>
      <c r="O361" s="23">
        <f>IF($C361="","",N(L361)-N(M361))</f>
        <v/>
      </c>
      <c r="P361" s="24" t="n"/>
      <c r="Q361" s="23">
        <f>IF($C361="","",N(M361)+N(N361))</f>
        <v/>
      </c>
      <c r="R361" s="23">
        <f>IF($C361="","",N(J361)+N(Q361))</f>
        <v/>
      </c>
      <c r="S361" s="25">
        <f>IF(OR($C361="",N($G361)=0),"",R361/$G361)</f>
        <v/>
      </c>
      <c r="T361" s="23">
        <f>IF($C361="","",N($G361)-N(R361))</f>
        <v/>
      </c>
      <c r="U361" s="24" t="n"/>
      <c r="V361" s="22" t="n"/>
    </row>
    <row r="362">
      <c r="B362" s="13">
        <f>IF($C362="","",COUNTA($C$9:$C362))</f>
        <v/>
      </c>
      <c r="C362" s="21" t="n"/>
      <c r="D362" s="14" t="n"/>
      <c r="E362" s="14" t="n"/>
      <c r="F362" s="14" t="n"/>
      <c r="G362" s="22" t="n"/>
      <c r="H362" s="22" t="n"/>
      <c r="I362" s="22" t="n"/>
      <c r="J362" s="22" t="n"/>
      <c r="K362" s="22" t="n"/>
      <c r="L362" s="22" t="n"/>
      <c r="M362" s="22" t="n"/>
      <c r="N362" s="22" t="n"/>
      <c r="O362" s="23">
        <f>IF($C362="","",N(L362)-N(M362))</f>
        <v/>
      </c>
      <c r="P362" s="24" t="n"/>
      <c r="Q362" s="23">
        <f>IF($C362="","",N(M362)+N(N362))</f>
        <v/>
      </c>
      <c r="R362" s="23">
        <f>IF($C362="","",N(J362)+N(Q362))</f>
        <v/>
      </c>
      <c r="S362" s="25">
        <f>IF(OR($C362="",N($G362)=0),"",R362/$G362)</f>
        <v/>
      </c>
      <c r="T362" s="23">
        <f>IF($C362="","",N($G362)-N(R362))</f>
        <v/>
      </c>
      <c r="U362" s="24" t="n"/>
      <c r="V362" s="22" t="n"/>
    </row>
    <row r="363">
      <c r="B363" s="13">
        <f>IF($C363="","",COUNTA($C$9:$C363))</f>
        <v/>
      </c>
      <c r="C363" s="21" t="n"/>
      <c r="D363" s="14" t="n"/>
      <c r="E363" s="14" t="n"/>
      <c r="F363" s="14" t="n"/>
      <c r="G363" s="22" t="n"/>
      <c r="H363" s="22" t="n"/>
      <c r="I363" s="22" t="n"/>
      <c r="J363" s="22" t="n"/>
      <c r="K363" s="22" t="n"/>
      <c r="L363" s="22" t="n"/>
      <c r="M363" s="22" t="n"/>
      <c r="N363" s="22" t="n"/>
      <c r="O363" s="23">
        <f>IF($C363="","",N(L363)-N(M363))</f>
        <v/>
      </c>
      <c r="P363" s="24" t="n"/>
      <c r="Q363" s="23">
        <f>IF($C363="","",N(M363)+N(N363))</f>
        <v/>
      </c>
      <c r="R363" s="23">
        <f>IF($C363="","",N(J363)+N(Q363))</f>
        <v/>
      </c>
      <c r="S363" s="25">
        <f>IF(OR($C363="",N($G363)=0),"",R363/$G363)</f>
        <v/>
      </c>
      <c r="T363" s="23">
        <f>IF($C363="","",N($G363)-N(R363))</f>
        <v/>
      </c>
      <c r="U363" s="24" t="n"/>
      <c r="V363" s="22" t="n"/>
    </row>
    <row r="364">
      <c r="B364" s="13">
        <f>IF($C364="","",COUNTA($C$9:$C364))</f>
        <v/>
      </c>
      <c r="C364" s="21" t="n"/>
      <c r="D364" s="14" t="n"/>
      <c r="E364" s="14" t="n"/>
      <c r="F364" s="14" t="n"/>
      <c r="G364" s="22" t="n"/>
      <c r="H364" s="22" t="n"/>
      <c r="I364" s="22" t="n"/>
      <c r="J364" s="22" t="n"/>
      <c r="K364" s="22" t="n"/>
      <c r="L364" s="22" t="n"/>
      <c r="M364" s="22" t="n"/>
      <c r="N364" s="22" t="n"/>
      <c r="O364" s="23">
        <f>IF($C364="","",N(L364)-N(M364))</f>
        <v/>
      </c>
      <c r="P364" s="24" t="n"/>
      <c r="Q364" s="23">
        <f>IF($C364="","",N(M364)+N(N364))</f>
        <v/>
      </c>
      <c r="R364" s="23">
        <f>IF($C364="","",N(J364)+N(Q364))</f>
        <v/>
      </c>
      <c r="S364" s="25">
        <f>IF(OR($C364="",N($G364)=0),"",R364/$G364)</f>
        <v/>
      </c>
      <c r="T364" s="23">
        <f>IF($C364="","",N($G364)-N(R364))</f>
        <v/>
      </c>
      <c r="U364" s="24" t="n"/>
      <c r="V364" s="22" t="n"/>
    </row>
    <row r="365">
      <c r="B365" s="13">
        <f>IF($C365="","",COUNTA($C$9:$C365))</f>
        <v/>
      </c>
      <c r="C365" s="21" t="n"/>
      <c r="D365" s="14" t="n"/>
      <c r="E365" s="14" t="n"/>
      <c r="F365" s="14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3">
        <f>IF($C365="","",N(L365)-N(M365))</f>
        <v/>
      </c>
      <c r="P365" s="24" t="n"/>
      <c r="Q365" s="23">
        <f>IF($C365="","",N(M365)+N(N365))</f>
        <v/>
      </c>
      <c r="R365" s="23">
        <f>IF($C365="","",N(J365)+N(Q365))</f>
        <v/>
      </c>
      <c r="S365" s="25">
        <f>IF(OR($C365="",N($G365)=0),"",R365/$G365)</f>
        <v/>
      </c>
      <c r="T365" s="23">
        <f>IF($C365="","",N($G365)-N(R365))</f>
        <v/>
      </c>
      <c r="U365" s="24" t="n"/>
      <c r="V365" s="22" t="n"/>
    </row>
    <row r="366">
      <c r="B366" s="13">
        <f>IF($C366="","",COUNTA($C$9:$C366))</f>
        <v/>
      </c>
      <c r="C366" s="21" t="n"/>
      <c r="D366" s="14" t="n"/>
      <c r="E366" s="14" t="n"/>
      <c r="F366" s="14" t="n"/>
      <c r="G366" s="22" t="n"/>
      <c r="H366" s="22" t="n"/>
      <c r="I366" s="22" t="n"/>
      <c r="J366" s="22" t="n"/>
      <c r="K366" s="22" t="n"/>
      <c r="L366" s="22" t="n"/>
      <c r="M366" s="22" t="n"/>
      <c r="N366" s="22" t="n"/>
      <c r="O366" s="23">
        <f>IF($C366="","",N(L366)-N(M366))</f>
        <v/>
      </c>
      <c r="P366" s="24" t="n"/>
      <c r="Q366" s="23">
        <f>IF($C366="","",N(M366)+N(N366))</f>
        <v/>
      </c>
      <c r="R366" s="23">
        <f>IF($C366="","",N(J366)+N(Q366))</f>
        <v/>
      </c>
      <c r="S366" s="25">
        <f>IF(OR($C366="",N($G366)=0),"",R366/$G366)</f>
        <v/>
      </c>
      <c r="T366" s="23">
        <f>IF($C366="","",N($G366)-N(R366))</f>
        <v/>
      </c>
      <c r="U366" s="24" t="n"/>
      <c r="V366" s="22" t="n"/>
    </row>
    <row r="367">
      <c r="B367" s="13">
        <f>IF($C367="","",COUNTA($C$9:$C367))</f>
        <v/>
      </c>
      <c r="C367" s="21" t="n"/>
      <c r="D367" s="14" t="n"/>
      <c r="E367" s="14" t="n"/>
      <c r="F367" s="14" t="n"/>
      <c r="G367" s="22" t="n"/>
      <c r="H367" s="22" t="n"/>
      <c r="I367" s="22" t="n"/>
      <c r="J367" s="22" t="n"/>
      <c r="K367" s="22" t="n"/>
      <c r="L367" s="22" t="n"/>
      <c r="M367" s="22" t="n"/>
      <c r="N367" s="22" t="n"/>
      <c r="O367" s="23">
        <f>IF($C367="","",N(L367)-N(M367))</f>
        <v/>
      </c>
      <c r="P367" s="24" t="n"/>
      <c r="Q367" s="23">
        <f>IF($C367="","",N(M367)+N(N367))</f>
        <v/>
      </c>
      <c r="R367" s="23">
        <f>IF($C367="","",N(J367)+N(Q367))</f>
        <v/>
      </c>
      <c r="S367" s="25">
        <f>IF(OR($C367="",N($G367)=0),"",R367/$G367)</f>
        <v/>
      </c>
      <c r="T367" s="23">
        <f>IF($C367="","",N($G367)-N(R367))</f>
        <v/>
      </c>
      <c r="U367" s="24" t="n"/>
      <c r="V367" s="22" t="n"/>
    </row>
    <row r="368">
      <c r="B368" s="13">
        <f>IF($C368="","",COUNTA($C$9:$C368))</f>
        <v/>
      </c>
      <c r="C368" s="21" t="n"/>
      <c r="D368" s="14" t="n"/>
      <c r="E368" s="14" t="n"/>
      <c r="F368" s="14" t="n"/>
      <c r="G368" s="22" t="n"/>
      <c r="H368" s="22" t="n"/>
      <c r="I368" s="22" t="n"/>
      <c r="J368" s="22" t="n"/>
      <c r="K368" s="22" t="n"/>
      <c r="L368" s="22" t="n"/>
      <c r="M368" s="22" t="n"/>
      <c r="N368" s="22" t="n"/>
      <c r="O368" s="23">
        <f>IF($C368="","",N(L368)-N(M368))</f>
        <v/>
      </c>
      <c r="P368" s="24" t="n"/>
      <c r="Q368" s="23">
        <f>IF($C368="","",N(M368)+N(N368))</f>
        <v/>
      </c>
      <c r="R368" s="23">
        <f>IF($C368="","",N(J368)+N(Q368))</f>
        <v/>
      </c>
      <c r="S368" s="25">
        <f>IF(OR($C368="",N($G368)=0),"",R368/$G368)</f>
        <v/>
      </c>
      <c r="T368" s="23">
        <f>IF($C368="","",N($G368)-N(R368))</f>
        <v/>
      </c>
      <c r="U368" s="24" t="n"/>
      <c r="V368" s="22" t="n"/>
    </row>
    <row r="369">
      <c r="B369" s="13">
        <f>IF($C369="","",COUNTA($C$9:$C369))</f>
        <v/>
      </c>
      <c r="C369" s="21" t="n"/>
      <c r="D369" s="14" t="n"/>
      <c r="E369" s="14" t="n"/>
      <c r="F369" s="14" t="n"/>
      <c r="G369" s="22" t="n"/>
      <c r="H369" s="22" t="n"/>
      <c r="I369" s="22" t="n"/>
      <c r="J369" s="22" t="n"/>
      <c r="K369" s="22" t="n"/>
      <c r="L369" s="22" t="n"/>
      <c r="M369" s="22" t="n"/>
      <c r="N369" s="22" t="n"/>
      <c r="O369" s="23">
        <f>IF($C369="","",N(L369)-N(M369))</f>
        <v/>
      </c>
      <c r="P369" s="24" t="n"/>
      <c r="Q369" s="23">
        <f>IF($C369="","",N(M369)+N(N369))</f>
        <v/>
      </c>
      <c r="R369" s="23">
        <f>IF($C369="","",N(J369)+N(Q369))</f>
        <v/>
      </c>
      <c r="S369" s="25">
        <f>IF(OR($C369="",N($G369)=0),"",R369/$G369)</f>
        <v/>
      </c>
      <c r="T369" s="23">
        <f>IF($C369="","",N($G369)-N(R369))</f>
        <v/>
      </c>
      <c r="U369" s="24" t="n"/>
      <c r="V369" s="22" t="n"/>
    </row>
    <row r="370">
      <c r="B370" s="13">
        <f>IF($C370="","",COUNTA($C$9:$C370))</f>
        <v/>
      </c>
      <c r="C370" s="21" t="n"/>
      <c r="D370" s="14" t="n"/>
      <c r="E370" s="14" t="n"/>
      <c r="F370" s="14" t="n"/>
      <c r="G370" s="22" t="n"/>
      <c r="H370" s="22" t="n"/>
      <c r="I370" s="22" t="n"/>
      <c r="J370" s="22" t="n"/>
      <c r="K370" s="22" t="n"/>
      <c r="L370" s="22" t="n"/>
      <c r="M370" s="22" t="n"/>
      <c r="N370" s="22" t="n"/>
      <c r="O370" s="23">
        <f>IF($C370="","",N(L370)-N(M370))</f>
        <v/>
      </c>
      <c r="P370" s="24" t="n"/>
      <c r="Q370" s="23">
        <f>IF($C370="","",N(M370)+N(N370))</f>
        <v/>
      </c>
      <c r="R370" s="23">
        <f>IF($C370="","",N(J370)+N(Q370))</f>
        <v/>
      </c>
      <c r="S370" s="25">
        <f>IF(OR($C370="",N($G370)=0),"",R370/$G370)</f>
        <v/>
      </c>
      <c r="T370" s="23">
        <f>IF($C370="","",N($G370)-N(R370))</f>
        <v/>
      </c>
      <c r="U370" s="24" t="n"/>
      <c r="V370" s="22" t="n"/>
    </row>
    <row r="371">
      <c r="B371" s="13">
        <f>IF($C371="","",COUNTA($C$9:$C371))</f>
        <v/>
      </c>
      <c r="C371" s="21" t="n"/>
      <c r="D371" s="14" t="n"/>
      <c r="E371" s="14" t="n"/>
      <c r="F371" s="14" t="n"/>
      <c r="G371" s="22" t="n"/>
      <c r="H371" s="22" t="n"/>
      <c r="I371" s="22" t="n"/>
      <c r="J371" s="22" t="n"/>
      <c r="K371" s="22" t="n"/>
      <c r="L371" s="22" t="n"/>
      <c r="M371" s="22" t="n"/>
      <c r="N371" s="22" t="n"/>
      <c r="O371" s="23">
        <f>IF($C371="","",N(L371)-N(M371))</f>
        <v/>
      </c>
      <c r="P371" s="24" t="n"/>
      <c r="Q371" s="23">
        <f>IF($C371="","",N(M371)+N(N371))</f>
        <v/>
      </c>
      <c r="R371" s="23">
        <f>IF($C371="","",N(J371)+N(Q371))</f>
        <v/>
      </c>
      <c r="S371" s="25">
        <f>IF(OR($C371="",N($G371)=0),"",R371/$G371)</f>
        <v/>
      </c>
      <c r="T371" s="23">
        <f>IF($C371="","",N($G371)-N(R371))</f>
        <v/>
      </c>
      <c r="U371" s="24" t="n"/>
      <c r="V371" s="22" t="n"/>
    </row>
    <row r="372">
      <c r="B372" s="13">
        <f>IF($C372="","",COUNTA($C$9:$C372))</f>
        <v/>
      </c>
      <c r="C372" s="21" t="n"/>
      <c r="D372" s="14" t="n"/>
      <c r="E372" s="14" t="n"/>
      <c r="F372" s="14" t="n"/>
      <c r="G372" s="22" t="n"/>
      <c r="H372" s="22" t="n"/>
      <c r="I372" s="22" t="n"/>
      <c r="J372" s="22" t="n"/>
      <c r="K372" s="22" t="n"/>
      <c r="L372" s="22" t="n"/>
      <c r="M372" s="22" t="n"/>
      <c r="N372" s="22" t="n"/>
      <c r="O372" s="23">
        <f>IF($C372="","",N(L372)-N(M372))</f>
        <v/>
      </c>
      <c r="P372" s="24" t="n"/>
      <c r="Q372" s="23">
        <f>IF($C372="","",N(M372)+N(N372))</f>
        <v/>
      </c>
      <c r="R372" s="23">
        <f>IF($C372="","",N(J372)+N(Q372))</f>
        <v/>
      </c>
      <c r="S372" s="25">
        <f>IF(OR($C372="",N($G372)=0),"",R372/$G372)</f>
        <v/>
      </c>
      <c r="T372" s="23">
        <f>IF($C372="","",N($G372)-N(R372))</f>
        <v/>
      </c>
      <c r="U372" s="24" t="n"/>
      <c r="V372" s="22" t="n"/>
    </row>
    <row r="373">
      <c r="B373" s="13">
        <f>IF($C373="","",COUNTA($C$9:$C373))</f>
        <v/>
      </c>
      <c r="C373" s="21" t="n"/>
      <c r="D373" s="14" t="n"/>
      <c r="E373" s="14" t="n"/>
      <c r="F373" s="14" t="n"/>
      <c r="G373" s="22" t="n"/>
      <c r="H373" s="22" t="n"/>
      <c r="I373" s="22" t="n"/>
      <c r="J373" s="22" t="n"/>
      <c r="K373" s="22" t="n"/>
      <c r="L373" s="22" t="n"/>
      <c r="M373" s="22" t="n"/>
      <c r="N373" s="22" t="n"/>
      <c r="O373" s="23">
        <f>IF($C373="","",N(L373)-N(M373))</f>
        <v/>
      </c>
      <c r="P373" s="24" t="n"/>
      <c r="Q373" s="23">
        <f>IF($C373="","",N(M373)+N(N373))</f>
        <v/>
      </c>
      <c r="R373" s="23">
        <f>IF($C373="","",N(J373)+N(Q373))</f>
        <v/>
      </c>
      <c r="S373" s="25">
        <f>IF(OR($C373="",N($G373)=0),"",R373/$G373)</f>
        <v/>
      </c>
      <c r="T373" s="23">
        <f>IF($C373="","",N($G373)-N(R373))</f>
        <v/>
      </c>
      <c r="U373" s="24" t="n"/>
      <c r="V373" s="22" t="n"/>
    </row>
    <row r="374">
      <c r="B374" s="13">
        <f>IF($C374="","",COUNTA($C$9:$C374))</f>
        <v/>
      </c>
      <c r="C374" s="21" t="n"/>
      <c r="D374" s="14" t="n"/>
      <c r="E374" s="14" t="n"/>
      <c r="F374" s="14" t="n"/>
      <c r="G374" s="22" t="n"/>
      <c r="H374" s="22" t="n"/>
      <c r="I374" s="22" t="n"/>
      <c r="J374" s="22" t="n"/>
      <c r="K374" s="22" t="n"/>
      <c r="L374" s="22" t="n"/>
      <c r="M374" s="22" t="n"/>
      <c r="N374" s="22" t="n"/>
      <c r="O374" s="23">
        <f>IF($C374="","",N(L374)-N(M374))</f>
        <v/>
      </c>
      <c r="P374" s="24" t="n"/>
      <c r="Q374" s="23">
        <f>IF($C374="","",N(M374)+N(N374))</f>
        <v/>
      </c>
      <c r="R374" s="23">
        <f>IF($C374="","",N(J374)+N(Q374))</f>
        <v/>
      </c>
      <c r="S374" s="25">
        <f>IF(OR($C374="",N($G374)=0),"",R374/$G374)</f>
        <v/>
      </c>
      <c r="T374" s="23">
        <f>IF($C374="","",N($G374)-N(R374))</f>
        <v/>
      </c>
      <c r="U374" s="24" t="n"/>
      <c r="V374" s="22" t="n"/>
    </row>
    <row r="375">
      <c r="B375" s="13">
        <f>IF($C375="","",COUNTA($C$9:$C375))</f>
        <v/>
      </c>
      <c r="C375" s="21" t="n"/>
      <c r="D375" s="14" t="n"/>
      <c r="E375" s="14" t="n"/>
      <c r="F375" s="14" t="n"/>
      <c r="G375" s="22" t="n"/>
      <c r="H375" s="22" t="n"/>
      <c r="I375" s="22" t="n"/>
      <c r="J375" s="22" t="n"/>
      <c r="K375" s="22" t="n"/>
      <c r="L375" s="22" t="n"/>
      <c r="M375" s="22" t="n"/>
      <c r="N375" s="22" t="n"/>
      <c r="O375" s="23">
        <f>IF($C375="","",N(L375)-N(M375))</f>
        <v/>
      </c>
      <c r="P375" s="24" t="n"/>
      <c r="Q375" s="23">
        <f>IF($C375="","",N(M375)+N(N375))</f>
        <v/>
      </c>
      <c r="R375" s="23">
        <f>IF($C375="","",N(J375)+N(Q375))</f>
        <v/>
      </c>
      <c r="S375" s="25">
        <f>IF(OR($C375="",N($G375)=0),"",R375/$G375)</f>
        <v/>
      </c>
      <c r="T375" s="23">
        <f>IF($C375="","",N($G375)-N(R375))</f>
        <v/>
      </c>
      <c r="U375" s="24" t="n"/>
      <c r="V375" s="22" t="n"/>
    </row>
    <row r="376">
      <c r="B376" s="13">
        <f>IF($C376="","",COUNTA($C$9:$C376))</f>
        <v/>
      </c>
      <c r="C376" s="21" t="n"/>
      <c r="D376" s="14" t="n"/>
      <c r="E376" s="14" t="n"/>
      <c r="F376" s="14" t="n"/>
      <c r="G376" s="22" t="n"/>
      <c r="H376" s="22" t="n"/>
      <c r="I376" s="22" t="n"/>
      <c r="J376" s="22" t="n"/>
      <c r="K376" s="22" t="n"/>
      <c r="L376" s="22" t="n"/>
      <c r="M376" s="22" t="n"/>
      <c r="N376" s="22" t="n"/>
      <c r="O376" s="23">
        <f>IF($C376="","",N(L376)-N(M376))</f>
        <v/>
      </c>
      <c r="P376" s="24" t="n"/>
      <c r="Q376" s="23">
        <f>IF($C376="","",N(M376)+N(N376))</f>
        <v/>
      </c>
      <c r="R376" s="23">
        <f>IF($C376="","",N(J376)+N(Q376))</f>
        <v/>
      </c>
      <c r="S376" s="25">
        <f>IF(OR($C376="",N($G376)=0),"",R376/$G376)</f>
        <v/>
      </c>
      <c r="T376" s="23">
        <f>IF($C376="","",N($G376)-N(R376))</f>
        <v/>
      </c>
      <c r="U376" s="24" t="n"/>
      <c r="V376" s="22" t="n"/>
    </row>
    <row r="377">
      <c r="B377" s="13">
        <f>IF($C377="","",COUNTA($C$9:$C377))</f>
        <v/>
      </c>
      <c r="C377" s="21" t="n"/>
      <c r="D377" s="14" t="n"/>
      <c r="E377" s="14" t="n"/>
      <c r="F377" s="14" t="n"/>
      <c r="G377" s="22" t="n"/>
      <c r="H377" s="22" t="n"/>
      <c r="I377" s="22" t="n"/>
      <c r="J377" s="22" t="n"/>
      <c r="K377" s="22" t="n"/>
      <c r="L377" s="22" t="n"/>
      <c r="M377" s="22" t="n"/>
      <c r="N377" s="22" t="n"/>
      <c r="O377" s="23">
        <f>IF($C377="","",N(L377)-N(M377))</f>
        <v/>
      </c>
      <c r="P377" s="24" t="n"/>
      <c r="Q377" s="23">
        <f>IF($C377="","",N(M377)+N(N377))</f>
        <v/>
      </c>
      <c r="R377" s="23">
        <f>IF($C377="","",N(J377)+N(Q377))</f>
        <v/>
      </c>
      <c r="S377" s="25">
        <f>IF(OR($C377="",N($G377)=0),"",R377/$G377)</f>
        <v/>
      </c>
      <c r="T377" s="23">
        <f>IF($C377="","",N($G377)-N(R377))</f>
        <v/>
      </c>
      <c r="U377" s="24" t="n"/>
      <c r="V377" s="22" t="n"/>
    </row>
    <row r="378">
      <c r="B378" s="13">
        <f>IF($C378="","",COUNTA($C$9:$C378))</f>
        <v/>
      </c>
      <c r="C378" s="21" t="n"/>
      <c r="D378" s="14" t="n"/>
      <c r="E378" s="14" t="n"/>
      <c r="F378" s="14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3">
        <f>IF($C378="","",N(L378)-N(M378))</f>
        <v/>
      </c>
      <c r="P378" s="24" t="n"/>
      <c r="Q378" s="23">
        <f>IF($C378="","",N(M378)+N(N378))</f>
        <v/>
      </c>
      <c r="R378" s="23">
        <f>IF($C378="","",N(J378)+N(Q378))</f>
        <v/>
      </c>
      <c r="S378" s="25">
        <f>IF(OR($C378="",N($G378)=0),"",R378/$G378)</f>
        <v/>
      </c>
      <c r="T378" s="23">
        <f>IF($C378="","",N($G378)-N(R378))</f>
        <v/>
      </c>
      <c r="U378" s="24" t="n"/>
      <c r="V378" s="22" t="n"/>
    </row>
    <row r="379">
      <c r="B379" s="13">
        <f>IF($C379="","",COUNTA($C$9:$C379))</f>
        <v/>
      </c>
      <c r="C379" s="21" t="n"/>
      <c r="D379" s="14" t="n"/>
      <c r="E379" s="14" t="n"/>
      <c r="F379" s="14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3">
        <f>IF($C379="","",N(L379)-N(M379))</f>
        <v/>
      </c>
      <c r="P379" s="24" t="n"/>
      <c r="Q379" s="23">
        <f>IF($C379="","",N(M379)+N(N379))</f>
        <v/>
      </c>
      <c r="R379" s="23">
        <f>IF($C379="","",N(J379)+N(Q379))</f>
        <v/>
      </c>
      <c r="S379" s="25">
        <f>IF(OR($C379="",N($G379)=0),"",R379/$G379)</f>
        <v/>
      </c>
      <c r="T379" s="23">
        <f>IF($C379="","",N($G379)-N(R379))</f>
        <v/>
      </c>
      <c r="U379" s="24" t="n"/>
      <c r="V379" s="22" t="n"/>
    </row>
    <row r="380">
      <c r="B380" s="13">
        <f>IF($C380="","",COUNTA($C$9:$C380))</f>
        <v/>
      </c>
      <c r="C380" s="21" t="n"/>
      <c r="D380" s="14" t="n"/>
      <c r="E380" s="14" t="n"/>
      <c r="F380" s="14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3">
        <f>IF($C380="","",N(L380)-N(M380))</f>
        <v/>
      </c>
      <c r="P380" s="24" t="n"/>
      <c r="Q380" s="23">
        <f>IF($C380="","",N(M380)+N(N380))</f>
        <v/>
      </c>
      <c r="R380" s="23">
        <f>IF($C380="","",N(J380)+N(Q380))</f>
        <v/>
      </c>
      <c r="S380" s="25">
        <f>IF(OR($C380="",N($G380)=0),"",R380/$G380)</f>
        <v/>
      </c>
      <c r="T380" s="23">
        <f>IF($C380="","",N($G380)-N(R380))</f>
        <v/>
      </c>
      <c r="U380" s="24" t="n"/>
      <c r="V380" s="22" t="n"/>
    </row>
    <row r="381">
      <c r="B381" s="13">
        <f>IF($C381="","",COUNTA($C$9:$C381))</f>
        <v/>
      </c>
      <c r="C381" s="21" t="n"/>
      <c r="D381" s="14" t="n"/>
      <c r="E381" s="14" t="n"/>
      <c r="F381" s="14" t="n"/>
      <c r="G381" s="22" t="n"/>
      <c r="H381" s="22" t="n"/>
      <c r="I381" s="22" t="n"/>
      <c r="J381" s="22" t="n"/>
      <c r="K381" s="22" t="n"/>
      <c r="L381" s="22" t="n"/>
      <c r="M381" s="22" t="n"/>
      <c r="N381" s="22" t="n"/>
      <c r="O381" s="23">
        <f>IF($C381="","",N(L381)-N(M381))</f>
        <v/>
      </c>
      <c r="P381" s="24" t="n"/>
      <c r="Q381" s="23">
        <f>IF($C381="","",N(M381)+N(N381))</f>
        <v/>
      </c>
      <c r="R381" s="23">
        <f>IF($C381="","",N(J381)+N(Q381))</f>
        <v/>
      </c>
      <c r="S381" s="25">
        <f>IF(OR($C381="",N($G381)=0),"",R381/$G381)</f>
        <v/>
      </c>
      <c r="T381" s="23">
        <f>IF($C381="","",N($G381)-N(R381))</f>
        <v/>
      </c>
      <c r="U381" s="24" t="n"/>
      <c r="V381" s="22" t="n"/>
    </row>
    <row r="382">
      <c r="B382" s="13">
        <f>IF($C382="","",COUNTA($C$9:$C382))</f>
        <v/>
      </c>
      <c r="C382" s="21" t="n"/>
      <c r="D382" s="14" t="n"/>
      <c r="E382" s="14" t="n"/>
      <c r="F382" s="14" t="n"/>
      <c r="G382" s="22" t="n"/>
      <c r="H382" s="22" t="n"/>
      <c r="I382" s="22" t="n"/>
      <c r="J382" s="22" t="n"/>
      <c r="K382" s="22" t="n"/>
      <c r="L382" s="22" t="n"/>
      <c r="M382" s="22" t="n"/>
      <c r="N382" s="22" t="n"/>
      <c r="O382" s="23">
        <f>IF($C382="","",N(L382)-N(M382))</f>
        <v/>
      </c>
      <c r="P382" s="24" t="n"/>
      <c r="Q382" s="23">
        <f>IF($C382="","",N(M382)+N(N382))</f>
        <v/>
      </c>
      <c r="R382" s="23">
        <f>IF($C382="","",N(J382)+N(Q382))</f>
        <v/>
      </c>
      <c r="S382" s="25">
        <f>IF(OR($C382="",N($G382)=0),"",R382/$G382)</f>
        <v/>
      </c>
      <c r="T382" s="23">
        <f>IF($C382="","",N($G382)-N(R382))</f>
        <v/>
      </c>
      <c r="U382" s="24" t="n"/>
      <c r="V382" s="22" t="n"/>
    </row>
    <row r="383">
      <c r="B383" s="13">
        <f>IF($C383="","",COUNTA($C$9:$C383))</f>
        <v/>
      </c>
      <c r="C383" s="21" t="n"/>
      <c r="D383" s="14" t="n"/>
      <c r="E383" s="14" t="n"/>
      <c r="F383" s="14" t="n"/>
      <c r="G383" s="22" t="n"/>
      <c r="H383" s="22" t="n"/>
      <c r="I383" s="22" t="n"/>
      <c r="J383" s="22" t="n"/>
      <c r="K383" s="22" t="n"/>
      <c r="L383" s="22" t="n"/>
      <c r="M383" s="22" t="n"/>
      <c r="N383" s="22" t="n"/>
      <c r="O383" s="23">
        <f>IF($C383="","",N(L383)-N(M383))</f>
        <v/>
      </c>
      <c r="P383" s="24" t="n"/>
      <c r="Q383" s="23">
        <f>IF($C383="","",N(M383)+N(N383))</f>
        <v/>
      </c>
      <c r="R383" s="23">
        <f>IF($C383="","",N(J383)+N(Q383))</f>
        <v/>
      </c>
      <c r="S383" s="25">
        <f>IF(OR($C383="",N($G383)=0),"",R383/$G383)</f>
        <v/>
      </c>
      <c r="T383" s="23">
        <f>IF($C383="","",N($G383)-N(R383))</f>
        <v/>
      </c>
      <c r="U383" s="24" t="n"/>
      <c r="V383" s="22" t="n"/>
    </row>
    <row r="384">
      <c r="B384" s="13">
        <f>IF($C384="","",COUNTA($C$9:$C384))</f>
        <v/>
      </c>
      <c r="C384" s="21" t="n"/>
      <c r="D384" s="14" t="n"/>
      <c r="E384" s="14" t="n"/>
      <c r="F384" s="14" t="n"/>
      <c r="G384" s="22" t="n"/>
      <c r="H384" s="22" t="n"/>
      <c r="I384" s="22" t="n"/>
      <c r="J384" s="22" t="n"/>
      <c r="K384" s="22" t="n"/>
      <c r="L384" s="22" t="n"/>
      <c r="M384" s="22" t="n"/>
      <c r="N384" s="22" t="n"/>
      <c r="O384" s="23">
        <f>IF($C384="","",N(L384)-N(M384))</f>
        <v/>
      </c>
      <c r="P384" s="24" t="n"/>
      <c r="Q384" s="23">
        <f>IF($C384="","",N(M384)+N(N384))</f>
        <v/>
      </c>
      <c r="R384" s="23">
        <f>IF($C384="","",N(J384)+N(Q384))</f>
        <v/>
      </c>
      <c r="S384" s="25">
        <f>IF(OR($C384="",N($G384)=0),"",R384/$G384)</f>
        <v/>
      </c>
      <c r="T384" s="23">
        <f>IF($C384="","",N($G384)-N(R384))</f>
        <v/>
      </c>
      <c r="U384" s="24" t="n"/>
      <c r="V384" s="22" t="n"/>
    </row>
    <row r="385">
      <c r="B385" s="13">
        <f>IF($C385="","",COUNTA($C$9:$C385))</f>
        <v/>
      </c>
      <c r="C385" s="21" t="n"/>
      <c r="D385" s="14" t="n"/>
      <c r="E385" s="14" t="n"/>
      <c r="F385" s="14" t="n"/>
      <c r="G385" s="22" t="n"/>
      <c r="H385" s="22" t="n"/>
      <c r="I385" s="22" t="n"/>
      <c r="J385" s="22" t="n"/>
      <c r="K385" s="22" t="n"/>
      <c r="L385" s="22" t="n"/>
      <c r="M385" s="22" t="n"/>
      <c r="N385" s="22" t="n"/>
      <c r="O385" s="23">
        <f>IF($C385="","",N(L385)-N(M385))</f>
        <v/>
      </c>
      <c r="P385" s="24" t="n"/>
      <c r="Q385" s="23">
        <f>IF($C385="","",N(M385)+N(N385))</f>
        <v/>
      </c>
      <c r="R385" s="23">
        <f>IF($C385="","",N(J385)+N(Q385))</f>
        <v/>
      </c>
      <c r="S385" s="25">
        <f>IF(OR($C385="",N($G385)=0),"",R385/$G385)</f>
        <v/>
      </c>
      <c r="T385" s="23">
        <f>IF($C385="","",N($G385)-N(R385))</f>
        <v/>
      </c>
      <c r="U385" s="24" t="n"/>
      <c r="V385" s="22" t="n"/>
    </row>
    <row r="386">
      <c r="B386" s="13">
        <f>IF($C386="","",COUNTA($C$9:$C386))</f>
        <v/>
      </c>
      <c r="C386" s="21" t="n"/>
      <c r="D386" s="14" t="n"/>
      <c r="E386" s="14" t="n"/>
      <c r="F386" s="14" t="n"/>
      <c r="G386" s="22" t="n"/>
      <c r="H386" s="22" t="n"/>
      <c r="I386" s="22" t="n"/>
      <c r="J386" s="22" t="n"/>
      <c r="K386" s="22" t="n"/>
      <c r="L386" s="22" t="n"/>
      <c r="M386" s="22" t="n"/>
      <c r="N386" s="22" t="n"/>
      <c r="O386" s="23">
        <f>IF($C386="","",N(L386)-N(M386))</f>
        <v/>
      </c>
      <c r="P386" s="24" t="n"/>
      <c r="Q386" s="23">
        <f>IF($C386="","",N(M386)+N(N386))</f>
        <v/>
      </c>
      <c r="R386" s="23">
        <f>IF($C386="","",N(J386)+N(Q386))</f>
        <v/>
      </c>
      <c r="S386" s="25">
        <f>IF(OR($C386="",N($G386)=0),"",R386/$G386)</f>
        <v/>
      </c>
      <c r="T386" s="23">
        <f>IF($C386="","",N($G386)-N(R386))</f>
        <v/>
      </c>
      <c r="U386" s="24" t="n"/>
      <c r="V386" s="22" t="n"/>
    </row>
    <row r="387">
      <c r="B387" s="13">
        <f>IF($C387="","",COUNTA($C$9:$C387))</f>
        <v/>
      </c>
      <c r="C387" s="21" t="n"/>
      <c r="D387" s="14" t="n"/>
      <c r="E387" s="14" t="n"/>
      <c r="F387" s="14" t="n"/>
      <c r="G387" s="22" t="n"/>
      <c r="H387" s="22" t="n"/>
      <c r="I387" s="22" t="n"/>
      <c r="J387" s="22" t="n"/>
      <c r="K387" s="22" t="n"/>
      <c r="L387" s="22" t="n"/>
      <c r="M387" s="22" t="n"/>
      <c r="N387" s="22" t="n"/>
      <c r="O387" s="23">
        <f>IF($C387="","",N(L387)-N(M387))</f>
        <v/>
      </c>
      <c r="P387" s="24" t="n"/>
      <c r="Q387" s="23">
        <f>IF($C387="","",N(M387)+N(N387))</f>
        <v/>
      </c>
      <c r="R387" s="23">
        <f>IF($C387="","",N(J387)+N(Q387))</f>
        <v/>
      </c>
      <c r="S387" s="25">
        <f>IF(OR($C387="",N($G387)=0),"",R387/$G387)</f>
        <v/>
      </c>
      <c r="T387" s="23">
        <f>IF($C387="","",N($G387)-N(R387))</f>
        <v/>
      </c>
      <c r="U387" s="24" t="n"/>
      <c r="V387" s="22" t="n"/>
    </row>
    <row r="388">
      <c r="B388" s="13">
        <f>IF($C388="","",COUNTA($C$9:$C388))</f>
        <v/>
      </c>
      <c r="C388" s="21" t="n"/>
      <c r="D388" s="14" t="n"/>
      <c r="E388" s="14" t="n"/>
      <c r="F388" s="14" t="n"/>
      <c r="G388" s="22" t="n"/>
      <c r="H388" s="22" t="n"/>
      <c r="I388" s="22" t="n"/>
      <c r="J388" s="22" t="n"/>
      <c r="K388" s="22" t="n"/>
      <c r="L388" s="22" t="n"/>
      <c r="M388" s="22" t="n"/>
      <c r="N388" s="22" t="n"/>
      <c r="O388" s="23">
        <f>IF($C388="","",N(L388)-N(M388))</f>
        <v/>
      </c>
      <c r="P388" s="24" t="n"/>
      <c r="Q388" s="23">
        <f>IF($C388="","",N(M388)+N(N388))</f>
        <v/>
      </c>
      <c r="R388" s="23">
        <f>IF($C388="","",N(J388)+N(Q388))</f>
        <v/>
      </c>
      <c r="S388" s="25">
        <f>IF(OR($C388="",N($G388)=0),"",R388/$G388)</f>
        <v/>
      </c>
      <c r="T388" s="23">
        <f>IF($C388="","",N($G388)-N(R388))</f>
        <v/>
      </c>
      <c r="U388" s="24" t="n"/>
      <c r="V388" s="22" t="n"/>
    </row>
    <row r="389">
      <c r="B389" s="13">
        <f>IF($C389="","",COUNTA($C$9:$C389))</f>
        <v/>
      </c>
      <c r="C389" s="21" t="n"/>
      <c r="D389" s="14" t="n"/>
      <c r="E389" s="14" t="n"/>
      <c r="F389" s="14" t="n"/>
      <c r="G389" s="22" t="n"/>
      <c r="H389" s="22" t="n"/>
      <c r="I389" s="22" t="n"/>
      <c r="J389" s="22" t="n"/>
      <c r="K389" s="22" t="n"/>
      <c r="L389" s="22" t="n"/>
      <c r="M389" s="22" t="n"/>
      <c r="N389" s="22" t="n"/>
      <c r="O389" s="23">
        <f>IF($C389="","",N(L389)-N(M389))</f>
        <v/>
      </c>
      <c r="P389" s="24" t="n"/>
      <c r="Q389" s="23">
        <f>IF($C389="","",N(M389)+N(N389))</f>
        <v/>
      </c>
      <c r="R389" s="23">
        <f>IF($C389="","",N(J389)+N(Q389))</f>
        <v/>
      </c>
      <c r="S389" s="25">
        <f>IF(OR($C389="",N($G389)=0),"",R389/$G389)</f>
        <v/>
      </c>
      <c r="T389" s="23">
        <f>IF($C389="","",N($G389)-N(R389))</f>
        <v/>
      </c>
      <c r="U389" s="24" t="n"/>
      <c r="V389" s="22" t="n"/>
    </row>
    <row r="390">
      <c r="B390" s="13">
        <f>IF($C390="","",COUNTA($C$9:$C390))</f>
        <v/>
      </c>
      <c r="C390" s="21" t="n"/>
      <c r="D390" s="14" t="n"/>
      <c r="E390" s="14" t="n"/>
      <c r="F390" s="14" t="n"/>
      <c r="G390" s="22" t="n"/>
      <c r="H390" s="22" t="n"/>
      <c r="I390" s="22" t="n"/>
      <c r="J390" s="22" t="n"/>
      <c r="K390" s="22" t="n"/>
      <c r="L390" s="22" t="n"/>
      <c r="M390" s="22" t="n"/>
      <c r="N390" s="22" t="n"/>
      <c r="O390" s="23">
        <f>IF($C390="","",N(L390)-N(M390))</f>
        <v/>
      </c>
      <c r="P390" s="24" t="n"/>
      <c r="Q390" s="23">
        <f>IF($C390="","",N(M390)+N(N390))</f>
        <v/>
      </c>
      <c r="R390" s="23">
        <f>IF($C390="","",N(J390)+N(Q390))</f>
        <v/>
      </c>
      <c r="S390" s="25">
        <f>IF(OR($C390="",N($G390)=0),"",R390/$G390)</f>
        <v/>
      </c>
      <c r="T390" s="23">
        <f>IF($C390="","",N($G390)-N(R390))</f>
        <v/>
      </c>
      <c r="U390" s="24" t="n"/>
      <c r="V390" s="22" t="n"/>
    </row>
    <row r="391">
      <c r="B391" s="13">
        <f>IF($C391="","",COUNTA($C$9:$C391))</f>
        <v/>
      </c>
      <c r="C391" s="21" t="n"/>
      <c r="D391" s="14" t="n"/>
      <c r="E391" s="14" t="n"/>
      <c r="F391" s="14" t="n"/>
      <c r="G391" s="22" t="n"/>
      <c r="H391" s="22" t="n"/>
      <c r="I391" s="22" t="n"/>
      <c r="J391" s="22" t="n"/>
      <c r="K391" s="22" t="n"/>
      <c r="L391" s="22" t="n"/>
      <c r="M391" s="22" t="n"/>
      <c r="N391" s="22" t="n"/>
      <c r="O391" s="23">
        <f>IF($C391="","",N(L391)-N(M391))</f>
        <v/>
      </c>
      <c r="P391" s="24" t="n"/>
      <c r="Q391" s="23">
        <f>IF($C391="","",N(M391)+N(N391))</f>
        <v/>
      </c>
      <c r="R391" s="23">
        <f>IF($C391="","",N(J391)+N(Q391))</f>
        <v/>
      </c>
      <c r="S391" s="25">
        <f>IF(OR($C391="",N($G391)=0),"",R391/$G391)</f>
        <v/>
      </c>
      <c r="T391" s="23">
        <f>IF($C391="","",N($G391)-N(R391))</f>
        <v/>
      </c>
      <c r="U391" s="24" t="n"/>
      <c r="V391" s="22" t="n"/>
    </row>
    <row r="392">
      <c r="B392" s="13">
        <f>IF($C392="","",COUNTA($C$9:$C392))</f>
        <v/>
      </c>
      <c r="C392" s="21" t="n"/>
      <c r="D392" s="14" t="n"/>
      <c r="E392" s="14" t="n"/>
      <c r="F392" s="14" t="n"/>
      <c r="G392" s="22" t="n"/>
      <c r="H392" s="22" t="n"/>
      <c r="I392" s="22" t="n"/>
      <c r="J392" s="22" t="n"/>
      <c r="K392" s="22" t="n"/>
      <c r="L392" s="22" t="n"/>
      <c r="M392" s="22" t="n"/>
      <c r="N392" s="22" t="n"/>
      <c r="O392" s="23">
        <f>IF($C392="","",N(L392)-N(M392))</f>
        <v/>
      </c>
      <c r="P392" s="24" t="n"/>
      <c r="Q392" s="23">
        <f>IF($C392="","",N(M392)+N(N392))</f>
        <v/>
      </c>
      <c r="R392" s="23">
        <f>IF($C392="","",N(J392)+N(Q392))</f>
        <v/>
      </c>
      <c r="S392" s="25">
        <f>IF(OR($C392="",N($G392)=0),"",R392/$G392)</f>
        <v/>
      </c>
      <c r="T392" s="23">
        <f>IF($C392="","",N($G392)-N(R392))</f>
        <v/>
      </c>
      <c r="U392" s="24" t="n"/>
      <c r="V392" s="22" t="n"/>
    </row>
    <row r="393">
      <c r="B393" s="13">
        <f>IF($C393="","",COUNTA($C$9:$C393))</f>
        <v/>
      </c>
      <c r="C393" s="21" t="n"/>
      <c r="D393" s="14" t="n"/>
      <c r="E393" s="14" t="n"/>
      <c r="F393" s="14" t="n"/>
      <c r="G393" s="22" t="n"/>
      <c r="H393" s="22" t="n"/>
      <c r="I393" s="22" t="n"/>
      <c r="J393" s="22" t="n"/>
      <c r="K393" s="22" t="n"/>
      <c r="L393" s="22" t="n"/>
      <c r="M393" s="22" t="n"/>
      <c r="N393" s="22" t="n"/>
      <c r="O393" s="23">
        <f>IF($C393="","",N(L393)-N(M393))</f>
        <v/>
      </c>
      <c r="P393" s="24" t="n"/>
      <c r="Q393" s="23">
        <f>IF($C393="","",N(M393)+N(N393))</f>
        <v/>
      </c>
      <c r="R393" s="23">
        <f>IF($C393="","",N(J393)+N(Q393))</f>
        <v/>
      </c>
      <c r="S393" s="25">
        <f>IF(OR($C393="",N($G393)=0),"",R393/$G393)</f>
        <v/>
      </c>
      <c r="T393" s="23">
        <f>IF($C393="","",N($G393)-N(R393))</f>
        <v/>
      </c>
      <c r="U393" s="24" t="n"/>
      <c r="V393" s="22" t="n"/>
    </row>
    <row r="394">
      <c r="B394" s="13">
        <f>IF($C394="","",COUNTA($C$9:$C394))</f>
        <v/>
      </c>
      <c r="C394" s="21" t="n"/>
      <c r="D394" s="14" t="n"/>
      <c r="E394" s="14" t="n"/>
      <c r="F394" s="14" t="n"/>
      <c r="G394" s="22" t="n"/>
      <c r="H394" s="22" t="n"/>
      <c r="I394" s="22" t="n"/>
      <c r="J394" s="22" t="n"/>
      <c r="K394" s="22" t="n"/>
      <c r="L394" s="22" t="n"/>
      <c r="M394" s="22" t="n"/>
      <c r="N394" s="22" t="n"/>
      <c r="O394" s="23">
        <f>IF($C394="","",N(L394)-N(M394))</f>
        <v/>
      </c>
      <c r="P394" s="24" t="n"/>
      <c r="Q394" s="23">
        <f>IF($C394="","",N(M394)+N(N394))</f>
        <v/>
      </c>
      <c r="R394" s="23">
        <f>IF($C394="","",N(J394)+N(Q394))</f>
        <v/>
      </c>
      <c r="S394" s="25">
        <f>IF(OR($C394="",N($G394)=0),"",R394/$G394)</f>
        <v/>
      </c>
      <c r="T394" s="23">
        <f>IF($C394="","",N($G394)-N(R394))</f>
        <v/>
      </c>
      <c r="U394" s="24" t="n"/>
      <c r="V394" s="22" t="n"/>
    </row>
    <row r="395">
      <c r="B395" s="13">
        <f>IF($C395="","",COUNTA($C$9:$C395))</f>
        <v/>
      </c>
      <c r="C395" s="21" t="n"/>
      <c r="D395" s="14" t="n"/>
      <c r="E395" s="14" t="n"/>
      <c r="F395" s="14" t="n"/>
      <c r="G395" s="22" t="n"/>
      <c r="H395" s="22" t="n"/>
      <c r="I395" s="22" t="n"/>
      <c r="J395" s="22" t="n"/>
      <c r="K395" s="22" t="n"/>
      <c r="L395" s="22" t="n"/>
      <c r="M395" s="22" t="n"/>
      <c r="N395" s="22" t="n"/>
      <c r="O395" s="23">
        <f>IF($C395="","",N(L395)-N(M395))</f>
        <v/>
      </c>
      <c r="P395" s="24" t="n"/>
      <c r="Q395" s="23">
        <f>IF($C395="","",N(M395)+N(N395))</f>
        <v/>
      </c>
      <c r="R395" s="23">
        <f>IF($C395="","",N(J395)+N(Q395))</f>
        <v/>
      </c>
      <c r="S395" s="25">
        <f>IF(OR($C395="",N($G395)=0),"",R395/$G395)</f>
        <v/>
      </c>
      <c r="T395" s="23">
        <f>IF($C395="","",N($G395)-N(R395))</f>
        <v/>
      </c>
      <c r="U395" s="24" t="n"/>
      <c r="V395" s="22" t="n"/>
    </row>
    <row r="396">
      <c r="B396" s="13">
        <f>IF($C396="","",COUNTA($C$9:$C396))</f>
        <v/>
      </c>
      <c r="C396" s="21" t="n"/>
      <c r="D396" s="14" t="n"/>
      <c r="E396" s="14" t="n"/>
      <c r="F396" s="14" t="n"/>
      <c r="G396" s="22" t="n"/>
      <c r="H396" s="22" t="n"/>
      <c r="I396" s="22" t="n"/>
      <c r="J396" s="22" t="n"/>
      <c r="K396" s="22" t="n"/>
      <c r="L396" s="22" t="n"/>
      <c r="M396" s="22" t="n"/>
      <c r="N396" s="22" t="n"/>
      <c r="O396" s="23">
        <f>IF($C396="","",N(L396)-N(M396))</f>
        <v/>
      </c>
      <c r="P396" s="24" t="n"/>
      <c r="Q396" s="23">
        <f>IF($C396="","",N(M396)+N(N396))</f>
        <v/>
      </c>
      <c r="R396" s="23">
        <f>IF($C396="","",N(J396)+N(Q396))</f>
        <v/>
      </c>
      <c r="S396" s="25">
        <f>IF(OR($C396="",N($G396)=0),"",R396/$G396)</f>
        <v/>
      </c>
      <c r="T396" s="23">
        <f>IF($C396="","",N($G396)-N(R396))</f>
        <v/>
      </c>
      <c r="U396" s="24" t="n"/>
      <c r="V396" s="22" t="n"/>
    </row>
    <row r="397">
      <c r="B397" s="13">
        <f>IF($C397="","",COUNTA($C$9:$C397))</f>
        <v/>
      </c>
      <c r="C397" s="21" t="n"/>
      <c r="D397" s="14" t="n"/>
      <c r="E397" s="14" t="n"/>
      <c r="F397" s="14" t="n"/>
      <c r="G397" s="22" t="n"/>
      <c r="H397" s="22" t="n"/>
      <c r="I397" s="22" t="n"/>
      <c r="J397" s="22" t="n"/>
      <c r="K397" s="22" t="n"/>
      <c r="L397" s="22" t="n"/>
      <c r="M397" s="22" t="n"/>
      <c r="N397" s="22" t="n"/>
      <c r="O397" s="23">
        <f>IF($C397="","",N(L397)-N(M397))</f>
        <v/>
      </c>
      <c r="P397" s="24" t="n"/>
      <c r="Q397" s="23">
        <f>IF($C397="","",N(M397)+N(N397))</f>
        <v/>
      </c>
      <c r="R397" s="23">
        <f>IF($C397="","",N(J397)+N(Q397))</f>
        <v/>
      </c>
      <c r="S397" s="25">
        <f>IF(OR($C397="",N($G397)=0),"",R397/$G397)</f>
        <v/>
      </c>
      <c r="T397" s="23">
        <f>IF($C397="","",N($G397)-N(R397))</f>
        <v/>
      </c>
      <c r="U397" s="24" t="n"/>
      <c r="V397" s="22" t="n"/>
    </row>
    <row r="398">
      <c r="B398" s="13">
        <f>IF($C398="","",COUNTA($C$9:$C398))</f>
        <v/>
      </c>
      <c r="C398" s="21" t="n"/>
      <c r="D398" s="14" t="n"/>
      <c r="E398" s="14" t="n"/>
      <c r="F398" s="14" t="n"/>
      <c r="G398" s="22" t="n"/>
      <c r="H398" s="22" t="n"/>
      <c r="I398" s="22" t="n"/>
      <c r="J398" s="22" t="n"/>
      <c r="K398" s="22" t="n"/>
      <c r="L398" s="22" t="n"/>
      <c r="M398" s="22" t="n"/>
      <c r="N398" s="22" t="n"/>
      <c r="O398" s="23">
        <f>IF($C398="","",N(L398)-N(M398))</f>
        <v/>
      </c>
      <c r="P398" s="24" t="n"/>
      <c r="Q398" s="23">
        <f>IF($C398="","",N(M398)+N(N398))</f>
        <v/>
      </c>
      <c r="R398" s="23">
        <f>IF($C398="","",N(J398)+N(Q398))</f>
        <v/>
      </c>
      <c r="S398" s="25">
        <f>IF(OR($C398="",N($G398)=0),"",R398/$G398)</f>
        <v/>
      </c>
      <c r="T398" s="23">
        <f>IF($C398="","",N($G398)-N(R398))</f>
        <v/>
      </c>
      <c r="U398" s="24" t="n"/>
      <c r="V398" s="22" t="n"/>
    </row>
    <row r="399">
      <c r="B399" s="13">
        <f>IF($C399="","",COUNTA($C$9:$C399))</f>
        <v/>
      </c>
      <c r="C399" s="21" t="n"/>
      <c r="D399" s="14" t="n"/>
      <c r="E399" s="14" t="n"/>
      <c r="F399" s="14" t="n"/>
      <c r="G399" s="22" t="n"/>
      <c r="H399" s="22" t="n"/>
      <c r="I399" s="22" t="n"/>
      <c r="J399" s="22" t="n"/>
      <c r="K399" s="22" t="n"/>
      <c r="L399" s="22" t="n"/>
      <c r="M399" s="22" t="n"/>
      <c r="N399" s="22" t="n"/>
      <c r="O399" s="23">
        <f>IF($C399="","",N(L399)-N(M399))</f>
        <v/>
      </c>
      <c r="P399" s="24" t="n"/>
      <c r="Q399" s="23">
        <f>IF($C399="","",N(M399)+N(N399))</f>
        <v/>
      </c>
      <c r="R399" s="23">
        <f>IF($C399="","",N(J399)+N(Q399))</f>
        <v/>
      </c>
      <c r="S399" s="25">
        <f>IF(OR($C399="",N($G399)=0),"",R399/$G399)</f>
        <v/>
      </c>
      <c r="T399" s="23">
        <f>IF($C399="","",N($G399)-N(R399))</f>
        <v/>
      </c>
      <c r="U399" s="24" t="n"/>
      <c r="V399" s="22" t="n"/>
    </row>
    <row r="400">
      <c r="B400" s="13">
        <f>IF($C400="","",COUNTA($C$9:$C400))</f>
        <v/>
      </c>
      <c r="C400" s="21" t="n"/>
      <c r="D400" s="14" t="n"/>
      <c r="E400" s="14" t="n"/>
      <c r="F400" s="14" t="n"/>
      <c r="G400" s="22" t="n"/>
      <c r="H400" s="22" t="n"/>
      <c r="I400" s="22" t="n"/>
      <c r="J400" s="22" t="n"/>
      <c r="K400" s="22" t="n"/>
      <c r="L400" s="22" t="n"/>
      <c r="M400" s="22" t="n"/>
      <c r="N400" s="22" t="n"/>
      <c r="O400" s="23">
        <f>IF($C400="","",N(L400)-N(M400))</f>
        <v/>
      </c>
      <c r="P400" s="24" t="n"/>
      <c r="Q400" s="23">
        <f>IF($C400="","",N(M400)+N(N400))</f>
        <v/>
      </c>
      <c r="R400" s="23">
        <f>IF($C400="","",N(J400)+N(Q400))</f>
        <v/>
      </c>
      <c r="S400" s="25">
        <f>IF(OR($C400="",N($G400)=0),"",R400/$G400)</f>
        <v/>
      </c>
      <c r="T400" s="23">
        <f>IF($C400="","",N($G400)-N(R400))</f>
        <v/>
      </c>
      <c r="U400" s="24" t="n"/>
      <c r="V400" s="22" t="n"/>
    </row>
    <row r="401">
      <c r="B401" s="13">
        <f>IF($C401="","",COUNTA($C$9:$C401))</f>
        <v/>
      </c>
      <c r="C401" s="21" t="n"/>
      <c r="D401" s="14" t="n"/>
      <c r="E401" s="14" t="n"/>
      <c r="F401" s="14" t="n"/>
      <c r="G401" s="22" t="n"/>
      <c r="H401" s="22" t="n"/>
      <c r="I401" s="22" t="n"/>
      <c r="J401" s="22" t="n"/>
      <c r="K401" s="22" t="n"/>
      <c r="L401" s="22" t="n"/>
      <c r="M401" s="22" t="n"/>
      <c r="N401" s="22" t="n"/>
      <c r="O401" s="23">
        <f>IF($C401="","",N(L401)-N(M401))</f>
        <v/>
      </c>
      <c r="P401" s="24" t="n"/>
      <c r="Q401" s="23">
        <f>IF($C401="","",N(M401)+N(N401))</f>
        <v/>
      </c>
      <c r="R401" s="23">
        <f>IF($C401="","",N(J401)+N(Q401))</f>
        <v/>
      </c>
      <c r="S401" s="25">
        <f>IF(OR($C401="",N($G401)=0),"",R401/$G401)</f>
        <v/>
      </c>
      <c r="T401" s="23">
        <f>IF($C401="","",N($G401)-N(R401))</f>
        <v/>
      </c>
      <c r="U401" s="24" t="n"/>
      <c r="V401" s="22" t="n"/>
    </row>
    <row r="402">
      <c r="B402" s="13">
        <f>IF($C402="","",COUNTA($C$9:$C402))</f>
        <v/>
      </c>
      <c r="C402" s="21" t="n"/>
      <c r="D402" s="14" t="n"/>
      <c r="E402" s="14" t="n"/>
      <c r="F402" s="14" t="n"/>
      <c r="G402" s="22" t="n"/>
      <c r="H402" s="22" t="n"/>
      <c r="I402" s="22" t="n"/>
      <c r="J402" s="22" t="n"/>
      <c r="K402" s="22" t="n"/>
      <c r="L402" s="22" t="n"/>
      <c r="M402" s="22" t="n"/>
      <c r="N402" s="22" t="n"/>
      <c r="O402" s="23">
        <f>IF($C402="","",N(L402)-N(M402))</f>
        <v/>
      </c>
      <c r="P402" s="24" t="n"/>
      <c r="Q402" s="23">
        <f>IF($C402="","",N(M402)+N(N402))</f>
        <v/>
      </c>
      <c r="R402" s="23">
        <f>IF($C402="","",N(J402)+N(Q402))</f>
        <v/>
      </c>
      <c r="S402" s="25">
        <f>IF(OR($C402="",N($G402)=0),"",R402/$G402)</f>
        <v/>
      </c>
      <c r="T402" s="23">
        <f>IF($C402="","",N($G402)-N(R402))</f>
        <v/>
      </c>
      <c r="U402" s="24" t="n"/>
      <c r="V402" s="22" t="n"/>
    </row>
    <row r="403">
      <c r="B403" s="13">
        <f>IF($C403="","",COUNTA($C$9:$C403))</f>
        <v/>
      </c>
      <c r="C403" s="21" t="n"/>
      <c r="D403" s="14" t="n"/>
      <c r="E403" s="14" t="n"/>
      <c r="F403" s="14" t="n"/>
      <c r="G403" s="22" t="n"/>
      <c r="H403" s="22" t="n"/>
      <c r="I403" s="22" t="n"/>
      <c r="J403" s="22" t="n"/>
      <c r="K403" s="22" t="n"/>
      <c r="L403" s="22" t="n"/>
      <c r="M403" s="22" t="n"/>
      <c r="N403" s="22" t="n"/>
      <c r="O403" s="23">
        <f>IF($C403="","",N(L403)-N(M403))</f>
        <v/>
      </c>
      <c r="P403" s="24" t="n"/>
      <c r="Q403" s="23">
        <f>IF($C403="","",N(M403)+N(N403))</f>
        <v/>
      </c>
      <c r="R403" s="23">
        <f>IF($C403="","",N(J403)+N(Q403))</f>
        <v/>
      </c>
      <c r="S403" s="25">
        <f>IF(OR($C403="",N($G403)=0),"",R403/$G403)</f>
        <v/>
      </c>
      <c r="T403" s="23">
        <f>IF($C403="","",N($G403)-N(R403))</f>
        <v/>
      </c>
      <c r="U403" s="24" t="n"/>
      <c r="V403" s="22" t="n"/>
    </row>
    <row r="404">
      <c r="B404" s="13">
        <f>IF($C404="","",COUNTA($C$9:$C404))</f>
        <v/>
      </c>
      <c r="C404" s="21" t="n"/>
      <c r="D404" s="14" t="n"/>
      <c r="E404" s="14" t="n"/>
      <c r="F404" s="14" t="n"/>
      <c r="G404" s="22" t="n"/>
      <c r="H404" s="22" t="n"/>
      <c r="I404" s="22" t="n"/>
      <c r="J404" s="22" t="n"/>
      <c r="K404" s="22" t="n"/>
      <c r="L404" s="22" t="n"/>
      <c r="M404" s="22" t="n"/>
      <c r="N404" s="22" t="n"/>
      <c r="O404" s="23">
        <f>IF($C404="","",N(L404)-N(M404))</f>
        <v/>
      </c>
      <c r="P404" s="24" t="n"/>
      <c r="Q404" s="23">
        <f>IF($C404="","",N(M404)+N(N404))</f>
        <v/>
      </c>
      <c r="R404" s="23">
        <f>IF($C404="","",N(J404)+N(Q404))</f>
        <v/>
      </c>
      <c r="S404" s="25">
        <f>IF(OR($C404="",N($G404)=0),"",R404/$G404)</f>
        <v/>
      </c>
      <c r="T404" s="23">
        <f>IF($C404="","",N($G404)-N(R404))</f>
        <v/>
      </c>
      <c r="U404" s="24" t="n"/>
      <c r="V404" s="22" t="n"/>
    </row>
    <row r="405">
      <c r="B405" s="13">
        <f>IF($C405="","",COUNTA($C$9:$C405))</f>
        <v/>
      </c>
      <c r="C405" s="21" t="n"/>
      <c r="D405" s="14" t="n"/>
      <c r="E405" s="14" t="n"/>
      <c r="F405" s="14" t="n"/>
      <c r="G405" s="22" t="n"/>
      <c r="H405" s="22" t="n"/>
      <c r="I405" s="22" t="n"/>
      <c r="J405" s="22" t="n"/>
      <c r="K405" s="22" t="n"/>
      <c r="L405" s="22" t="n"/>
      <c r="M405" s="22" t="n"/>
      <c r="N405" s="22" t="n"/>
      <c r="O405" s="23">
        <f>IF($C405="","",N(L405)-N(M405))</f>
        <v/>
      </c>
      <c r="P405" s="24" t="n"/>
      <c r="Q405" s="23">
        <f>IF($C405="","",N(M405)+N(N405))</f>
        <v/>
      </c>
      <c r="R405" s="23">
        <f>IF($C405="","",N(J405)+N(Q405))</f>
        <v/>
      </c>
      <c r="S405" s="25">
        <f>IF(OR($C405="",N($G405)=0),"",R405/$G405)</f>
        <v/>
      </c>
      <c r="T405" s="23">
        <f>IF($C405="","",N($G405)-N(R405))</f>
        <v/>
      </c>
      <c r="U405" s="24" t="n"/>
      <c r="V405" s="22" t="n"/>
    </row>
    <row r="406">
      <c r="B406" s="13">
        <f>IF($C406="","",COUNTA($C$9:$C406))</f>
        <v/>
      </c>
      <c r="C406" s="21" t="n"/>
      <c r="D406" s="14" t="n"/>
      <c r="E406" s="14" t="n"/>
      <c r="F406" s="14" t="n"/>
      <c r="G406" s="22" t="n"/>
      <c r="H406" s="22" t="n"/>
      <c r="I406" s="22" t="n"/>
      <c r="J406" s="22" t="n"/>
      <c r="K406" s="22" t="n"/>
      <c r="L406" s="22" t="n"/>
      <c r="M406" s="22" t="n"/>
      <c r="N406" s="22" t="n"/>
      <c r="O406" s="23">
        <f>IF($C406="","",N(L406)-N(M406))</f>
        <v/>
      </c>
      <c r="P406" s="24" t="n"/>
      <c r="Q406" s="23">
        <f>IF($C406="","",N(M406)+N(N406))</f>
        <v/>
      </c>
      <c r="R406" s="23">
        <f>IF($C406="","",N(J406)+N(Q406))</f>
        <v/>
      </c>
      <c r="S406" s="25">
        <f>IF(OR($C406="",N($G406)=0),"",R406/$G406)</f>
        <v/>
      </c>
      <c r="T406" s="23">
        <f>IF($C406="","",N($G406)-N(R406))</f>
        <v/>
      </c>
      <c r="U406" s="24" t="n"/>
      <c r="V406" s="22" t="n"/>
    </row>
    <row r="407">
      <c r="B407" s="13">
        <f>IF($C407="","",COUNTA($C$9:$C407))</f>
        <v/>
      </c>
      <c r="C407" s="21" t="n"/>
      <c r="D407" s="14" t="n"/>
      <c r="E407" s="14" t="n"/>
      <c r="F407" s="14" t="n"/>
      <c r="G407" s="22" t="n"/>
      <c r="H407" s="22" t="n"/>
      <c r="I407" s="22" t="n"/>
      <c r="J407" s="22" t="n"/>
      <c r="K407" s="22" t="n"/>
      <c r="L407" s="22" t="n"/>
      <c r="M407" s="22" t="n"/>
      <c r="N407" s="22" t="n"/>
      <c r="O407" s="23">
        <f>IF($C407="","",N(L407)-N(M407))</f>
        <v/>
      </c>
      <c r="P407" s="24" t="n"/>
      <c r="Q407" s="23">
        <f>IF($C407="","",N(M407)+N(N407))</f>
        <v/>
      </c>
      <c r="R407" s="23">
        <f>IF($C407="","",N(J407)+N(Q407))</f>
        <v/>
      </c>
      <c r="S407" s="25">
        <f>IF(OR($C407="",N($G407)=0),"",R407/$G407)</f>
        <v/>
      </c>
      <c r="T407" s="23">
        <f>IF($C407="","",N($G407)-N(R407))</f>
        <v/>
      </c>
      <c r="U407" s="24" t="n"/>
      <c r="V407" s="22" t="n"/>
    </row>
    <row r="408">
      <c r="B408" s="13">
        <f>IF($C408="","",COUNTA($C$9:$C408))</f>
        <v/>
      </c>
      <c r="C408" s="21" t="n"/>
      <c r="D408" s="14" t="n"/>
      <c r="E408" s="14" t="n"/>
      <c r="F408" s="14" t="n"/>
      <c r="G408" s="22" t="n"/>
      <c r="H408" s="22" t="n"/>
      <c r="I408" s="22" t="n"/>
      <c r="J408" s="22" t="n"/>
      <c r="K408" s="22" t="n"/>
      <c r="L408" s="22" t="n"/>
      <c r="M408" s="22" t="n"/>
      <c r="N408" s="22" t="n"/>
      <c r="O408" s="23">
        <f>IF($C408="","",N(L408)-N(M408))</f>
        <v/>
      </c>
      <c r="P408" s="24" t="n"/>
      <c r="Q408" s="23">
        <f>IF($C408="","",N(M408)+N(N408))</f>
        <v/>
      </c>
      <c r="R408" s="23">
        <f>IF($C408="","",N(J408)+N(Q408))</f>
        <v/>
      </c>
      <c r="S408" s="25">
        <f>IF(OR($C408="",N($G408)=0),"",R408/$G408)</f>
        <v/>
      </c>
      <c r="T408" s="23">
        <f>IF($C408="","",N($G408)-N(R408))</f>
        <v/>
      </c>
      <c r="U408" s="24" t="n"/>
      <c r="V408" s="22" t="n"/>
    </row>
  </sheetData>
  <autoFilter ref="B7:V408"/>
  <mergeCells count="2">
    <mergeCell ref="C4:V4"/>
    <mergeCell ref="C3:V3"/>
  </mergeCells>
  <conditionalFormatting sqref="O9:O408">
    <cfRule type="cellIs" priority="1" operator="greaterThan" dxfId="0">
      <formula>0</formula>
    </cfRule>
  </conditionalFormatting>
  <conditionalFormatting sqref="S9:S408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dataValidations count="3">
    <dataValidation sqref="D9:D408" showDropDown="0" showInputMessage="0" showErrorMessage="0" allowBlank="1" type="list">
      <formula1>=Areas</formula1>
    </dataValidation>
    <dataValidation sqref="E9:E408" showDropDown="0" showInputMessage="0" showErrorMessage="0" allowBlank="1" type="list">
      <formula1>=Activities</formula1>
    </dataValidation>
    <dataValidation sqref="F9:F408" showDropDown="0" showInputMessage="0" showErrorMessage="0" allowBlank="1" type="list">
      <formula1>=Agencies</formula1>
    </dataValidation>
  </dataValidation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B1:V408"/>
  <sheetViews>
    <sheetView zoomScale="85" workbookViewId="0">
      <pane xSplit="6" ySplit="8" topLeftCell="G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6" customWidth="1" min="2" max="2"/>
    <col width="38" customWidth="1" min="3" max="3"/>
    <col width="22" customWidth="1" min="4" max="4"/>
    <col width="24" customWidth="1" min="5" max="5"/>
    <col width="22" customWidth="1" min="6" max="6"/>
    <col width="11" customWidth="1" min="7" max="7"/>
    <col width="12" customWidth="1" min="8" max="8"/>
    <col width="12" customWidth="1" min="9" max="9"/>
    <col width="13" customWidth="1" min="10" max="10"/>
    <col width="11" customWidth="1" min="11" max="11"/>
    <col width="11" customWidth="1" min="12" max="12"/>
    <col width="11" customWidth="1" min="13" max="13"/>
    <col width="13" customWidth="1" min="14" max="14"/>
    <col width="12" customWidth="1" min="15" max="15"/>
    <col width="26" customWidth="1" min="16" max="16"/>
    <col width="13" customWidth="1" min="17" max="17"/>
    <col width="13" customWidth="1" min="18" max="18"/>
    <col width="10" customWidth="1" min="19" max="19"/>
    <col width="11" customWidth="1" min="20" max="20"/>
    <col width="30" customWidth="1" min="21" max="21"/>
    <col width="11" customWidth="1" min="22" max="22"/>
  </cols>
  <sheetData>
    <row r="1" ht="15" customHeight="1"/>
    <row r="2" ht="15" customHeight="1">
      <c r="B2" s="5" t="inlineStr">
        <is>
          <t>JSW</t>
        </is>
      </c>
    </row>
    <row r="3" ht="15" customHeight="1">
      <c r="C3" s="18" t="inlineStr">
        <is>
          <t>Cabling  —  Backup Sheet   (UOM: Km)</t>
        </is>
      </c>
    </row>
    <row r="4" ht="15" customHeight="1">
      <c r="C4" s="19">
        <f>Config!$C$4</f>
        <v/>
      </c>
    </row>
    <row r="5" ht="15" customHeight="1">
      <c r="S5" s="8" t="inlineStr">
        <is>
          <t>Data date:</t>
        </is>
      </c>
      <c r="T5" s="9">
        <f>Config!$C$6</f>
        <v/>
      </c>
    </row>
    <row r="6" ht="15" customHeight="1">
      <c r="S6" s="8" t="inlineStr">
        <is>
          <t>Reporting date:</t>
        </is>
      </c>
      <c r="T6" s="9">
        <f>Config!$C$7</f>
        <v/>
      </c>
    </row>
    <row r="7" ht="34" customHeight="1">
      <c r="B7" s="20" t="inlineStr">
        <is>
          <t>SL.</t>
        </is>
      </c>
      <c r="C7" s="20" t="inlineStr">
        <is>
          <t>Name of the Structures</t>
        </is>
      </c>
      <c r="D7" s="20" t="inlineStr">
        <is>
          <t>Area</t>
        </is>
      </c>
      <c r="E7" s="20" t="inlineStr">
        <is>
          <t>Activity</t>
        </is>
      </c>
      <c r="F7" s="20" t="inlineStr">
        <is>
          <t>Agency / Contractor</t>
        </is>
      </c>
      <c r="G7" s="20" t="inlineStr">
        <is>
          <t>Scope</t>
        </is>
      </c>
      <c r="H7" s="20" t="inlineStr">
        <is>
          <t>Drawing Released</t>
        </is>
      </c>
      <c r="I7" s="20" t="inlineStr">
        <is>
          <t>Cum Front Available</t>
        </is>
      </c>
      <c r="J7" s="20" t="inlineStr">
        <is>
          <t>Achieved till last month</t>
        </is>
      </c>
      <c r="K7" s="20" t="inlineStr">
        <is>
          <t>Plan FTM</t>
        </is>
      </c>
      <c r="L7" s="20" t="inlineStr">
        <is>
          <t>Plan FTD</t>
        </is>
      </c>
      <c r="M7" s="20" t="inlineStr">
        <is>
          <t>Achieved FTD</t>
        </is>
      </c>
      <c r="N7" s="20" t="inlineStr">
        <is>
          <t>Achieved FTM till previous date</t>
        </is>
      </c>
      <c r="O7" s="20" t="inlineStr">
        <is>
          <t>Variance for the Day</t>
        </is>
      </c>
      <c r="P7" s="20" t="inlineStr">
        <is>
          <t>Reason(s) for Variance</t>
        </is>
      </c>
      <c r="Q7" s="20" t="inlineStr">
        <is>
          <t>Achieved FTM till date</t>
        </is>
      </c>
      <c r="R7" s="20" t="inlineStr">
        <is>
          <t>Workdone Till Date</t>
        </is>
      </c>
      <c r="S7" s="20" t="inlineStr">
        <is>
          <t>% Complete</t>
        </is>
      </c>
      <c r="T7" s="20" t="inlineStr">
        <is>
          <t>Balance</t>
        </is>
      </c>
      <c r="U7" s="20" t="inlineStr">
        <is>
          <t>Remarks</t>
        </is>
      </c>
      <c r="V7" s="20" t="inlineStr">
        <is>
          <t>Available Manpower</t>
        </is>
      </c>
    </row>
    <row r="8" ht="15" customHeight="1">
      <c r="B8" s="12" t="inlineStr">
        <is>
          <t>a</t>
        </is>
      </c>
      <c r="C8" s="12" t="inlineStr">
        <is>
          <t>b</t>
        </is>
      </c>
      <c r="D8" s="12" t="inlineStr">
        <is>
          <t>c</t>
        </is>
      </c>
      <c r="E8" s="12" t="inlineStr">
        <is>
          <t>d</t>
        </is>
      </c>
      <c r="F8" s="12" t="inlineStr">
        <is>
          <t>e</t>
        </is>
      </c>
      <c r="G8" s="12" t="inlineStr">
        <is>
          <t>f</t>
        </is>
      </c>
      <c r="H8" s="12" t="inlineStr">
        <is>
          <t>g</t>
        </is>
      </c>
      <c r="I8" s="12" t="inlineStr">
        <is>
          <t>h</t>
        </is>
      </c>
      <c r="J8" s="12" t="inlineStr">
        <is>
          <t>i</t>
        </is>
      </c>
      <c r="K8" s="12" t="inlineStr">
        <is>
          <t>j</t>
        </is>
      </c>
      <c r="L8" s="12" t="inlineStr">
        <is>
          <t>k</t>
        </is>
      </c>
      <c r="M8" s="12" t="inlineStr">
        <is>
          <t>l</t>
        </is>
      </c>
      <c r="N8" s="12" t="inlineStr">
        <is>
          <t>m</t>
        </is>
      </c>
      <c r="O8" s="12" t="inlineStr">
        <is>
          <t>n = k-l</t>
        </is>
      </c>
      <c r="P8" s="12" t="inlineStr">
        <is>
          <t>o</t>
        </is>
      </c>
      <c r="Q8" s="12" t="inlineStr">
        <is>
          <t>p = l+m</t>
        </is>
      </c>
      <c r="R8" s="12" t="inlineStr">
        <is>
          <t>q = i+p</t>
        </is>
      </c>
      <c r="S8" s="12" t="inlineStr">
        <is>
          <t>r = (q/f)x100</t>
        </is>
      </c>
      <c r="T8" s="12" t="inlineStr">
        <is>
          <t>s = f-q</t>
        </is>
      </c>
      <c r="U8" s="12" t="inlineStr">
        <is>
          <t>t</t>
        </is>
      </c>
      <c r="V8" s="12" t="inlineStr">
        <is>
          <t>u</t>
        </is>
      </c>
    </row>
    <row r="9">
      <c r="B9" s="13">
        <f>IF($C9="","",COUNTA($C$9:$C9))</f>
        <v/>
      </c>
      <c r="C9" s="21" t="n"/>
      <c r="D9" s="14" t="n"/>
      <c r="E9" s="14" t="n"/>
      <c r="F9" s="14" t="n"/>
      <c r="G9" s="22" t="n"/>
      <c r="H9" s="22" t="n"/>
      <c r="I9" s="22" t="n"/>
      <c r="J9" s="22" t="n"/>
      <c r="K9" s="22" t="n"/>
      <c r="L9" s="22" t="n"/>
      <c r="M9" s="22" t="n"/>
      <c r="N9" s="22" t="n"/>
      <c r="O9" s="23">
        <f>IF($C9="","",N(L9)-N(M9))</f>
        <v/>
      </c>
      <c r="P9" s="24" t="n"/>
      <c r="Q9" s="23">
        <f>IF($C9="","",N(M9)+N(N9))</f>
        <v/>
      </c>
      <c r="R9" s="23">
        <f>IF($C9="","",N(J9)+N(Q9))</f>
        <v/>
      </c>
      <c r="S9" s="25">
        <f>IF(OR($C9="",N($G9)=0),"",R9/$G9)</f>
        <v/>
      </c>
      <c r="T9" s="23">
        <f>IF($C9="","",N($G9)-N(R9))</f>
        <v/>
      </c>
      <c r="U9" s="24" t="n"/>
      <c r="V9" s="22" t="n"/>
    </row>
    <row r="10">
      <c r="B10" s="13">
        <f>IF($C10="","",COUNTA($C$9:$C10))</f>
        <v/>
      </c>
      <c r="C10" s="21" t="n"/>
      <c r="D10" s="14" t="n"/>
      <c r="E10" s="14" t="n"/>
      <c r="F10" s="14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3">
        <f>IF($C10="","",N(L10)-N(M10))</f>
        <v/>
      </c>
      <c r="P10" s="24" t="n"/>
      <c r="Q10" s="23">
        <f>IF($C10="","",N(M10)+N(N10))</f>
        <v/>
      </c>
      <c r="R10" s="23">
        <f>IF($C10="","",N(J10)+N(Q10))</f>
        <v/>
      </c>
      <c r="S10" s="25">
        <f>IF(OR($C10="",N($G10)=0),"",R10/$G10)</f>
        <v/>
      </c>
      <c r="T10" s="23">
        <f>IF($C10="","",N($G10)-N(R10))</f>
        <v/>
      </c>
      <c r="U10" s="24" t="n"/>
      <c r="V10" s="22" t="n"/>
    </row>
    <row r="11">
      <c r="B11" s="13">
        <f>IF($C11="","",COUNTA($C$9:$C11))</f>
        <v/>
      </c>
      <c r="C11" s="21" t="n"/>
      <c r="D11" s="14" t="n"/>
      <c r="E11" s="14" t="n"/>
      <c r="F11" s="14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3">
        <f>IF($C11="","",N(L11)-N(M11))</f>
        <v/>
      </c>
      <c r="P11" s="24" t="n"/>
      <c r="Q11" s="23">
        <f>IF($C11="","",N(M11)+N(N11))</f>
        <v/>
      </c>
      <c r="R11" s="23">
        <f>IF($C11="","",N(J11)+N(Q11))</f>
        <v/>
      </c>
      <c r="S11" s="25">
        <f>IF(OR($C11="",N($G11)=0),"",R11/$G11)</f>
        <v/>
      </c>
      <c r="T11" s="23">
        <f>IF($C11="","",N($G11)-N(R11))</f>
        <v/>
      </c>
      <c r="U11" s="24" t="n"/>
      <c r="V11" s="22" t="n"/>
    </row>
    <row r="12">
      <c r="B12" s="13">
        <f>IF($C12="","",COUNTA($C$9:$C12))</f>
        <v/>
      </c>
      <c r="C12" s="21" t="n"/>
      <c r="D12" s="14" t="n"/>
      <c r="E12" s="14" t="n"/>
      <c r="F12" s="14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3">
        <f>IF($C12="","",N(L12)-N(M12))</f>
        <v/>
      </c>
      <c r="P12" s="24" t="n"/>
      <c r="Q12" s="23">
        <f>IF($C12="","",N(M12)+N(N12))</f>
        <v/>
      </c>
      <c r="R12" s="23">
        <f>IF($C12="","",N(J12)+N(Q12))</f>
        <v/>
      </c>
      <c r="S12" s="25">
        <f>IF(OR($C12="",N($G12)=0),"",R12/$G12)</f>
        <v/>
      </c>
      <c r="T12" s="23">
        <f>IF($C12="","",N($G12)-N(R12))</f>
        <v/>
      </c>
      <c r="U12" s="24" t="n"/>
      <c r="V12" s="22" t="n"/>
    </row>
    <row r="13">
      <c r="B13" s="13">
        <f>IF($C13="","",COUNTA($C$9:$C13))</f>
        <v/>
      </c>
      <c r="C13" s="21" t="n"/>
      <c r="D13" s="14" t="n"/>
      <c r="E13" s="14" t="n"/>
      <c r="F13" s="14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3">
        <f>IF($C13="","",N(L13)-N(M13))</f>
        <v/>
      </c>
      <c r="P13" s="24" t="n"/>
      <c r="Q13" s="23">
        <f>IF($C13="","",N(M13)+N(N13))</f>
        <v/>
      </c>
      <c r="R13" s="23">
        <f>IF($C13="","",N(J13)+N(Q13))</f>
        <v/>
      </c>
      <c r="S13" s="25">
        <f>IF(OR($C13="",N($G13)=0),"",R13/$G13)</f>
        <v/>
      </c>
      <c r="T13" s="23">
        <f>IF($C13="","",N($G13)-N(R13))</f>
        <v/>
      </c>
      <c r="U13" s="24" t="n"/>
      <c r="V13" s="22" t="n"/>
    </row>
    <row r="14">
      <c r="B14" s="13">
        <f>IF($C14="","",COUNTA($C$9:$C14))</f>
        <v/>
      </c>
      <c r="C14" s="21" t="n"/>
      <c r="D14" s="14" t="n"/>
      <c r="E14" s="14" t="n"/>
      <c r="F14" s="14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3">
        <f>IF($C14="","",N(L14)-N(M14))</f>
        <v/>
      </c>
      <c r="P14" s="24" t="n"/>
      <c r="Q14" s="23">
        <f>IF($C14="","",N(M14)+N(N14))</f>
        <v/>
      </c>
      <c r="R14" s="23">
        <f>IF($C14="","",N(J14)+N(Q14))</f>
        <v/>
      </c>
      <c r="S14" s="25">
        <f>IF(OR($C14="",N($G14)=0),"",R14/$G14)</f>
        <v/>
      </c>
      <c r="T14" s="23">
        <f>IF($C14="","",N($G14)-N(R14))</f>
        <v/>
      </c>
      <c r="U14" s="24" t="n"/>
      <c r="V14" s="22" t="n"/>
    </row>
    <row r="15">
      <c r="B15" s="13">
        <f>IF($C15="","",COUNTA($C$9:$C15))</f>
        <v/>
      </c>
      <c r="C15" s="21" t="n"/>
      <c r="D15" s="14" t="n"/>
      <c r="E15" s="14" t="n"/>
      <c r="F15" s="14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3">
        <f>IF($C15="","",N(L15)-N(M15))</f>
        <v/>
      </c>
      <c r="P15" s="24" t="n"/>
      <c r="Q15" s="23">
        <f>IF($C15="","",N(M15)+N(N15))</f>
        <v/>
      </c>
      <c r="R15" s="23">
        <f>IF($C15="","",N(J15)+N(Q15))</f>
        <v/>
      </c>
      <c r="S15" s="25">
        <f>IF(OR($C15="",N($G15)=0),"",R15/$G15)</f>
        <v/>
      </c>
      <c r="T15" s="23">
        <f>IF($C15="","",N($G15)-N(R15))</f>
        <v/>
      </c>
      <c r="U15" s="24" t="n"/>
      <c r="V15" s="22" t="n"/>
    </row>
    <row r="16">
      <c r="B16" s="13">
        <f>IF($C16="","",COUNTA($C$9:$C16))</f>
        <v/>
      </c>
      <c r="C16" s="21" t="n"/>
      <c r="D16" s="14" t="n"/>
      <c r="E16" s="14" t="n"/>
      <c r="F16" s="14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3">
        <f>IF($C16="","",N(L16)-N(M16))</f>
        <v/>
      </c>
      <c r="P16" s="24" t="n"/>
      <c r="Q16" s="23">
        <f>IF($C16="","",N(M16)+N(N16))</f>
        <v/>
      </c>
      <c r="R16" s="23">
        <f>IF($C16="","",N(J16)+N(Q16))</f>
        <v/>
      </c>
      <c r="S16" s="25">
        <f>IF(OR($C16="",N($G16)=0),"",R16/$G16)</f>
        <v/>
      </c>
      <c r="T16" s="23">
        <f>IF($C16="","",N($G16)-N(R16))</f>
        <v/>
      </c>
      <c r="U16" s="24" t="n"/>
      <c r="V16" s="22" t="n"/>
    </row>
    <row r="17">
      <c r="B17" s="13">
        <f>IF($C17="","",COUNTA($C$9:$C17))</f>
        <v/>
      </c>
      <c r="C17" s="21" t="n"/>
      <c r="D17" s="14" t="n"/>
      <c r="E17" s="14" t="n"/>
      <c r="F17" s="14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3">
        <f>IF($C17="","",N(L17)-N(M17))</f>
        <v/>
      </c>
      <c r="P17" s="24" t="n"/>
      <c r="Q17" s="23">
        <f>IF($C17="","",N(M17)+N(N17))</f>
        <v/>
      </c>
      <c r="R17" s="23">
        <f>IF($C17="","",N(J17)+N(Q17))</f>
        <v/>
      </c>
      <c r="S17" s="25">
        <f>IF(OR($C17="",N($G17)=0),"",R17/$G17)</f>
        <v/>
      </c>
      <c r="T17" s="23">
        <f>IF($C17="","",N($G17)-N(R17))</f>
        <v/>
      </c>
      <c r="U17" s="24" t="n"/>
      <c r="V17" s="22" t="n"/>
    </row>
    <row r="18">
      <c r="B18" s="13">
        <f>IF($C18="","",COUNTA($C$9:$C18))</f>
        <v/>
      </c>
      <c r="C18" s="21" t="n"/>
      <c r="D18" s="14" t="n"/>
      <c r="E18" s="14" t="n"/>
      <c r="F18" s="14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3">
        <f>IF($C18="","",N(L18)-N(M18))</f>
        <v/>
      </c>
      <c r="P18" s="24" t="n"/>
      <c r="Q18" s="23">
        <f>IF($C18="","",N(M18)+N(N18))</f>
        <v/>
      </c>
      <c r="R18" s="23">
        <f>IF($C18="","",N(J18)+N(Q18))</f>
        <v/>
      </c>
      <c r="S18" s="25">
        <f>IF(OR($C18="",N($G18)=0),"",R18/$G18)</f>
        <v/>
      </c>
      <c r="T18" s="23">
        <f>IF($C18="","",N($G18)-N(R18))</f>
        <v/>
      </c>
      <c r="U18" s="24" t="n"/>
      <c r="V18" s="22" t="n"/>
    </row>
    <row r="19">
      <c r="B19" s="13">
        <f>IF($C19="","",COUNTA($C$9:$C19))</f>
        <v/>
      </c>
      <c r="C19" s="21" t="n"/>
      <c r="D19" s="14" t="n"/>
      <c r="E19" s="14" t="n"/>
      <c r="F19" s="14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3">
        <f>IF($C19="","",N(L19)-N(M19))</f>
        <v/>
      </c>
      <c r="P19" s="24" t="n"/>
      <c r="Q19" s="23">
        <f>IF($C19="","",N(M19)+N(N19))</f>
        <v/>
      </c>
      <c r="R19" s="23">
        <f>IF($C19="","",N(J19)+N(Q19))</f>
        <v/>
      </c>
      <c r="S19" s="25">
        <f>IF(OR($C19="",N($G19)=0),"",R19/$G19)</f>
        <v/>
      </c>
      <c r="T19" s="23">
        <f>IF($C19="","",N($G19)-N(R19))</f>
        <v/>
      </c>
      <c r="U19" s="24" t="n"/>
      <c r="V19" s="22" t="n"/>
    </row>
    <row r="20">
      <c r="B20" s="13">
        <f>IF($C20="","",COUNTA($C$9:$C20))</f>
        <v/>
      </c>
      <c r="C20" s="21" t="n"/>
      <c r="D20" s="14" t="n"/>
      <c r="E20" s="14" t="n"/>
      <c r="F20" s="14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3">
        <f>IF($C20="","",N(L20)-N(M20))</f>
        <v/>
      </c>
      <c r="P20" s="24" t="n"/>
      <c r="Q20" s="23">
        <f>IF($C20="","",N(M20)+N(N20))</f>
        <v/>
      </c>
      <c r="R20" s="23">
        <f>IF($C20="","",N(J20)+N(Q20))</f>
        <v/>
      </c>
      <c r="S20" s="25">
        <f>IF(OR($C20="",N($G20)=0),"",R20/$G20)</f>
        <v/>
      </c>
      <c r="T20" s="23">
        <f>IF($C20="","",N($G20)-N(R20))</f>
        <v/>
      </c>
      <c r="U20" s="24" t="n"/>
      <c r="V20" s="22" t="n"/>
    </row>
    <row r="21">
      <c r="B21" s="13">
        <f>IF($C21="","",COUNTA($C$9:$C21))</f>
        <v/>
      </c>
      <c r="C21" s="21" t="n"/>
      <c r="D21" s="14" t="n"/>
      <c r="E21" s="14" t="n"/>
      <c r="F21" s="14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3">
        <f>IF($C21="","",N(L21)-N(M21))</f>
        <v/>
      </c>
      <c r="P21" s="24" t="n"/>
      <c r="Q21" s="23">
        <f>IF($C21="","",N(M21)+N(N21))</f>
        <v/>
      </c>
      <c r="R21" s="23">
        <f>IF($C21="","",N(J21)+N(Q21))</f>
        <v/>
      </c>
      <c r="S21" s="25">
        <f>IF(OR($C21="",N($G21)=0),"",R21/$G21)</f>
        <v/>
      </c>
      <c r="T21" s="23">
        <f>IF($C21="","",N($G21)-N(R21))</f>
        <v/>
      </c>
      <c r="U21" s="24" t="n"/>
      <c r="V21" s="22" t="n"/>
    </row>
    <row r="22">
      <c r="B22" s="13">
        <f>IF($C22="","",COUNTA($C$9:$C22))</f>
        <v/>
      </c>
      <c r="C22" s="21" t="n"/>
      <c r="D22" s="14" t="n"/>
      <c r="E22" s="14" t="n"/>
      <c r="F22" s="14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3">
        <f>IF($C22="","",N(L22)-N(M22))</f>
        <v/>
      </c>
      <c r="P22" s="24" t="n"/>
      <c r="Q22" s="23">
        <f>IF($C22="","",N(M22)+N(N22))</f>
        <v/>
      </c>
      <c r="R22" s="23">
        <f>IF($C22="","",N(J22)+N(Q22))</f>
        <v/>
      </c>
      <c r="S22" s="25">
        <f>IF(OR($C22="",N($G22)=0),"",R22/$G22)</f>
        <v/>
      </c>
      <c r="T22" s="23">
        <f>IF($C22="","",N($G22)-N(R22))</f>
        <v/>
      </c>
      <c r="U22" s="24" t="n"/>
      <c r="V22" s="22" t="n"/>
    </row>
    <row r="23">
      <c r="B23" s="13">
        <f>IF($C23="","",COUNTA($C$9:$C23))</f>
        <v/>
      </c>
      <c r="C23" s="21" t="n"/>
      <c r="D23" s="14" t="n"/>
      <c r="E23" s="14" t="n"/>
      <c r="F23" s="14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3">
        <f>IF($C23="","",N(L23)-N(M23))</f>
        <v/>
      </c>
      <c r="P23" s="24" t="n"/>
      <c r="Q23" s="23">
        <f>IF($C23="","",N(M23)+N(N23))</f>
        <v/>
      </c>
      <c r="R23" s="23">
        <f>IF($C23="","",N(J23)+N(Q23))</f>
        <v/>
      </c>
      <c r="S23" s="25">
        <f>IF(OR($C23="",N($G23)=0),"",R23/$G23)</f>
        <v/>
      </c>
      <c r="T23" s="23">
        <f>IF($C23="","",N($G23)-N(R23))</f>
        <v/>
      </c>
      <c r="U23" s="24" t="n"/>
      <c r="V23" s="22" t="n"/>
    </row>
    <row r="24">
      <c r="B24" s="13">
        <f>IF($C24="","",COUNTA($C$9:$C24))</f>
        <v/>
      </c>
      <c r="C24" s="21" t="n"/>
      <c r="D24" s="14" t="n"/>
      <c r="E24" s="14" t="n"/>
      <c r="F24" s="14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3">
        <f>IF($C24="","",N(L24)-N(M24))</f>
        <v/>
      </c>
      <c r="P24" s="24" t="n"/>
      <c r="Q24" s="23">
        <f>IF($C24="","",N(M24)+N(N24))</f>
        <v/>
      </c>
      <c r="R24" s="23">
        <f>IF($C24="","",N(J24)+N(Q24))</f>
        <v/>
      </c>
      <c r="S24" s="25">
        <f>IF(OR($C24="",N($G24)=0),"",R24/$G24)</f>
        <v/>
      </c>
      <c r="T24" s="23">
        <f>IF($C24="","",N($G24)-N(R24))</f>
        <v/>
      </c>
      <c r="U24" s="24" t="n"/>
      <c r="V24" s="22" t="n"/>
    </row>
    <row r="25">
      <c r="B25" s="13">
        <f>IF($C25="","",COUNTA($C$9:$C25))</f>
        <v/>
      </c>
      <c r="C25" s="21" t="n"/>
      <c r="D25" s="14" t="n"/>
      <c r="E25" s="14" t="n"/>
      <c r="F25" s="14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3">
        <f>IF($C25="","",N(L25)-N(M25))</f>
        <v/>
      </c>
      <c r="P25" s="24" t="n"/>
      <c r="Q25" s="23">
        <f>IF($C25="","",N(M25)+N(N25))</f>
        <v/>
      </c>
      <c r="R25" s="23">
        <f>IF($C25="","",N(J25)+N(Q25))</f>
        <v/>
      </c>
      <c r="S25" s="25">
        <f>IF(OR($C25="",N($G25)=0),"",R25/$G25)</f>
        <v/>
      </c>
      <c r="T25" s="23">
        <f>IF($C25="","",N($G25)-N(R25))</f>
        <v/>
      </c>
      <c r="U25" s="24" t="n"/>
      <c r="V25" s="22" t="n"/>
    </row>
    <row r="26">
      <c r="B26" s="13">
        <f>IF($C26="","",COUNTA($C$9:$C26))</f>
        <v/>
      </c>
      <c r="C26" s="21" t="n"/>
      <c r="D26" s="14" t="n"/>
      <c r="E26" s="14" t="n"/>
      <c r="F26" s="14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3">
        <f>IF($C26="","",N(L26)-N(M26))</f>
        <v/>
      </c>
      <c r="P26" s="24" t="n"/>
      <c r="Q26" s="23">
        <f>IF($C26="","",N(M26)+N(N26))</f>
        <v/>
      </c>
      <c r="R26" s="23">
        <f>IF($C26="","",N(J26)+N(Q26))</f>
        <v/>
      </c>
      <c r="S26" s="25">
        <f>IF(OR($C26="",N($G26)=0),"",R26/$G26)</f>
        <v/>
      </c>
      <c r="T26" s="23">
        <f>IF($C26="","",N($G26)-N(R26))</f>
        <v/>
      </c>
      <c r="U26" s="24" t="n"/>
      <c r="V26" s="22" t="n"/>
    </row>
    <row r="27">
      <c r="B27" s="13">
        <f>IF($C27="","",COUNTA($C$9:$C27))</f>
        <v/>
      </c>
      <c r="C27" s="21" t="n"/>
      <c r="D27" s="14" t="n"/>
      <c r="E27" s="14" t="n"/>
      <c r="F27" s="14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3">
        <f>IF($C27="","",N(L27)-N(M27))</f>
        <v/>
      </c>
      <c r="P27" s="24" t="n"/>
      <c r="Q27" s="23">
        <f>IF($C27="","",N(M27)+N(N27))</f>
        <v/>
      </c>
      <c r="R27" s="23">
        <f>IF($C27="","",N(J27)+N(Q27))</f>
        <v/>
      </c>
      <c r="S27" s="25">
        <f>IF(OR($C27="",N($G27)=0),"",R27/$G27)</f>
        <v/>
      </c>
      <c r="T27" s="23">
        <f>IF($C27="","",N($G27)-N(R27))</f>
        <v/>
      </c>
      <c r="U27" s="24" t="n"/>
      <c r="V27" s="22" t="n"/>
    </row>
    <row r="28">
      <c r="B28" s="13">
        <f>IF($C28="","",COUNTA($C$9:$C28))</f>
        <v/>
      </c>
      <c r="C28" s="21" t="n"/>
      <c r="D28" s="14" t="n"/>
      <c r="E28" s="14" t="n"/>
      <c r="F28" s="14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3">
        <f>IF($C28="","",N(L28)-N(M28))</f>
        <v/>
      </c>
      <c r="P28" s="24" t="n"/>
      <c r="Q28" s="23">
        <f>IF($C28="","",N(M28)+N(N28))</f>
        <v/>
      </c>
      <c r="R28" s="23">
        <f>IF($C28="","",N(J28)+N(Q28))</f>
        <v/>
      </c>
      <c r="S28" s="25">
        <f>IF(OR($C28="",N($G28)=0),"",R28/$G28)</f>
        <v/>
      </c>
      <c r="T28" s="23">
        <f>IF($C28="","",N($G28)-N(R28))</f>
        <v/>
      </c>
      <c r="U28" s="24" t="n"/>
      <c r="V28" s="22" t="n"/>
    </row>
    <row r="29">
      <c r="B29" s="13">
        <f>IF($C29="","",COUNTA($C$9:$C29))</f>
        <v/>
      </c>
      <c r="C29" s="21" t="n"/>
      <c r="D29" s="14" t="n"/>
      <c r="E29" s="14" t="n"/>
      <c r="F29" s="14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3">
        <f>IF($C29="","",N(L29)-N(M29))</f>
        <v/>
      </c>
      <c r="P29" s="24" t="n"/>
      <c r="Q29" s="23">
        <f>IF($C29="","",N(M29)+N(N29))</f>
        <v/>
      </c>
      <c r="R29" s="23">
        <f>IF($C29="","",N(J29)+N(Q29))</f>
        <v/>
      </c>
      <c r="S29" s="25">
        <f>IF(OR($C29="",N($G29)=0),"",R29/$G29)</f>
        <v/>
      </c>
      <c r="T29" s="23">
        <f>IF($C29="","",N($G29)-N(R29))</f>
        <v/>
      </c>
      <c r="U29" s="24" t="n"/>
      <c r="V29" s="22" t="n"/>
    </row>
    <row r="30">
      <c r="B30" s="13">
        <f>IF($C30="","",COUNTA($C$9:$C30))</f>
        <v/>
      </c>
      <c r="C30" s="21" t="n"/>
      <c r="D30" s="14" t="n"/>
      <c r="E30" s="14" t="n"/>
      <c r="F30" s="14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3">
        <f>IF($C30="","",N(L30)-N(M30))</f>
        <v/>
      </c>
      <c r="P30" s="24" t="n"/>
      <c r="Q30" s="23">
        <f>IF($C30="","",N(M30)+N(N30))</f>
        <v/>
      </c>
      <c r="R30" s="23">
        <f>IF($C30="","",N(J30)+N(Q30))</f>
        <v/>
      </c>
      <c r="S30" s="25">
        <f>IF(OR($C30="",N($G30)=0),"",R30/$G30)</f>
        <v/>
      </c>
      <c r="T30" s="23">
        <f>IF($C30="","",N($G30)-N(R30))</f>
        <v/>
      </c>
      <c r="U30" s="24" t="n"/>
      <c r="V30" s="22" t="n"/>
    </row>
    <row r="31">
      <c r="B31" s="13">
        <f>IF($C31="","",COUNTA($C$9:$C31))</f>
        <v/>
      </c>
      <c r="C31" s="21" t="n"/>
      <c r="D31" s="14" t="n"/>
      <c r="E31" s="14" t="n"/>
      <c r="F31" s="14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3">
        <f>IF($C31="","",N(L31)-N(M31))</f>
        <v/>
      </c>
      <c r="P31" s="24" t="n"/>
      <c r="Q31" s="23">
        <f>IF($C31="","",N(M31)+N(N31))</f>
        <v/>
      </c>
      <c r="R31" s="23">
        <f>IF($C31="","",N(J31)+N(Q31))</f>
        <v/>
      </c>
      <c r="S31" s="25">
        <f>IF(OR($C31="",N($G31)=0),"",R31/$G31)</f>
        <v/>
      </c>
      <c r="T31" s="23">
        <f>IF($C31="","",N($G31)-N(R31))</f>
        <v/>
      </c>
      <c r="U31" s="24" t="n"/>
      <c r="V31" s="22" t="n"/>
    </row>
    <row r="32">
      <c r="B32" s="13">
        <f>IF($C32="","",COUNTA($C$9:$C32))</f>
        <v/>
      </c>
      <c r="C32" s="21" t="n"/>
      <c r="D32" s="14" t="n"/>
      <c r="E32" s="14" t="n"/>
      <c r="F32" s="14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3">
        <f>IF($C32="","",N(L32)-N(M32))</f>
        <v/>
      </c>
      <c r="P32" s="24" t="n"/>
      <c r="Q32" s="23">
        <f>IF($C32="","",N(M32)+N(N32))</f>
        <v/>
      </c>
      <c r="R32" s="23">
        <f>IF($C32="","",N(J32)+N(Q32))</f>
        <v/>
      </c>
      <c r="S32" s="25">
        <f>IF(OR($C32="",N($G32)=0),"",R32/$G32)</f>
        <v/>
      </c>
      <c r="T32" s="23">
        <f>IF($C32="","",N($G32)-N(R32))</f>
        <v/>
      </c>
      <c r="U32" s="24" t="n"/>
      <c r="V32" s="22" t="n"/>
    </row>
    <row r="33">
      <c r="B33" s="13">
        <f>IF($C33="","",COUNTA($C$9:$C33))</f>
        <v/>
      </c>
      <c r="C33" s="21" t="n"/>
      <c r="D33" s="14" t="n"/>
      <c r="E33" s="14" t="n"/>
      <c r="F33" s="14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3">
        <f>IF($C33="","",N(L33)-N(M33))</f>
        <v/>
      </c>
      <c r="P33" s="24" t="n"/>
      <c r="Q33" s="23">
        <f>IF($C33="","",N(M33)+N(N33))</f>
        <v/>
      </c>
      <c r="R33" s="23">
        <f>IF($C33="","",N(J33)+N(Q33))</f>
        <v/>
      </c>
      <c r="S33" s="25">
        <f>IF(OR($C33="",N($G33)=0),"",R33/$G33)</f>
        <v/>
      </c>
      <c r="T33" s="23">
        <f>IF($C33="","",N($G33)-N(R33))</f>
        <v/>
      </c>
      <c r="U33" s="24" t="n"/>
      <c r="V33" s="22" t="n"/>
    </row>
    <row r="34">
      <c r="B34" s="13">
        <f>IF($C34="","",COUNTA($C$9:$C34))</f>
        <v/>
      </c>
      <c r="C34" s="21" t="n"/>
      <c r="D34" s="14" t="n"/>
      <c r="E34" s="14" t="n"/>
      <c r="F34" s="14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3">
        <f>IF($C34="","",N(L34)-N(M34))</f>
        <v/>
      </c>
      <c r="P34" s="24" t="n"/>
      <c r="Q34" s="23">
        <f>IF($C34="","",N(M34)+N(N34))</f>
        <v/>
      </c>
      <c r="R34" s="23">
        <f>IF($C34="","",N(J34)+N(Q34))</f>
        <v/>
      </c>
      <c r="S34" s="25">
        <f>IF(OR($C34="",N($G34)=0),"",R34/$G34)</f>
        <v/>
      </c>
      <c r="T34" s="23">
        <f>IF($C34="","",N($G34)-N(R34))</f>
        <v/>
      </c>
      <c r="U34" s="24" t="n"/>
      <c r="V34" s="22" t="n"/>
    </row>
    <row r="35">
      <c r="B35" s="13">
        <f>IF($C35="","",COUNTA($C$9:$C35))</f>
        <v/>
      </c>
      <c r="C35" s="21" t="n"/>
      <c r="D35" s="14" t="n"/>
      <c r="E35" s="14" t="n"/>
      <c r="F35" s="14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3">
        <f>IF($C35="","",N(L35)-N(M35))</f>
        <v/>
      </c>
      <c r="P35" s="24" t="n"/>
      <c r="Q35" s="23">
        <f>IF($C35="","",N(M35)+N(N35))</f>
        <v/>
      </c>
      <c r="R35" s="23">
        <f>IF($C35="","",N(J35)+N(Q35))</f>
        <v/>
      </c>
      <c r="S35" s="25">
        <f>IF(OR($C35="",N($G35)=0),"",R35/$G35)</f>
        <v/>
      </c>
      <c r="T35" s="23">
        <f>IF($C35="","",N($G35)-N(R35))</f>
        <v/>
      </c>
      <c r="U35" s="24" t="n"/>
      <c r="V35" s="22" t="n"/>
    </row>
    <row r="36">
      <c r="B36" s="13">
        <f>IF($C36="","",COUNTA($C$9:$C36))</f>
        <v/>
      </c>
      <c r="C36" s="21" t="n"/>
      <c r="D36" s="14" t="n"/>
      <c r="E36" s="14" t="n"/>
      <c r="F36" s="14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3">
        <f>IF($C36="","",N(L36)-N(M36))</f>
        <v/>
      </c>
      <c r="P36" s="24" t="n"/>
      <c r="Q36" s="23">
        <f>IF($C36="","",N(M36)+N(N36))</f>
        <v/>
      </c>
      <c r="R36" s="23">
        <f>IF($C36="","",N(J36)+N(Q36))</f>
        <v/>
      </c>
      <c r="S36" s="25">
        <f>IF(OR($C36="",N($G36)=0),"",R36/$G36)</f>
        <v/>
      </c>
      <c r="T36" s="23">
        <f>IF($C36="","",N($G36)-N(R36))</f>
        <v/>
      </c>
      <c r="U36" s="24" t="n"/>
      <c r="V36" s="22" t="n"/>
    </row>
    <row r="37">
      <c r="B37" s="13">
        <f>IF($C37="","",COUNTA($C$9:$C37))</f>
        <v/>
      </c>
      <c r="C37" s="21" t="n"/>
      <c r="D37" s="14" t="n"/>
      <c r="E37" s="14" t="n"/>
      <c r="F37" s="14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3">
        <f>IF($C37="","",N(L37)-N(M37))</f>
        <v/>
      </c>
      <c r="P37" s="24" t="n"/>
      <c r="Q37" s="23">
        <f>IF($C37="","",N(M37)+N(N37))</f>
        <v/>
      </c>
      <c r="R37" s="23">
        <f>IF($C37="","",N(J37)+N(Q37))</f>
        <v/>
      </c>
      <c r="S37" s="25">
        <f>IF(OR($C37="",N($G37)=0),"",R37/$G37)</f>
        <v/>
      </c>
      <c r="T37" s="23">
        <f>IF($C37="","",N($G37)-N(R37))</f>
        <v/>
      </c>
      <c r="U37" s="24" t="n"/>
      <c r="V37" s="22" t="n"/>
    </row>
    <row r="38">
      <c r="B38" s="13">
        <f>IF($C38="","",COUNTA($C$9:$C38))</f>
        <v/>
      </c>
      <c r="C38" s="21" t="n"/>
      <c r="D38" s="14" t="n"/>
      <c r="E38" s="14" t="n"/>
      <c r="F38" s="14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3">
        <f>IF($C38="","",N(L38)-N(M38))</f>
        <v/>
      </c>
      <c r="P38" s="24" t="n"/>
      <c r="Q38" s="23">
        <f>IF($C38="","",N(M38)+N(N38))</f>
        <v/>
      </c>
      <c r="R38" s="23">
        <f>IF($C38="","",N(J38)+N(Q38))</f>
        <v/>
      </c>
      <c r="S38" s="25">
        <f>IF(OR($C38="",N($G38)=0),"",R38/$G38)</f>
        <v/>
      </c>
      <c r="T38" s="23">
        <f>IF($C38="","",N($G38)-N(R38))</f>
        <v/>
      </c>
      <c r="U38" s="24" t="n"/>
      <c r="V38" s="22" t="n"/>
    </row>
    <row r="39">
      <c r="B39" s="13">
        <f>IF($C39="","",COUNTA($C$9:$C39))</f>
        <v/>
      </c>
      <c r="C39" s="21" t="n"/>
      <c r="D39" s="14" t="n"/>
      <c r="E39" s="14" t="n"/>
      <c r="F39" s="14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3">
        <f>IF($C39="","",N(L39)-N(M39))</f>
        <v/>
      </c>
      <c r="P39" s="24" t="n"/>
      <c r="Q39" s="23">
        <f>IF($C39="","",N(M39)+N(N39))</f>
        <v/>
      </c>
      <c r="R39" s="23">
        <f>IF($C39="","",N(J39)+N(Q39))</f>
        <v/>
      </c>
      <c r="S39" s="25">
        <f>IF(OR($C39="",N($G39)=0),"",R39/$G39)</f>
        <v/>
      </c>
      <c r="T39" s="23">
        <f>IF($C39="","",N($G39)-N(R39))</f>
        <v/>
      </c>
      <c r="U39" s="24" t="n"/>
      <c r="V39" s="22" t="n"/>
    </row>
    <row r="40">
      <c r="B40" s="13">
        <f>IF($C40="","",COUNTA($C$9:$C40))</f>
        <v/>
      </c>
      <c r="C40" s="21" t="n"/>
      <c r="D40" s="14" t="n"/>
      <c r="E40" s="14" t="n"/>
      <c r="F40" s="14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3">
        <f>IF($C40="","",N(L40)-N(M40))</f>
        <v/>
      </c>
      <c r="P40" s="24" t="n"/>
      <c r="Q40" s="23">
        <f>IF($C40="","",N(M40)+N(N40))</f>
        <v/>
      </c>
      <c r="R40" s="23">
        <f>IF($C40="","",N(J40)+N(Q40))</f>
        <v/>
      </c>
      <c r="S40" s="25">
        <f>IF(OR($C40="",N($G40)=0),"",R40/$G40)</f>
        <v/>
      </c>
      <c r="T40" s="23">
        <f>IF($C40="","",N($G40)-N(R40))</f>
        <v/>
      </c>
      <c r="U40" s="24" t="n"/>
      <c r="V40" s="22" t="n"/>
    </row>
    <row r="41">
      <c r="B41" s="13">
        <f>IF($C41="","",COUNTA($C$9:$C41))</f>
        <v/>
      </c>
      <c r="C41" s="21" t="n"/>
      <c r="D41" s="14" t="n"/>
      <c r="E41" s="14" t="n"/>
      <c r="F41" s="14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3">
        <f>IF($C41="","",N(L41)-N(M41))</f>
        <v/>
      </c>
      <c r="P41" s="24" t="n"/>
      <c r="Q41" s="23">
        <f>IF($C41="","",N(M41)+N(N41))</f>
        <v/>
      </c>
      <c r="R41" s="23">
        <f>IF($C41="","",N(J41)+N(Q41))</f>
        <v/>
      </c>
      <c r="S41" s="25">
        <f>IF(OR($C41="",N($G41)=0),"",R41/$G41)</f>
        <v/>
      </c>
      <c r="T41" s="23">
        <f>IF($C41="","",N($G41)-N(R41))</f>
        <v/>
      </c>
      <c r="U41" s="24" t="n"/>
      <c r="V41" s="22" t="n"/>
    </row>
    <row r="42">
      <c r="B42" s="13">
        <f>IF($C42="","",COUNTA($C$9:$C42))</f>
        <v/>
      </c>
      <c r="C42" s="21" t="n"/>
      <c r="D42" s="14" t="n"/>
      <c r="E42" s="14" t="n"/>
      <c r="F42" s="14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3">
        <f>IF($C42="","",N(L42)-N(M42))</f>
        <v/>
      </c>
      <c r="P42" s="24" t="n"/>
      <c r="Q42" s="23">
        <f>IF($C42="","",N(M42)+N(N42))</f>
        <v/>
      </c>
      <c r="R42" s="23">
        <f>IF($C42="","",N(J42)+N(Q42))</f>
        <v/>
      </c>
      <c r="S42" s="25">
        <f>IF(OR($C42="",N($G42)=0),"",R42/$G42)</f>
        <v/>
      </c>
      <c r="T42" s="23">
        <f>IF($C42="","",N($G42)-N(R42))</f>
        <v/>
      </c>
      <c r="U42" s="24" t="n"/>
      <c r="V42" s="22" t="n"/>
    </row>
    <row r="43">
      <c r="B43" s="13">
        <f>IF($C43="","",COUNTA($C$9:$C43))</f>
        <v/>
      </c>
      <c r="C43" s="21" t="n"/>
      <c r="D43" s="14" t="n"/>
      <c r="E43" s="14" t="n"/>
      <c r="F43" s="14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3">
        <f>IF($C43="","",N(L43)-N(M43))</f>
        <v/>
      </c>
      <c r="P43" s="24" t="n"/>
      <c r="Q43" s="23">
        <f>IF($C43="","",N(M43)+N(N43))</f>
        <v/>
      </c>
      <c r="R43" s="23">
        <f>IF($C43="","",N(J43)+N(Q43))</f>
        <v/>
      </c>
      <c r="S43" s="25">
        <f>IF(OR($C43="",N($G43)=0),"",R43/$G43)</f>
        <v/>
      </c>
      <c r="T43" s="23">
        <f>IF($C43="","",N($G43)-N(R43))</f>
        <v/>
      </c>
      <c r="U43" s="24" t="n"/>
      <c r="V43" s="22" t="n"/>
    </row>
    <row r="44">
      <c r="B44" s="13">
        <f>IF($C44="","",COUNTA($C$9:$C44))</f>
        <v/>
      </c>
      <c r="C44" s="21" t="n"/>
      <c r="D44" s="14" t="n"/>
      <c r="E44" s="14" t="n"/>
      <c r="F44" s="14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3">
        <f>IF($C44="","",N(L44)-N(M44))</f>
        <v/>
      </c>
      <c r="P44" s="24" t="n"/>
      <c r="Q44" s="23">
        <f>IF($C44="","",N(M44)+N(N44))</f>
        <v/>
      </c>
      <c r="R44" s="23">
        <f>IF($C44="","",N(J44)+N(Q44))</f>
        <v/>
      </c>
      <c r="S44" s="25">
        <f>IF(OR($C44="",N($G44)=0),"",R44/$G44)</f>
        <v/>
      </c>
      <c r="T44" s="23">
        <f>IF($C44="","",N($G44)-N(R44))</f>
        <v/>
      </c>
      <c r="U44" s="24" t="n"/>
      <c r="V44" s="22" t="n"/>
    </row>
    <row r="45">
      <c r="B45" s="13">
        <f>IF($C45="","",COUNTA($C$9:$C45))</f>
        <v/>
      </c>
      <c r="C45" s="21" t="n"/>
      <c r="D45" s="14" t="n"/>
      <c r="E45" s="14" t="n"/>
      <c r="F45" s="14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3">
        <f>IF($C45="","",N(L45)-N(M45))</f>
        <v/>
      </c>
      <c r="P45" s="24" t="n"/>
      <c r="Q45" s="23">
        <f>IF($C45="","",N(M45)+N(N45))</f>
        <v/>
      </c>
      <c r="R45" s="23">
        <f>IF($C45="","",N(J45)+N(Q45))</f>
        <v/>
      </c>
      <c r="S45" s="25">
        <f>IF(OR($C45="",N($G45)=0),"",R45/$G45)</f>
        <v/>
      </c>
      <c r="T45" s="23">
        <f>IF($C45="","",N($G45)-N(R45))</f>
        <v/>
      </c>
      <c r="U45" s="24" t="n"/>
      <c r="V45" s="22" t="n"/>
    </row>
    <row r="46">
      <c r="B46" s="13">
        <f>IF($C46="","",COUNTA($C$9:$C46))</f>
        <v/>
      </c>
      <c r="C46" s="21" t="n"/>
      <c r="D46" s="14" t="n"/>
      <c r="E46" s="14" t="n"/>
      <c r="F46" s="14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3">
        <f>IF($C46="","",N(L46)-N(M46))</f>
        <v/>
      </c>
      <c r="P46" s="24" t="n"/>
      <c r="Q46" s="23">
        <f>IF($C46="","",N(M46)+N(N46))</f>
        <v/>
      </c>
      <c r="R46" s="23">
        <f>IF($C46="","",N(J46)+N(Q46))</f>
        <v/>
      </c>
      <c r="S46" s="25">
        <f>IF(OR($C46="",N($G46)=0),"",R46/$G46)</f>
        <v/>
      </c>
      <c r="T46" s="23">
        <f>IF($C46="","",N($G46)-N(R46))</f>
        <v/>
      </c>
      <c r="U46" s="24" t="n"/>
      <c r="V46" s="22" t="n"/>
    </row>
    <row r="47">
      <c r="B47" s="13">
        <f>IF($C47="","",COUNTA($C$9:$C47))</f>
        <v/>
      </c>
      <c r="C47" s="21" t="n"/>
      <c r="D47" s="14" t="n"/>
      <c r="E47" s="14" t="n"/>
      <c r="F47" s="14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3">
        <f>IF($C47="","",N(L47)-N(M47))</f>
        <v/>
      </c>
      <c r="P47" s="24" t="n"/>
      <c r="Q47" s="23">
        <f>IF($C47="","",N(M47)+N(N47))</f>
        <v/>
      </c>
      <c r="R47" s="23">
        <f>IF($C47="","",N(J47)+N(Q47))</f>
        <v/>
      </c>
      <c r="S47" s="25">
        <f>IF(OR($C47="",N($G47)=0),"",R47/$G47)</f>
        <v/>
      </c>
      <c r="T47" s="23">
        <f>IF($C47="","",N($G47)-N(R47))</f>
        <v/>
      </c>
      <c r="U47" s="24" t="n"/>
      <c r="V47" s="22" t="n"/>
    </row>
    <row r="48">
      <c r="B48" s="13">
        <f>IF($C48="","",COUNTA($C$9:$C48))</f>
        <v/>
      </c>
      <c r="C48" s="21" t="n"/>
      <c r="D48" s="14" t="n"/>
      <c r="E48" s="14" t="n"/>
      <c r="F48" s="14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3">
        <f>IF($C48="","",N(L48)-N(M48))</f>
        <v/>
      </c>
      <c r="P48" s="24" t="n"/>
      <c r="Q48" s="23">
        <f>IF($C48="","",N(M48)+N(N48))</f>
        <v/>
      </c>
      <c r="R48" s="23">
        <f>IF($C48="","",N(J48)+N(Q48))</f>
        <v/>
      </c>
      <c r="S48" s="25">
        <f>IF(OR($C48="",N($G48)=0),"",R48/$G48)</f>
        <v/>
      </c>
      <c r="T48" s="23">
        <f>IF($C48="","",N($G48)-N(R48))</f>
        <v/>
      </c>
      <c r="U48" s="24" t="n"/>
      <c r="V48" s="22" t="n"/>
    </row>
    <row r="49">
      <c r="B49" s="13">
        <f>IF($C49="","",COUNTA($C$9:$C49))</f>
        <v/>
      </c>
      <c r="C49" s="21" t="n"/>
      <c r="D49" s="14" t="n"/>
      <c r="E49" s="14" t="n"/>
      <c r="F49" s="14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3">
        <f>IF($C49="","",N(L49)-N(M49))</f>
        <v/>
      </c>
      <c r="P49" s="24" t="n"/>
      <c r="Q49" s="23">
        <f>IF($C49="","",N(M49)+N(N49))</f>
        <v/>
      </c>
      <c r="R49" s="23">
        <f>IF($C49="","",N(J49)+N(Q49))</f>
        <v/>
      </c>
      <c r="S49" s="25">
        <f>IF(OR($C49="",N($G49)=0),"",R49/$G49)</f>
        <v/>
      </c>
      <c r="T49" s="23">
        <f>IF($C49="","",N($G49)-N(R49))</f>
        <v/>
      </c>
      <c r="U49" s="24" t="n"/>
      <c r="V49" s="22" t="n"/>
    </row>
    <row r="50">
      <c r="B50" s="13">
        <f>IF($C50="","",COUNTA($C$9:$C50))</f>
        <v/>
      </c>
      <c r="C50" s="21" t="n"/>
      <c r="D50" s="14" t="n"/>
      <c r="E50" s="14" t="n"/>
      <c r="F50" s="14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3">
        <f>IF($C50="","",N(L50)-N(M50))</f>
        <v/>
      </c>
      <c r="P50" s="24" t="n"/>
      <c r="Q50" s="23">
        <f>IF($C50="","",N(M50)+N(N50))</f>
        <v/>
      </c>
      <c r="R50" s="23">
        <f>IF($C50="","",N(J50)+N(Q50))</f>
        <v/>
      </c>
      <c r="S50" s="25">
        <f>IF(OR($C50="",N($G50)=0),"",R50/$G50)</f>
        <v/>
      </c>
      <c r="T50" s="23">
        <f>IF($C50="","",N($G50)-N(R50))</f>
        <v/>
      </c>
      <c r="U50" s="24" t="n"/>
      <c r="V50" s="22" t="n"/>
    </row>
    <row r="51">
      <c r="B51" s="13">
        <f>IF($C51="","",COUNTA($C$9:$C51))</f>
        <v/>
      </c>
      <c r="C51" s="21" t="n"/>
      <c r="D51" s="14" t="n"/>
      <c r="E51" s="14" t="n"/>
      <c r="F51" s="14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3">
        <f>IF($C51="","",N(L51)-N(M51))</f>
        <v/>
      </c>
      <c r="P51" s="24" t="n"/>
      <c r="Q51" s="23">
        <f>IF($C51="","",N(M51)+N(N51))</f>
        <v/>
      </c>
      <c r="R51" s="23">
        <f>IF($C51="","",N(J51)+N(Q51))</f>
        <v/>
      </c>
      <c r="S51" s="25">
        <f>IF(OR($C51="",N($G51)=0),"",R51/$G51)</f>
        <v/>
      </c>
      <c r="T51" s="23">
        <f>IF($C51="","",N($G51)-N(R51))</f>
        <v/>
      </c>
      <c r="U51" s="24" t="n"/>
      <c r="V51" s="22" t="n"/>
    </row>
    <row r="52">
      <c r="B52" s="13">
        <f>IF($C52="","",COUNTA($C$9:$C52))</f>
        <v/>
      </c>
      <c r="C52" s="21" t="n"/>
      <c r="D52" s="14" t="n"/>
      <c r="E52" s="14" t="n"/>
      <c r="F52" s="14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3">
        <f>IF($C52="","",N(L52)-N(M52))</f>
        <v/>
      </c>
      <c r="P52" s="24" t="n"/>
      <c r="Q52" s="23">
        <f>IF($C52="","",N(M52)+N(N52))</f>
        <v/>
      </c>
      <c r="R52" s="23">
        <f>IF($C52="","",N(J52)+N(Q52))</f>
        <v/>
      </c>
      <c r="S52" s="25">
        <f>IF(OR($C52="",N($G52)=0),"",R52/$G52)</f>
        <v/>
      </c>
      <c r="T52" s="23">
        <f>IF($C52="","",N($G52)-N(R52))</f>
        <v/>
      </c>
      <c r="U52" s="24" t="n"/>
      <c r="V52" s="22" t="n"/>
    </row>
    <row r="53">
      <c r="B53" s="13">
        <f>IF($C53="","",COUNTA($C$9:$C53))</f>
        <v/>
      </c>
      <c r="C53" s="21" t="n"/>
      <c r="D53" s="14" t="n"/>
      <c r="E53" s="14" t="n"/>
      <c r="F53" s="14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3">
        <f>IF($C53="","",N(L53)-N(M53))</f>
        <v/>
      </c>
      <c r="P53" s="24" t="n"/>
      <c r="Q53" s="23">
        <f>IF($C53="","",N(M53)+N(N53))</f>
        <v/>
      </c>
      <c r="R53" s="23">
        <f>IF($C53="","",N(J53)+N(Q53))</f>
        <v/>
      </c>
      <c r="S53" s="25">
        <f>IF(OR($C53="",N($G53)=0),"",R53/$G53)</f>
        <v/>
      </c>
      <c r="T53" s="23">
        <f>IF($C53="","",N($G53)-N(R53))</f>
        <v/>
      </c>
      <c r="U53" s="24" t="n"/>
      <c r="V53" s="22" t="n"/>
    </row>
    <row r="54">
      <c r="B54" s="13">
        <f>IF($C54="","",COUNTA($C$9:$C54))</f>
        <v/>
      </c>
      <c r="C54" s="21" t="n"/>
      <c r="D54" s="14" t="n"/>
      <c r="E54" s="14" t="n"/>
      <c r="F54" s="14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3">
        <f>IF($C54="","",N(L54)-N(M54))</f>
        <v/>
      </c>
      <c r="P54" s="24" t="n"/>
      <c r="Q54" s="23">
        <f>IF($C54="","",N(M54)+N(N54))</f>
        <v/>
      </c>
      <c r="R54" s="23">
        <f>IF($C54="","",N(J54)+N(Q54))</f>
        <v/>
      </c>
      <c r="S54" s="25">
        <f>IF(OR($C54="",N($G54)=0),"",R54/$G54)</f>
        <v/>
      </c>
      <c r="T54" s="23">
        <f>IF($C54="","",N($G54)-N(R54))</f>
        <v/>
      </c>
      <c r="U54" s="24" t="n"/>
      <c r="V54" s="22" t="n"/>
    </row>
    <row r="55">
      <c r="B55" s="13">
        <f>IF($C55="","",COUNTA($C$9:$C55))</f>
        <v/>
      </c>
      <c r="C55" s="21" t="n"/>
      <c r="D55" s="14" t="n"/>
      <c r="E55" s="14" t="n"/>
      <c r="F55" s="14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3">
        <f>IF($C55="","",N(L55)-N(M55))</f>
        <v/>
      </c>
      <c r="P55" s="24" t="n"/>
      <c r="Q55" s="23">
        <f>IF($C55="","",N(M55)+N(N55))</f>
        <v/>
      </c>
      <c r="R55" s="23">
        <f>IF($C55="","",N(J55)+N(Q55))</f>
        <v/>
      </c>
      <c r="S55" s="25">
        <f>IF(OR($C55="",N($G55)=0),"",R55/$G55)</f>
        <v/>
      </c>
      <c r="T55" s="23">
        <f>IF($C55="","",N($G55)-N(R55))</f>
        <v/>
      </c>
      <c r="U55" s="24" t="n"/>
      <c r="V55" s="22" t="n"/>
    </row>
    <row r="56">
      <c r="B56" s="13">
        <f>IF($C56="","",COUNTA($C$9:$C56))</f>
        <v/>
      </c>
      <c r="C56" s="21" t="n"/>
      <c r="D56" s="14" t="n"/>
      <c r="E56" s="14" t="n"/>
      <c r="F56" s="14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3">
        <f>IF($C56="","",N(L56)-N(M56))</f>
        <v/>
      </c>
      <c r="P56" s="24" t="n"/>
      <c r="Q56" s="23">
        <f>IF($C56="","",N(M56)+N(N56))</f>
        <v/>
      </c>
      <c r="R56" s="23">
        <f>IF($C56="","",N(J56)+N(Q56))</f>
        <v/>
      </c>
      <c r="S56" s="25">
        <f>IF(OR($C56="",N($G56)=0),"",R56/$G56)</f>
        <v/>
      </c>
      <c r="T56" s="23">
        <f>IF($C56="","",N($G56)-N(R56))</f>
        <v/>
      </c>
      <c r="U56" s="24" t="n"/>
      <c r="V56" s="22" t="n"/>
    </row>
    <row r="57">
      <c r="B57" s="13">
        <f>IF($C57="","",COUNTA($C$9:$C57))</f>
        <v/>
      </c>
      <c r="C57" s="21" t="n"/>
      <c r="D57" s="14" t="n"/>
      <c r="E57" s="14" t="n"/>
      <c r="F57" s="14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3">
        <f>IF($C57="","",N(L57)-N(M57))</f>
        <v/>
      </c>
      <c r="P57" s="24" t="n"/>
      <c r="Q57" s="23">
        <f>IF($C57="","",N(M57)+N(N57))</f>
        <v/>
      </c>
      <c r="R57" s="23">
        <f>IF($C57="","",N(J57)+N(Q57))</f>
        <v/>
      </c>
      <c r="S57" s="25">
        <f>IF(OR($C57="",N($G57)=0),"",R57/$G57)</f>
        <v/>
      </c>
      <c r="T57" s="23">
        <f>IF($C57="","",N($G57)-N(R57))</f>
        <v/>
      </c>
      <c r="U57" s="24" t="n"/>
      <c r="V57" s="22" t="n"/>
    </row>
    <row r="58">
      <c r="B58" s="13">
        <f>IF($C58="","",COUNTA($C$9:$C58))</f>
        <v/>
      </c>
      <c r="C58" s="21" t="n"/>
      <c r="D58" s="14" t="n"/>
      <c r="E58" s="14" t="n"/>
      <c r="F58" s="14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3">
        <f>IF($C58="","",N(L58)-N(M58))</f>
        <v/>
      </c>
      <c r="P58" s="24" t="n"/>
      <c r="Q58" s="23">
        <f>IF($C58="","",N(M58)+N(N58))</f>
        <v/>
      </c>
      <c r="R58" s="23">
        <f>IF($C58="","",N(J58)+N(Q58))</f>
        <v/>
      </c>
      <c r="S58" s="25">
        <f>IF(OR($C58="",N($G58)=0),"",R58/$G58)</f>
        <v/>
      </c>
      <c r="T58" s="23">
        <f>IF($C58="","",N($G58)-N(R58))</f>
        <v/>
      </c>
      <c r="U58" s="24" t="n"/>
      <c r="V58" s="22" t="n"/>
    </row>
    <row r="59">
      <c r="B59" s="13">
        <f>IF($C59="","",COUNTA($C$9:$C59))</f>
        <v/>
      </c>
      <c r="C59" s="21" t="n"/>
      <c r="D59" s="14" t="n"/>
      <c r="E59" s="14" t="n"/>
      <c r="F59" s="14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3">
        <f>IF($C59="","",N(L59)-N(M59))</f>
        <v/>
      </c>
      <c r="P59" s="24" t="n"/>
      <c r="Q59" s="23">
        <f>IF($C59="","",N(M59)+N(N59))</f>
        <v/>
      </c>
      <c r="R59" s="23">
        <f>IF($C59="","",N(J59)+N(Q59))</f>
        <v/>
      </c>
      <c r="S59" s="25">
        <f>IF(OR($C59="",N($G59)=0),"",R59/$G59)</f>
        <v/>
      </c>
      <c r="T59" s="23">
        <f>IF($C59="","",N($G59)-N(R59))</f>
        <v/>
      </c>
      <c r="U59" s="24" t="n"/>
      <c r="V59" s="22" t="n"/>
    </row>
    <row r="60">
      <c r="B60" s="13">
        <f>IF($C60="","",COUNTA($C$9:$C60))</f>
        <v/>
      </c>
      <c r="C60" s="21" t="n"/>
      <c r="D60" s="14" t="n"/>
      <c r="E60" s="14" t="n"/>
      <c r="F60" s="14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3">
        <f>IF($C60="","",N(L60)-N(M60))</f>
        <v/>
      </c>
      <c r="P60" s="24" t="n"/>
      <c r="Q60" s="23">
        <f>IF($C60="","",N(M60)+N(N60))</f>
        <v/>
      </c>
      <c r="R60" s="23">
        <f>IF($C60="","",N(J60)+N(Q60))</f>
        <v/>
      </c>
      <c r="S60" s="25">
        <f>IF(OR($C60="",N($G60)=0),"",R60/$G60)</f>
        <v/>
      </c>
      <c r="T60" s="23">
        <f>IF($C60="","",N($G60)-N(R60))</f>
        <v/>
      </c>
      <c r="U60" s="24" t="n"/>
      <c r="V60" s="22" t="n"/>
    </row>
    <row r="61">
      <c r="B61" s="13">
        <f>IF($C61="","",COUNTA($C$9:$C61))</f>
        <v/>
      </c>
      <c r="C61" s="21" t="n"/>
      <c r="D61" s="14" t="n"/>
      <c r="E61" s="14" t="n"/>
      <c r="F61" s="14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3">
        <f>IF($C61="","",N(L61)-N(M61))</f>
        <v/>
      </c>
      <c r="P61" s="24" t="n"/>
      <c r="Q61" s="23">
        <f>IF($C61="","",N(M61)+N(N61))</f>
        <v/>
      </c>
      <c r="R61" s="23">
        <f>IF($C61="","",N(J61)+N(Q61))</f>
        <v/>
      </c>
      <c r="S61" s="25">
        <f>IF(OR($C61="",N($G61)=0),"",R61/$G61)</f>
        <v/>
      </c>
      <c r="T61" s="23">
        <f>IF($C61="","",N($G61)-N(R61))</f>
        <v/>
      </c>
      <c r="U61" s="24" t="n"/>
      <c r="V61" s="22" t="n"/>
    </row>
    <row r="62">
      <c r="B62" s="13">
        <f>IF($C62="","",COUNTA($C$9:$C62))</f>
        <v/>
      </c>
      <c r="C62" s="21" t="n"/>
      <c r="D62" s="14" t="n"/>
      <c r="E62" s="14" t="n"/>
      <c r="F62" s="14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3">
        <f>IF($C62="","",N(L62)-N(M62))</f>
        <v/>
      </c>
      <c r="P62" s="24" t="n"/>
      <c r="Q62" s="23">
        <f>IF($C62="","",N(M62)+N(N62))</f>
        <v/>
      </c>
      <c r="R62" s="23">
        <f>IF($C62="","",N(J62)+N(Q62))</f>
        <v/>
      </c>
      <c r="S62" s="25">
        <f>IF(OR($C62="",N($G62)=0),"",R62/$G62)</f>
        <v/>
      </c>
      <c r="T62" s="23">
        <f>IF($C62="","",N($G62)-N(R62))</f>
        <v/>
      </c>
      <c r="U62" s="24" t="n"/>
      <c r="V62" s="22" t="n"/>
    </row>
    <row r="63">
      <c r="B63" s="13">
        <f>IF($C63="","",COUNTA($C$9:$C63))</f>
        <v/>
      </c>
      <c r="C63" s="21" t="n"/>
      <c r="D63" s="14" t="n"/>
      <c r="E63" s="14" t="n"/>
      <c r="F63" s="14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3">
        <f>IF($C63="","",N(L63)-N(M63))</f>
        <v/>
      </c>
      <c r="P63" s="24" t="n"/>
      <c r="Q63" s="23">
        <f>IF($C63="","",N(M63)+N(N63))</f>
        <v/>
      </c>
      <c r="R63" s="23">
        <f>IF($C63="","",N(J63)+N(Q63))</f>
        <v/>
      </c>
      <c r="S63" s="25">
        <f>IF(OR($C63="",N($G63)=0),"",R63/$G63)</f>
        <v/>
      </c>
      <c r="T63" s="23">
        <f>IF($C63="","",N($G63)-N(R63))</f>
        <v/>
      </c>
      <c r="U63" s="24" t="n"/>
      <c r="V63" s="22" t="n"/>
    </row>
    <row r="64">
      <c r="B64" s="13">
        <f>IF($C64="","",COUNTA($C$9:$C64))</f>
        <v/>
      </c>
      <c r="C64" s="21" t="n"/>
      <c r="D64" s="14" t="n"/>
      <c r="E64" s="14" t="n"/>
      <c r="F64" s="14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3">
        <f>IF($C64="","",N(L64)-N(M64))</f>
        <v/>
      </c>
      <c r="P64" s="24" t="n"/>
      <c r="Q64" s="23">
        <f>IF($C64="","",N(M64)+N(N64))</f>
        <v/>
      </c>
      <c r="R64" s="23">
        <f>IF($C64="","",N(J64)+N(Q64))</f>
        <v/>
      </c>
      <c r="S64" s="25">
        <f>IF(OR($C64="",N($G64)=0),"",R64/$G64)</f>
        <v/>
      </c>
      <c r="T64" s="23">
        <f>IF($C64="","",N($G64)-N(R64))</f>
        <v/>
      </c>
      <c r="U64" s="24" t="n"/>
      <c r="V64" s="22" t="n"/>
    </row>
    <row r="65">
      <c r="B65" s="13">
        <f>IF($C65="","",COUNTA($C$9:$C65))</f>
        <v/>
      </c>
      <c r="C65" s="21" t="n"/>
      <c r="D65" s="14" t="n"/>
      <c r="E65" s="14" t="n"/>
      <c r="F65" s="14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3">
        <f>IF($C65="","",N(L65)-N(M65))</f>
        <v/>
      </c>
      <c r="P65" s="24" t="n"/>
      <c r="Q65" s="23">
        <f>IF($C65="","",N(M65)+N(N65))</f>
        <v/>
      </c>
      <c r="R65" s="23">
        <f>IF($C65="","",N(J65)+N(Q65))</f>
        <v/>
      </c>
      <c r="S65" s="25">
        <f>IF(OR($C65="",N($G65)=0),"",R65/$G65)</f>
        <v/>
      </c>
      <c r="T65" s="23">
        <f>IF($C65="","",N($G65)-N(R65))</f>
        <v/>
      </c>
      <c r="U65" s="24" t="n"/>
      <c r="V65" s="22" t="n"/>
    </row>
    <row r="66">
      <c r="B66" s="13">
        <f>IF($C66="","",COUNTA($C$9:$C66))</f>
        <v/>
      </c>
      <c r="C66" s="21" t="n"/>
      <c r="D66" s="14" t="n"/>
      <c r="E66" s="14" t="n"/>
      <c r="F66" s="14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3">
        <f>IF($C66="","",N(L66)-N(M66))</f>
        <v/>
      </c>
      <c r="P66" s="24" t="n"/>
      <c r="Q66" s="23">
        <f>IF($C66="","",N(M66)+N(N66))</f>
        <v/>
      </c>
      <c r="R66" s="23">
        <f>IF($C66="","",N(J66)+N(Q66))</f>
        <v/>
      </c>
      <c r="S66" s="25">
        <f>IF(OR($C66="",N($G66)=0),"",R66/$G66)</f>
        <v/>
      </c>
      <c r="T66" s="23">
        <f>IF($C66="","",N($G66)-N(R66))</f>
        <v/>
      </c>
      <c r="U66" s="24" t="n"/>
      <c r="V66" s="22" t="n"/>
    </row>
    <row r="67">
      <c r="B67" s="13">
        <f>IF($C67="","",COUNTA($C$9:$C67))</f>
        <v/>
      </c>
      <c r="C67" s="21" t="n"/>
      <c r="D67" s="14" t="n"/>
      <c r="E67" s="14" t="n"/>
      <c r="F67" s="14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3">
        <f>IF($C67="","",N(L67)-N(M67))</f>
        <v/>
      </c>
      <c r="P67" s="24" t="n"/>
      <c r="Q67" s="23">
        <f>IF($C67="","",N(M67)+N(N67))</f>
        <v/>
      </c>
      <c r="R67" s="23">
        <f>IF($C67="","",N(J67)+N(Q67))</f>
        <v/>
      </c>
      <c r="S67" s="25">
        <f>IF(OR($C67="",N($G67)=0),"",R67/$G67)</f>
        <v/>
      </c>
      <c r="T67" s="23">
        <f>IF($C67="","",N($G67)-N(R67))</f>
        <v/>
      </c>
      <c r="U67" s="24" t="n"/>
      <c r="V67" s="22" t="n"/>
    </row>
    <row r="68">
      <c r="B68" s="13">
        <f>IF($C68="","",COUNTA($C$9:$C68))</f>
        <v/>
      </c>
      <c r="C68" s="21" t="n"/>
      <c r="D68" s="14" t="n"/>
      <c r="E68" s="14" t="n"/>
      <c r="F68" s="14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3">
        <f>IF($C68="","",N(L68)-N(M68))</f>
        <v/>
      </c>
      <c r="P68" s="24" t="n"/>
      <c r="Q68" s="23">
        <f>IF($C68="","",N(M68)+N(N68))</f>
        <v/>
      </c>
      <c r="R68" s="23">
        <f>IF($C68="","",N(J68)+N(Q68))</f>
        <v/>
      </c>
      <c r="S68" s="25">
        <f>IF(OR($C68="",N($G68)=0),"",R68/$G68)</f>
        <v/>
      </c>
      <c r="T68" s="23">
        <f>IF($C68="","",N($G68)-N(R68))</f>
        <v/>
      </c>
      <c r="U68" s="24" t="n"/>
      <c r="V68" s="22" t="n"/>
    </row>
    <row r="69">
      <c r="B69" s="13">
        <f>IF($C69="","",COUNTA($C$9:$C69))</f>
        <v/>
      </c>
      <c r="C69" s="21" t="n"/>
      <c r="D69" s="14" t="n"/>
      <c r="E69" s="14" t="n"/>
      <c r="F69" s="14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3">
        <f>IF($C69="","",N(L69)-N(M69))</f>
        <v/>
      </c>
      <c r="P69" s="24" t="n"/>
      <c r="Q69" s="23">
        <f>IF($C69="","",N(M69)+N(N69))</f>
        <v/>
      </c>
      <c r="R69" s="23">
        <f>IF($C69="","",N(J69)+N(Q69))</f>
        <v/>
      </c>
      <c r="S69" s="25">
        <f>IF(OR($C69="",N($G69)=0),"",R69/$G69)</f>
        <v/>
      </c>
      <c r="T69" s="23">
        <f>IF($C69="","",N($G69)-N(R69))</f>
        <v/>
      </c>
      <c r="U69" s="24" t="n"/>
      <c r="V69" s="22" t="n"/>
    </row>
    <row r="70">
      <c r="B70" s="13">
        <f>IF($C70="","",COUNTA($C$9:$C70))</f>
        <v/>
      </c>
      <c r="C70" s="21" t="n"/>
      <c r="D70" s="14" t="n"/>
      <c r="E70" s="14" t="n"/>
      <c r="F70" s="14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3">
        <f>IF($C70="","",N(L70)-N(M70))</f>
        <v/>
      </c>
      <c r="P70" s="24" t="n"/>
      <c r="Q70" s="23">
        <f>IF($C70="","",N(M70)+N(N70))</f>
        <v/>
      </c>
      <c r="R70" s="23">
        <f>IF($C70="","",N(J70)+N(Q70))</f>
        <v/>
      </c>
      <c r="S70" s="25">
        <f>IF(OR($C70="",N($G70)=0),"",R70/$G70)</f>
        <v/>
      </c>
      <c r="T70" s="23">
        <f>IF($C70="","",N($G70)-N(R70))</f>
        <v/>
      </c>
      <c r="U70" s="24" t="n"/>
      <c r="V70" s="22" t="n"/>
    </row>
    <row r="71">
      <c r="B71" s="13">
        <f>IF($C71="","",COUNTA($C$9:$C71))</f>
        <v/>
      </c>
      <c r="C71" s="21" t="n"/>
      <c r="D71" s="14" t="n"/>
      <c r="E71" s="14" t="n"/>
      <c r="F71" s="14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3">
        <f>IF($C71="","",N(L71)-N(M71))</f>
        <v/>
      </c>
      <c r="P71" s="24" t="n"/>
      <c r="Q71" s="23">
        <f>IF($C71="","",N(M71)+N(N71))</f>
        <v/>
      </c>
      <c r="R71" s="23">
        <f>IF($C71="","",N(J71)+N(Q71))</f>
        <v/>
      </c>
      <c r="S71" s="25">
        <f>IF(OR($C71="",N($G71)=0),"",R71/$G71)</f>
        <v/>
      </c>
      <c r="T71" s="23">
        <f>IF($C71="","",N($G71)-N(R71))</f>
        <v/>
      </c>
      <c r="U71" s="24" t="n"/>
      <c r="V71" s="22" t="n"/>
    </row>
    <row r="72">
      <c r="B72" s="13">
        <f>IF($C72="","",COUNTA($C$9:$C72))</f>
        <v/>
      </c>
      <c r="C72" s="21" t="n"/>
      <c r="D72" s="14" t="n"/>
      <c r="E72" s="14" t="n"/>
      <c r="F72" s="14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3">
        <f>IF($C72="","",N(L72)-N(M72))</f>
        <v/>
      </c>
      <c r="P72" s="24" t="n"/>
      <c r="Q72" s="23">
        <f>IF($C72="","",N(M72)+N(N72))</f>
        <v/>
      </c>
      <c r="R72" s="23">
        <f>IF($C72="","",N(J72)+N(Q72))</f>
        <v/>
      </c>
      <c r="S72" s="25">
        <f>IF(OR($C72="",N($G72)=0),"",R72/$G72)</f>
        <v/>
      </c>
      <c r="T72" s="23">
        <f>IF($C72="","",N($G72)-N(R72))</f>
        <v/>
      </c>
      <c r="U72" s="24" t="n"/>
      <c r="V72" s="22" t="n"/>
    </row>
    <row r="73">
      <c r="B73" s="13">
        <f>IF($C73="","",COUNTA($C$9:$C73))</f>
        <v/>
      </c>
      <c r="C73" s="21" t="n"/>
      <c r="D73" s="14" t="n"/>
      <c r="E73" s="14" t="n"/>
      <c r="F73" s="14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3">
        <f>IF($C73="","",N(L73)-N(M73))</f>
        <v/>
      </c>
      <c r="P73" s="24" t="n"/>
      <c r="Q73" s="23">
        <f>IF($C73="","",N(M73)+N(N73))</f>
        <v/>
      </c>
      <c r="R73" s="23">
        <f>IF($C73="","",N(J73)+N(Q73))</f>
        <v/>
      </c>
      <c r="S73" s="25">
        <f>IF(OR($C73="",N($G73)=0),"",R73/$G73)</f>
        <v/>
      </c>
      <c r="T73" s="23">
        <f>IF($C73="","",N($G73)-N(R73))</f>
        <v/>
      </c>
      <c r="U73" s="24" t="n"/>
      <c r="V73" s="22" t="n"/>
    </row>
    <row r="74">
      <c r="B74" s="13">
        <f>IF($C74="","",COUNTA($C$9:$C74))</f>
        <v/>
      </c>
      <c r="C74" s="21" t="n"/>
      <c r="D74" s="14" t="n"/>
      <c r="E74" s="14" t="n"/>
      <c r="F74" s="14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3">
        <f>IF($C74="","",N(L74)-N(M74))</f>
        <v/>
      </c>
      <c r="P74" s="24" t="n"/>
      <c r="Q74" s="23">
        <f>IF($C74="","",N(M74)+N(N74))</f>
        <v/>
      </c>
      <c r="R74" s="23">
        <f>IF($C74="","",N(J74)+N(Q74))</f>
        <v/>
      </c>
      <c r="S74" s="25">
        <f>IF(OR($C74="",N($G74)=0),"",R74/$G74)</f>
        <v/>
      </c>
      <c r="T74" s="23">
        <f>IF($C74="","",N($G74)-N(R74))</f>
        <v/>
      </c>
      <c r="U74" s="24" t="n"/>
      <c r="V74" s="22" t="n"/>
    </row>
    <row r="75">
      <c r="B75" s="13">
        <f>IF($C75="","",COUNTA($C$9:$C75))</f>
        <v/>
      </c>
      <c r="C75" s="21" t="n"/>
      <c r="D75" s="14" t="n"/>
      <c r="E75" s="14" t="n"/>
      <c r="F75" s="14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3">
        <f>IF($C75="","",N(L75)-N(M75))</f>
        <v/>
      </c>
      <c r="P75" s="24" t="n"/>
      <c r="Q75" s="23">
        <f>IF($C75="","",N(M75)+N(N75))</f>
        <v/>
      </c>
      <c r="R75" s="23">
        <f>IF($C75="","",N(J75)+N(Q75))</f>
        <v/>
      </c>
      <c r="S75" s="25">
        <f>IF(OR($C75="",N($G75)=0),"",R75/$G75)</f>
        <v/>
      </c>
      <c r="T75" s="23">
        <f>IF($C75="","",N($G75)-N(R75))</f>
        <v/>
      </c>
      <c r="U75" s="24" t="n"/>
      <c r="V75" s="22" t="n"/>
    </row>
    <row r="76">
      <c r="B76" s="13">
        <f>IF($C76="","",COUNTA($C$9:$C76))</f>
        <v/>
      </c>
      <c r="C76" s="21" t="n"/>
      <c r="D76" s="14" t="n"/>
      <c r="E76" s="14" t="n"/>
      <c r="F76" s="14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3">
        <f>IF($C76="","",N(L76)-N(M76))</f>
        <v/>
      </c>
      <c r="P76" s="24" t="n"/>
      <c r="Q76" s="23">
        <f>IF($C76="","",N(M76)+N(N76))</f>
        <v/>
      </c>
      <c r="R76" s="23">
        <f>IF($C76="","",N(J76)+N(Q76))</f>
        <v/>
      </c>
      <c r="S76" s="25">
        <f>IF(OR($C76="",N($G76)=0),"",R76/$G76)</f>
        <v/>
      </c>
      <c r="T76" s="23">
        <f>IF($C76="","",N($G76)-N(R76))</f>
        <v/>
      </c>
      <c r="U76" s="24" t="n"/>
      <c r="V76" s="22" t="n"/>
    </row>
    <row r="77">
      <c r="B77" s="13">
        <f>IF($C77="","",COUNTA($C$9:$C77))</f>
        <v/>
      </c>
      <c r="C77" s="21" t="n"/>
      <c r="D77" s="14" t="n"/>
      <c r="E77" s="14" t="n"/>
      <c r="F77" s="14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3">
        <f>IF($C77="","",N(L77)-N(M77))</f>
        <v/>
      </c>
      <c r="P77" s="24" t="n"/>
      <c r="Q77" s="23">
        <f>IF($C77="","",N(M77)+N(N77))</f>
        <v/>
      </c>
      <c r="R77" s="23">
        <f>IF($C77="","",N(J77)+N(Q77))</f>
        <v/>
      </c>
      <c r="S77" s="25">
        <f>IF(OR($C77="",N($G77)=0),"",R77/$G77)</f>
        <v/>
      </c>
      <c r="T77" s="23">
        <f>IF($C77="","",N($G77)-N(R77))</f>
        <v/>
      </c>
      <c r="U77" s="24" t="n"/>
      <c r="V77" s="22" t="n"/>
    </row>
    <row r="78">
      <c r="B78" s="13">
        <f>IF($C78="","",COUNTA($C$9:$C78))</f>
        <v/>
      </c>
      <c r="C78" s="21" t="n"/>
      <c r="D78" s="14" t="n"/>
      <c r="E78" s="14" t="n"/>
      <c r="F78" s="14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3">
        <f>IF($C78="","",N(L78)-N(M78))</f>
        <v/>
      </c>
      <c r="P78" s="24" t="n"/>
      <c r="Q78" s="23">
        <f>IF($C78="","",N(M78)+N(N78))</f>
        <v/>
      </c>
      <c r="R78" s="23">
        <f>IF($C78="","",N(J78)+N(Q78))</f>
        <v/>
      </c>
      <c r="S78" s="25">
        <f>IF(OR($C78="",N($G78)=0),"",R78/$G78)</f>
        <v/>
      </c>
      <c r="T78" s="23">
        <f>IF($C78="","",N($G78)-N(R78))</f>
        <v/>
      </c>
      <c r="U78" s="24" t="n"/>
      <c r="V78" s="22" t="n"/>
    </row>
    <row r="79">
      <c r="B79" s="13">
        <f>IF($C79="","",COUNTA($C$9:$C79))</f>
        <v/>
      </c>
      <c r="C79" s="21" t="n"/>
      <c r="D79" s="14" t="n"/>
      <c r="E79" s="14" t="n"/>
      <c r="F79" s="14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3">
        <f>IF($C79="","",N(L79)-N(M79))</f>
        <v/>
      </c>
      <c r="P79" s="24" t="n"/>
      <c r="Q79" s="23">
        <f>IF($C79="","",N(M79)+N(N79))</f>
        <v/>
      </c>
      <c r="R79" s="23">
        <f>IF($C79="","",N(J79)+N(Q79))</f>
        <v/>
      </c>
      <c r="S79" s="25">
        <f>IF(OR($C79="",N($G79)=0),"",R79/$G79)</f>
        <v/>
      </c>
      <c r="T79" s="23">
        <f>IF($C79="","",N($G79)-N(R79))</f>
        <v/>
      </c>
      <c r="U79" s="24" t="n"/>
      <c r="V79" s="22" t="n"/>
    </row>
    <row r="80">
      <c r="B80" s="13">
        <f>IF($C80="","",COUNTA($C$9:$C80))</f>
        <v/>
      </c>
      <c r="C80" s="21" t="n"/>
      <c r="D80" s="14" t="n"/>
      <c r="E80" s="14" t="n"/>
      <c r="F80" s="14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3">
        <f>IF($C80="","",N(L80)-N(M80))</f>
        <v/>
      </c>
      <c r="P80" s="24" t="n"/>
      <c r="Q80" s="23">
        <f>IF($C80="","",N(M80)+N(N80))</f>
        <v/>
      </c>
      <c r="R80" s="23">
        <f>IF($C80="","",N(J80)+N(Q80))</f>
        <v/>
      </c>
      <c r="S80" s="25">
        <f>IF(OR($C80="",N($G80)=0),"",R80/$G80)</f>
        <v/>
      </c>
      <c r="T80" s="23">
        <f>IF($C80="","",N($G80)-N(R80))</f>
        <v/>
      </c>
      <c r="U80" s="24" t="n"/>
      <c r="V80" s="22" t="n"/>
    </row>
    <row r="81">
      <c r="B81" s="13">
        <f>IF($C81="","",COUNTA($C$9:$C81))</f>
        <v/>
      </c>
      <c r="C81" s="21" t="n"/>
      <c r="D81" s="14" t="n"/>
      <c r="E81" s="14" t="n"/>
      <c r="F81" s="14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3">
        <f>IF($C81="","",N(L81)-N(M81))</f>
        <v/>
      </c>
      <c r="P81" s="24" t="n"/>
      <c r="Q81" s="23">
        <f>IF($C81="","",N(M81)+N(N81))</f>
        <v/>
      </c>
      <c r="R81" s="23">
        <f>IF($C81="","",N(J81)+N(Q81))</f>
        <v/>
      </c>
      <c r="S81" s="25">
        <f>IF(OR($C81="",N($G81)=0),"",R81/$G81)</f>
        <v/>
      </c>
      <c r="T81" s="23">
        <f>IF($C81="","",N($G81)-N(R81))</f>
        <v/>
      </c>
      <c r="U81" s="24" t="n"/>
      <c r="V81" s="22" t="n"/>
    </row>
    <row r="82">
      <c r="B82" s="13">
        <f>IF($C82="","",COUNTA($C$9:$C82))</f>
        <v/>
      </c>
      <c r="C82" s="21" t="n"/>
      <c r="D82" s="14" t="n"/>
      <c r="E82" s="14" t="n"/>
      <c r="F82" s="14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3">
        <f>IF($C82="","",N(L82)-N(M82))</f>
        <v/>
      </c>
      <c r="P82" s="24" t="n"/>
      <c r="Q82" s="23">
        <f>IF($C82="","",N(M82)+N(N82))</f>
        <v/>
      </c>
      <c r="R82" s="23">
        <f>IF($C82="","",N(J82)+N(Q82))</f>
        <v/>
      </c>
      <c r="S82" s="25">
        <f>IF(OR($C82="",N($G82)=0),"",R82/$G82)</f>
        <v/>
      </c>
      <c r="T82" s="23">
        <f>IF($C82="","",N($G82)-N(R82))</f>
        <v/>
      </c>
      <c r="U82" s="24" t="n"/>
      <c r="V82" s="22" t="n"/>
    </row>
    <row r="83">
      <c r="B83" s="13">
        <f>IF($C83="","",COUNTA($C$9:$C83))</f>
        <v/>
      </c>
      <c r="C83" s="21" t="n"/>
      <c r="D83" s="14" t="n"/>
      <c r="E83" s="14" t="n"/>
      <c r="F83" s="14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3">
        <f>IF($C83="","",N(L83)-N(M83))</f>
        <v/>
      </c>
      <c r="P83" s="24" t="n"/>
      <c r="Q83" s="23">
        <f>IF($C83="","",N(M83)+N(N83))</f>
        <v/>
      </c>
      <c r="R83" s="23">
        <f>IF($C83="","",N(J83)+N(Q83))</f>
        <v/>
      </c>
      <c r="S83" s="25">
        <f>IF(OR($C83="",N($G83)=0),"",R83/$G83)</f>
        <v/>
      </c>
      <c r="T83" s="23">
        <f>IF($C83="","",N($G83)-N(R83))</f>
        <v/>
      </c>
      <c r="U83" s="24" t="n"/>
      <c r="V83" s="22" t="n"/>
    </row>
    <row r="84">
      <c r="B84" s="13">
        <f>IF($C84="","",COUNTA($C$9:$C84))</f>
        <v/>
      </c>
      <c r="C84" s="21" t="n"/>
      <c r="D84" s="14" t="n"/>
      <c r="E84" s="14" t="n"/>
      <c r="F84" s="14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3">
        <f>IF($C84="","",N(L84)-N(M84))</f>
        <v/>
      </c>
      <c r="P84" s="24" t="n"/>
      <c r="Q84" s="23">
        <f>IF($C84="","",N(M84)+N(N84))</f>
        <v/>
      </c>
      <c r="R84" s="23">
        <f>IF($C84="","",N(J84)+N(Q84))</f>
        <v/>
      </c>
      <c r="S84" s="25">
        <f>IF(OR($C84="",N($G84)=0),"",R84/$G84)</f>
        <v/>
      </c>
      <c r="T84" s="23">
        <f>IF($C84="","",N($G84)-N(R84))</f>
        <v/>
      </c>
      <c r="U84" s="24" t="n"/>
      <c r="V84" s="22" t="n"/>
    </row>
    <row r="85">
      <c r="B85" s="13">
        <f>IF($C85="","",COUNTA($C$9:$C85))</f>
        <v/>
      </c>
      <c r="C85" s="21" t="n"/>
      <c r="D85" s="14" t="n"/>
      <c r="E85" s="14" t="n"/>
      <c r="F85" s="14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3">
        <f>IF($C85="","",N(L85)-N(M85))</f>
        <v/>
      </c>
      <c r="P85" s="24" t="n"/>
      <c r="Q85" s="23">
        <f>IF($C85="","",N(M85)+N(N85))</f>
        <v/>
      </c>
      <c r="R85" s="23">
        <f>IF($C85="","",N(J85)+N(Q85))</f>
        <v/>
      </c>
      <c r="S85" s="25">
        <f>IF(OR($C85="",N($G85)=0),"",R85/$G85)</f>
        <v/>
      </c>
      <c r="T85" s="23">
        <f>IF($C85="","",N($G85)-N(R85))</f>
        <v/>
      </c>
      <c r="U85" s="24" t="n"/>
      <c r="V85" s="22" t="n"/>
    </row>
    <row r="86">
      <c r="B86" s="13">
        <f>IF($C86="","",COUNTA($C$9:$C86))</f>
        <v/>
      </c>
      <c r="C86" s="21" t="n"/>
      <c r="D86" s="14" t="n"/>
      <c r="E86" s="14" t="n"/>
      <c r="F86" s="14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3">
        <f>IF($C86="","",N(L86)-N(M86))</f>
        <v/>
      </c>
      <c r="P86" s="24" t="n"/>
      <c r="Q86" s="23">
        <f>IF($C86="","",N(M86)+N(N86))</f>
        <v/>
      </c>
      <c r="R86" s="23">
        <f>IF($C86="","",N(J86)+N(Q86))</f>
        <v/>
      </c>
      <c r="S86" s="25">
        <f>IF(OR($C86="",N($G86)=0),"",R86/$G86)</f>
        <v/>
      </c>
      <c r="T86" s="23">
        <f>IF($C86="","",N($G86)-N(R86))</f>
        <v/>
      </c>
      <c r="U86" s="24" t="n"/>
      <c r="V86" s="22" t="n"/>
    </row>
    <row r="87">
      <c r="B87" s="13">
        <f>IF($C87="","",COUNTA($C$9:$C87))</f>
        <v/>
      </c>
      <c r="C87" s="21" t="n"/>
      <c r="D87" s="14" t="n"/>
      <c r="E87" s="14" t="n"/>
      <c r="F87" s="14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3">
        <f>IF($C87="","",N(L87)-N(M87))</f>
        <v/>
      </c>
      <c r="P87" s="24" t="n"/>
      <c r="Q87" s="23">
        <f>IF($C87="","",N(M87)+N(N87))</f>
        <v/>
      </c>
      <c r="R87" s="23">
        <f>IF($C87="","",N(J87)+N(Q87))</f>
        <v/>
      </c>
      <c r="S87" s="25">
        <f>IF(OR($C87="",N($G87)=0),"",R87/$G87)</f>
        <v/>
      </c>
      <c r="T87" s="23">
        <f>IF($C87="","",N($G87)-N(R87))</f>
        <v/>
      </c>
      <c r="U87" s="24" t="n"/>
      <c r="V87" s="22" t="n"/>
    </row>
    <row r="88">
      <c r="B88" s="13">
        <f>IF($C88="","",COUNTA($C$9:$C88))</f>
        <v/>
      </c>
      <c r="C88" s="21" t="n"/>
      <c r="D88" s="14" t="n"/>
      <c r="E88" s="14" t="n"/>
      <c r="F88" s="14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3">
        <f>IF($C88="","",N(L88)-N(M88))</f>
        <v/>
      </c>
      <c r="P88" s="24" t="n"/>
      <c r="Q88" s="23">
        <f>IF($C88="","",N(M88)+N(N88))</f>
        <v/>
      </c>
      <c r="R88" s="23">
        <f>IF($C88="","",N(J88)+N(Q88))</f>
        <v/>
      </c>
      <c r="S88" s="25">
        <f>IF(OR($C88="",N($G88)=0),"",R88/$G88)</f>
        <v/>
      </c>
      <c r="T88" s="23">
        <f>IF($C88="","",N($G88)-N(R88))</f>
        <v/>
      </c>
      <c r="U88" s="24" t="n"/>
      <c r="V88" s="22" t="n"/>
    </row>
    <row r="89">
      <c r="B89" s="13">
        <f>IF($C89="","",COUNTA($C$9:$C89))</f>
        <v/>
      </c>
      <c r="C89" s="21" t="n"/>
      <c r="D89" s="14" t="n"/>
      <c r="E89" s="14" t="n"/>
      <c r="F89" s="14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3">
        <f>IF($C89="","",N(L89)-N(M89))</f>
        <v/>
      </c>
      <c r="P89" s="24" t="n"/>
      <c r="Q89" s="23">
        <f>IF($C89="","",N(M89)+N(N89))</f>
        <v/>
      </c>
      <c r="R89" s="23">
        <f>IF($C89="","",N(J89)+N(Q89))</f>
        <v/>
      </c>
      <c r="S89" s="25">
        <f>IF(OR($C89="",N($G89)=0),"",R89/$G89)</f>
        <v/>
      </c>
      <c r="T89" s="23">
        <f>IF($C89="","",N($G89)-N(R89))</f>
        <v/>
      </c>
      <c r="U89" s="24" t="n"/>
      <c r="V89" s="22" t="n"/>
    </row>
    <row r="90">
      <c r="B90" s="13">
        <f>IF($C90="","",COUNTA($C$9:$C90))</f>
        <v/>
      </c>
      <c r="C90" s="21" t="n"/>
      <c r="D90" s="14" t="n"/>
      <c r="E90" s="14" t="n"/>
      <c r="F90" s="14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3">
        <f>IF($C90="","",N(L90)-N(M90))</f>
        <v/>
      </c>
      <c r="P90" s="24" t="n"/>
      <c r="Q90" s="23">
        <f>IF($C90="","",N(M90)+N(N90))</f>
        <v/>
      </c>
      <c r="R90" s="23">
        <f>IF($C90="","",N(J90)+N(Q90))</f>
        <v/>
      </c>
      <c r="S90" s="25">
        <f>IF(OR($C90="",N($G90)=0),"",R90/$G90)</f>
        <v/>
      </c>
      <c r="T90" s="23">
        <f>IF($C90="","",N($G90)-N(R90))</f>
        <v/>
      </c>
      <c r="U90" s="24" t="n"/>
      <c r="V90" s="22" t="n"/>
    </row>
    <row r="91">
      <c r="B91" s="13">
        <f>IF($C91="","",COUNTA($C$9:$C91))</f>
        <v/>
      </c>
      <c r="C91" s="21" t="n"/>
      <c r="D91" s="14" t="n"/>
      <c r="E91" s="14" t="n"/>
      <c r="F91" s="14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3">
        <f>IF($C91="","",N(L91)-N(M91))</f>
        <v/>
      </c>
      <c r="P91" s="24" t="n"/>
      <c r="Q91" s="23">
        <f>IF($C91="","",N(M91)+N(N91))</f>
        <v/>
      </c>
      <c r="R91" s="23">
        <f>IF($C91="","",N(J91)+N(Q91))</f>
        <v/>
      </c>
      <c r="S91" s="25">
        <f>IF(OR($C91="",N($G91)=0),"",R91/$G91)</f>
        <v/>
      </c>
      <c r="T91" s="23">
        <f>IF($C91="","",N($G91)-N(R91))</f>
        <v/>
      </c>
      <c r="U91" s="24" t="n"/>
      <c r="V91" s="22" t="n"/>
    </row>
    <row r="92">
      <c r="B92" s="13">
        <f>IF($C92="","",COUNTA($C$9:$C92))</f>
        <v/>
      </c>
      <c r="C92" s="21" t="n"/>
      <c r="D92" s="14" t="n"/>
      <c r="E92" s="14" t="n"/>
      <c r="F92" s="14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3">
        <f>IF($C92="","",N(L92)-N(M92))</f>
        <v/>
      </c>
      <c r="P92" s="24" t="n"/>
      <c r="Q92" s="23">
        <f>IF($C92="","",N(M92)+N(N92))</f>
        <v/>
      </c>
      <c r="R92" s="23">
        <f>IF($C92="","",N(J92)+N(Q92))</f>
        <v/>
      </c>
      <c r="S92" s="25">
        <f>IF(OR($C92="",N($G92)=0),"",R92/$G92)</f>
        <v/>
      </c>
      <c r="T92" s="23">
        <f>IF($C92="","",N($G92)-N(R92))</f>
        <v/>
      </c>
      <c r="U92" s="24" t="n"/>
      <c r="V92" s="22" t="n"/>
    </row>
    <row r="93">
      <c r="B93" s="13">
        <f>IF($C93="","",COUNTA($C$9:$C93))</f>
        <v/>
      </c>
      <c r="C93" s="21" t="n"/>
      <c r="D93" s="14" t="n"/>
      <c r="E93" s="14" t="n"/>
      <c r="F93" s="14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3">
        <f>IF($C93="","",N(L93)-N(M93))</f>
        <v/>
      </c>
      <c r="P93" s="24" t="n"/>
      <c r="Q93" s="23">
        <f>IF($C93="","",N(M93)+N(N93))</f>
        <v/>
      </c>
      <c r="R93" s="23">
        <f>IF($C93="","",N(J93)+N(Q93))</f>
        <v/>
      </c>
      <c r="S93" s="25">
        <f>IF(OR($C93="",N($G93)=0),"",R93/$G93)</f>
        <v/>
      </c>
      <c r="T93" s="23">
        <f>IF($C93="","",N($G93)-N(R93))</f>
        <v/>
      </c>
      <c r="U93" s="24" t="n"/>
      <c r="V93" s="22" t="n"/>
    </row>
    <row r="94">
      <c r="B94" s="13">
        <f>IF($C94="","",COUNTA($C$9:$C94))</f>
        <v/>
      </c>
      <c r="C94" s="21" t="n"/>
      <c r="D94" s="14" t="n"/>
      <c r="E94" s="14" t="n"/>
      <c r="F94" s="14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3">
        <f>IF($C94="","",N(L94)-N(M94))</f>
        <v/>
      </c>
      <c r="P94" s="24" t="n"/>
      <c r="Q94" s="23">
        <f>IF($C94="","",N(M94)+N(N94))</f>
        <v/>
      </c>
      <c r="R94" s="23">
        <f>IF($C94="","",N(J94)+N(Q94))</f>
        <v/>
      </c>
      <c r="S94" s="25">
        <f>IF(OR($C94="",N($G94)=0),"",R94/$G94)</f>
        <v/>
      </c>
      <c r="T94" s="23">
        <f>IF($C94="","",N($G94)-N(R94))</f>
        <v/>
      </c>
      <c r="U94" s="24" t="n"/>
      <c r="V94" s="22" t="n"/>
    </row>
    <row r="95">
      <c r="B95" s="13">
        <f>IF($C95="","",COUNTA($C$9:$C95))</f>
        <v/>
      </c>
      <c r="C95" s="21" t="n"/>
      <c r="D95" s="14" t="n"/>
      <c r="E95" s="14" t="n"/>
      <c r="F95" s="14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3">
        <f>IF($C95="","",N(L95)-N(M95))</f>
        <v/>
      </c>
      <c r="P95" s="24" t="n"/>
      <c r="Q95" s="23">
        <f>IF($C95="","",N(M95)+N(N95))</f>
        <v/>
      </c>
      <c r="R95" s="23">
        <f>IF($C95="","",N(J95)+N(Q95))</f>
        <v/>
      </c>
      <c r="S95" s="25">
        <f>IF(OR($C95="",N($G95)=0),"",R95/$G95)</f>
        <v/>
      </c>
      <c r="T95" s="23">
        <f>IF($C95="","",N($G95)-N(R95))</f>
        <v/>
      </c>
      <c r="U95" s="24" t="n"/>
      <c r="V95" s="22" t="n"/>
    </row>
    <row r="96">
      <c r="B96" s="13">
        <f>IF($C96="","",COUNTA($C$9:$C96))</f>
        <v/>
      </c>
      <c r="C96" s="21" t="n"/>
      <c r="D96" s="14" t="n"/>
      <c r="E96" s="14" t="n"/>
      <c r="F96" s="14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3">
        <f>IF($C96="","",N(L96)-N(M96))</f>
        <v/>
      </c>
      <c r="P96" s="24" t="n"/>
      <c r="Q96" s="23">
        <f>IF($C96="","",N(M96)+N(N96))</f>
        <v/>
      </c>
      <c r="R96" s="23">
        <f>IF($C96="","",N(J96)+N(Q96))</f>
        <v/>
      </c>
      <c r="S96" s="25">
        <f>IF(OR($C96="",N($G96)=0),"",R96/$G96)</f>
        <v/>
      </c>
      <c r="T96" s="23">
        <f>IF($C96="","",N($G96)-N(R96))</f>
        <v/>
      </c>
      <c r="U96" s="24" t="n"/>
      <c r="V96" s="22" t="n"/>
    </row>
    <row r="97">
      <c r="B97" s="13">
        <f>IF($C97="","",COUNTA($C$9:$C97))</f>
        <v/>
      </c>
      <c r="C97" s="21" t="n"/>
      <c r="D97" s="14" t="n"/>
      <c r="E97" s="14" t="n"/>
      <c r="F97" s="14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3">
        <f>IF($C97="","",N(L97)-N(M97))</f>
        <v/>
      </c>
      <c r="P97" s="24" t="n"/>
      <c r="Q97" s="23">
        <f>IF($C97="","",N(M97)+N(N97))</f>
        <v/>
      </c>
      <c r="R97" s="23">
        <f>IF($C97="","",N(J97)+N(Q97))</f>
        <v/>
      </c>
      <c r="S97" s="25">
        <f>IF(OR($C97="",N($G97)=0),"",R97/$G97)</f>
        <v/>
      </c>
      <c r="T97" s="23">
        <f>IF($C97="","",N($G97)-N(R97))</f>
        <v/>
      </c>
      <c r="U97" s="24" t="n"/>
      <c r="V97" s="22" t="n"/>
    </row>
    <row r="98">
      <c r="B98" s="13">
        <f>IF($C98="","",COUNTA($C$9:$C98))</f>
        <v/>
      </c>
      <c r="C98" s="21" t="n"/>
      <c r="D98" s="14" t="n"/>
      <c r="E98" s="14" t="n"/>
      <c r="F98" s="14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3">
        <f>IF($C98="","",N(L98)-N(M98))</f>
        <v/>
      </c>
      <c r="P98" s="24" t="n"/>
      <c r="Q98" s="23">
        <f>IF($C98="","",N(M98)+N(N98))</f>
        <v/>
      </c>
      <c r="R98" s="23">
        <f>IF($C98="","",N(J98)+N(Q98))</f>
        <v/>
      </c>
      <c r="S98" s="25">
        <f>IF(OR($C98="",N($G98)=0),"",R98/$G98)</f>
        <v/>
      </c>
      <c r="T98" s="23">
        <f>IF($C98="","",N($G98)-N(R98))</f>
        <v/>
      </c>
      <c r="U98" s="24" t="n"/>
      <c r="V98" s="22" t="n"/>
    </row>
    <row r="99">
      <c r="B99" s="13">
        <f>IF($C99="","",COUNTA($C$9:$C99))</f>
        <v/>
      </c>
      <c r="C99" s="21" t="n"/>
      <c r="D99" s="14" t="n"/>
      <c r="E99" s="14" t="n"/>
      <c r="F99" s="14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3">
        <f>IF($C99="","",N(L99)-N(M99))</f>
        <v/>
      </c>
      <c r="P99" s="24" t="n"/>
      <c r="Q99" s="23">
        <f>IF($C99="","",N(M99)+N(N99))</f>
        <v/>
      </c>
      <c r="R99" s="23">
        <f>IF($C99="","",N(J99)+N(Q99))</f>
        <v/>
      </c>
      <c r="S99" s="25">
        <f>IF(OR($C99="",N($G99)=0),"",R99/$G99)</f>
        <v/>
      </c>
      <c r="T99" s="23">
        <f>IF($C99="","",N($G99)-N(R99))</f>
        <v/>
      </c>
      <c r="U99" s="24" t="n"/>
      <c r="V99" s="22" t="n"/>
    </row>
    <row r="100">
      <c r="B100" s="13">
        <f>IF($C100="","",COUNTA($C$9:$C100))</f>
        <v/>
      </c>
      <c r="C100" s="21" t="n"/>
      <c r="D100" s="14" t="n"/>
      <c r="E100" s="14" t="n"/>
      <c r="F100" s="14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3">
        <f>IF($C100="","",N(L100)-N(M100))</f>
        <v/>
      </c>
      <c r="P100" s="24" t="n"/>
      <c r="Q100" s="23">
        <f>IF($C100="","",N(M100)+N(N100))</f>
        <v/>
      </c>
      <c r="R100" s="23">
        <f>IF($C100="","",N(J100)+N(Q100))</f>
        <v/>
      </c>
      <c r="S100" s="25">
        <f>IF(OR($C100="",N($G100)=0),"",R100/$G100)</f>
        <v/>
      </c>
      <c r="T100" s="23">
        <f>IF($C100="","",N($G100)-N(R100))</f>
        <v/>
      </c>
      <c r="U100" s="24" t="n"/>
      <c r="V100" s="22" t="n"/>
    </row>
    <row r="101">
      <c r="B101" s="13">
        <f>IF($C101="","",COUNTA($C$9:$C101))</f>
        <v/>
      </c>
      <c r="C101" s="21" t="n"/>
      <c r="D101" s="14" t="n"/>
      <c r="E101" s="14" t="n"/>
      <c r="F101" s="14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3">
        <f>IF($C101="","",N(L101)-N(M101))</f>
        <v/>
      </c>
      <c r="P101" s="24" t="n"/>
      <c r="Q101" s="23">
        <f>IF($C101="","",N(M101)+N(N101))</f>
        <v/>
      </c>
      <c r="R101" s="23">
        <f>IF($C101="","",N(J101)+N(Q101))</f>
        <v/>
      </c>
      <c r="S101" s="25">
        <f>IF(OR($C101="",N($G101)=0),"",R101/$G101)</f>
        <v/>
      </c>
      <c r="T101" s="23">
        <f>IF($C101="","",N($G101)-N(R101))</f>
        <v/>
      </c>
      <c r="U101" s="24" t="n"/>
      <c r="V101" s="22" t="n"/>
    </row>
    <row r="102">
      <c r="B102" s="13">
        <f>IF($C102="","",COUNTA($C$9:$C102))</f>
        <v/>
      </c>
      <c r="C102" s="21" t="n"/>
      <c r="D102" s="14" t="n"/>
      <c r="E102" s="14" t="n"/>
      <c r="F102" s="14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3">
        <f>IF($C102="","",N(L102)-N(M102))</f>
        <v/>
      </c>
      <c r="P102" s="24" t="n"/>
      <c r="Q102" s="23">
        <f>IF($C102="","",N(M102)+N(N102))</f>
        <v/>
      </c>
      <c r="R102" s="23">
        <f>IF($C102="","",N(J102)+N(Q102))</f>
        <v/>
      </c>
      <c r="S102" s="25">
        <f>IF(OR($C102="",N($G102)=0),"",R102/$G102)</f>
        <v/>
      </c>
      <c r="T102" s="23">
        <f>IF($C102="","",N($G102)-N(R102))</f>
        <v/>
      </c>
      <c r="U102" s="24" t="n"/>
      <c r="V102" s="22" t="n"/>
    </row>
    <row r="103">
      <c r="B103" s="13">
        <f>IF($C103="","",COUNTA($C$9:$C103))</f>
        <v/>
      </c>
      <c r="C103" s="21" t="n"/>
      <c r="D103" s="14" t="n"/>
      <c r="E103" s="14" t="n"/>
      <c r="F103" s="14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3">
        <f>IF($C103="","",N(L103)-N(M103))</f>
        <v/>
      </c>
      <c r="P103" s="24" t="n"/>
      <c r="Q103" s="23">
        <f>IF($C103="","",N(M103)+N(N103))</f>
        <v/>
      </c>
      <c r="R103" s="23">
        <f>IF($C103="","",N(J103)+N(Q103))</f>
        <v/>
      </c>
      <c r="S103" s="25">
        <f>IF(OR($C103="",N($G103)=0),"",R103/$G103)</f>
        <v/>
      </c>
      <c r="T103" s="23">
        <f>IF($C103="","",N($G103)-N(R103))</f>
        <v/>
      </c>
      <c r="U103" s="24" t="n"/>
      <c r="V103" s="22" t="n"/>
    </row>
    <row r="104">
      <c r="B104" s="13">
        <f>IF($C104="","",COUNTA($C$9:$C104))</f>
        <v/>
      </c>
      <c r="C104" s="21" t="n"/>
      <c r="D104" s="14" t="n"/>
      <c r="E104" s="14" t="n"/>
      <c r="F104" s="14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3">
        <f>IF($C104="","",N(L104)-N(M104))</f>
        <v/>
      </c>
      <c r="P104" s="24" t="n"/>
      <c r="Q104" s="23">
        <f>IF($C104="","",N(M104)+N(N104))</f>
        <v/>
      </c>
      <c r="R104" s="23">
        <f>IF($C104="","",N(J104)+N(Q104))</f>
        <v/>
      </c>
      <c r="S104" s="25">
        <f>IF(OR($C104="",N($G104)=0),"",R104/$G104)</f>
        <v/>
      </c>
      <c r="T104" s="23">
        <f>IF($C104="","",N($G104)-N(R104))</f>
        <v/>
      </c>
      <c r="U104" s="24" t="n"/>
      <c r="V104" s="22" t="n"/>
    </row>
    <row r="105">
      <c r="B105" s="13">
        <f>IF($C105="","",COUNTA($C$9:$C105))</f>
        <v/>
      </c>
      <c r="C105" s="21" t="n"/>
      <c r="D105" s="14" t="n"/>
      <c r="E105" s="14" t="n"/>
      <c r="F105" s="14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3">
        <f>IF($C105="","",N(L105)-N(M105))</f>
        <v/>
      </c>
      <c r="P105" s="24" t="n"/>
      <c r="Q105" s="23">
        <f>IF($C105="","",N(M105)+N(N105))</f>
        <v/>
      </c>
      <c r="R105" s="23">
        <f>IF($C105="","",N(J105)+N(Q105))</f>
        <v/>
      </c>
      <c r="S105" s="25">
        <f>IF(OR($C105="",N($G105)=0),"",R105/$G105)</f>
        <v/>
      </c>
      <c r="T105" s="23">
        <f>IF($C105="","",N($G105)-N(R105))</f>
        <v/>
      </c>
      <c r="U105" s="24" t="n"/>
      <c r="V105" s="22" t="n"/>
    </row>
    <row r="106">
      <c r="B106" s="13">
        <f>IF($C106="","",COUNTA($C$9:$C106))</f>
        <v/>
      </c>
      <c r="C106" s="21" t="n"/>
      <c r="D106" s="14" t="n"/>
      <c r="E106" s="14" t="n"/>
      <c r="F106" s="14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3">
        <f>IF($C106="","",N(L106)-N(M106))</f>
        <v/>
      </c>
      <c r="P106" s="24" t="n"/>
      <c r="Q106" s="23">
        <f>IF($C106="","",N(M106)+N(N106))</f>
        <v/>
      </c>
      <c r="R106" s="23">
        <f>IF($C106="","",N(J106)+N(Q106))</f>
        <v/>
      </c>
      <c r="S106" s="25">
        <f>IF(OR($C106="",N($G106)=0),"",R106/$G106)</f>
        <v/>
      </c>
      <c r="T106" s="23">
        <f>IF($C106="","",N($G106)-N(R106))</f>
        <v/>
      </c>
      <c r="U106" s="24" t="n"/>
      <c r="V106" s="22" t="n"/>
    </row>
    <row r="107">
      <c r="B107" s="13">
        <f>IF($C107="","",COUNTA($C$9:$C107))</f>
        <v/>
      </c>
      <c r="C107" s="21" t="n"/>
      <c r="D107" s="14" t="n"/>
      <c r="E107" s="14" t="n"/>
      <c r="F107" s="14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3">
        <f>IF($C107="","",N(L107)-N(M107))</f>
        <v/>
      </c>
      <c r="P107" s="24" t="n"/>
      <c r="Q107" s="23">
        <f>IF($C107="","",N(M107)+N(N107))</f>
        <v/>
      </c>
      <c r="R107" s="23">
        <f>IF($C107="","",N(J107)+N(Q107))</f>
        <v/>
      </c>
      <c r="S107" s="25">
        <f>IF(OR($C107="",N($G107)=0),"",R107/$G107)</f>
        <v/>
      </c>
      <c r="T107" s="23">
        <f>IF($C107="","",N($G107)-N(R107))</f>
        <v/>
      </c>
      <c r="U107" s="24" t="n"/>
      <c r="V107" s="22" t="n"/>
    </row>
    <row r="108">
      <c r="B108" s="13">
        <f>IF($C108="","",COUNTA($C$9:$C108))</f>
        <v/>
      </c>
      <c r="C108" s="21" t="n"/>
      <c r="D108" s="14" t="n"/>
      <c r="E108" s="14" t="n"/>
      <c r="F108" s="14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3">
        <f>IF($C108="","",N(L108)-N(M108))</f>
        <v/>
      </c>
      <c r="P108" s="24" t="n"/>
      <c r="Q108" s="23">
        <f>IF($C108="","",N(M108)+N(N108))</f>
        <v/>
      </c>
      <c r="R108" s="23">
        <f>IF($C108="","",N(J108)+N(Q108))</f>
        <v/>
      </c>
      <c r="S108" s="25">
        <f>IF(OR($C108="",N($G108)=0),"",R108/$G108)</f>
        <v/>
      </c>
      <c r="T108" s="23">
        <f>IF($C108="","",N($G108)-N(R108))</f>
        <v/>
      </c>
      <c r="U108" s="24" t="n"/>
      <c r="V108" s="22" t="n"/>
    </row>
    <row r="109">
      <c r="B109" s="13">
        <f>IF($C109="","",COUNTA($C$9:$C109))</f>
        <v/>
      </c>
      <c r="C109" s="21" t="n"/>
      <c r="D109" s="14" t="n"/>
      <c r="E109" s="14" t="n"/>
      <c r="F109" s="14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3">
        <f>IF($C109="","",N(L109)-N(M109))</f>
        <v/>
      </c>
      <c r="P109" s="24" t="n"/>
      <c r="Q109" s="23">
        <f>IF($C109="","",N(M109)+N(N109))</f>
        <v/>
      </c>
      <c r="R109" s="23">
        <f>IF($C109="","",N(J109)+N(Q109))</f>
        <v/>
      </c>
      <c r="S109" s="25">
        <f>IF(OR($C109="",N($G109)=0),"",R109/$G109)</f>
        <v/>
      </c>
      <c r="T109" s="23">
        <f>IF($C109="","",N($G109)-N(R109))</f>
        <v/>
      </c>
      <c r="U109" s="24" t="n"/>
      <c r="V109" s="22" t="n"/>
    </row>
    <row r="110">
      <c r="B110" s="13">
        <f>IF($C110="","",COUNTA($C$9:$C110))</f>
        <v/>
      </c>
      <c r="C110" s="21" t="n"/>
      <c r="D110" s="14" t="n"/>
      <c r="E110" s="14" t="n"/>
      <c r="F110" s="14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3">
        <f>IF($C110="","",N(L110)-N(M110))</f>
        <v/>
      </c>
      <c r="P110" s="24" t="n"/>
      <c r="Q110" s="23">
        <f>IF($C110="","",N(M110)+N(N110))</f>
        <v/>
      </c>
      <c r="R110" s="23">
        <f>IF($C110="","",N(J110)+N(Q110))</f>
        <v/>
      </c>
      <c r="S110" s="25">
        <f>IF(OR($C110="",N($G110)=0),"",R110/$G110)</f>
        <v/>
      </c>
      <c r="T110" s="23">
        <f>IF($C110="","",N($G110)-N(R110))</f>
        <v/>
      </c>
      <c r="U110" s="24" t="n"/>
      <c r="V110" s="22" t="n"/>
    </row>
    <row r="111">
      <c r="B111" s="13">
        <f>IF($C111="","",COUNTA($C$9:$C111))</f>
        <v/>
      </c>
      <c r="C111" s="21" t="n"/>
      <c r="D111" s="14" t="n"/>
      <c r="E111" s="14" t="n"/>
      <c r="F111" s="14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3">
        <f>IF($C111="","",N(L111)-N(M111))</f>
        <v/>
      </c>
      <c r="P111" s="24" t="n"/>
      <c r="Q111" s="23">
        <f>IF($C111="","",N(M111)+N(N111))</f>
        <v/>
      </c>
      <c r="R111" s="23">
        <f>IF($C111="","",N(J111)+N(Q111))</f>
        <v/>
      </c>
      <c r="S111" s="25">
        <f>IF(OR($C111="",N($G111)=0),"",R111/$G111)</f>
        <v/>
      </c>
      <c r="T111" s="23">
        <f>IF($C111="","",N($G111)-N(R111))</f>
        <v/>
      </c>
      <c r="U111" s="24" t="n"/>
      <c r="V111" s="22" t="n"/>
    </row>
    <row r="112">
      <c r="B112" s="13">
        <f>IF($C112="","",COUNTA($C$9:$C112))</f>
        <v/>
      </c>
      <c r="C112" s="21" t="n"/>
      <c r="D112" s="14" t="n"/>
      <c r="E112" s="14" t="n"/>
      <c r="F112" s="14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3">
        <f>IF($C112="","",N(L112)-N(M112))</f>
        <v/>
      </c>
      <c r="P112" s="24" t="n"/>
      <c r="Q112" s="23">
        <f>IF($C112="","",N(M112)+N(N112))</f>
        <v/>
      </c>
      <c r="R112" s="23">
        <f>IF($C112="","",N(J112)+N(Q112))</f>
        <v/>
      </c>
      <c r="S112" s="25">
        <f>IF(OR($C112="",N($G112)=0),"",R112/$G112)</f>
        <v/>
      </c>
      <c r="T112" s="23">
        <f>IF($C112="","",N($G112)-N(R112))</f>
        <v/>
      </c>
      <c r="U112" s="24" t="n"/>
      <c r="V112" s="22" t="n"/>
    </row>
    <row r="113">
      <c r="B113" s="13">
        <f>IF($C113="","",COUNTA($C$9:$C113))</f>
        <v/>
      </c>
      <c r="C113" s="21" t="n"/>
      <c r="D113" s="14" t="n"/>
      <c r="E113" s="14" t="n"/>
      <c r="F113" s="14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3">
        <f>IF($C113="","",N(L113)-N(M113))</f>
        <v/>
      </c>
      <c r="P113" s="24" t="n"/>
      <c r="Q113" s="23">
        <f>IF($C113="","",N(M113)+N(N113))</f>
        <v/>
      </c>
      <c r="R113" s="23">
        <f>IF($C113="","",N(J113)+N(Q113))</f>
        <v/>
      </c>
      <c r="S113" s="25">
        <f>IF(OR($C113="",N($G113)=0),"",R113/$G113)</f>
        <v/>
      </c>
      <c r="T113" s="23">
        <f>IF($C113="","",N($G113)-N(R113))</f>
        <v/>
      </c>
      <c r="U113" s="24" t="n"/>
      <c r="V113" s="22" t="n"/>
    </row>
    <row r="114">
      <c r="B114" s="13">
        <f>IF($C114="","",COUNTA($C$9:$C114))</f>
        <v/>
      </c>
      <c r="C114" s="21" t="n"/>
      <c r="D114" s="14" t="n"/>
      <c r="E114" s="14" t="n"/>
      <c r="F114" s="14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3">
        <f>IF($C114="","",N(L114)-N(M114))</f>
        <v/>
      </c>
      <c r="P114" s="24" t="n"/>
      <c r="Q114" s="23">
        <f>IF($C114="","",N(M114)+N(N114))</f>
        <v/>
      </c>
      <c r="R114" s="23">
        <f>IF($C114="","",N(J114)+N(Q114))</f>
        <v/>
      </c>
      <c r="S114" s="25">
        <f>IF(OR($C114="",N($G114)=0),"",R114/$G114)</f>
        <v/>
      </c>
      <c r="T114" s="23">
        <f>IF($C114="","",N($G114)-N(R114))</f>
        <v/>
      </c>
      <c r="U114" s="24" t="n"/>
      <c r="V114" s="22" t="n"/>
    </row>
    <row r="115">
      <c r="B115" s="13">
        <f>IF($C115="","",COUNTA($C$9:$C115))</f>
        <v/>
      </c>
      <c r="C115" s="21" t="n"/>
      <c r="D115" s="14" t="n"/>
      <c r="E115" s="14" t="n"/>
      <c r="F115" s="14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3">
        <f>IF($C115="","",N(L115)-N(M115))</f>
        <v/>
      </c>
      <c r="P115" s="24" t="n"/>
      <c r="Q115" s="23">
        <f>IF($C115="","",N(M115)+N(N115))</f>
        <v/>
      </c>
      <c r="R115" s="23">
        <f>IF($C115="","",N(J115)+N(Q115))</f>
        <v/>
      </c>
      <c r="S115" s="25">
        <f>IF(OR($C115="",N($G115)=0),"",R115/$G115)</f>
        <v/>
      </c>
      <c r="T115" s="23">
        <f>IF($C115="","",N($G115)-N(R115))</f>
        <v/>
      </c>
      <c r="U115" s="24" t="n"/>
      <c r="V115" s="22" t="n"/>
    </row>
    <row r="116">
      <c r="B116" s="13">
        <f>IF($C116="","",COUNTA($C$9:$C116))</f>
        <v/>
      </c>
      <c r="C116" s="21" t="n"/>
      <c r="D116" s="14" t="n"/>
      <c r="E116" s="14" t="n"/>
      <c r="F116" s="14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3">
        <f>IF($C116="","",N(L116)-N(M116))</f>
        <v/>
      </c>
      <c r="P116" s="24" t="n"/>
      <c r="Q116" s="23">
        <f>IF($C116="","",N(M116)+N(N116))</f>
        <v/>
      </c>
      <c r="R116" s="23">
        <f>IF($C116="","",N(J116)+N(Q116))</f>
        <v/>
      </c>
      <c r="S116" s="25">
        <f>IF(OR($C116="",N($G116)=0),"",R116/$G116)</f>
        <v/>
      </c>
      <c r="T116" s="23">
        <f>IF($C116="","",N($G116)-N(R116))</f>
        <v/>
      </c>
      <c r="U116" s="24" t="n"/>
      <c r="V116" s="22" t="n"/>
    </row>
    <row r="117">
      <c r="B117" s="13">
        <f>IF($C117="","",COUNTA($C$9:$C117))</f>
        <v/>
      </c>
      <c r="C117" s="21" t="n"/>
      <c r="D117" s="14" t="n"/>
      <c r="E117" s="14" t="n"/>
      <c r="F117" s="14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3">
        <f>IF($C117="","",N(L117)-N(M117))</f>
        <v/>
      </c>
      <c r="P117" s="24" t="n"/>
      <c r="Q117" s="23">
        <f>IF($C117="","",N(M117)+N(N117))</f>
        <v/>
      </c>
      <c r="R117" s="23">
        <f>IF($C117="","",N(J117)+N(Q117))</f>
        <v/>
      </c>
      <c r="S117" s="25">
        <f>IF(OR($C117="",N($G117)=0),"",R117/$G117)</f>
        <v/>
      </c>
      <c r="T117" s="23">
        <f>IF($C117="","",N($G117)-N(R117))</f>
        <v/>
      </c>
      <c r="U117" s="24" t="n"/>
      <c r="V117" s="22" t="n"/>
    </row>
    <row r="118">
      <c r="B118" s="13">
        <f>IF($C118="","",COUNTA($C$9:$C118))</f>
        <v/>
      </c>
      <c r="C118" s="21" t="n"/>
      <c r="D118" s="14" t="n"/>
      <c r="E118" s="14" t="n"/>
      <c r="F118" s="14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3">
        <f>IF($C118="","",N(L118)-N(M118))</f>
        <v/>
      </c>
      <c r="P118" s="24" t="n"/>
      <c r="Q118" s="23">
        <f>IF($C118="","",N(M118)+N(N118))</f>
        <v/>
      </c>
      <c r="R118" s="23">
        <f>IF($C118="","",N(J118)+N(Q118))</f>
        <v/>
      </c>
      <c r="S118" s="25">
        <f>IF(OR($C118="",N($G118)=0),"",R118/$G118)</f>
        <v/>
      </c>
      <c r="T118" s="23">
        <f>IF($C118="","",N($G118)-N(R118))</f>
        <v/>
      </c>
      <c r="U118" s="24" t="n"/>
      <c r="V118" s="22" t="n"/>
    </row>
    <row r="119">
      <c r="B119" s="13">
        <f>IF($C119="","",COUNTA($C$9:$C119))</f>
        <v/>
      </c>
      <c r="C119" s="21" t="n"/>
      <c r="D119" s="14" t="n"/>
      <c r="E119" s="14" t="n"/>
      <c r="F119" s="14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3">
        <f>IF($C119="","",N(L119)-N(M119))</f>
        <v/>
      </c>
      <c r="P119" s="24" t="n"/>
      <c r="Q119" s="23">
        <f>IF($C119="","",N(M119)+N(N119))</f>
        <v/>
      </c>
      <c r="R119" s="23">
        <f>IF($C119="","",N(J119)+N(Q119))</f>
        <v/>
      </c>
      <c r="S119" s="25">
        <f>IF(OR($C119="",N($G119)=0),"",R119/$G119)</f>
        <v/>
      </c>
      <c r="T119" s="23">
        <f>IF($C119="","",N($G119)-N(R119))</f>
        <v/>
      </c>
      <c r="U119" s="24" t="n"/>
      <c r="V119" s="22" t="n"/>
    </row>
    <row r="120">
      <c r="B120" s="13">
        <f>IF($C120="","",COUNTA($C$9:$C120))</f>
        <v/>
      </c>
      <c r="C120" s="21" t="n"/>
      <c r="D120" s="14" t="n"/>
      <c r="E120" s="14" t="n"/>
      <c r="F120" s="14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3">
        <f>IF($C120="","",N(L120)-N(M120))</f>
        <v/>
      </c>
      <c r="P120" s="24" t="n"/>
      <c r="Q120" s="23">
        <f>IF($C120="","",N(M120)+N(N120))</f>
        <v/>
      </c>
      <c r="R120" s="23">
        <f>IF($C120="","",N(J120)+N(Q120))</f>
        <v/>
      </c>
      <c r="S120" s="25">
        <f>IF(OR($C120="",N($G120)=0),"",R120/$G120)</f>
        <v/>
      </c>
      <c r="T120" s="23">
        <f>IF($C120="","",N($G120)-N(R120))</f>
        <v/>
      </c>
      <c r="U120" s="24" t="n"/>
      <c r="V120" s="22" t="n"/>
    </row>
    <row r="121">
      <c r="B121" s="13">
        <f>IF($C121="","",COUNTA($C$9:$C121))</f>
        <v/>
      </c>
      <c r="C121" s="21" t="n"/>
      <c r="D121" s="14" t="n"/>
      <c r="E121" s="14" t="n"/>
      <c r="F121" s="14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3">
        <f>IF($C121="","",N(L121)-N(M121))</f>
        <v/>
      </c>
      <c r="P121" s="24" t="n"/>
      <c r="Q121" s="23">
        <f>IF($C121="","",N(M121)+N(N121))</f>
        <v/>
      </c>
      <c r="R121" s="23">
        <f>IF($C121="","",N(J121)+N(Q121))</f>
        <v/>
      </c>
      <c r="S121" s="25">
        <f>IF(OR($C121="",N($G121)=0),"",R121/$G121)</f>
        <v/>
      </c>
      <c r="T121" s="23">
        <f>IF($C121="","",N($G121)-N(R121))</f>
        <v/>
      </c>
      <c r="U121" s="24" t="n"/>
      <c r="V121" s="22" t="n"/>
    </row>
    <row r="122">
      <c r="B122" s="13">
        <f>IF($C122="","",COUNTA($C$9:$C122))</f>
        <v/>
      </c>
      <c r="C122" s="21" t="n"/>
      <c r="D122" s="14" t="n"/>
      <c r="E122" s="14" t="n"/>
      <c r="F122" s="14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3">
        <f>IF($C122="","",N(L122)-N(M122))</f>
        <v/>
      </c>
      <c r="P122" s="24" t="n"/>
      <c r="Q122" s="23">
        <f>IF($C122="","",N(M122)+N(N122))</f>
        <v/>
      </c>
      <c r="R122" s="23">
        <f>IF($C122="","",N(J122)+N(Q122))</f>
        <v/>
      </c>
      <c r="S122" s="25">
        <f>IF(OR($C122="",N($G122)=0),"",R122/$G122)</f>
        <v/>
      </c>
      <c r="T122" s="23">
        <f>IF($C122="","",N($G122)-N(R122))</f>
        <v/>
      </c>
      <c r="U122" s="24" t="n"/>
      <c r="V122" s="22" t="n"/>
    </row>
    <row r="123">
      <c r="B123" s="13">
        <f>IF($C123="","",COUNTA($C$9:$C123))</f>
        <v/>
      </c>
      <c r="C123" s="21" t="n"/>
      <c r="D123" s="14" t="n"/>
      <c r="E123" s="14" t="n"/>
      <c r="F123" s="14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3">
        <f>IF($C123="","",N(L123)-N(M123))</f>
        <v/>
      </c>
      <c r="P123" s="24" t="n"/>
      <c r="Q123" s="23">
        <f>IF($C123="","",N(M123)+N(N123))</f>
        <v/>
      </c>
      <c r="R123" s="23">
        <f>IF($C123="","",N(J123)+N(Q123))</f>
        <v/>
      </c>
      <c r="S123" s="25">
        <f>IF(OR($C123="",N($G123)=0),"",R123/$G123)</f>
        <v/>
      </c>
      <c r="T123" s="23">
        <f>IF($C123="","",N($G123)-N(R123))</f>
        <v/>
      </c>
      <c r="U123" s="24" t="n"/>
      <c r="V123" s="22" t="n"/>
    </row>
    <row r="124">
      <c r="B124" s="13">
        <f>IF($C124="","",COUNTA($C$9:$C124))</f>
        <v/>
      </c>
      <c r="C124" s="21" t="n"/>
      <c r="D124" s="14" t="n"/>
      <c r="E124" s="14" t="n"/>
      <c r="F124" s="14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3">
        <f>IF($C124="","",N(L124)-N(M124))</f>
        <v/>
      </c>
      <c r="P124" s="24" t="n"/>
      <c r="Q124" s="23">
        <f>IF($C124="","",N(M124)+N(N124))</f>
        <v/>
      </c>
      <c r="R124" s="23">
        <f>IF($C124="","",N(J124)+N(Q124))</f>
        <v/>
      </c>
      <c r="S124" s="25">
        <f>IF(OR($C124="",N($G124)=0),"",R124/$G124)</f>
        <v/>
      </c>
      <c r="T124" s="23">
        <f>IF($C124="","",N($G124)-N(R124))</f>
        <v/>
      </c>
      <c r="U124" s="24" t="n"/>
      <c r="V124" s="22" t="n"/>
    </row>
    <row r="125">
      <c r="B125" s="13">
        <f>IF($C125="","",COUNTA($C$9:$C125))</f>
        <v/>
      </c>
      <c r="C125" s="21" t="n"/>
      <c r="D125" s="14" t="n"/>
      <c r="E125" s="14" t="n"/>
      <c r="F125" s="14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3">
        <f>IF($C125="","",N(L125)-N(M125))</f>
        <v/>
      </c>
      <c r="P125" s="24" t="n"/>
      <c r="Q125" s="23">
        <f>IF($C125="","",N(M125)+N(N125))</f>
        <v/>
      </c>
      <c r="R125" s="23">
        <f>IF($C125="","",N(J125)+N(Q125))</f>
        <v/>
      </c>
      <c r="S125" s="25">
        <f>IF(OR($C125="",N($G125)=0),"",R125/$G125)</f>
        <v/>
      </c>
      <c r="T125" s="23">
        <f>IF($C125="","",N($G125)-N(R125))</f>
        <v/>
      </c>
      <c r="U125" s="24" t="n"/>
      <c r="V125" s="22" t="n"/>
    </row>
    <row r="126">
      <c r="B126" s="13">
        <f>IF($C126="","",COUNTA($C$9:$C126))</f>
        <v/>
      </c>
      <c r="C126" s="21" t="n"/>
      <c r="D126" s="14" t="n"/>
      <c r="E126" s="14" t="n"/>
      <c r="F126" s="14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3">
        <f>IF($C126="","",N(L126)-N(M126))</f>
        <v/>
      </c>
      <c r="P126" s="24" t="n"/>
      <c r="Q126" s="23">
        <f>IF($C126="","",N(M126)+N(N126))</f>
        <v/>
      </c>
      <c r="R126" s="23">
        <f>IF($C126="","",N(J126)+N(Q126))</f>
        <v/>
      </c>
      <c r="S126" s="25">
        <f>IF(OR($C126="",N($G126)=0),"",R126/$G126)</f>
        <v/>
      </c>
      <c r="T126" s="23">
        <f>IF($C126="","",N($G126)-N(R126))</f>
        <v/>
      </c>
      <c r="U126" s="24" t="n"/>
      <c r="V126" s="22" t="n"/>
    </row>
    <row r="127">
      <c r="B127" s="13">
        <f>IF($C127="","",COUNTA($C$9:$C127))</f>
        <v/>
      </c>
      <c r="C127" s="21" t="n"/>
      <c r="D127" s="14" t="n"/>
      <c r="E127" s="14" t="n"/>
      <c r="F127" s="14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3">
        <f>IF($C127="","",N(L127)-N(M127))</f>
        <v/>
      </c>
      <c r="P127" s="24" t="n"/>
      <c r="Q127" s="23">
        <f>IF($C127="","",N(M127)+N(N127))</f>
        <v/>
      </c>
      <c r="R127" s="23">
        <f>IF($C127="","",N(J127)+N(Q127))</f>
        <v/>
      </c>
      <c r="S127" s="25">
        <f>IF(OR($C127="",N($G127)=0),"",R127/$G127)</f>
        <v/>
      </c>
      <c r="T127" s="23">
        <f>IF($C127="","",N($G127)-N(R127))</f>
        <v/>
      </c>
      <c r="U127" s="24" t="n"/>
      <c r="V127" s="22" t="n"/>
    </row>
    <row r="128">
      <c r="B128" s="13">
        <f>IF($C128="","",COUNTA($C$9:$C128))</f>
        <v/>
      </c>
      <c r="C128" s="21" t="n"/>
      <c r="D128" s="14" t="n"/>
      <c r="E128" s="14" t="n"/>
      <c r="F128" s="14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3">
        <f>IF($C128="","",N(L128)-N(M128))</f>
        <v/>
      </c>
      <c r="P128" s="24" t="n"/>
      <c r="Q128" s="23">
        <f>IF($C128="","",N(M128)+N(N128))</f>
        <v/>
      </c>
      <c r="R128" s="23">
        <f>IF($C128="","",N(J128)+N(Q128))</f>
        <v/>
      </c>
      <c r="S128" s="25">
        <f>IF(OR($C128="",N($G128)=0),"",R128/$G128)</f>
        <v/>
      </c>
      <c r="T128" s="23">
        <f>IF($C128="","",N($G128)-N(R128))</f>
        <v/>
      </c>
      <c r="U128" s="24" t="n"/>
      <c r="V128" s="22" t="n"/>
    </row>
    <row r="129">
      <c r="B129" s="13">
        <f>IF($C129="","",COUNTA($C$9:$C129))</f>
        <v/>
      </c>
      <c r="C129" s="21" t="n"/>
      <c r="D129" s="14" t="n"/>
      <c r="E129" s="14" t="n"/>
      <c r="F129" s="14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3">
        <f>IF($C129="","",N(L129)-N(M129))</f>
        <v/>
      </c>
      <c r="P129" s="24" t="n"/>
      <c r="Q129" s="23">
        <f>IF($C129="","",N(M129)+N(N129))</f>
        <v/>
      </c>
      <c r="R129" s="23">
        <f>IF($C129="","",N(J129)+N(Q129))</f>
        <v/>
      </c>
      <c r="S129" s="25">
        <f>IF(OR($C129="",N($G129)=0),"",R129/$G129)</f>
        <v/>
      </c>
      <c r="T129" s="23">
        <f>IF($C129="","",N($G129)-N(R129))</f>
        <v/>
      </c>
      <c r="U129" s="24" t="n"/>
      <c r="V129" s="22" t="n"/>
    </row>
    <row r="130">
      <c r="B130" s="13">
        <f>IF($C130="","",COUNTA($C$9:$C130))</f>
        <v/>
      </c>
      <c r="C130" s="21" t="n"/>
      <c r="D130" s="14" t="n"/>
      <c r="E130" s="14" t="n"/>
      <c r="F130" s="14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3">
        <f>IF($C130="","",N(L130)-N(M130))</f>
        <v/>
      </c>
      <c r="P130" s="24" t="n"/>
      <c r="Q130" s="23">
        <f>IF($C130="","",N(M130)+N(N130))</f>
        <v/>
      </c>
      <c r="R130" s="23">
        <f>IF($C130="","",N(J130)+N(Q130))</f>
        <v/>
      </c>
      <c r="S130" s="25">
        <f>IF(OR($C130="",N($G130)=0),"",R130/$G130)</f>
        <v/>
      </c>
      <c r="T130" s="23">
        <f>IF($C130="","",N($G130)-N(R130))</f>
        <v/>
      </c>
      <c r="U130" s="24" t="n"/>
      <c r="V130" s="22" t="n"/>
    </row>
    <row r="131">
      <c r="B131" s="13">
        <f>IF($C131="","",COUNTA($C$9:$C131))</f>
        <v/>
      </c>
      <c r="C131" s="21" t="n"/>
      <c r="D131" s="14" t="n"/>
      <c r="E131" s="14" t="n"/>
      <c r="F131" s="14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3">
        <f>IF($C131="","",N(L131)-N(M131))</f>
        <v/>
      </c>
      <c r="P131" s="24" t="n"/>
      <c r="Q131" s="23">
        <f>IF($C131="","",N(M131)+N(N131))</f>
        <v/>
      </c>
      <c r="R131" s="23">
        <f>IF($C131="","",N(J131)+N(Q131))</f>
        <v/>
      </c>
      <c r="S131" s="25">
        <f>IF(OR($C131="",N($G131)=0),"",R131/$G131)</f>
        <v/>
      </c>
      <c r="T131" s="23">
        <f>IF($C131="","",N($G131)-N(R131))</f>
        <v/>
      </c>
      <c r="U131" s="24" t="n"/>
      <c r="V131" s="22" t="n"/>
    </row>
    <row r="132">
      <c r="B132" s="13">
        <f>IF($C132="","",COUNTA($C$9:$C132))</f>
        <v/>
      </c>
      <c r="C132" s="21" t="n"/>
      <c r="D132" s="14" t="n"/>
      <c r="E132" s="14" t="n"/>
      <c r="F132" s="14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3">
        <f>IF($C132="","",N(L132)-N(M132))</f>
        <v/>
      </c>
      <c r="P132" s="24" t="n"/>
      <c r="Q132" s="23">
        <f>IF($C132="","",N(M132)+N(N132))</f>
        <v/>
      </c>
      <c r="R132" s="23">
        <f>IF($C132="","",N(J132)+N(Q132))</f>
        <v/>
      </c>
      <c r="S132" s="25">
        <f>IF(OR($C132="",N($G132)=0),"",R132/$G132)</f>
        <v/>
      </c>
      <c r="T132" s="23">
        <f>IF($C132="","",N($G132)-N(R132))</f>
        <v/>
      </c>
      <c r="U132" s="24" t="n"/>
      <c r="V132" s="22" t="n"/>
    </row>
    <row r="133">
      <c r="B133" s="13">
        <f>IF($C133="","",COUNTA($C$9:$C133))</f>
        <v/>
      </c>
      <c r="C133" s="21" t="n"/>
      <c r="D133" s="14" t="n"/>
      <c r="E133" s="14" t="n"/>
      <c r="F133" s="14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3">
        <f>IF($C133="","",N(L133)-N(M133))</f>
        <v/>
      </c>
      <c r="P133" s="24" t="n"/>
      <c r="Q133" s="23">
        <f>IF($C133="","",N(M133)+N(N133))</f>
        <v/>
      </c>
      <c r="R133" s="23">
        <f>IF($C133="","",N(J133)+N(Q133))</f>
        <v/>
      </c>
      <c r="S133" s="25">
        <f>IF(OR($C133="",N($G133)=0),"",R133/$G133)</f>
        <v/>
      </c>
      <c r="T133" s="23">
        <f>IF($C133="","",N($G133)-N(R133))</f>
        <v/>
      </c>
      <c r="U133" s="24" t="n"/>
      <c r="V133" s="22" t="n"/>
    </row>
    <row r="134">
      <c r="B134" s="13">
        <f>IF($C134="","",COUNTA($C$9:$C134))</f>
        <v/>
      </c>
      <c r="C134" s="21" t="n"/>
      <c r="D134" s="14" t="n"/>
      <c r="E134" s="14" t="n"/>
      <c r="F134" s="14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3">
        <f>IF($C134="","",N(L134)-N(M134))</f>
        <v/>
      </c>
      <c r="P134" s="24" t="n"/>
      <c r="Q134" s="23">
        <f>IF($C134="","",N(M134)+N(N134))</f>
        <v/>
      </c>
      <c r="R134" s="23">
        <f>IF($C134="","",N(J134)+N(Q134))</f>
        <v/>
      </c>
      <c r="S134" s="25">
        <f>IF(OR($C134="",N($G134)=0),"",R134/$G134)</f>
        <v/>
      </c>
      <c r="T134" s="23">
        <f>IF($C134="","",N($G134)-N(R134))</f>
        <v/>
      </c>
      <c r="U134" s="24" t="n"/>
      <c r="V134" s="22" t="n"/>
    </row>
    <row r="135">
      <c r="B135" s="13">
        <f>IF($C135="","",COUNTA($C$9:$C135))</f>
        <v/>
      </c>
      <c r="C135" s="21" t="n"/>
      <c r="D135" s="14" t="n"/>
      <c r="E135" s="14" t="n"/>
      <c r="F135" s="14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3">
        <f>IF($C135="","",N(L135)-N(M135))</f>
        <v/>
      </c>
      <c r="P135" s="24" t="n"/>
      <c r="Q135" s="23">
        <f>IF($C135="","",N(M135)+N(N135))</f>
        <v/>
      </c>
      <c r="R135" s="23">
        <f>IF($C135="","",N(J135)+N(Q135))</f>
        <v/>
      </c>
      <c r="S135" s="25">
        <f>IF(OR($C135="",N($G135)=0),"",R135/$G135)</f>
        <v/>
      </c>
      <c r="T135" s="23">
        <f>IF($C135="","",N($G135)-N(R135))</f>
        <v/>
      </c>
      <c r="U135" s="24" t="n"/>
      <c r="V135" s="22" t="n"/>
    </row>
    <row r="136">
      <c r="B136" s="13">
        <f>IF($C136="","",COUNTA($C$9:$C136))</f>
        <v/>
      </c>
      <c r="C136" s="21" t="n"/>
      <c r="D136" s="14" t="n"/>
      <c r="E136" s="14" t="n"/>
      <c r="F136" s="14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3">
        <f>IF($C136="","",N(L136)-N(M136))</f>
        <v/>
      </c>
      <c r="P136" s="24" t="n"/>
      <c r="Q136" s="23">
        <f>IF($C136="","",N(M136)+N(N136))</f>
        <v/>
      </c>
      <c r="R136" s="23">
        <f>IF($C136="","",N(J136)+N(Q136))</f>
        <v/>
      </c>
      <c r="S136" s="25">
        <f>IF(OR($C136="",N($G136)=0),"",R136/$G136)</f>
        <v/>
      </c>
      <c r="T136" s="23">
        <f>IF($C136="","",N($G136)-N(R136))</f>
        <v/>
      </c>
      <c r="U136" s="24" t="n"/>
      <c r="V136" s="22" t="n"/>
    </row>
    <row r="137">
      <c r="B137" s="13">
        <f>IF($C137="","",COUNTA($C$9:$C137))</f>
        <v/>
      </c>
      <c r="C137" s="21" t="n"/>
      <c r="D137" s="14" t="n"/>
      <c r="E137" s="14" t="n"/>
      <c r="F137" s="14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3">
        <f>IF($C137="","",N(L137)-N(M137))</f>
        <v/>
      </c>
      <c r="P137" s="24" t="n"/>
      <c r="Q137" s="23">
        <f>IF($C137="","",N(M137)+N(N137))</f>
        <v/>
      </c>
      <c r="R137" s="23">
        <f>IF($C137="","",N(J137)+N(Q137))</f>
        <v/>
      </c>
      <c r="S137" s="25">
        <f>IF(OR($C137="",N($G137)=0),"",R137/$G137)</f>
        <v/>
      </c>
      <c r="T137" s="23">
        <f>IF($C137="","",N($G137)-N(R137))</f>
        <v/>
      </c>
      <c r="U137" s="24" t="n"/>
      <c r="V137" s="22" t="n"/>
    </row>
    <row r="138">
      <c r="B138" s="13">
        <f>IF($C138="","",COUNTA($C$9:$C138))</f>
        <v/>
      </c>
      <c r="C138" s="21" t="n"/>
      <c r="D138" s="14" t="n"/>
      <c r="E138" s="14" t="n"/>
      <c r="F138" s="14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3">
        <f>IF($C138="","",N(L138)-N(M138))</f>
        <v/>
      </c>
      <c r="P138" s="24" t="n"/>
      <c r="Q138" s="23">
        <f>IF($C138="","",N(M138)+N(N138))</f>
        <v/>
      </c>
      <c r="R138" s="23">
        <f>IF($C138="","",N(J138)+N(Q138))</f>
        <v/>
      </c>
      <c r="S138" s="25">
        <f>IF(OR($C138="",N($G138)=0),"",R138/$G138)</f>
        <v/>
      </c>
      <c r="T138" s="23">
        <f>IF($C138="","",N($G138)-N(R138))</f>
        <v/>
      </c>
      <c r="U138" s="24" t="n"/>
      <c r="V138" s="22" t="n"/>
    </row>
    <row r="139">
      <c r="B139" s="13">
        <f>IF($C139="","",COUNTA($C$9:$C139))</f>
        <v/>
      </c>
      <c r="C139" s="21" t="n"/>
      <c r="D139" s="14" t="n"/>
      <c r="E139" s="14" t="n"/>
      <c r="F139" s="14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3">
        <f>IF($C139="","",N(L139)-N(M139))</f>
        <v/>
      </c>
      <c r="P139" s="24" t="n"/>
      <c r="Q139" s="23">
        <f>IF($C139="","",N(M139)+N(N139))</f>
        <v/>
      </c>
      <c r="R139" s="23">
        <f>IF($C139="","",N(J139)+N(Q139))</f>
        <v/>
      </c>
      <c r="S139" s="25">
        <f>IF(OR($C139="",N($G139)=0),"",R139/$G139)</f>
        <v/>
      </c>
      <c r="T139" s="23">
        <f>IF($C139="","",N($G139)-N(R139))</f>
        <v/>
      </c>
      <c r="U139" s="24" t="n"/>
      <c r="V139" s="22" t="n"/>
    </row>
    <row r="140">
      <c r="B140" s="13">
        <f>IF($C140="","",COUNTA($C$9:$C140))</f>
        <v/>
      </c>
      <c r="C140" s="21" t="n"/>
      <c r="D140" s="14" t="n"/>
      <c r="E140" s="14" t="n"/>
      <c r="F140" s="14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3">
        <f>IF($C140="","",N(L140)-N(M140))</f>
        <v/>
      </c>
      <c r="P140" s="24" t="n"/>
      <c r="Q140" s="23">
        <f>IF($C140="","",N(M140)+N(N140))</f>
        <v/>
      </c>
      <c r="R140" s="23">
        <f>IF($C140="","",N(J140)+N(Q140))</f>
        <v/>
      </c>
      <c r="S140" s="25">
        <f>IF(OR($C140="",N($G140)=0),"",R140/$G140)</f>
        <v/>
      </c>
      <c r="T140" s="23">
        <f>IF($C140="","",N($G140)-N(R140))</f>
        <v/>
      </c>
      <c r="U140" s="24" t="n"/>
      <c r="V140" s="22" t="n"/>
    </row>
    <row r="141">
      <c r="B141" s="13">
        <f>IF($C141="","",COUNTA($C$9:$C141))</f>
        <v/>
      </c>
      <c r="C141" s="21" t="n"/>
      <c r="D141" s="14" t="n"/>
      <c r="E141" s="14" t="n"/>
      <c r="F141" s="14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3">
        <f>IF($C141="","",N(L141)-N(M141))</f>
        <v/>
      </c>
      <c r="P141" s="24" t="n"/>
      <c r="Q141" s="23">
        <f>IF($C141="","",N(M141)+N(N141))</f>
        <v/>
      </c>
      <c r="R141" s="23">
        <f>IF($C141="","",N(J141)+N(Q141))</f>
        <v/>
      </c>
      <c r="S141" s="25">
        <f>IF(OR($C141="",N($G141)=0),"",R141/$G141)</f>
        <v/>
      </c>
      <c r="T141" s="23">
        <f>IF($C141="","",N($G141)-N(R141))</f>
        <v/>
      </c>
      <c r="U141" s="24" t="n"/>
      <c r="V141" s="22" t="n"/>
    </row>
    <row r="142">
      <c r="B142" s="13">
        <f>IF($C142="","",COUNTA($C$9:$C142))</f>
        <v/>
      </c>
      <c r="C142" s="21" t="n"/>
      <c r="D142" s="14" t="n"/>
      <c r="E142" s="14" t="n"/>
      <c r="F142" s="14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3">
        <f>IF($C142="","",N(L142)-N(M142))</f>
        <v/>
      </c>
      <c r="P142" s="24" t="n"/>
      <c r="Q142" s="23">
        <f>IF($C142="","",N(M142)+N(N142))</f>
        <v/>
      </c>
      <c r="R142" s="23">
        <f>IF($C142="","",N(J142)+N(Q142))</f>
        <v/>
      </c>
      <c r="S142" s="25">
        <f>IF(OR($C142="",N($G142)=0),"",R142/$G142)</f>
        <v/>
      </c>
      <c r="T142" s="23">
        <f>IF($C142="","",N($G142)-N(R142))</f>
        <v/>
      </c>
      <c r="U142" s="24" t="n"/>
      <c r="V142" s="22" t="n"/>
    </row>
    <row r="143">
      <c r="B143" s="13">
        <f>IF($C143="","",COUNTA($C$9:$C143))</f>
        <v/>
      </c>
      <c r="C143" s="21" t="n"/>
      <c r="D143" s="14" t="n"/>
      <c r="E143" s="14" t="n"/>
      <c r="F143" s="14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3">
        <f>IF($C143="","",N(L143)-N(M143))</f>
        <v/>
      </c>
      <c r="P143" s="24" t="n"/>
      <c r="Q143" s="23">
        <f>IF($C143="","",N(M143)+N(N143))</f>
        <v/>
      </c>
      <c r="R143" s="23">
        <f>IF($C143="","",N(J143)+N(Q143))</f>
        <v/>
      </c>
      <c r="S143" s="25">
        <f>IF(OR($C143="",N($G143)=0),"",R143/$G143)</f>
        <v/>
      </c>
      <c r="T143" s="23">
        <f>IF($C143="","",N($G143)-N(R143))</f>
        <v/>
      </c>
      <c r="U143" s="24" t="n"/>
      <c r="V143" s="22" t="n"/>
    </row>
    <row r="144">
      <c r="B144" s="13">
        <f>IF($C144="","",COUNTA($C$9:$C144))</f>
        <v/>
      </c>
      <c r="C144" s="21" t="n"/>
      <c r="D144" s="14" t="n"/>
      <c r="E144" s="14" t="n"/>
      <c r="F144" s="14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3">
        <f>IF($C144="","",N(L144)-N(M144))</f>
        <v/>
      </c>
      <c r="P144" s="24" t="n"/>
      <c r="Q144" s="23">
        <f>IF($C144="","",N(M144)+N(N144))</f>
        <v/>
      </c>
      <c r="R144" s="23">
        <f>IF($C144="","",N(J144)+N(Q144))</f>
        <v/>
      </c>
      <c r="S144" s="25">
        <f>IF(OR($C144="",N($G144)=0),"",R144/$G144)</f>
        <v/>
      </c>
      <c r="T144" s="23">
        <f>IF($C144="","",N($G144)-N(R144))</f>
        <v/>
      </c>
      <c r="U144" s="24" t="n"/>
      <c r="V144" s="22" t="n"/>
    </row>
    <row r="145">
      <c r="B145" s="13">
        <f>IF($C145="","",COUNTA($C$9:$C145))</f>
        <v/>
      </c>
      <c r="C145" s="21" t="n"/>
      <c r="D145" s="14" t="n"/>
      <c r="E145" s="14" t="n"/>
      <c r="F145" s="14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3">
        <f>IF($C145="","",N(L145)-N(M145))</f>
        <v/>
      </c>
      <c r="P145" s="24" t="n"/>
      <c r="Q145" s="23">
        <f>IF($C145="","",N(M145)+N(N145))</f>
        <v/>
      </c>
      <c r="R145" s="23">
        <f>IF($C145="","",N(J145)+N(Q145))</f>
        <v/>
      </c>
      <c r="S145" s="25">
        <f>IF(OR($C145="",N($G145)=0),"",R145/$G145)</f>
        <v/>
      </c>
      <c r="T145" s="23">
        <f>IF($C145="","",N($G145)-N(R145))</f>
        <v/>
      </c>
      <c r="U145" s="24" t="n"/>
      <c r="V145" s="22" t="n"/>
    </row>
    <row r="146">
      <c r="B146" s="13">
        <f>IF($C146="","",COUNTA($C$9:$C146))</f>
        <v/>
      </c>
      <c r="C146" s="21" t="n"/>
      <c r="D146" s="14" t="n"/>
      <c r="E146" s="14" t="n"/>
      <c r="F146" s="14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3">
        <f>IF($C146="","",N(L146)-N(M146))</f>
        <v/>
      </c>
      <c r="P146" s="24" t="n"/>
      <c r="Q146" s="23">
        <f>IF($C146="","",N(M146)+N(N146))</f>
        <v/>
      </c>
      <c r="R146" s="23">
        <f>IF($C146="","",N(J146)+N(Q146))</f>
        <v/>
      </c>
      <c r="S146" s="25">
        <f>IF(OR($C146="",N($G146)=0),"",R146/$G146)</f>
        <v/>
      </c>
      <c r="T146" s="23">
        <f>IF($C146="","",N($G146)-N(R146))</f>
        <v/>
      </c>
      <c r="U146" s="24" t="n"/>
      <c r="V146" s="22" t="n"/>
    </row>
    <row r="147">
      <c r="B147" s="13">
        <f>IF($C147="","",COUNTA($C$9:$C147))</f>
        <v/>
      </c>
      <c r="C147" s="21" t="n"/>
      <c r="D147" s="14" t="n"/>
      <c r="E147" s="14" t="n"/>
      <c r="F147" s="14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3">
        <f>IF($C147="","",N(L147)-N(M147))</f>
        <v/>
      </c>
      <c r="P147" s="24" t="n"/>
      <c r="Q147" s="23">
        <f>IF($C147="","",N(M147)+N(N147))</f>
        <v/>
      </c>
      <c r="R147" s="23">
        <f>IF($C147="","",N(J147)+N(Q147))</f>
        <v/>
      </c>
      <c r="S147" s="25">
        <f>IF(OR($C147="",N($G147)=0),"",R147/$G147)</f>
        <v/>
      </c>
      <c r="T147" s="23">
        <f>IF($C147="","",N($G147)-N(R147))</f>
        <v/>
      </c>
      <c r="U147" s="24" t="n"/>
      <c r="V147" s="22" t="n"/>
    </row>
    <row r="148">
      <c r="B148" s="13">
        <f>IF($C148="","",COUNTA($C$9:$C148))</f>
        <v/>
      </c>
      <c r="C148" s="21" t="n"/>
      <c r="D148" s="14" t="n"/>
      <c r="E148" s="14" t="n"/>
      <c r="F148" s="14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3">
        <f>IF($C148="","",N(L148)-N(M148))</f>
        <v/>
      </c>
      <c r="P148" s="24" t="n"/>
      <c r="Q148" s="23">
        <f>IF($C148="","",N(M148)+N(N148))</f>
        <v/>
      </c>
      <c r="R148" s="23">
        <f>IF($C148="","",N(J148)+N(Q148))</f>
        <v/>
      </c>
      <c r="S148" s="25">
        <f>IF(OR($C148="",N($G148)=0),"",R148/$G148)</f>
        <v/>
      </c>
      <c r="T148" s="23">
        <f>IF($C148="","",N($G148)-N(R148))</f>
        <v/>
      </c>
      <c r="U148" s="24" t="n"/>
      <c r="V148" s="22" t="n"/>
    </row>
    <row r="149">
      <c r="B149" s="13">
        <f>IF($C149="","",COUNTA($C$9:$C149))</f>
        <v/>
      </c>
      <c r="C149" s="21" t="n"/>
      <c r="D149" s="14" t="n"/>
      <c r="E149" s="14" t="n"/>
      <c r="F149" s="14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3">
        <f>IF($C149="","",N(L149)-N(M149))</f>
        <v/>
      </c>
      <c r="P149" s="24" t="n"/>
      <c r="Q149" s="23">
        <f>IF($C149="","",N(M149)+N(N149))</f>
        <v/>
      </c>
      <c r="R149" s="23">
        <f>IF($C149="","",N(J149)+N(Q149))</f>
        <v/>
      </c>
      <c r="S149" s="25">
        <f>IF(OR($C149="",N($G149)=0),"",R149/$G149)</f>
        <v/>
      </c>
      <c r="T149" s="23">
        <f>IF($C149="","",N($G149)-N(R149))</f>
        <v/>
      </c>
      <c r="U149" s="24" t="n"/>
      <c r="V149" s="22" t="n"/>
    </row>
    <row r="150">
      <c r="B150" s="13">
        <f>IF($C150="","",COUNTA($C$9:$C150))</f>
        <v/>
      </c>
      <c r="C150" s="21" t="n"/>
      <c r="D150" s="14" t="n"/>
      <c r="E150" s="14" t="n"/>
      <c r="F150" s="14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3">
        <f>IF($C150="","",N(L150)-N(M150))</f>
        <v/>
      </c>
      <c r="P150" s="24" t="n"/>
      <c r="Q150" s="23">
        <f>IF($C150="","",N(M150)+N(N150))</f>
        <v/>
      </c>
      <c r="R150" s="23">
        <f>IF($C150="","",N(J150)+N(Q150))</f>
        <v/>
      </c>
      <c r="S150" s="25">
        <f>IF(OR($C150="",N($G150)=0),"",R150/$G150)</f>
        <v/>
      </c>
      <c r="T150" s="23">
        <f>IF($C150="","",N($G150)-N(R150))</f>
        <v/>
      </c>
      <c r="U150" s="24" t="n"/>
      <c r="V150" s="22" t="n"/>
    </row>
    <row r="151">
      <c r="B151" s="13">
        <f>IF($C151="","",COUNTA($C$9:$C151))</f>
        <v/>
      </c>
      <c r="C151" s="21" t="n"/>
      <c r="D151" s="14" t="n"/>
      <c r="E151" s="14" t="n"/>
      <c r="F151" s="14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3">
        <f>IF($C151="","",N(L151)-N(M151))</f>
        <v/>
      </c>
      <c r="P151" s="24" t="n"/>
      <c r="Q151" s="23">
        <f>IF($C151="","",N(M151)+N(N151))</f>
        <v/>
      </c>
      <c r="R151" s="23">
        <f>IF($C151="","",N(J151)+N(Q151))</f>
        <v/>
      </c>
      <c r="S151" s="25">
        <f>IF(OR($C151="",N($G151)=0),"",R151/$G151)</f>
        <v/>
      </c>
      <c r="T151" s="23">
        <f>IF($C151="","",N($G151)-N(R151))</f>
        <v/>
      </c>
      <c r="U151" s="24" t="n"/>
      <c r="V151" s="22" t="n"/>
    </row>
    <row r="152">
      <c r="B152" s="13">
        <f>IF($C152="","",COUNTA($C$9:$C152))</f>
        <v/>
      </c>
      <c r="C152" s="21" t="n"/>
      <c r="D152" s="14" t="n"/>
      <c r="E152" s="14" t="n"/>
      <c r="F152" s="14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3">
        <f>IF($C152="","",N(L152)-N(M152))</f>
        <v/>
      </c>
      <c r="P152" s="24" t="n"/>
      <c r="Q152" s="23">
        <f>IF($C152="","",N(M152)+N(N152))</f>
        <v/>
      </c>
      <c r="R152" s="23">
        <f>IF($C152="","",N(J152)+N(Q152))</f>
        <v/>
      </c>
      <c r="S152" s="25">
        <f>IF(OR($C152="",N($G152)=0),"",R152/$G152)</f>
        <v/>
      </c>
      <c r="T152" s="23">
        <f>IF($C152="","",N($G152)-N(R152))</f>
        <v/>
      </c>
      <c r="U152" s="24" t="n"/>
      <c r="V152" s="22" t="n"/>
    </row>
    <row r="153">
      <c r="B153" s="13">
        <f>IF($C153="","",COUNTA($C$9:$C153))</f>
        <v/>
      </c>
      <c r="C153" s="21" t="n"/>
      <c r="D153" s="14" t="n"/>
      <c r="E153" s="14" t="n"/>
      <c r="F153" s="14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3">
        <f>IF($C153="","",N(L153)-N(M153))</f>
        <v/>
      </c>
      <c r="P153" s="24" t="n"/>
      <c r="Q153" s="23">
        <f>IF($C153="","",N(M153)+N(N153))</f>
        <v/>
      </c>
      <c r="R153" s="23">
        <f>IF($C153="","",N(J153)+N(Q153))</f>
        <v/>
      </c>
      <c r="S153" s="25">
        <f>IF(OR($C153="",N($G153)=0),"",R153/$G153)</f>
        <v/>
      </c>
      <c r="T153" s="23">
        <f>IF($C153="","",N($G153)-N(R153))</f>
        <v/>
      </c>
      <c r="U153" s="24" t="n"/>
      <c r="V153" s="22" t="n"/>
    </row>
    <row r="154">
      <c r="B154" s="13">
        <f>IF($C154="","",COUNTA($C$9:$C154))</f>
        <v/>
      </c>
      <c r="C154" s="21" t="n"/>
      <c r="D154" s="14" t="n"/>
      <c r="E154" s="14" t="n"/>
      <c r="F154" s="14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3">
        <f>IF($C154="","",N(L154)-N(M154))</f>
        <v/>
      </c>
      <c r="P154" s="24" t="n"/>
      <c r="Q154" s="23">
        <f>IF($C154="","",N(M154)+N(N154))</f>
        <v/>
      </c>
      <c r="R154" s="23">
        <f>IF($C154="","",N(J154)+N(Q154))</f>
        <v/>
      </c>
      <c r="S154" s="25">
        <f>IF(OR($C154="",N($G154)=0),"",R154/$G154)</f>
        <v/>
      </c>
      <c r="T154" s="23">
        <f>IF($C154="","",N($G154)-N(R154))</f>
        <v/>
      </c>
      <c r="U154" s="24" t="n"/>
      <c r="V154" s="22" t="n"/>
    </row>
    <row r="155">
      <c r="B155" s="13">
        <f>IF($C155="","",COUNTA($C$9:$C155))</f>
        <v/>
      </c>
      <c r="C155" s="21" t="n"/>
      <c r="D155" s="14" t="n"/>
      <c r="E155" s="14" t="n"/>
      <c r="F155" s="14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3">
        <f>IF($C155="","",N(L155)-N(M155))</f>
        <v/>
      </c>
      <c r="P155" s="24" t="n"/>
      <c r="Q155" s="23">
        <f>IF($C155="","",N(M155)+N(N155))</f>
        <v/>
      </c>
      <c r="R155" s="23">
        <f>IF($C155="","",N(J155)+N(Q155))</f>
        <v/>
      </c>
      <c r="S155" s="25">
        <f>IF(OR($C155="",N($G155)=0),"",R155/$G155)</f>
        <v/>
      </c>
      <c r="T155" s="23">
        <f>IF($C155="","",N($G155)-N(R155))</f>
        <v/>
      </c>
      <c r="U155" s="24" t="n"/>
      <c r="V155" s="22" t="n"/>
    </row>
    <row r="156">
      <c r="B156" s="13">
        <f>IF($C156="","",COUNTA($C$9:$C156))</f>
        <v/>
      </c>
      <c r="C156" s="21" t="n"/>
      <c r="D156" s="14" t="n"/>
      <c r="E156" s="14" t="n"/>
      <c r="F156" s="14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3">
        <f>IF($C156="","",N(L156)-N(M156))</f>
        <v/>
      </c>
      <c r="P156" s="24" t="n"/>
      <c r="Q156" s="23">
        <f>IF($C156="","",N(M156)+N(N156))</f>
        <v/>
      </c>
      <c r="R156" s="23">
        <f>IF($C156="","",N(J156)+N(Q156))</f>
        <v/>
      </c>
      <c r="S156" s="25">
        <f>IF(OR($C156="",N($G156)=0),"",R156/$G156)</f>
        <v/>
      </c>
      <c r="T156" s="23">
        <f>IF($C156="","",N($G156)-N(R156))</f>
        <v/>
      </c>
      <c r="U156" s="24" t="n"/>
      <c r="V156" s="22" t="n"/>
    </row>
    <row r="157">
      <c r="B157" s="13">
        <f>IF($C157="","",COUNTA($C$9:$C157))</f>
        <v/>
      </c>
      <c r="C157" s="21" t="n"/>
      <c r="D157" s="14" t="n"/>
      <c r="E157" s="14" t="n"/>
      <c r="F157" s="14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3">
        <f>IF($C157="","",N(L157)-N(M157))</f>
        <v/>
      </c>
      <c r="P157" s="24" t="n"/>
      <c r="Q157" s="23">
        <f>IF($C157="","",N(M157)+N(N157))</f>
        <v/>
      </c>
      <c r="R157" s="23">
        <f>IF($C157="","",N(J157)+N(Q157))</f>
        <v/>
      </c>
      <c r="S157" s="25">
        <f>IF(OR($C157="",N($G157)=0),"",R157/$G157)</f>
        <v/>
      </c>
      <c r="T157" s="23">
        <f>IF($C157="","",N($G157)-N(R157))</f>
        <v/>
      </c>
      <c r="U157" s="24" t="n"/>
      <c r="V157" s="22" t="n"/>
    </row>
    <row r="158">
      <c r="B158" s="13">
        <f>IF($C158="","",COUNTA($C$9:$C158))</f>
        <v/>
      </c>
      <c r="C158" s="21" t="n"/>
      <c r="D158" s="14" t="n"/>
      <c r="E158" s="14" t="n"/>
      <c r="F158" s="14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3">
        <f>IF($C158="","",N(L158)-N(M158))</f>
        <v/>
      </c>
      <c r="P158" s="24" t="n"/>
      <c r="Q158" s="23">
        <f>IF($C158="","",N(M158)+N(N158))</f>
        <v/>
      </c>
      <c r="R158" s="23">
        <f>IF($C158="","",N(J158)+N(Q158))</f>
        <v/>
      </c>
      <c r="S158" s="25">
        <f>IF(OR($C158="",N($G158)=0),"",R158/$G158)</f>
        <v/>
      </c>
      <c r="T158" s="23">
        <f>IF($C158="","",N($G158)-N(R158))</f>
        <v/>
      </c>
      <c r="U158" s="24" t="n"/>
      <c r="V158" s="22" t="n"/>
    </row>
    <row r="159">
      <c r="B159" s="13">
        <f>IF($C159="","",COUNTA($C$9:$C159))</f>
        <v/>
      </c>
      <c r="C159" s="21" t="n"/>
      <c r="D159" s="14" t="n"/>
      <c r="E159" s="14" t="n"/>
      <c r="F159" s="14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3">
        <f>IF($C159="","",N(L159)-N(M159))</f>
        <v/>
      </c>
      <c r="P159" s="24" t="n"/>
      <c r="Q159" s="23">
        <f>IF($C159="","",N(M159)+N(N159))</f>
        <v/>
      </c>
      <c r="R159" s="23">
        <f>IF($C159="","",N(J159)+N(Q159))</f>
        <v/>
      </c>
      <c r="S159" s="25">
        <f>IF(OR($C159="",N($G159)=0),"",R159/$G159)</f>
        <v/>
      </c>
      <c r="T159" s="23">
        <f>IF($C159="","",N($G159)-N(R159))</f>
        <v/>
      </c>
      <c r="U159" s="24" t="n"/>
      <c r="V159" s="22" t="n"/>
    </row>
    <row r="160">
      <c r="B160" s="13">
        <f>IF($C160="","",COUNTA($C$9:$C160))</f>
        <v/>
      </c>
      <c r="C160" s="21" t="n"/>
      <c r="D160" s="14" t="n"/>
      <c r="E160" s="14" t="n"/>
      <c r="F160" s="14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3">
        <f>IF($C160="","",N(L160)-N(M160))</f>
        <v/>
      </c>
      <c r="P160" s="24" t="n"/>
      <c r="Q160" s="23">
        <f>IF($C160="","",N(M160)+N(N160))</f>
        <v/>
      </c>
      <c r="R160" s="23">
        <f>IF($C160="","",N(J160)+N(Q160))</f>
        <v/>
      </c>
      <c r="S160" s="25">
        <f>IF(OR($C160="",N($G160)=0),"",R160/$G160)</f>
        <v/>
      </c>
      <c r="T160" s="23">
        <f>IF($C160="","",N($G160)-N(R160))</f>
        <v/>
      </c>
      <c r="U160" s="24" t="n"/>
      <c r="V160" s="22" t="n"/>
    </row>
    <row r="161">
      <c r="B161" s="13">
        <f>IF($C161="","",COUNTA($C$9:$C161))</f>
        <v/>
      </c>
      <c r="C161" s="21" t="n"/>
      <c r="D161" s="14" t="n"/>
      <c r="E161" s="14" t="n"/>
      <c r="F161" s="14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3">
        <f>IF($C161="","",N(L161)-N(M161))</f>
        <v/>
      </c>
      <c r="P161" s="24" t="n"/>
      <c r="Q161" s="23">
        <f>IF($C161="","",N(M161)+N(N161))</f>
        <v/>
      </c>
      <c r="R161" s="23">
        <f>IF($C161="","",N(J161)+N(Q161))</f>
        <v/>
      </c>
      <c r="S161" s="25">
        <f>IF(OR($C161="",N($G161)=0),"",R161/$G161)</f>
        <v/>
      </c>
      <c r="T161" s="23">
        <f>IF($C161="","",N($G161)-N(R161))</f>
        <v/>
      </c>
      <c r="U161" s="24" t="n"/>
      <c r="V161" s="22" t="n"/>
    </row>
    <row r="162">
      <c r="B162" s="13">
        <f>IF($C162="","",COUNTA($C$9:$C162))</f>
        <v/>
      </c>
      <c r="C162" s="21" t="n"/>
      <c r="D162" s="14" t="n"/>
      <c r="E162" s="14" t="n"/>
      <c r="F162" s="14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3">
        <f>IF($C162="","",N(L162)-N(M162))</f>
        <v/>
      </c>
      <c r="P162" s="24" t="n"/>
      <c r="Q162" s="23">
        <f>IF($C162="","",N(M162)+N(N162))</f>
        <v/>
      </c>
      <c r="R162" s="23">
        <f>IF($C162="","",N(J162)+N(Q162))</f>
        <v/>
      </c>
      <c r="S162" s="25">
        <f>IF(OR($C162="",N($G162)=0),"",R162/$G162)</f>
        <v/>
      </c>
      <c r="T162" s="23">
        <f>IF($C162="","",N($G162)-N(R162))</f>
        <v/>
      </c>
      <c r="U162" s="24" t="n"/>
      <c r="V162" s="22" t="n"/>
    </row>
    <row r="163">
      <c r="B163" s="13">
        <f>IF($C163="","",COUNTA($C$9:$C163))</f>
        <v/>
      </c>
      <c r="C163" s="21" t="n"/>
      <c r="D163" s="14" t="n"/>
      <c r="E163" s="14" t="n"/>
      <c r="F163" s="14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3">
        <f>IF($C163="","",N(L163)-N(M163))</f>
        <v/>
      </c>
      <c r="P163" s="24" t="n"/>
      <c r="Q163" s="23">
        <f>IF($C163="","",N(M163)+N(N163))</f>
        <v/>
      </c>
      <c r="R163" s="23">
        <f>IF($C163="","",N(J163)+N(Q163))</f>
        <v/>
      </c>
      <c r="S163" s="25">
        <f>IF(OR($C163="",N($G163)=0),"",R163/$G163)</f>
        <v/>
      </c>
      <c r="T163" s="23">
        <f>IF($C163="","",N($G163)-N(R163))</f>
        <v/>
      </c>
      <c r="U163" s="24" t="n"/>
      <c r="V163" s="22" t="n"/>
    </row>
    <row r="164">
      <c r="B164" s="13">
        <f>IF($C164="","",COUNTA($C$9:$C164))</f>
        <v/>
      </c>
      <c r="C164" s="21" t="n"/>
      <c r="D164" s="14" t="n"/>
      <c r="E164" s="14" t="n"/>
      <c r="F164" s="14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3">
        <f>IF($C164="","",N(L164)-N(M164))</f>
        <v/>
      </c>
      <c r="P164" s="24" t="n"/>
      <c r="Q164" s="23">
        <f>IF($C164="","",N(M164)+N(N164))</f>
        <v/>
      </c>
      <c r="R164" s="23">
        <f>IF($C164="","",N(J164)+N(Q164))</f>
        <v/>
      </c>
      <c r="S164" s="25">
        <f>IF(OR($C164="",N($G164)=0),"",R164/$G164)</f>
        <v/>
      </c>
      <c r="T164" s="23">
        <f>IF($C164="","",N($G164)-N(R164))</f>
        <v/>
      </c>
      <c r="U164" s="24" t="n"/>
      <c r="V164" s="22" t="n"/>
    </row>
    <row r="165">
      <c r="B165" s="13">
        <f>IF($C165="","",COUNTA($C$9:$C165))</f>
        <v/>
      </c>
      <c r="C165" s="21" t="n"/>
      <c r="D165" s="14" t="n"/>
      <c r="E165" s="14" t="n"/>
      <c r="F165" s="14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3">
        <f>IF($C165="","",N(L165)-N(M165))</f>
        <v/>
      </c>
      <c r="P165" s="24" t="n"/>
      <c r="Q165" s="23">
        <f>IF($C165="","",N(M165)+N(N165))</f>
        <v/>
      </c>
      <c r="R165" s="23">
        <f>IF($C165="","",N(J165)+N(Q165))</f>
        <v/>
      </c>
      <c r="S165" s="25">
        <f>IF(OR($C165="",N($G165)=0),"",R165/$G165)</f>
        <v/>
      </c>
      <c r="T165" s="23">
        <f>IF($C165="","",N($G165)-N(R165))</f>
        <v/>
      </c>
      <c r="U165" s="24" t="n"/>
      <c r="V165" s="22" t="n"/>
    </row>
    <row r="166">
      <c r="B166" s="13">
        <f>IF($C166="","",COUNTA($C$9:$C166))</f>
        <v/>
      </c>
      <c r="C166" s="21" t="n"/>
      <c r="D166" s="14" t="n"/>
      <c r="E166" s="14" t="n"/>
      <c r="F166" s="14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3">
        <f>IF($C166="","",N(L166)-N(M166))</f>
        <v/>
      </c>
      <c r="P166" s="24" t="n"/>
      <c r="Q166" s="23">
        <f>IF($C166="","",N(M166)+N(N166))</f>
        <v/>
      </c>
      <c r="R166" s="23">
        <f>IF($C166="","",N(J166)+N(Q166))</f>
        <v/>
      </c>
      <c r="S166" s="25">
        <f>IF(OR($C166="",N($G166)=0),"",R166/$G166)</f>
        <v/>
      </c>
      <c r="T166" s="23">
        <f>IF($C166="","",N($G166)-N(R166))</f>
        <v/>
      </c>
      <c r="U166" s="24" t="n"/>
      <c r="V166" s="22" t="n"/>
    </row>
    <row r="167">
      <c r="B167" s="13">
        <f>IF($C167="","",COUNTA($C$9:$C167))</f>
        <v/>
      </c>
      <c r="C167" s="21" t="n"/>
      <c r="D167" s="14" t="n"/>
      <c r="E167" s="14" t="n"/>
      <c r="F167" s="14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3">
        <f>IF($C167="","",N(L167)-N(M167))</f>
        <v/>
      </c>
      <c r="P167" s="24" t="n"/>
      <c r="Q167" s="23">
        <f>IF($C167="","",N(M167)+N(N167))</f>
        <v/>
      </c>
      <c r="R167" s="23">
        <f>IF($C167="","",N(J167)+N(Q167))</f>
        <v/>
      </c>
      <c r="S167" s="25">
        <f>IF(OR($C167="",N($G167)=0),"",R167/$G167)</f>
        <v/>
      </c>
      <c r="T167" s="23">
        <f>IF($C167="","",N($G167)-N(R167))</f>
        <v/>
      </c>
      <c r="U167" s="24" t="n"/>
      <c r="V167" s="22" t="n"/>
    </row>
    <row r="168">
      <c r="B168" s="13">
        <f>IF($C168="","",COUNTA($C$9:$C168))</f>
        <v/>
      </c>
      <c r="C168" s="21" t="n"/>
      <c r="D168" s="14" t="n"/>
      <c r="E168" s="14" t="n"/>
      <c r="F168" s="14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3">
        <f>IF($C168="","",N(L168)-N(M168))</f>
        <v/>
      </c>
      <c r="P168" s="24" t="n"/>
      <c r="Q168" s="23">
        <f>IF($C168="","",N(M168)+N(N168))</f>
        <v/>
      </c>
      <c r="R168" s="23">
        <f>IF($C168="","",N(J168)+N(Q168))</f>
        <v/>
      </c>
      <c r="S168" s="25">
        <f>IF(OR($C168="",N($G168)=0),"",R168/$G168)</f>
        <v/>
      </c>
      <c r="T168" s="23">
        <f>IF($C168="","",N($G168)-N(R168))</f>
        <v/>
      </c>
      <c r="U168" s="24" t="n"/>
      <c r="V168" s="22" t="n"/>
    </row>
    <row r="169">
      <c r="B169" s="13">
        <f>IF($C169="","",COUNTA($C$9:$C169))</f>
        <v/>
      </c>
      <c r="C169" s="21" t="n"/>
      <c r="D169" s="14" t="n"/>
      <c r="E169" s="14" t="n"/>
      <c r="F169" s="14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3">
        <f>IF($C169="","",N(L169)-N(M169))</f>
        <v/>
      </c>
      <c r="P169" s="24" t="n"/>
      <c r="Q169" s="23">
        <f>IF($C169="","",N(M169)+N(N169))</f>
        <v/>
      </c>
      <c r="R169" s="23">
        <f>IF($C169="","",N(J169)+N(Q169))</f>
        <v/>
      </c>
      <c r="S169" s="25">
        <f>IF(OR($C169="",N($G169)=0),"",R169/$G169)</f>
        <v/>
      </c>
      <c r="T169" s="23">
        <f>IF($C169="","",N($G169)-N(R169))</f>
        <v/>
      </c>
      <c r="U169" s="24" t="n"/>
      <c r="V169" s="22" t="n"/>
    </row>
    <row r="170">
      <c r="B170" s="13">
        <f>IF($C170="","",COUNTA($C$9:$C170))</f>
        <v/>
      </c>
      <c r="C170" s="21" t="n"/>
      <c r="D170" s="14" t="n"/>
      <c r="E170" s="14" t="n"/>
      <c r="F170" s="14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3">
        <f>IF($C170="","",N(L170)-N(M170))</f>
        <v/>
      </c>
      <c r="P170" s="24" t="n"/>
      <c r="Q170" s="23">
        <f>IF($C170="","",N(M170)+N(N170))</f>
        <v/>
      </c>
      <c r="R170" s="23">
        <f>IF($C170="","",N(J170)+N(Q170))</f>
        <v/>
      </c>
      <c r="S170" s="25">
        <f>IF(OR($C170="",N($G170)=0),"",R170/$G170)</f>
        <v/>
      </c>
      <c r="T170" s="23">
        <f>IF($C170="","",N($G170)-N(R170))</f>
        <v/>
      </c>
      <c r="U170" s="24" t="n"/>
      <c r="V170" s="22" t="n"/>
    </row>
    <row r="171">
      <c r="B171" s="13">
        <f>IF($C171="","",COUNTA($C$9:$C171))</f>
        <v/>
      </c>
      <c r="C171" s="21" t="n"/>
      <c r="D171" s="14" t="n"/>
      <c r="E171" s="14" t="n"/>
      <c r="F171" s="14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3">
        <f>IF($C171="","",N(L171)-N(M171))</f>
        <v/>
      </c>
      <c r="P171" s="24" t="n"/>
      <c r="Q171" s="23">
        <f>IF($C171="","",N(M171)+N(N171))</f>
        <v/>
      </c>
      <c r="R171" s="23">
        <f>IF($C171="","",N(J171)+N(Q171))</f>
        <v/>
      </c>
      <c r="S171" s="25">
        <f>IF(OR($C171="",N($G171)=0),"",R171/$G171)</f>
        <v/>
      </c>
      <c r="T171" s="23">
        <f>IF($C171="","",N($G171)-N(R171))</f>
        <v/>
      </c>
      <c r="U171" s="24" t="n"/>
      <c r="V171" s="22" t="n"/>
    </row>
    <row r="172">
      <c r="B172" s="13">
        <f>IF($C172="","",COUNTA($C$9:$C172))</f>
        <v/>
      </c>
      <c r="C172" s="21" t="n"/>
      <c r="D172" s="14" t="n"/>
      <c r="E172" s="14" t="n"/>
      <c r="F172" s="14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3">
        <f>IF($C172="","",N(L172)-N(M172))</f>
        <v/>
      </c>
      <c r="P172" s="24" t="n"/>
      <c r="Q172" s="23">
        <f>IF($C172="","",N(M172)+N(N172))</f>
        <v/>
      </c>
      <c r="R172" s="23">
        <f>IF($C172="","",N(J172)+N(Q172))</f>
        <v/>
      </c>
      <c r="S172" s="25">
        <f>IF(OR($C172="",N($G172)=0),"",R172/$G172)</f>
        <v/>
      </c>
      <c r="T172" s="23">
        <f>IF($C172="","",N($G172)-N(R172))</f>
        <v/>
      </c>
      <c r="U172" s="24" t="n"/>
      <c r="V172" s="22" t="n"/>
    </row>
    <row r="173">
      <c r="B173" s="13">
        <f>IF($C173="","",COUNTA($C$9:$C173))</f>
        <v/>
      </c>
      <c r="C173" s="21" t="n"/>
      <c r="D173" s="14" t="n"/>
      <c r="E173" s="14" t="n"/>
      <c r="F173" s="14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3">
        <f>IF($C173="","",N(L173)-N(M173))</f>
        <v/>
      </c>
      <c r="P173" s="24" t="n"/>
      <c r="Q173" s="23">
        <f>IF($C173="","",N(M173)+N(N173))</f>
        <v/>
      </c>
      <c r="R173" s="23">
        <f>IF($C173="","",N(J173)+N(Q173))</f>
        <v/>
      </c>
      <c r="S173" s="25">
        <f>IF(OR($C173="",N($G173)=0),"",R173/$G173)</f>
        <v/>
      </c>
      <c r="T173" s="23">
        <f>IF($C173="","",N($G173)-N(R173))</f>
        <v/>
      </c>
      <c r="U173" s="24" t="n"/>
      <c r="V173" s="22" t="n"/>
    </row>
    <row r="174">
      <c r="B174" s="13">
        <f>IF($C174="","",COUNTA($C$9:$C174))</f>
        <v/>
      </c>
      <c r="C174" s="21" t="n"/>
      <c r="D174" s="14" t="n"/>
      <c r="E174" s="14" t="n"/>
      <c r="F174" s="14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3">
        <f>IF($C174="","",N(L174)-N(M174))</f>
        <v/>
      </c>
      <c r="P174" s="24" t="n"/>
      <c r="Q174" s="23">
        <f>IF($C174="","",N(M174)+N(N174))</f>
        <v/>
      </c>
      <c r="R174" s="23">
        <f>IF($C174="","",N(J174)+N(Q174))</f>
        <v/>
      </c>
      <c r="S174" s="25">
        <f>IF(OR($C174="",N($G174)=0),"",R174/$G174)</f>
        <v/>
      </c>
      <c r="T174" s="23">
        <f>IF($C174="","",N($G174)-N(R174))</f>
        <v/>
      </c>
      <c r="U174" s="24" t="n"/>
      <c r="V174" s="22" t="n"/>
    </row>
    <row r="175">
      <c r="B175" s="13">
        <f>IF($C175="","",COUNTA($C$9:$C175))</f>
        <v/>
      </c>
      <c r="C175" s="21" t="n"/>
      <c r="D175" s="14" t="n"/>
      <c r="E175" s="14" t="n"/>
      <c r="F175" s="14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3">
        <f>IF($C175="","",N(L175)-N(M175))</f>
        <v/>
      </c>
      <c r="P175" s="24" t="n"/>
      <c r="Q175" s="23">
        <f>IF($C175="","",N(M175)+N(N175))</f>
        <v/>
      </c>
      <c r="R175" s="23">
        <f>IF($C175="","",N(J175)+N(Q175))</f>
        <v/>
      </c>
      <c r="S175" s="25">
        <f>IF(OR($C175="",N($G175)=0),"",R175/$G175)</f>
        <v/>
      </c>
      <c r="T175" s="23">
        <f>IF($C175="","",N($G175)-N(R175))</f>
        <v/>
      </c>
      <c r="U175" s="24" t="n"/>
      <c r="V175" s="22" t="n"/>
    </row>
    <row r="176">
      <c r="B176" s="13">
        <f>IF($C176="","",COUNTA($C$9:$C176))</f>
        <v/>
      </c>
      <c r="C176" s="21" t="n"/>
      <c r="D176" s="14" t="n"/>
      <c r="E176" s="14" t="n"/>
      <c r="F176" s="14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3">
        <f>IF($C176="","",N(L176)-N(M176))</f>
        <v/>
      </c>
      <c r="P176" s="24" t="n"/>
      <c r="Q176" s="23">
        <f>IF($C176="","",N(M176)+N(N176))</f>
        <v/>
      </c>
      <c r="R176" s="23">
        <f>IF($C176="","",N(J176)+N(Q176))</f>
        <v/>
      </c>
      <c r="S176" s="25">
        <f>IF(OR($C176="",N($G176)=0),"",R176/$G176)</f>
        <v/>
      </c>
      <c r="T176" s="23">
        <f>IF($C176="","",N($G176)-N(R176))</f>
        <v/>
      </c>
      <c r="U176" s="24" t="n"/>
      <c r="V176" s="22" t="n"/>
    </row>
    <row r="177">
      <c r="B177" s="13">
        <f>IF($C177="","",COUNTA($C$9:$C177))</f>
        <v/>
      </c>
      <c r="C177" s="21" t="n"/>
      <c r="D177" s="14" t="n"/>
      <c r="E177" s="14" t="n"/>
      <c r="F177" s="14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3">
        <f>IF($C177="","",N(L177)-N(M177))</f>
        <v/>
      </c>
      <c r="P177" s="24" t="n"/>
      <c r="Q177" s="23">
        <f>IF($C177="","",N(M177)+N(N177))</f>
        <v/>
      </c>
      <c r="R177" s="23">
        <f>IF($C177="","",N(J177)+N(Q177))</f>
        <v/>
      </c>
      <c r="S177" s="25">
        <f>IF(OR($C177="",N($G177)=0),"",R177/$G177)</f>
        <v/>
      </c>
      <c r="T177" s="23">
        <f>IF($C177="","",N($G177)-N(R177))</f>
        <v/>
      </c>
      <c r="U177" s="24" t="n"/>
      <c r="V177" s="22" t="n"/>
    </row>
    <row r="178">
      <c r="B178" s="13">
        <f>IF($C178="","",COUNTA($C$9:$C178))</f>
        <v/>
      </c>
      <c r="C178" s="21" t="n"/>
      <c r="D178" s="14" t="n"/>
      <c r="E178" s="14" t="n"/>
      <c r="F178" s="14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3">
        <f>IF($C178="","",N(L178)-N(M178))</f>
        <v/>
      </c>
      <c r="P178" s="24" t="n"/>
      <c r="Q178" s="23">
        <f>IF($C178="","",N(M178)+N(N178))</f>
        <v/>
      </c>
      <c r="R178" s="23">
        <f>IF($C178="","",N(J178)+N(Q178))</f>
        <v/>
      </c>
      <c r="S178" s="25">
        <f>IF(OR($C178="",N($G178)=0),"",R178/$G178)</f>
        <v/>
      </c>
      <c r="T178" s="23">
        <f>IF($C178="","",N($G178)-N(R178))</f>
        <v/>
      </c>
      <c r="U178" s="24" t="n"/>
      <c r="V178" s="22" t="n"/>
    </row>
    <row r="179">
      <c r="B179" s="13">
        <f>IF($C179="","",COUNTA($C$9:$C179))</f>
        <v/>
      </c>
      <c r="C179" s="21" t="n"/>
      <c r="D179" s="14" t="n"/>
      <c r="E179" s="14" t="n"/>
      <c r="F179" s="14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3">
        <f>IF($C179="","",N(L179)-N(M179))</f>
        <v/>
      </c>
      <c r="P179" s="24" t="n"/>
      <c r="Q179" s="23">
        <f>IF($C179="","",N(M179)+N(N179))</f>
        <v/>
      </c>
      <c r="R179" s="23">
        <f>IF($C179="","",N(J179)+N(Q179))</f>
        <v/>
      </c>
      <c r="S179" s="25">
        <f>IF(OR($C179="",N($G179)=0),"",R179/$G179)</f>
        <v/>
      </c>
      <c r="T179" s="23">
        <f>IF($C179="","",N($G179)-N(R179))</f>
        <v/>
      </c>
      <c r="U179" s="24" t="n"/>
      <c r="V179" s="22" t="n"/>
    </row>
    <row r="180">
      <c r="B180" s="13">
        <f>IF($C180="","",COUNTA($C$9:$C180))</f>
        <v/>
      </c>
      <c r="C180" s="21" t="n"/>
      <c r="D180" s="14" t="n"/>
      <c r="E180" s="14" t="n"/>
      <c r="F180" s="14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3">
        <f>IF($C180="","",N(L180)-N(M180))</f>
        <v/>
      </c>
      <c r="P180" s="24" t="n"/>
      <c r="Q180" s="23">
        <f>IF($C180="","",N(M180)+N(N180))</f>
        <v/>
      </c>
      <c r="R180" s="23">
        <f>IF($C180="","",N(J180)+N(Q180))</f>
        <v/>
      </c>
      <c r="S180" s="25">
        <f>IF(OR($C180="",N($G180)=0),"",R180/$G180)</f>
        <v/>
      </c>
      <c r="T180" s="23">
        <f>IF($C180="","",N($G180)-N(R180))</f>
        <v/>
      </c>
      <c r="U180" s="24" t="n"/>
      <c r="V180" s="22" t="n"/>
    </row>
    <row r="181">
      <c r="B181" s="13">
        <f>IF($C181="","",COUNTA($C$9:$C181))</f>
        <v/>
      </c>
      <c r="C181" s="21" t="n"/>
      <c r="D181" s="14" t="n"/>
      <c r="E181" s="14" t="n"/>
      <c r="F181" s="14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3">
        <f>IF($C181="","",N(L181)-N(M181))</f>
        <v/>
      </c>
      <c r="P181" s="24" t="n"/>
      <c r="Q181" s="23">
        <f>IF($C181="","",N(M181)+N(N181))</f>
        <v/>
      </c>
      <c r="R181" s="23">
        <f>IF($C181="","",N(J181)+N(Q181))</f>
        <v/>
      </c>
      <c r="S181" s="25">
        <f>IF(OR($C181="",N($G181)=0),"",R181/$G181)</f>
        <v/>
      </c>
      <c r="T181" s="23">
        <f>IF($C181="","",N($G181)-N(R181))</f>
        <v/>
      </c>
      <c r="U181" s="24" t="n"/>
      <c r="V181" s="22" t="n"/>
    </row>
    <row r="182">
      <c r="B182" s="13">
        <f>IF($C182="","",COUNTA($C$9:$C182))</f>
        <v/>
      </c>
      <c r="C182" s="21" t="n"/>
      <c r="D182" s="14" t="n"/>
      <c r="E182" s="14" t="n"/>
      <c r="F182" s="14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3">
        <f>IF($C182="","",N(L182)-N(M182))</f>
        <v/>
      </c>
      <c r="P182" s="24" t="n"/>
      <c r="Q182" s="23">
        <f>IF($C182="","",N(M182)+N(N182))</f>
        <v/>
      </c>
      <c r="R182" s="23">
        <f>IF($C182="","",N(J182)+N(Q182))</f>
        <v/>
      </c>
      <c r="S182" s="25">
        <f>IF(OR($C182="",N($G182)=0),"",R182/$G182)</f>
        <v/>
      </c>
      <c r="T182" s="23">
        <f>IF($C182="","",N($G182)-N(R182))</f>
        <v/>
      </c>
      <c r="U182" s="24" t="n"/>
      <c r="V182" s="22" t="n"/>
    </row>
    <row r="183">
      <c r="B183" s="13">
        <f>IF($C183="","",COUNTA($C$9:$C183))</f>
        <v/>
      </c>
      <c r="C183" s="21" t="n"/>
      <c r="D183" s="14" t="n"/>
      <c r="E183" s="14" t="n"/>
      <c r="F183" s="14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3">
        <f>IF($C183="","",N(L183)-N(M183))</f>
        <v/>
      </c>
      <c r="P183" s="24" t="n"/>
      <c r="Q183" s="23">
        <f>IF($C183="","",N(M183)+N(N183))</f>
        <v/>
      </c>
      <c r="R183" s="23">
        <f>IF($C183="","",N(J183)+N(Q183))</f>
        <v/>
      </c>
      <c r="S183" s="25">
        <f>IF(OR($C183="",N($G183)=0),"",R183/$G183)</f>
        <v/>
      </c>
      <c r="T183" s="23">
        <f>IF($C183="","",N($G183)-N(R183))</f>
        <v/>
      </c>
      <c r="U183" s="24" t="n"/>
      <c r="V183" s="22" t="n"/>
    </row>
    <row r="184">
      <c r="B184" s="13">
        <f>IF($C184="","",COUNTA($C$9:$C184))</f>
        <v/>
      </c>
      <c r="C184" s="21" t="n"/>
      <c r="D184" s="14" t="n"/>
      <c r="E184" s="14" t="n"/>
      <c r="F184" s="14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3">
        <f>IF($C184="","",N(L184)-N(M184))</f>
        <v/>
      </c>
      <c r="P184" s="24" t="n"/>
      <c r="Q184" s="23">
        <f>IF($C184="","",N(M184)+N(N184))</f>
        <v/>
      </c>
      <c r="R184" s="23">
        <f>IF($C184="","",N(J184)+N(Q184))</f>
        <v/>
      </c>
      <c r="S184" s="25">
        <f>IF(OR($C184="",N($G184)=0),"",R184/$G184)</f>
        <v/>
      </c>
      <c r="T184" s="23">
        <f>IF($C184="","",N($G184)-N(R184))</f>
        <v/>
      </c>
      <c r="U184" s="24" t="n"/>
      <c r="V184" s="22" t="n"/>
    </row>
    <row r="185">
      <c r="B185" s="13">
        <f>IF($C185="","",COUNTA($C$9:$C185))</f>
        <v/>
      </c>
      <c r="C185" s="21" t="n"/>
      <c r="D185" s="14" t="n"/>
      <c r="E185" s="14" t="n"/>
      <c r="F185" s="14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3">
        <f>IF($C185="","",N(L185)-N(M185))</f>
        <v/>
      </c>
      <c r="P185" s="24" t="n"/>
      <c r="Q185" s="23">
        <f>IF($C185="","",N(M185)+N(N185))</f>
        <v/>
      </c>
      <c r="R185" s="23">
        <f>IF($C185="","",N(J185)+N(Q185))</f>
        <v/>
      </c>
      <c r="S185" s="25">
        <f>IF(OR($C185="",N($G185)=0),"",R185/$G185)</f>
        <v/>
      </c>
      <c r="T185" s="23">
        <f>IF($C185="","",N($G185)-N(R185))</f>
        <v/>
      </c>
      <c r="U185" s="24" t="n"/>
      <c r="V185" s="22" t="n"/>
    </row>
    <row r="186">
      <c r="B186" s="13">
        <f>IF($C186="","",COUNTA($C$9:$C186))</f>
        <v/>
      </c>
      <c r="C186" s="21" t="n"/>
      <c r="D186" s="14" t="n"/>
      <c r="E186" s="14" t="n"/>
      <c r="F186" s="14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3">
        <f>IF($C186="","",N(L186)-N(M186))</f>
        <v/>
      </c>
      <c r="P186" s="24" t="n"/>
      <c r="Q186" s="23">
        <f>IF($C186="","",N(M186)+N(N186))</f>
        <v/>
      </c>
      <c r="R186" s="23">
        <f>IF($C186="","",N(J186)+N(Q186))</f>
        <v/>
      </c>
      <c r="S186" s="25">
        <f>IF(OR($C186="",N($G186)=0),"",R186/$G186)</f>
        <v/>
      </c>
      <c r="T186" s="23">
        <f>IF($C186="","",N($G186)-N(R186))</f>
        <v/>
      </c>
      <c r="U186" s="24" t="n"/>
      <c r="V186" s="22" t="n"/>
    </row>
    <row r="187">
      <c r="B187" s="13">
        <f>IF($C187="","",COUNTA($C$9:$C187))</f>
        <v/>
      </c>
      <c r="C187" s="21" t="n"/>
      <c r="D187" s="14" t="n"/>
      <c r="E187" s="14" t="n"/>
      <c r="F187" s="14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3">
        <f>IF($C187="","",N(L187)-N(M187))</f>
        <v/>
      </c>
      <c r="P187" s="24" t="n"/>
      <c r="Q187" s="23">
        <f>IF($C187="","",N(M187)+N(N187))</f>
        <v/>
      </c>
      <c r="R187" s="23">
        <f>IF($C187="","",N(J187)+N(Q187))</f>
        <v/>
      </c>
      <c r="S187" s="25">
        <f>IF(OR($C187="",N($G187)=0),"",R187/$G187)</f>
        <v/>
      </c>
      <c r="T187" s="23">
        <f>IF($C187="","",N($G187)-N(R187))</f>
        <v/>
      </c>
      <c r="U187" s="24" t="n"/>
      <c r="V187" s="22" t="n"/>
    </row>
    <row r="188">
      <c r="B188" s="13">
        <f>IF($C188="","",COUNTA($C$9:$C188))</f>
        <v/>
      </c>
      <c r="C188" s="21" t="n"/>
      <c r="D188" s="14" t="n"/>
      <c r="E188" s="14" t="n"/>
      <c r="F188" s="14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3">
        <f>IF($C188="","",N(L188)-N(M188))</f>
        <v/>
      </c>
      <c r="P188" s="24" t="n"/>
      <c r="Q188" s="23">
        <f>IF($C188="","",N(M188)+N(N188))</f>
        <v/>
      </c>
      <c r="R188" s="23">
        <f>IF($C188="","",N(J188)+N(Q188))</f>
        <v/>
      </c>
      <c r="S188" s="25">
        <f>IF(OR($C188="",N($G188)=0),"",R188/$G188)</f>
        <v/>
      </c>
      <c r="T188" s="23">
        <f>IF($C188="","",N($G188)-N(R188))</f>
        <v/>
      </c>
      <c r="U188" s="24" t="n"/>
      <c r="V188" s="22" t="n"/>
    </row>
    <row r="189">
      <c r="B189" s="13">
        <f>IF($C189="","",COUNTA($C$9:$C189))</f>
        <v/>
      </c>
      <c r="C189" s="21" t="n"/>
      <c r="D189" s="14" t="n"/>
      <c r="E189" s="14" t="n"/>
      <c r="F189" s="14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3">
        <f>IF($C189="","",N(L189)-N(M189))</f>
        <v/>
      </c>
      <c r="P189" s="24" t="n"/>
      <c r="Q189" s="23">
        <f>IF($C189="","",N(M189)+N(N189))</f>
        <v/>
      </c>
      <c r="R189" s="23">
        <f>IF($C189="","",N(J189)+N(Q189))</f>
        <v/>
      </c>
      <c r="S189" s="25">
        <f>IF(OR($C189="",N($G189)=0),"",R189/$G189)</f>
        <v/>
      </c>
      <c r="T189" s="23">
        <f>IF($C189="","",N($G189)-N(R189))</f>
        <v/>
      </c>
      <c r="U189" s="24" t="n"/>
      <c r="V189" s="22" t="n"/>
    </row>
    <row r="190">
      <c r="B190" s="13">
        <f>IF($C190="","",COUNTA($C$9:$C190))</f>
        <v/>
      </c>
      <c r="C190" s="21" t="n"/>
      <c r="D190" s="14" t="n"/>
      <c r="E190" s="14" t="n"/>
      <c r="F190" s="14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3">
        <f>IF($C190="","",N(L190)-N(M190))</f>
        <v/>
      </c>
      <c r="P190" s="24" t="n"/>
      <c r="Q190" s="23">
        <f>IF($C190="","",N(M190)+N(N190))</f>
        <v/>
      </c>
      <c r="R190" s="23">
        <f>IF($C190="","",N(J190)+N(Q190))</f>
        <v/>
      </c>
      <c r="S190" s="25">
        <f>IF(OR($C190="",N($G190)=0),"",R190/$G190)</f>
        <v/>
      </c>
      <c r="T190" s="23">
        <f>IF($C190="","",N($G190)-N(R190))</f>
        <v/>
      </c>
      <c r="U190" s="24" t="n"/>
      <c r="V190" s="22" t="n"/>
    </row>
    <row r="191">
      <c r="B191" s="13">
        <f>IF($C191="","",COUNTA($C$9:$C191))</f>
        <v/>
      </c>
      <c r="C191" s="21" t="n"/>
      <c r="D191" s="14" t="n"/>
      <c r="E191" s="14" t="n"/>
      <c r="F191" s="14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3">
        <f>IF($C191="","",N(L191)-N(M191))</f>
        <v/>
      </c>
      <c r="P191" s="24" t="n"/>
      <c r="Q191" s="23">
        <f>IF($C191="","",N(M191)+N(N191))</f>
        <v/>
      </c>
      <c r="R191" s="23">
        <f>IF($C191="","",N(J191)+N(Q191))</f>
        <v/>
      </c>
      <c r="S191" s="25">
        <f>IF(OR($C191="",N($G191)=0),"",R191/$G191)</f>
        <v/>
      </c>
      <c r="T191" s="23">
        <f>IF($C191="","",N($G191)-N(R191))</f>
        <v/>
      </c>
      <c r="U191" s="24" t="n"/>
      <c r="V191" s="22" t="n"/>
    </row>
    <row r="192">
      <c r="B192" s="13">
        <f>IF($C192="","",COUNTA($C$9:$C192))</f>
        <v/>
      </c>
      <c r="C192" s="21" t="n"/>
      <c r="D192" s="14" t="n"/>
      <c r="E192" s="14" t="n"/>
      <c r="F192" s="14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3">
        <f>IF($C192="","",N(L192)-N(M192))</f>
        <v/>
      </c>
      <c r="P192" s="24" t="n"/>
      <c r="Q192" s="23">
        <f>IF($C192="","",N(M192)+N(N192))</f>
        <v/>
      </c>
      <c r="R192" s="23">
        <f>IF($C192="","",N(J192)+N(Q192))</f>
        <v/>
      </c>
      <c r="S192" s="25">
        <f>IF(OR($C192="",N($G192)=0),"",R192/$G192)</f>
        <v/>
      </c>
      <c r="T192" s="23">
        <f>IF($C192="","",N($G192)-N(R192))</f>
        <v/>
      </c>
      <c r="U192" s="24" t="n"/>
      <c r="V192" s="22" t="n"/>
    </row>
    <row r="193">
      <c r="B193" s="13">
        <f>IF($C193="","",COUNTA($C$9:$C193))</f>
        <v/>
      </c>
      <c r="C193" s="21" t="n"/>
      <c r="D193" s="14" t="n"/>
      <c r="E193" s="14" t="n"/>
      <c r="F193" s="14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3">
        <f>IF($C193="","",N(L193)-N(M193))</f>
        <v/>
      </c>
      <c r="P193" s="24" t="n"/>
      <c r="Q193" s="23">
        <f>IF($C193="","",N(M193)+N(N193))</f>
        <v/>
      </c>
      <c r="R193" s="23">
        <f>IF($C193="","",N(J193)+N(Q193))</f>
        <v/>
      </c>
      <c r="S193" s="25">
        <f>IF(OR($C193="",N($G193)=0),"",R193/$G193)</f>
        <v/>
      </c>
      <c r="T193" s="23">
        <f>IF($C193="","",N($G193)-N(R193))</f>
        <v/>
      </c>
      <c r="U193" s="24" t="n"/>
      <c r="V193" s="22" t="n"/>
    </row>
    <row r="194">
      <c r="B194" s="13">
        <f>IF($C194="","",COUNTA($C$9:$C194))</f>
        <v/>
      </c>
      <c r="C194" s="21" t="n"/>
      <c r="D194" s="14" t="n"/>
      <c r="E194" s="14" t="n"/>
      <c r="F194" s="14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3">
        <f>IF($C194="","",N(L194)-N(M194))</f>
        <v/>
      </c>
      <c r="P194" s="24" t="n"/>
      <c r="Q194" s="23">
        <f>IF($C194="","",N(M194)+N(N194))</f>
        <v/>
      </c>
      <c r="R194" s="23">
        <f>IF($C194="","",N(J194)+N(Q194))</f>
        <v/>
      </c>
      <c r="S194" s="25">
        <f>IF(OR($C194="",N($G194)=0),"",R194/$G194)</f>
        <v/>
      </c>
      <c r="T194" s="23">
        <f>IF($C194="","",N($G194)-N(R194))</f>
        <v/>
      </c>
      <c r="U194" s="24" t="n"/>
      <c r="V194" s="22" t="n"/>
    </row>
    <row r="195">
      <c r="B195" s="13">
        <f>IF($C195="","",COUNTA($C$9:$C195))</f>
        <v/>
      </c>
      <c r="C195" s="21" t="n"/>
      <c r="D195" s="14" t="n"/>
      <c r="E195" s="14" t="n"/>
      <c r="F195" s="14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3">
        <f>IF($C195="","",N(L195)-N(M195))</f>
        <v/>
      </c>
      <c r="P195" s="24" t="n"/>
      <c r="Q195" s="23">
        <f>IF($C195="","",N(M195)+N(N195))</f>
        <v/>
      </c>
      <c r="R195" s="23">
        <f>IF($C195="","",N(J195)+N(Q195))</f>
        <v/>
      </c>
      <c r="S195" s="25">
        <f>IF(OR($C195="",N($G195)=0),"",R195/$G195)</f>
        <v/>
      </c>
      <c r="T195" s="23">
        <f>IF($C195="","",N($G195)-N(R195))</f>
        <v/>
      </c>
      <c r="U195" s="24" t="n"/>
      <c r="V195" s="22" t="n"/>
    </row>
    <row r="196">
      <c r="B196" s="13">
        <f>IF($C196="","",COUNTA($C$9:$C196))</f>
        <v/>
      </c>
      <c r="C196" s="21" t="n"/>
      <c r="D196" s="14" t="n"/>
      <c r="E196" s="14" t="n"/>
      <c r="F196" s="14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3">
        <f>IF($C196="","",N(L196)-N(M196))</f>
        <v/>
      </c>
      <c r="P196" s="24" t="n"/>
      <c r="Q196" s="23">
        <f>IF($C196="","",N(M196)+N(N196))</f>
        <v/>
      </c>
      <c r="R196" s="23">
        <f>IF($C196="","",N(J196)+N(Q196))</f>
        <v/>
      </c>
      <c r="S196" s="25">
        <f>IF(OR($C196="",N($G196)=0),"",R196/$G196)</f>
        <v/>
      </c>
      <c r="T196" s="23">
        <f>IF($C196="","",N($G196)-N(R196))</f>
        <v/>
      </c>
      <c r="U196" s="24" t="n"/>
      <c r="V196" s="22" t="n"/>
    </row>
    <row r="197">
      <c r="B197" s="13">
        <f>IF($C197="","",COUNTA($C$9:$C197))</f>
        <v/>
      </c>
      <c r="C197" s="21" t="n"/>
      <c r="D197" s="14" t="n"/>
      <c r="E197" s="14" t="n"/>
      <c r="F197" s="14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3">
        <f>IF($C197="","",N(L197)-N(M197))</f>
        <v/>
      </c>
      <c r="P197" s="24" t="n"/>
      <c r="Q197" s="23">
        <f>IF($C197="","",N(M197)+N(N197))</f>
        <v/>
      </c>
      <c r="R197" s="23">
        <f>IF($C197="","",N(J197)+N(Q197))</f>
        <v/>
      </c>
      <c r="S197" s="25">
        <f>IF(OR($C197="",N($G197)=0),"",R197/$G197)</f>
        <v/>
      </c>
      <c r="T197" s="23">
        <f>IF($C197="","",N($G197)-N(R197))</f>
        <v/>
      </c>
      <c r="U197" s="24" t="n"/>
      <c r="V197" s="22" t="n"/>
    </row>
    <row r="198">
      <c r="B198" s="13">
        <f>IF($C198="","",COUNTA($C$9:$C198))</f>
        <v/>
      </c>
      <c r="C198" s="21" t="n"/>
      <c r="D198" s="14" t="n"/>
      <c r="E198" s="14" t="n"/>
      <c r="F198" s="14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3">
        <f>IF($C198="","",N(L198)-N(M198))</f>
        <v/>
      </c>
      <c r="P198" s="24" t="n"/>
      <c r="Q198" s="23">
        <f>IF($C198="","",N(M198)+N(N198))</f>
        <v/>
      </c>
      <c r="R198" s="23">
        <f>IF($C198="","",N(J198)+N(Q198))</f>
        <v/>
      </c>
      <c r="S198" s="25">
        <f>IF(OR($C198="",N($G198)=0),"",R198/$G198)</f>
        <v/>
      </c>
      <c r="T198" s="23">
        <f>IF($C198="","",N($G198)-N(R198))</f>
        <v/>
      </c>
      <c r="U198" s="24" t="n"/>
      <c r="V198" s="22" t="n"/>
    </row>
    <row r="199">
      <c r="B199" s="13">
        <f>IF($C199="","",COUNTA($C$9:$C199))</f>
        <v/>
      </c>
      <c r="C199" s="21" t="n"/>
      <c r="D199" s="14" t="n"/>
      <c r="E199" s="14" t="n"/>
      <c r="F199" s="14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3">
        <f>IF($C199="","",N(L199)-N(M199))</f>
        <v/>
      </c>
      <c r="P199" s="24" t="n"/>
      <c r="Q199" s="23">
        <f>IF($C199="","",N(M199)+N(N199))</f>
        <v/>
      </c>
      <c r="R199" s="23">
        <f>IF($C199="","",N(J199)+N(Q199))</f>
        <v/>
      </c>
      <c r="S199" s="25">
        <f>IF(OR($C199="",N($G199)=0),"",R199/$G199)</f>
        <v/>
      </c>
      <c r="T199" s="23">
        <f>IF($C199="","",N($G199)-N(R199))</f>
        <v/>
      </c>
      <c r="U199" s="24" t="n"/>
      <c r="V199" s="22" t="n"/>
    </row>
    <row r="200">
      <c r="B200" s="13">
        <f>IF($C200="","",COUNTA($C$9:$C200))</f>
        <v/>
      </c>
      <c r="C200" s="21" t="n"/>
      <c r="D200" s="14" t="n"/>
      <c r="E200" s="14" t="n"/>
      <c r="F200" s="14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3">
        <f>IF($C200="","",N(L200)-N(M200))</f>
        <v/>
      </c>
      <c r="P200" s="24" t="n"/>
      <c r="Q200" s="23">
        <f>IF($C200="","",N(M200)+N(N200))</f>
        <v/>
      </c>
      <c r="R200" s="23">
        <f>IF($C200="","",N(J200)+N(Q200))</f>
        <v/>
      </c>
      <c r="S200" s="25">
        <f>IF(OR($C200="",N($G200)=0),"",R200/$G200)</f>
        <v/>
      </c>
      <c r="T200" s="23">
        <f>IF($C200="","",N($G200)-N(R200))</f>
        <v/>
      </c>
      <c r="U200" s="24" t="n"/>
      <c r="V200" s="22" t="n"/>
    </row>
    <row r="201">
      <c r="B201" s="13">
        <f>IF($C201="","",COUNTA($C$9:$C201))</f>
        <v/>
      </c>
      <c r="C201" s="21" t="n"/>
      <c r="D201" s="14" t="n"/>
      <c r="E201" s="14" t="n"/>
      <c r="F201" s="14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3">
        <f>IF($C201="","",N(L201)-N(M201))</f>
        <v/>
      </c>
      <c r="P201" s="24" t="n"/>
      <c r="Q201" s="23">
        <f>IF($C201="","",N(M201)+N(N201))</f>
        <v/>
      </c>
      <c r="R201" s="23">
        <f>IF($C201="","",N(J201)+N(Q201))</f>
        <v/>
      </c>
      <c r="S201" s="25">
        <f>IF(OR($C201="",N($G201)=0),"",R201/$G201)</f>
        <v/>
      </c>
      <c r="T201" s="23">
        <f>IF($C201="","",N($G201)-N(R201))</f>
        <v/>
      </c>
      <c r="U201" s="24" t="n"/>
      <c r="V201" s="22" t="n"/>
    </row>
    <row r="202">
      <c r="B202" s="13">
        <f>IF($C202="","",COUNTA($C$9:$C202))</f>
        <v/>
      </c>
      <c r="C202" s="21" t="n"/>
      <c r="D202" s="14" t="n"/>
      <c r="E202" s="14" t="n"/>
      <c r="F202" s="14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3">
        <f>IF($C202="","",N(L202)-N(M202))</f>
        <v/>
      </c>
      <c r="P202" s="24" t="n"/>
      <c r="Q202" s="23">
        <f>IF($C202="","",N(M202)+N(N202))</f>
        <v/>
      </c>
      <c r="R202" s="23">
        <f>IF($C202="","",N(J202)+N(Q202))</f>
        <v/>
      </c>
      <c r="S202" s="25">
        <f>IF(OR($C202="",N($G202)=0),"",R202/$G202)</f>
        <v/>
      </c>
      <c r="T202" s="23">
        <f>IF($C202="","",N($G202)-N(R202))</f>
        <v/>
      </c>
      <c r="U202" s="24" t="n"/>
      <c r="V202" s="22" t="n"/>
    </row>
    <row r="203">
      <c r="B203" s="13">
        <f>IF($C203="","",COUNTA($C$9:$C203))</f>
        <v/>
      </c>
      <c r="C203" s="21" t="n"/>
      <c r="D203" s="14" t="n"/>
      <c r="E203" s="14" t="n"/>
      <c r="F203" s="14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3">
        <f>IF($C203="","",N(L203)-N(M203))</f>
        <v/>
      </c>
      <c r="P203" s="24" t="n"/>
      <c r="Q203" s="23">
        <f>IF($C203="","",N(M203)+N(N203))</f>
        <v/>
      </c>
      <c r="R203" s="23">
        <f>IF($C203="","",N(J203)+N(Q203))</f>
        <v/>
      </c>
      <c r="S203" s="25">
        <f>IF(OR($C203="",N($G203)=0),"",R203/$G203)</f>
        <v/>
      </c>
      <c r="T203" s="23">
        <f>IF($C203="","",N($G203)-N(R203))</f>
        <v/>
      </c>
      <c r="U203" s="24" t="n"/>
      <c r="V203" s="22" t="n"/>
    </row>
    <row r="204">
      <c r="B204" s="13">
        <f>IF($C204="","",COUNTA($C$9:$C204))</f>
        <v/>
      </c>
      <c r="C204" s="21" t="n"/>
      <c r="D204" s="14" t="n"/>
      <c r="E204" s="14" t="n"/>
      <c r="F204" s="14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3">
        <f>IF($C204="","",N(L204)-N(M204))</f>
        <v/>
      </c>
      <c r="P204" s="24" t="n"/>
      <c r="Q204" s="23">
        <f>IF($C204="","",N(M204)+N(N204))</f>
        <v/>
      </c>
      <c r="R204" s="23">
        <f>IF($C204="","",N(J204)+N(Q204))</f>
        <v/>
      </c>
      <c r="S204" s="25">
        <f>IF(OR($C204="",N($G204)=0),"",R204/$G204)</f>
        <v/>
      </c>
      <c r="T204" s="23">
        <f>IF($C204="","",N($G204)-N(R204))</f>
        <v/>
      </c>
      <c r="U204" s="24" t="n"/>
      <c r="V204" s="22" t="n"/>
    </row>
    <row r="205">
      <c r="B205" s="13">
        <f>IF($C205="","",COUNTA($C$9:$C205))</f>
        <v/>
      </c>
      <c r="C205" s="21" t="n"/>
      <c r="D205" s="14" t="n"/>
      <c r="E205" s="14" t="n"/>
      <c r="F205" s="14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3">
        <f>IF($C205="","",N(L205)-N(M205))</f>
        <v/>
      </c>
      <c r="P205" s="24" t="n"/>
      <c r="Q205" s="23">
        <f>IF($C205="","",N(M205)+N(N205))</f>
        <v/>
      </c>
      <c r="R205" s="23">
        <f>IF($C205="","",N(J205)+N(Q205))</f>
        <v/>
      </c>
      <c r="S205" s="25">
        <f>IF(OR($C205="",N($G205)=0),"",R205/$G205)</f>
        <v/>
      </c>
      <c r="T205" s="23">
        <f>IF($C205="","",N($G205)-N(R205))</f>
        <v/>
      </c>
      <c r="U205" s="24" t="n"/>
      <c r="V205" s="22" t="n"/>
    </row>
    <row r="206">
      <c r="B206" s="13">
        <f>IF($C206="","",COUNTA($C$9:$C206))</f>
        <v/>
      </c>
      <c r="C206" s="21" t="n"/>
      <c r="D206" s="14" t="n"/>
      <c r="E206" s="14" t="n"/>
      <c r="F206" s="14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3">
        <f>IF($C206="","",N(L206)-N(M206))</f>
        <v/>
      </c>
      <c r="P206" s="24" t="n"/>
      <c r="Q206" s="23">
        <f>IF($C206="","",N(M206)+N(N206))</f>
        <v/>
      </c>
      <c r="R206" s="23">
        <f>IF($C206="","",N(J206)+N(Q206))</f>
        <v/>
      </c>
      <c r="S206" s="25">
        <f>IF(OR($C206="",N($G206)=0),"",R206/$G206)</f>
        <v/>
      </c>
      <c r="T206" s="23">
        <f>IF($C206="","",N($G206)-N(R206))</f>
        <v/>
      </c>
      <c r="U206" s="24" t="n"/>
      <c r="V206" s="22" t="n"/>
    </row>
    <row r="207">
      <c r="B207" s="13">
        <f>IF($C207="","",COUNTA($C$9:$C207))</f>
        <v/>
      </c>
      <c r="C207" s="21" t="n"/>
      <c r="D207" s="14" t="n"/>
      <c r="E207" s="14" t="n"/>
      <c r="F207" s="14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3">
        <f>IF($C207="","",N(L207)-N(M207))</f>
        <v/>
      </c>
      <c r="P207" s="24" t="n"/>
      <c r="Q207" s="23">
        <f>IF($C207="","",N(M207)+N(N207))</f>
        <v/>
      </c>
      <c r="R207" s="23">
        <f>IF($C207="","",N(J207)+N(Q207))</f>
        <v/>
      </c>
      <c r="S207" s="25">
        <f>IF(OR($C207="",N($G207)=0),"",R207/$G207)</f>
        <v/>
      </c>
      <c r="T207" s="23">
        <f>IF($C207="","",N($G207)-N(R207))</f>
        <v/>
      </c>
      <c r="U207" s="24" t="n"/>
      <c r="V207" s="22" t="n"/>
    </row>
    <row r="208">
      <c r="B208" s="13">
        <f>IF($C208="","",COUNTA($C$9:$C208))</f>
        <v/>
      </c>
      <c r="C208" s="21" t="n"/>
      <c r="D208" s="14" t="n"/>
      <c r="E208" s="14" t="n"/>
      <c r="F208" s="14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3">
        <f>IF($C208="","",N(L208)-N(M208))</f>
        <v/>
      </c>
      <c r="P208" s="24" t="n"/>
      <c r="Q208" s="23">
        <f>IF($C208="","",N(M208)+N(N208))</f>
        <v/>
      </c>
      <c r="R208" s="23">
        <f>IF($C208="","",N(J208)+N(Q208))</f>
        <v/>
      </c>
      <c r="S208" s="25">
        <f>IF(OR($C208="",N($G208)=0),"",R208/$G208)</f>
        <v/>
      </c>
      <c r="T208" s="23">
        <f>IF($C208="","",N($G208)-N(R208))</f>
        <v/>
      </c>
      <c r="U208" s="24" t="n"/>
      <c r="V208" s="22" t="n"/>
    </row>
    <row r="209">
      <c r="B209" s="13">
        <f>IF($C209="","",COUNTA($C$9:$C209))</f>
        <v/>
      </c>
      <c r="C209" s="21" t="n"/>
      <c r="D209" s="14" t="n"/>
      <c r="E209" s="14" t="n"/>
      <c r="F209" s="14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3">
        <f>IF($C209="","",N(L209)-N(M209))</f>
        <v/>
      </c>
      <c r="P209" s="24" t="n"/>
      <c r="Q209" s="23">
        <f>IF($C209="","",N(M209)+N(N209))</f>
        <v/>
      </c>
      <c r="R209" s="23">
        <f>IF($C209="","",N(J209)+N(Q209))</f>
        <v/>
      </c>
      <c r="S209" s="25">
        <f>IF(OR($C209="",N($G209)=0),"",R209/$G209)</f>
        <v/>
      </c>
      <c r="T209" s="23">
        <f>IF($C209="","",N($G209)-N(R209))</f>
        <v/>
      </c>
      <c r="U209" s="24" t="n"/>
      <c r="V209" s="22" t="n"/>
    </row>
    <row r="210">
      <c r="B210" s="13">
        <f>IF($C210="","",COUNTA($C$9:$C210))</f>
        <v/>
      </c>
      <c r="C210" s="21" t="n"/>
      <c r="D210" s="14" t="n"/>
      <c r="E210" s="14" t="n"/>
      <c r="F210" s="14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3">
        <f>IF($C210="","",N(L210)-N(M210))</f>
        <v/>
      </c>
      <c r="P210" s="24" t="n"/>
      <c r="Q210" s="23">
        <f>IF($C210="","",N(M210)+N(N210))</f>
        <v/>
      </c>
      <c r="R210" s="23">
        <f>IF($C210="","",N(J210)+N(Q210))</f>
        <v/>
      </c>
      <c r="S210" s="25">
        <f>IF(OR($C210="",N($G210)=0),"",R210/$G210)</f>
        <v/>
      </c>
      <c r="T210" s="23">
        <f>IF($C210="","",N($G210)-N(R210))</f>
        <v/>
      </c>
      <c r="U210" s="24" t="n"/>
      <c r="V210" s="22" t="n"/>
    </row>
    <row r="211">
      <c r="B211" s="13">
        <f>IF($C211="","",COUNTA($C$9:$C211))</f>
        <v/>
      </c>
      <c r="C211" s="21" t="n"/>
      <c r="D211" s="14" t="n"/>
      <c r="E211" s="14" t="n"/>
      <c r="F211" s="14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3">
        <f>IF($C211="","",N(L211)-N(M211))</f>
        <v/>
      </c>
      <c r="P211" s="24" t="n"/>
      <c r="Q211" s="23">
        <f>IF($C211="","",N(M211)+N(N211))</f>
        <v/>
      </c>
      <c r="R211" s="23">
        <f>IF($C211="","",N(J211)+N(Q211))</f>
        <v/>
      </c>
      <c r="S211" s="25">
        <f>IF(OR($C211="",N($G211)=0),"",R211/$G211)</f>
        <v/>
      </c>
      <c r="T211" s="23">
        <f>IF($C211="","",N($G211)-N(R211))</f>
        <v/>
      </c>
      <c r="U211" s="24" t="n"/>
      <c r="V211" s="22" t="n"/>
    </row>
    <row r="212">
      <c r="B212" s="13">
        <f>IF($C212="","",COUNTA($C$9:$C212))</f>
        <v/>
      </c>
      <c r="C212" s="21" t="n"/>
      <c r="D212" s="14" t="n"/>
      <c r="E212" s="14" t="n"/>
      <c r="F212" s="14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3">
        <f>IF($C212="","",N(L212)-N(M212))</f>
        <v/>
      </c>
      <c r="P212" s="24" t="n"/>
      <c r="Q212" s="23">
        <f>IF($C212="","",N(M212)+N(N212))</f>
        <v/>
      </c>
      <c r="R212" s="23">
        <f>IF($C212="","",N(J212)+N(Q212))</f>
        <v/>
      </c>
      <c r="S212" s="25">
        <f>IF(OR($C212="",N($G212)=0),"",R212/$G212)</f>
        <v/>
      </c>
      <c r="T212" s="23">
        <f>IF($C212="","",N($G212)-N(R212))</f>
        <v/>
      </c>
      <c r="U212" s="24" t="n"/>
      <c r="V212" s="22" t="n"/>
    </row>
    <row r="213">
      <c r="B213" s="13">
        <f>IF($C213="","",COUNTA($C$9:$C213))</f>
        <v/>
      </c>
      <c r="C213" s="21" t="n"/>
      <c r="D213" s="14" t="n"/>
      <c r="E213" s="14" t="n"/>
      <c r="F213" s="14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3">
        <f>IF($C213="","",N(L213)-N(M213))</f>
        <v/>
      </c>
      <c r="P213" s="24" t="n"/>
      <c r="Q213" s="23">
        <f>IF($C213="","",N(M213)+N(N213))</f>
        <v/>
      </c>
      <c r="R213" s="23">
        <f>IF($C213="","",N(J213)+N(Q213))</f>
        <v/>
      </c>
      <c r="S213" s="25">
        <f>IF(OR($C213="",N($G213)=0),"",R213/$G213)</f>
        <v/>
      </c>
      <c r="T213" s="23">
        <f>IF($C213="","",N($G213)-N(R213))</f>
        <v/>
      </c>
      <c r="U213" s="24" t="n"/>
      <c r="V213" s="22" t="n"/>
    </row>
    <row r="214">
      <c r="B214" s="13">
        <f>IF($C214="","",COUNTA($C$9:$C214))</f>
        <v/>
      </c>
      <c r="C214" s="21" t="n"/>
      <c r="D214" s="14" t="n"/>
      <c r="E214" s="14" t="n"/>
      <c r="F214" s="14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3">
        <f>IF($C214="","",N(L214)-N(M214))</f>
        <v/>
      </c>
      <c r="P214" s="24" t="n"/>
      <c r="Q214" s="23">
        <f>IF($C214="","",N(M214)+N(N214))</f>
        <v/>
      </c>
      <c r="R214" s="23">
        <f>IF($C214="","",N(J214)+N(Q214))</f>
        <v/>
      </c>
      <c r="S214" s="25">
        <f>IF(OR($C214="",N($G214)=0),"",R214/$G214)</f>
        <v/>
      </c>
      <c r="T214" s="23">
        <f>IF($C214="","",N($G214)-N(R214))</f>
        <v/>
      </c>
      <c r="U214" s="24" t="n"/>
      <c r="V214" s="22" t="n"/>
    </row>
    <row r="215">
      <c r="B215" s="13">
        <f>IF($C215="","",COUNTA($C$9:$C215))</f>
        <v/>
      </c>
      <c r="C215" s="21" t="n"/>
      <c r="D215" s="14" t="n"/>
      <c r="E215" s="14" t="n"/>
      <c r="F215" s="14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3">
        <f>IF($C215="","",N(L215)-N(M215))</f>
        <v/>
      </c>
      <c r="P215" s="24" t="n"/>
      <c r="Q215" s="23">
        <f>IF($C215="","",N(M215)+N(N215))</f>
        <v/>
      </c>
      <c r="R215" s="23">
        <f>IF($C215="","",N(J215)+N(Q215))</f>
        <v/>
      </c>
      <c r="S215" s="25">
        <f>IF(OR($C215="",N($G215)=0),"",R215/$G215)</f>
        <v/>
      </c>
      <c r="T215" s="23">
        <f>IF($C215="","",N($G215)-N(R215))</f>
        <v/>
      </c>
      <c r="U215" s="24" t="n"/>
      <c r="V215" s="22" t="n"/>
    </row>
    <row r="216">
      <c r="B216" s="13">
        <f>IF($C216="","",COUNTA($C$9:$C216))</f>
        <v/>
      </c>
      <c r="C216" s="21" t="n"/>
      <c r="D216" s="14" t="n"/>
      <c r="E216" s="14" t="n"/>
      <c r="F216" s="14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3">
        <f>IF($C216="","",N(L216)-N(M216))</f>
        <v/>
      </c>
      <c r="P216" s="24" t="n"/>
      <c r="Q216" s="23">
        <f>IF($C216="","",N(M216)+N(N216))</f>
        <v/>
      </c>
      <c r="R216" s="23">
        <f>IF($C216="","",N(J216)+N(Q216))</f>
        <v/>
      </c>
      <c r="S216" s="25">
        <f>IF(OR($C216="",N($G216)=0),"",R216/$G216)</f>
        <v/>
      </c>
      <c r="T216" s="23">
        <f>IF($C216="","",N($G216)-N(R216))</f>
        <v/>
      </c>
      <c r="U216" s="24" t="n"/>
      <c r="V216" s="22" t="n"/>
    </row>
    <row r="217">
      <c r="B217" s="13">
        <f>IF($C217="","",COUNTA($C$9:$C217))</f>
        <v/>
      </c>
      <c r="C217" s="21" t="n"/>
      <c r="D217" s="14" t="n"/>
      <c r="E217" s="14" t="n"/>
      <c r="F217" s="14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3">
        <f>IF($C217="","",N(L217)-N(M217))</f>
        <v/>
      </c>
      <c r="P217" s="24" t="n"/>
      <c r="Q217" s="23">
        <f>IF($C217="","",N(M217)+N(N217))</f>
        <v/>
      </c>
      <c r="R217" s="23">
        <f>IF($C217="","",N(J217)+N(Q217))</f>
        <v/>
      </c>
      <c r="S217" s="25">
        <f>IF(OR($C217="",N($G217)=0),"",R217/$G217)</f>
        <v/>
      </c>
      <c r="T217" s="23">
        <f>IF($C217="","",N($G217)-N(R217))</f>
        <v/>
      </c>
      <c r="U217" s="24" t="n"/>
      <c r="V217" s="22" t="n"/>
    </row>
    <row r="218">
      <c r="B218" s="13">
        <f>IF($C218="","",COUNTA($C$9:$C218))</f>
        <v/>
      </c>
      <c r="C218" s="21" t="n"/>
      <c r="D218" s="14" t="n"/>
      <c r="E218" s="14" t="n"/>
      <c r="F218" s="14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3">
        <f>IF($C218="","",N(L218)-N(M218))</f>
        <v/>
      </c>
      <c r="P218" s="24" t="n"/>
      <c r="Q218" s="23">
        <f>IF($C218="","",N(M218)+N(N218))</f>
        <v/>
      </c>
      <c r="R218" s="23">
        <f>IF($C218="","",N(J218)+N(Q218))</f>
        <v/>
      </c>
      <c r="S218" s="25">
        <f>IF(OR($C218="",N($G218)=0),"",R218/$G218)</f>
        <v/>
      </c>
      <c r="T218" s="23">
        <f>IF($C218="","",N($G218)-N(R218))</f>
        <v/>
      </c>
      <c r="U218" s="24" t="n"/>
      <c r="V218" s="22" t="n"/>
    </row>
    <row r="219">
      <c r="B219" s="13">
        <f>IF($C219="","",COUNTA($C$9:$C219))</f>
        <v/>
      </c>
      <c r="C219" s="21" t="n"/>
      <c r="D219" s="14" t="n"/>
      <c r="E219" s="14" t="n"/>
      <c r="F219" s="14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3">
        <f>IF($C219="","",N(L219)-N(M219))</f>
        <v/>
      </c>
      <c r="P219" s="24" t="n"/>
      <c r="Q219" s="23">
        <f>IF($C219="","",N(M219)+N(N219))</f>
        <v/>
      </c>
      <c r="R219" s="23">
        <f>IF($C219="","",N(J219)+N(Q219))</f>
        <v/>
      </c>
      <c r="S219" s="25">
        <f>IF(OR($C219="",N($G219)=0),"",R219/$G219)</f>
        <v/>
      </c>
      <c r="T219" s="23">
        <f>IF($C219="","",N($G219)-N(R219))</f>
        <v/>
      </c>
      <c r="U219" s="24" t="n"/>
      <c r="V219" s="22" t="n"/>
    </row>
    <row r="220">
      <c r="B220" s="13">
        <f>IF($C220="","",COUNTA($C$9:$C220))</f>
        <v/>
      </c>
      <c r="C220" s="21" t="n"/>
      <c r="D220" s="14" t="n"/>
      <c r="E220" s="14" t="n"/>
      <c r="F220" s="14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3">
        <f>IF($C220="","",N(L220)-N(M220))</f>
        <v/>
      </c>
      <c r="P220" s="24" t="n"/>
      <c r="Q220" s="23">
        <f>IF($C220="","",N(M220)+N(N220))</f>
        <v/>
      </c>
      <c r="R220" s="23">
        <f>IF($C220="","",N(J220)+N(Q220))</f>
        <v/>
      </c>
      <c r="S220" s="25">
        <f>IF(OR($C220="",N($G220)=0),"",R220/$G220)</f>
        <v/>
      </c>
      <c r="T220" s="23">
        <f>IF($C220="","",N($G220)-N(R220))</f>
        <v/>
      </c>
      <c r="U220" s="24" t="n"/>
      <c r="V220" s="22" t="n"/>
    </row>
    <row r="221">
      <c r="B221" s="13">
        <f>IF($C221="","",COUNTA($C$9:$C221))</f>
        <v/>
      </c>
      <c r="C221" s="21" t="n"/>
      <c r="D221" s="14" t="n"/>
      <c r="E221" s="14" t="n"/>
      <c r="F221" s="14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3">
        <f>IF($C221="","",N(L221)-N(M221))</f>
        <v/>
      </c>
      <c r="P221" s="24" t="n"/>
      <c r="Q221" s="23">
        <f>IF($C221="","",N(M221)+N(N221))</f>
        <v/>
      </c>
      <c r="R221" s="23">
        <f>IF($C221="","",N(J221)+N(Q221))</f>
        <v/>
      </c>
      <c r="S221" s="25">
        <f>IF(OR($C221="",N($G221)=0),"",R221/$G221)</f>
        <v/>
      </c>
      <c r="T221" s="23">
        <f>IF($C221="","",N($G221)-N(R221))</f>
        <v/>
      </c>
      <c r="U221" s="24" t="n"/>
      <c r="V221" s="22" t="n"/>
    </row>
    <row r="222">
      <c r="B222" s="13">
        <f>IF($C222="","",COUNTA($C$9:$C222))</f>
        <v/>
      </c>
      <c r="C222" s="21" t="n"/>
      <c r="D222" s="14" t="n"/>
      <c r="E222" s="14" t="n"/>
      <c r="F222" s="14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3">
        <f>IF($C222="","",N(L222)-N(M222))</f>
        <v/>
      </c>
      <c r="P222" s="24" t="n"/>
      <c r="Q222" s="23">
        <f>IF($C222="","",N(M222)+N(N222))</f>
        <v/>
      </c>
      <c r="R222" s="23">
        <f>IF($C222="","",N(J222)+N(Q222))</f>
        <v/>
      </c>
      <c r="S222" s="25">
        <f>IF(OR($C222="",N($G222)=0),"",R222/$G222)</f>
        <v/>
      </c>
      <c r="T222" s="23">
        <f>IF($C222="","",N($G222)-N(R222))</f>
        <v/>
      </c>
      <c r="U222" s="24" t="n"/>
      <c r="V222" s="22" t="n"/>
    </row>
    <row r="223">
      <c r="B223" s="13">
        <f>IF($C223="","",COUNTA($C$9:$C223))</f>
        <v/>
      </c>
      <c r="C223" s="21" t="n"/>
      <c r="D223" s="14" t="n"/>
      <c r="E223" s="14" t="n"/>
      <c r="F223" s="14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3">
        <f>IF($C223="","",N(L223)-N(M223))</f>
        <v/>
      </c>
      <c r="P223" s="24" t="n"/>
      <c r="Q223" s="23">
        <f>IF($C223="","",N(M223)+N(N223))</f>
        <v/>
      </c>
      <c r="R223" s="23">
        <f>IF($C223="","",N(J223)+N(Q223))</f>
        <v/>
      </c>
      <c r="S223" s="25">
        <f>IF(OR($C223="",N($G223)=0),"",R223/$G223)</f>
        <v/>
      </c>
      <c r="T223" s="23">
        <f>IF($C223="","",N($G223)-N(R223))</f>
        <v/>
      </c>
      <c r="U223" s="24" t="n"/>
      <c r="V223" s="22" t="n"/>
    </row>
    <row r="224">
      <c r="B224" s="13">
        <f>IF($C224="","",COUNTA($C$9:$C224))</f>
        <v/>
      </c>
      <c r="C224" s="21" t="n"/>
      <c r="D224" s="14" t="n"/>
      <c r="E224" s="14" t="n"/>
      <c r="F224" s="14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3">
        <f>IF($C224="","",N(L224)-N(M224))</f>
        <v/>
      </c>
      <c r="P224" s="24" t="n"/>
      <c r="Q224" s="23">
        <f>IF($C224="","",N(M224)+N(N224))</f>
        <v/>
      </c>
      <c r="R224" s="23">
        <f>IF($C224="","",N(J224)+N(Q224))</f>
        <v/>
      </c>
      <c r="S224" s="25">
        <f>IF(OR($C224="",N($G224)=0),"",R224/$G224)</f>
        <v/>
      </c>
      <c r="T224" s="23">
        <f>IF($C224="","",N($G224)-N(R224))</f>
        <v/>
      </c>
      <c r="U224" s="24" t="n"/>
      <c r="V224" s="22" t="n"/>
    </row>
    <row r="225">
      <c r="B225" s="13">
        <f>IF($C225="","",COUNTA($C$9:$C225))</f>
        <v/>
      </c>
      <c r="C225" s="21" t="n"/>
      <c r="D225" s="14" t="n"/>
      <c r="E225" s="14" t="n"/>
      <c r="F225" s="14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3">
        <f>IF($C225="","",N(L225)-N(M225))</f>
        <v/>
      </c>
      <c r="P225" s="24" t="n"/>
      <c r="Q225" s="23">
        <f>IF($C225="","",N(M225)+N(N225))</f>
        <v/>
      </c>
      <c r="R225" s="23">
        <f>IF($C225="","",N(J225)+N(Q225))</f>
        <v/>
      </c>
      <c r="S225" s="25">
        <f>IF(OR($C225="",N($G225)=0),"",R225/$G225)</f>
        <v/>
      </c>
      <c r="T225" s="23">
        <f>IF($C225="","",N($G225)-N(R225))</f>
        <v/>
      </c>
      <c r="U225" s="24" t="n"/>
      <c r="V225" s="22" t="n"/>
    </row>
    <row r="226">
      <c r="B226" s="13">
        <f>IF($C226="","",COUNTA($C$9:$C226))</f>
        <v/>
      </c>
      <c r="C226" s="21" t="n"/>
      <c r="D226" s="14" t="n"/>
      <c r="E226" s="14" t="n"/>
      <c r="F226" s="14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3">
        <f>IF($C226="","",N(L226)-N(M226))</f>
        <v/>
      </c>
      <c r="P226" s="24" t="n"/>
      <c r="Q226" s="23">
        <f>IF($C226="","",N(M226)+N(N226))</f>
        <v/>
      </c>
      <c r="R226" s="23">
        <f>IF($C226="","",N(J226)+N(Q226))</f>
        <v/>
      </c>
      <c r="S226" s="25">
        <f>IF(OR($C226="",N($G226)=0),"",R226/$G226)</f>
        <v/>
      </c>
      <c r="T226" s="23">
        <f>IF($C226="","",N($G226)-N(R226))</f>
        <v/>
      </c>
      <c r="U226" s="24" t="n"/>
      <c r="V226" s="22" t="n"/>
    </row>
    <row r="227">
      <c r="B227" s="13">
        <f>IF($C227="","",COUNTA($C$9:$C227))</f>
        <v/>
      </c>
      <c r="C227" s="21" t="n"/>
      <c r="D227" s="14" t="n"/>
      <c r="E227" s="14" t="n"/>
      <c r="F227" s="14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3">
        <f>IF($C227="","",N(L227)-N(M227))</f>
        <v/>
      </c>
      <c r="P227" s="24" t="n"/>
      <c r="Q227" s="23">
        <f>IF($C227="","",N(M227)+N(N227))</f>
        <v/>
      </c>
      <c r="R227" s="23">
        <f>IF($C227="","",N(J227)+N(Q227))</f>
        <v/>
      </c>
      <c r="S227" s="25">
        <f>IF(OR($C227="",N($G227)=0),"",R227/$G227)</f>
        <v/>
      </c>
      <c r="T227" s="23">
        <f>IF($C227="","",N($G227)-N(R227))</f>
        <v/>
      </c>
      <c r="U227" s="24" t="n"/>
      <c r="V227" s="22" t="n"/>
    </row>
    <row r="228">
      <c r="B228" s="13">
        <f>IF($C228="","",COUNTA($C$9:$C228))</f>
        <v/>
      </c>
      <c r="C228" s="21" t="n"/>
      <c r="D228" s="14" t="n"/>
      <c r="E228" s="14" t="n"/>
      <c r="F228" s="14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3">
        <f>IF($C228="","",N(L228)-N(M228))</f>
        <v/>
      </c>
      <c r="P228" s="24" t="n"/>
      <c r="Q228" s="23">
        <f>IF($C228="","",N(M228)+N(N228))</f>
        <v/>
      </c>
      <c r="R228" s="23">
        <f>IF($C228="","",N(J228)+N(Q228))</f>
        <v/>
      </c>
      <c r="S228" s="25">
        <f>IF(OR($C228="",N($G228)=0),"",R228/$G228)</f>
        <v/>
      </c>
      <c r="T228" s="23">
        <f>IF($C228="","",N($G228)-N(R228))</f>
        <v/>
      </c>
      <c r="U228" s="24" t="n"/>
      <c r="V228" s="22" t="n"/>
    </row>
    <row r="229">
      <c r="B229" s="13">
        <f>IF($C229="","",COUNTA($C$9:$C229))</f>
        <v/>
      </c>
      <c r="C229" s="21" t="n"/>
      <c r="D229" s="14" t="n"/>
      <c r="E229" s="14" t="n"/>
      <c r="F229" s="14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3">
        <f>IF($C229="","",N(L229)-N(M229))</f>
        <v/>
      </c>
      <c r="P229" s="24" t="n"/>
      <c r="Q229" s="23">
        <f>IF($C229="","",N(M229)+N(N229))</f>
        <v/>
      </c>
      <c r="R229" s="23">
        <f>IF($C229="","",N(J229)+N(Q229))</f>
        <v/>
      </c>
      <c r="S229" s="25">
        <f>IF(OR($C229="",N($G229)=0),"",R229/$G229)</f>
        <v/>
      </c>
      <c r="T229" s="23">
        <f>IF($C229="","",N($G229)-N(R229))</f>
        <v/>
      </c>
      <c r="U229" s="24" t="n"/>
      <c r="V229" s="22" t="n"/>
    </row>
    <row r="230">
      <c r="B230" s="13">
        <f>IF($C230="","",COUNTA($C$9:$C230))</f>
        <v/>
      </c>
      <c r="C230" s="21" t="n"/>
      <c r="D230" s="14" t="n"/>
      <c r="E230" s="14" t="n"/>
      <c r="F230" s="14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3">
        <f>IF($C230="","",N(L230)-N(M230))</f>
        <v/>
      </c>
      <c r="P230" s="24" t="n"/>
      <c r="Q230" s="23">
        <f>IF($C230="","",N(M230)+N(N230))</f>
        <v/>
      </c>
      <c r="R230" s="23">
        <f>IF($C230="","",N(J230)+N(Q230))</f>
        <v/>
      </c>
      <c r="S230" s="25">
        <f>IF(OR($C230="",N($G230)=0),"",R230/$G230)</f>
        <v/>
      </c>
      <c r="T230" s="23">
        <f>IF($C230="","",N($G230)-N(R230))</f>
        <v/>
      </c>
      <c r="U230" s="24" t="n"/>
      <c r="V230" s="22" t="n"/>
    </row>
    <row r="231">
      <c r="B231" s="13">
        <f>IF($C231="","",COUNTA($C$9:$C231))</f>
        <v/>
      </c>
      <c r="C231" s="21" t="n"/>
      <c r="D231" s="14" t="n"/>
      <c r="E231" s="14" t="n"/>
      <c r="F231" s="14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3">
        <f>IF($C231="","",N(L231)-N(M231))</f>
        <v/>
      </c>
      <c r="P231" s="24" t="n"/>
      <c r="Q231" s="23">
        <f>IF($C231="","",N(M231)+N(N231))</f>
        <v/>
      </c>
      <c r="R231" s="23">
        <f>IF($C231="","",N(J231)+N(Q231))</f>
        <v/>
      </c>
      <c r="S231" s="25">
        <f>IF(OR($C231="",N($G231)=0),"",R231/$G231)</f>
        <v/>
      </c>
      <c r="T231" s="23">
        <f>IF($C231="","",N($G231)-N(R231))</f>
        <v/>
      </c>
      <c r="U231" s="24" t="n"/>
      <c r="V231" s="22" t="n"/>
    </row>
    <row r="232">
      <c r="B232" s="13">
        <f>IF($C232="","",COUNTA($C$9:$C232))</f>
        <v/>
      </c>
      <c r="C232" s="21" t="n"/>
      <c r="D232" s="14" t="n"/>
      <c r="E232" s="14" t="n"/>
      <c r="F232" s="14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3">
        <f>IF($C232="","",N(L232)-N(M232))</f>
        <v/>
      </c>
      <c r="P232" s="24" t="n"/>
      <c r="Q232" s="23">
        <f>IF($C232="","",N(M232)+N(N232))</f>
        <v/>
      </c>
      <c r="R232" s="23">
        <f>IF($C232="","",N(J232)+N(Q232))</f>
        <v/>
      </c>
      <c r="S232" s="25">
        <f>IF(OR($C232="",N($G232)=0),"",R232/$G232)</f>
        <v/>
      </c>
      <c r="T232" s="23">
        <f>IF($C232="","",N($G232)-N(R232))</f>
        <v/>
      </c>
      <c r="U232" s="24" t="n"/>
      <c r="V232" s="22" t="n"/>
    </row>
    <row r="233">
      <c r="B233" s="13">
        <f>IF($C233="","",COUNTA($C$9:$C233))</f>
        <v/>
      </c>
      <c r="C233" s="21" t="n"/>
      <c r="D233" s="14" t="n"/>
      <c r="E233" s="14" t="n"/>
      <c r="F233" s="14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3">
        <f>IF($C233="","",N(L233)-N(M233))</f>
        <v/>
      </c>
      <c r="P233" s="24" t="n"/>
      <c r="Q233" s="23">
        <f>IF($C233="","",N(M233)+N(N233))</f>
        <v/>
      </c>
      <c r="R233" s="23">
        <f>IF($C233="","",N(J233)+N(Q233))</f>
        <v/>
      </c>
      <c r="S233" s="25">
        <f>IF(OR($C233="",N($G233)=0),"",R233/$G233)</f>
        <v/>
      </c>
      <c r="T233" s="23">
        <f>IF($C233="","",N($G233)-N(R233))</f>
        <v/>
      </c>
      <c r="U233" s="24" t="n"/>
      <c r="V233" s="22" t="n"/>
    </row>
    <row r="234">
      <c r="B234" s="13">
        <f>IF($C234="","",COUNTA($C$9:$C234))</f>
        <v/>
      </c>
      <c r="C234" s="21" t="n"/>
      <c r="D234" s="14" t="n"/>
      <c r="E234" s="14" t="n"/>
      <c r="F234" s="14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3">
        <f>IF($C234="","",N(L234)-N(M234))</f>
        <v/>
      </c>
      <c r="P234" s="24" t="n"/>
      <c r="Q234" s="23">
        <f>IF($C234="","",N(M234)+N(N234))</f>
        <v/>
      </c>
      <c r="R234" s="23">
        <f>IF($C234="","",N(J234)+N(Q234))</f>
        <v/>
      </c>
      <c r="S234" s="25">
        <f>IF(OR($C234="",N($G234)=0),"",R234/$G234)</f>
        <v/>
      </c>
      <c r="T234" s="23">
        <f>IF($C234="","",N($G234)-N(R234))</f>
        <v/>
      </c>
      <c r="U234" s="24" t="n"/>
      <c r="V234" s="22" t="n"/>
    </row>
    <row r="235">
      <c r="B235" s="13">
        <f>IF($C235="","",COUNTA($C$9:$C235))</f>
        <v/>
      </c>
      <c r="C235" s="21" t="n"/>
      <c r="D235" s="14" t="n"/>
      <c r="E235" s="14" t="n"/>
      <c r="F235" s="14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3">
        <f>IF($C235="","",N(L235)-N(M235))</f>
        <v/>
      </c>
      <c r="P235" s="24" t="n"/>
      <c r="Q235" s="23">
        <f>IF($C235="","",N(M235)+N(N235))</f>
        <v/>
      </c>
      <c r="R235" s="23">
        <f>IF($C235="","",N(J235)+N(Q235))</f>
        <v/>
      </c>
      <c r="S235" s="25">
        <f>IF(OR($C235="",N($G235)=0),"",R235/$G235)</f>
        <v/>
      </c>
      <c r="T235" s="23">
        <f>IF($C235="","",N($G235)-N(R235))</f>
        <v/>
      </c>
      <c r="U235" s="24" t="n"/>
      <c r="V235" s="22" t="n"/>
    </row>
    <row r="236">
      <c r="B236" s="13">
        <f>IF($C236="","",COUNTA($C$9:$C236))</f>
        <v/>
      </c>
      <c r="C236" s="21" t="n"/>
      <c r="D236" s="14" t="n"/>
      <c r="E236" s="14" t="n"/>
      <c r="F236" s="14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3">
        <f>IF($C236="","",N(L236)-N(M236))</f>
        <v/>
      </c>
      <c r="P236" s="24" t="n"/>
      <c r="Q236" s="23">
        <f>IF($C236="","",N(M236)+N(N236))</f>
        <v/>
      </c>
      <c r="R236" s="23">
        <f>IF($C236="","",N(J236)+N(Q236))</f>
        <v/>
      </c>
      <c r="S236" s="25">
        <f>IF(OR($C236="",N($G236)=0),"",R236/$G236)</f>
        <v/>
      </c>
      <c r="T236" s="23">
        <f>IF($C236="","",N($G236)-N(R236))</f>
        <v/>
      </c>
      <c r="U236" s="24" t="n"/>
      <c r="V236" s="22" t="n"/>
    </row>
    <row r="237">
      <c r="B237" s="13">
        <f>IF($C237="","",COUNTA($C$9:$C237))</f>
        <v/>
      </c>
      <c r="C237" s="21" t="n"/>
      <c r="D237" s="14" t="n"/>
      <c r="E237" s="14" t="n"/>
      <c r="F237" s="14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3">
        <f>IF($C237="","",N(L237)-N(M237))</f>
        <v/>
      </c>
      <c r="P237" s="24" t="n"/>
      <c r="Q237" s="23">
        <f>IF($C237="","",N(M237)+N(N237))</f>
        <v/>
      </c>
      <c r="R237" s="23">
        <f>IF($C237="","",N(J237)+N(Q237))</f>
        <v/>
      </c>
      <c r="S237" s="25">
        <f>IF(OR($C237="",N($G237)=0),"",R237/$G237)</f>
        <v/>
      </c>
      <c r="T237" s="23">
        <f>IF($C237="","",N($G237)-N(R237))</f>
        <v/>
      </c>
      <c r="U237" s="24" t="n"/>
      <c r="V237" s="22" t="n"/>
    </row>
    <row r="238">
      <c r="B238" s="13">
        <f>IF($C238="","",COUNTA($C$9:$C238))</f>
        <v/>
      </c>
      <c r="C238" s="21" t="n"/>
      <c r="D238" s="14" t="n"/>
      <c r="E238" s="14" t="n"/>
      <c r="F238" s="14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3">
        <f>IF($C238="","",N(L238)-N(M238))</f>
        <v/>
      </c>
      <c r="P238" s="24" t="n"/>
      <c r="Q238" s="23">
        <f>IF($C238="","",N(M238)+N(N238))</f>
        <v/>
      </c>
      <c r="R238" s="23">
        <f>IF($C238="","",N(J238)+N(Q238))</f>
        <v/>
      </c>
      <c r="S238" s="25">
        <f>IF(OR($C238="",N($G238)=0),"",R238/$G238)</f>
        <v/>
      </c>
      <c r="T238" s="23">
        <f>IF($C238="","",N($G238)-N(R238))</f>
        <v/>
      </c>
      <c r="U238" s="24" t="n"/>
      <c r="V238" s="22" t="n"/>
    </row>
    <row r="239">
      <c r="B239" s="13">
        <f>IF($C239="","",COUNTA($C$9:$C239))</f>
        <v/>
      </c>
      <c r="C239" s="21" t="n"/>
      <c r="D239" s="14" t="n"/>
      <c r="E239" s="14" t="n"/>
      <c r="F239" s="14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3">
        <f>IF($C239="","",N(L239)-N(M239))</f>
        <v/>
      </c>
      <c r="P239" s="24" t="n"/>
      <c r="Q239" s="23">
        <f>IF($C239="","",N(M239)+N(N239))</f>
        <v/>
      </c>
      <c r="R239" s="23">
        <f>IF($C239="","",N(J239)+N(Q239))</f>
        <v/>
      </c>
      <c r="S239" s="25">
        <f>IF(OR($C239="",N($G239)=0),"",R239/$G239)</f>
        <v/>
      </c>
      <c r="T239" s="23">
        <f>IF($C239="","",N($G239)-N(R239))</f>
        <v/>
      </c>
      <c r="U239" s="24" t="n"/>
      <c r="V239" s="22" t="n"/>
    </row>
    <row r="240">
      <c r="B240" s="13">
        <f>IF($C240="","",COUNTA($C$9:$C240))</f>
        <v/>
      </c>
      <c r="C240" s="21" t="n"/>
      <c r="D240" s="14" t="n"/>
      <c r="E240" s="14" t="n"/>
      <c r="F240" s="14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3">
        <f>IF($C240="","",N(L240)-N(M240))</f>
        <v/>
      </c>
      <c r="P240" s="24" t="n"/>
      <c r="Q240" s="23">
        <f>IF($C240="","",N(M240)+N(N240))</f>
        <v/>
      </c>
      <c r="R240" s="23">
        <f>IF($C240="","",N(J240)+N(Q240))</f>
        <v/>
      </c>
      <c r="S240" s="25">
        <f>IF(OR($C240="",N($G240)=0),"",R240/$G240)</f>
        <v/>
      </c>
      <c r="T240" s="23">
        <f>IF($C240="","",N($G240)-N(R240))</f>
        <v/>
      </c>
      <c r="U240" s="24" t="n"/>
      <c r="V240" s="22" t="n"/>
    </row>
    <row r="241">
      <c r="B241" s="13">
        <f>IF($C241="","",COUNTA($C$9:$C241))</f>
        <v/>
      </c>
      <c r="C241" s="21" t="n"/>
      <c r="D241" s="14" t="n"/>
      <c r="E241" s="14" t="n"/>
      <c r="F241" s="14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3">
        <f>IF($C241="","",N(L241)-N(M241))</f>
        <v/>
      </c>
      <c r="P241" s="24" t="n"/>
      <c r="Q241" s="23">
        <f>IF($C241="","",N(M241)+N(N241))</f>
        <v/>
      </c>
      <c r="R241" s="23">
        <f>IF($C241="","",N(J241)+N(Q241))</f>
        <v/>
      </c>
      <c r="S241" s="25">
        <f>IF(OR($C241="",N($G241)=0),"",R241/$G241)</f>
        <v/>
      </c>
      <c r="T241" s="23">
        <f>IF($C241="","",N($G241)-N(R241))</f>
        <v/>
      </c>
      <c r="U241" s="24" t="n"/>
      <c r="V241" s="22" t="n"/>
    </row>
    <row r="242">
      <c r="B242" s="13">
        <f>IF($C242="","",COUNTA($C$9:$C242))</f>
        <v/>
      </c>
      <c r="C242" s="21" t="n"/>
      <c r="D242" s="14" t="n"/>
      <c r="E242" s="14" t="n"/>
      <c r="F242" s="14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3">
        <f>IF($C242="","",N(L242)-N(M242))</f>
        <v/>
      </c>
      <c r="P242" s="24" t="n"/>
      <c r="Q242" s="23">
        <f>IF($C242="","",N(M242)+N(N242))</f>
        <v/>
      </c>
      <c r="R242" s="23">
        <f>IF($C242="","",N(J242)+N(Q242))</f>
        <v/>
      </c>
      <c r="S242" s="25">
        <f>IF(OR($C242="",N($G242)=0),"",R242/$G242)</f>
        <v/>
      </c>
      <c r="T242" s="23">
        <f>IF($C242="","",N($G242)-N(R242))</f>
        <v/>
      </c>
      <c r="U242" s="24" t="n"/>
      <c r="V242" s="22" t="n"/>
    </row>
    <row r="243">
      <c r="B243" s="13">
        <f>IF($C243="","",COUNTA($C$9:$C243))</f>
        <v/>
      </c>
      <c r="C243" s="21" t="n"/>
      <c r="D243" s="14" t="n"/>
      <c r="E243" s="14" t="n"/>
      <c r="F243" s="14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3">
        <f>IF($C243="","",N(L243)-N(M243))</f>
        <v/>
      </c>
      <c r="P243" s="24" t="n"/>
      <c r="Q243" s="23">
        <f>IF($C243="","",N(M243)+N(N243))</f>
        <v/>
      </c>
      <c r="R243" s="23">
        <f>IF($C243="","",N(J243)+N(Q243))</f>
        <v/>
      </c>
      <c r="S243" s="25">
        <f>IF(OR($C243="",N($G243)=0),"",R243/$G243)</f>
        <v/>
      </c>
      <c r="T243" s="23">
        <f>IF($C243="","",N($G243)-N(R243))</f>
        <v/>
      </c>
      <c r="U243" s="24" t="n"/>
      <c r="V243" s="22" t="n"/>
    </row>
    <row r="244">
      <c r="B244" s="13">
        <f>IF($C244="","",COUNTA($C$9:$C244))</f>
        <v/>
      </c>
      <c r="C244" s="21" t="n"/>
      <c r="D244" s="14" t="n"/>
      <c r="E244" s="14" t="n"/>
      <c r="F244" s="14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3">
        <f>IF($C244="","",N(L244)-N(M244))</f>
        <v/>
      </c>
      <c r="P244" s="24" t="n"/>
      <c r="Q244" s="23">
        <f>IF($C244="","",N(M244)+N(N244))</f>
        <v/>
      </c>
      <c r="R244" s="23">
        <f>IF($C244="","",N(J244)+N(Q244))</f>
        <v/>
      </c>
      <c r="S244" s="25">
        <f>IF(OR($C244="",N($G244)=0),"",R244/$G244)</f>
        <v/>
      </c>
      <c r="T244" s="23">
        <f>IF($C244="","",N($G244)-N(R244))</f>
        <v/>
      </c>
      <c r="U244" s="24" t="n"/>
      <c r="V244" s="22" t="n"/>
    </row>
    <row r="245">
      <c r="B245" s="13">
        <f>IF($C245="","",COUNTA($C$9:$C245))</f>
        <v/>
      </c>
      <c r="C245" s="21" t="n"/>
      <c r="D245" s="14" t="n"/>
      <c r="E245" s="14" t="n"/>
      <c r="F245" s="14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3">
        <f>IF($C245="","",N(L245)-N(M245))</f>
        <v/>
      </c>
      <c r="P245" s="24" t="n"/>
      <c r="Q245" s="23">
        <f>IF($C245="","",N(M245)+N(N245))</f>
        <v/>
      </c>
      <c r="R245" s="23">
        <f>IF($C245="","",N(J245)+N(Q245))</f>
        <v/>
      </c>
      <c r="S245" s="25">
        <f>IF(OR($C245="",N($G245)=0),"",R245/$G245)</f>
        <v/>
      </c>
      <c r="T245" s="23">
        <f>IF($C245="","",N($G245)-N(R245))</f>
        <v/>
      </c>
      <c r="U245" s="24" t="n"/>
      <c r="V245" s="22" t="n"/>
    </row>
    <row r="246">
      <c r="B246" s="13">
        <f>IF($C246="","",COUNTA($C$9:$C246))</f>
        <v/>
      </c>
      <c r="C246" s="21" t="n"/>
      <c r="D246" s="14" t="n"/>
      <c r="E246" s="14" t="n"/>
      <c r="F246" s="14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3">
        <f>IF($C246="","",N(L246)-N(M246))</f>
        <v/>
      </c>
      <c r="P246" s="24" t="n"/>
      <c r="Q246" s="23">
        <f>IF($C246="","",N(M246)+N(N246))</f>
        <v/>
      </c>
      <c r="R246" s="23">
        <f>IF($C246="","",N(J246)+N(Q246))</f>
        <v/>
      </c>
      <c r="S246" s="25">
        <f>IF(OR($C246="",N($G246)=0),"",R246/$G246)</f>
        <v/>
      </c>
      <c r="T246" s="23">
        <f>IF($C246="","",N($G246)-N(R246))</f>
        <v/>
      </c>
      <c r="U246" s="24" t="n"/>
      <c r="V246" s="22" t="n"/>
    </row>
    <row r="247">
      <c r="B247" s="13">
        <f>IF($C247="","",COUNTA($C$9:$C247))</f>
        <v/>
      </c>
      <c r="C247" s="21" t="n"/>
      <c r="D247" s="14" t="n"/>
      <c r="E247" s="14" t="n"/>
      <c r="F247" s="14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3">
        <f>IF($C247="","",N(L247)-N(M247))</f>
        <v/>
      </c>
      <c r="P247" s="24" t="n"/>
      <c r="Q247" s="23">
        <f>IF($C247="","",N(M247)+N(N247))</f>
        <v/>
      </c>
      <c r="R247" s="23">
        <f>IF($C247="","",N(J247)+N(Q247))</f>
        <v/>
      </c>
      <c r="S247" s="25">
        <f>IF(OR($C247="",N($G247)=0),"",R247/$G247)</f>
        <v/>
      </c>
      <c r="T247" s="23">
        <f>IF($C247="","",N($G247)-N(R247))</f>
        <v/>
      </c>
      <c r="U247" s="24" t="n"/>
      <c r="V247" s="22" t="n"/>
    </row>
    <row r="248">
      <c r="B248" s="13">
        <f>IF($C248="","",COUNTA($C$9:$C248))</f>
        <v/>
      </c>
      <c r="C248" s="21" t="n"/>
      <c r="D248" s="14" t="n"/>
      <c r="E248" s="14" t="n"/>
      <c r="F248" s="14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3">
        <f>IF($C248="","",N(L248)-N(M248))</f>
        <v/>
      </c>
      <c r="P248" s="24" t="n"/>
      <c r="Q248" s="23">
        <f>IF($C248="","",N(M248)+N(N248))</f>
        <v/>
      </c>
      <c r="R248" s="23">
        <f>IF($C248="","",N(J248)+N(Q248))</f>
        <v/>
      </c>
      <c r="S248" s="25">
        <f>IF(OR($C248="",N($G248)=0),"",R248/$G248)</f>
        <v/>
      </c>
      <c r="T248" s="23">
        <f>IF($C248="","",N($G248)-N(R248))</f>
        <v/>
      </c>
      <c r="U248" s="24" t="n"/>
      <c r="V248" s="22" t="n"/>
    </row>
    <row r="249">
      <c r="B249" s="13">
        <f>IF($C249="","",COUNTA($C$9:$C249))</f>
        <v/>
      </c>
      <c r="C249" s="21" t="n"/>
      <c r="D249" s="14" t="n"/>
      <c r="E249" s="14" t="n"/>
      <c r="F249" s="14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3">
        <f>IF($C249="","",N(L249)-N(M249))</f>
        <v/>
      </c>
      <c r="P249" s="24" t="n"/>
      <c r="Q249" s="23">
        <f>IF($C249="","",N(M249)+N(N249))</f>
        <v/>
      </c>
      <c r="R249" s="23">
        <f>IF($C249="","",N(J249)+N(Q249))</f>
        <v/>
      </c>
      <c r="S249" s="25">
        <f>IF(OR($C249="",N($G249)=0),"",R249/$G249)</f>
        <v/>
      </c>
      <c r="T249" s="23">
        <f>IF($C249="","",N($G249)-N(R249))</f>
        <v/>
      </c>
      <c r="U249" s="24" t="n"/>
      <c r="V249" s="22" t="n"/>
    </row>
    <row r="250">
      <c r="B250" s="13">
        <f>IF($C250="","",COUNTA($C$9:$C250))</f>
        <v/>
      </c>
      <c r="C250" s="21" t="n"/>
      <c r="D250" s="14" t="n"/>
      <c r="E250" s="14" t="n"/>
      <c r="F250" s="14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3">
        <f>IF($C250="","",N(L250)-N(M250))</f>
        <v/>
      </c>
      <c r="P250" s="24" t="n"/>
      <c r="Q250" s="23">
        <f>IF($C250="","",N(M250)+N(N250))</f>
        <v/>
      </c>
      <c r="R250" s="23">
        <f>IF($C250="","",N(J250)+N(Q250))</f>
        <v/>
      </c>
      <c r="S250" s="25">
        <f>IF(OR($C250="",N($G250)=0),"",R250/$G250)</f>
        <v/>
      </c>
      <c r="T250" s="23">
        <f>IF($C250="","",N($G250)-N(R250))</f>
        <v/>
      </c>
      <c r="U250" s="24" t="n"/>
      <c r="V250" s="22" t="n"/>
    </row>
    <row r="251">
      <c r="B251" s="13">
        <f>IF($C251="","",COUNTA($C$9:$C251))</f>
        <v/>
      </c>
      <c r="C251" s="21" t="n"/>
      <c r="D251" s="14" t="n"/>
      <c r="E251" s="14" t="n"/>
      <c r="F251" s="14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3">
        <f>IF($C251="","",N(L251)-N(M251))</f>
        <v/>
      </c>
      <c r="P251" s="24" t="n"/>
      <c r="Q251" s="23">
        <f>IF($C251="","",N(M251)+N(N251))</f>
        <v/>
      </c>
      <c r="R251" s="23">
        <f>IF($C251="","",N(J251)+N(Q251))</f>
        <v/>
      </c>
      <c r="S251" s="25">
        <f>IF(OR($C251="",N($G251)=0),"",R251/$G251)</f>
        <v/>
      </c>
      <c r="T251" s="23">
        <f>IF($C251="","",N($G251)-N(R251))</f>
        <v/>
      </c>
      <c r="U251" s="24" t="n"/>
      <c r="V251" s="22" t="n"/>
    </row>
    <row r="252">
      <c r="B252" s="13">
        <f>IF($C252="","",COUNTA($C$9:$C252))</f>
        <v/>
      </c>
      <c r="C252" s="21" t="n"/>
      <c r="D252" s="14" t="n"/>
      <c r="E252" s="14" t="n"/>
      <c r="F252" s="14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3">
        <f>IF($C252="","",N(L252)-N(M252))</f>
        <v/>
      </c>
      <c r="P252" s="24" t="n"/>
      <c r="Q252" s="23">
        <f>IF($C252="","",N(M252)+N(N252))</f>
        <v/>
      </c>
      <c r="R252" s="23">
        <f>IF($C252="","",N(J252)+N(Q252))</f>
        <v/>
      </c>
      <c r="S252" s="25">
        <f>IF(OR($C252="",N($G252)=0),"",R252/$G252)</f>
        <v/>
      </c>
      <c r="T252" s="23">
        <f>IF($C252="","",N($G252)-N(R252))</f>
        <v/>
      </c>
      <c r="U252" s="24" t="n"/>
      <c r="V252" s="22" t="n"/>
    </row>
    <row r="253">
      <c r="B253" s="13">
        <f>IF($C253="","",COUNTA($C$9:$C253))</f>
        <v/>
      </c>
      <c r="C253" s="21" t="n"/>
      <c r="D253" s="14" t="n"/>
      <c r="E253" s="14" t="n"/>
      <c r="F253" s="14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3">
        <f>IF($C253="","",N(L253)-N(M253))</f>
        <v/>
      </c>
      <c r="P253" s="24" t="n"/>
      <c r="Q253" s="23">
        <f>IF($C253="","",N(M253)+N(N253))</f>
        <v/>
      </c>
      <c r="R253" s="23">
        <f>IF($C253="","",N(J253)+N(Q253))</f>
        <v/>
      </c>
      <c r="S253" s="25">
        <f>IF(OR($C253="",N($G253)=0),"",R253/$G253)</f>
        <v/>
      </c>
      <c r="T253" s="23">
        <f>IF($C253="","",N($G253)-N(R253))</f>
        <v/>
      </c>
      <c r="U253" s="24" t="n"/>
      <c r="V253" s="22" t="n"/>
    </row>
    <row r="254">
      <c r="B254" s="13">
        <f>IF($C254="","",COUNTA($C$9:$C254))</f>
        <v/>
      </c>
      <c r="C254" s="21" t="n"/>
      <c r="D254" s="14" t="n"/>
      <c r="E254" s="14" t="n"/>
      <c r="F254" s="14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3">
        <f>IF($C254="","",N(L254)-N(M254))</f>
        <v/>
      </c>
      <c r="P254" s="24" t="n"/>
      <c r="Q254" s="23">
        <f>IF($C254="","",N(M254)+N(N254))</f>
        <v/>
      </c>
      <c r="R254" s="23">
        <f>IF($C254="","",N(J254)+N(Q254))</f>
        <v/>
      </c>
      <c r="S254" s="25">
        <f>IF(OR($C254="",N($G254)=0),"",R254/$G254)</f>
        <v/>
      </c>
      <c r="T254" s="23">
        <f>IF($C254="","",N($G254)-N(R254))</f>
        <v/>
      </c>
      <c r="U254" s="24" t="n"/>
      <c r="V254" s="22" t="n"/>
    </row>
    <row r="255">
      <c r="B255" s="13">
        <f>IF($C255="","",COUNTA($C$9:$C255))</f>
        <v/>
      </c>
      <c r="C255" s="21" t="n"/>
      <c r="D255" s="14" t="n"/>
      <c r="E255" s="14" t="n"/>
      <c r="F255" s="14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3">
        <f>IF($C255="","",N(L255)-N(M255))</f>
        <v/>
      </c>
      <c r="P255" s="24" t="n"/>
      <c r="Q255" s="23">
        <f>IF($C255="","",N(M255)+N(N255))</f>
        <v/>
      </c>
      <c r="R255" s="23">
        <f>IF($C255="","",N(J255)+N(Q255))</f>
        <v/>
      </c>
      <c r="S255" s="25">
        <f>IF(OR($C255="",N($G255)=0),"",R255/$G255)</f>
        <v/>
      </c>
      <c r="T255" s="23">
        <f>IF($C255="","",N($G255)-N(R255))</f>
        <v/>
      </c>
      <c r="U255" s="24" t="n"/>
      <c r="V255" s="22" t="n"/>
    </row>
    <row r="256">
      <c r="B256" s="13">
        <f>IF($C256="","",COUNTA($C$9:$C256))</f>
        <v/>
      </c>
      <c r="C256" s="21" t="n"/>
      <c r="D256" s="14" t="n"/>
      <c r="E256" s="14" t="n"/>
      <c r="F256" s="14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3">
        <f>IF($C256="","",N(L256)-N(M256))</f>
        <v/>
      </c>
      <c r="P256" s="24" t="n"/>
      <c r="Q256" s="23">
        <f>IF($C256="","",N(M256)+N(N256))</f>
        <v/>
      </c>
      <c r="R256" s="23">
        <f>IF($C256="","",N(J256)+N(Q256))</f>
        <v/>
      </c>
      <c r="S256" s="25">
        <f>IF(OR($C256="",N($G256)=0),"",R256/$G256)</f>
        <v/>
      </c>
      <c r="T256" s="23">
        <f>IF($C256="","",N($G256)-N(R256))</f>
        <v/>
      </c>
      <c r="U256" s="24" t="n"/>
      <c r="V256" s="22" t="n"/>
    </row>
    <row r="257">
      <c r="B257" s="13">
        <f>IF($C257="","",COUNTA($C$9:$C257))</f>
        <v/>
      </c>
      <c r="C257" s="21" t="n"/>
      <c r="D257" s="14" t="n"/>
      <c r="E257" s="14" t="n"/>
      <c r="F257" s="14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3">
        <f>IF($C257="","",N(L257)-N(M257))</f>
        <v/>
      </c>
      <c r="P257" s="24" t="n"/>
      <c r="Q257" s="23">
        <f>IF($C257="","",N(M257)+N(N257))</f>
        <v/>
      </c>
      <c r="R257" s="23">
        <f>IF($C257="","",N(J257)+N(Q257))</f>
        <v/>
      </c>
      <c r="S257" s="25">
        <f>IF(OR($C257="",N($G257)=0),"",R257/$G257)</f>
        <v/>
      </c>
      <c r="T257" s="23">
        <f>IF($C257="","",N($G257)-N(R257))</f>
        <v/>
      </c>
      <c r="U257" s="24" t="n"/>
      <c r="V257" s="22" t="n"/>
    </row>
    <row r="258">
      <c r="B258" s="13">
        <f>IF($C258="","",COUNTA($C$9:$C258))</f>
        <v/>
      </c>
      <c r="C258" s="21" t="n"/>
      <c r="D258" s="14" t="n"/>
      <c r="E258" s="14" t="n"/>
      <c r="F258" s="14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3">
        <f>IF($C258="","",N(L258)-N(M258))</f>
        <v/>
      </c>
      <c r="P258" s="24" t="n"/>
      <c r="Q258" s="23">
        <f>IF($C258="","",N(M258)+N(N258))</f>
        <v/>
      </c>
      <c r="R258" s="23">
        <f>IF($C258="","",N(J258)+N(Q258))</f>
        <v/>
      </c>
      <c r="S258" s="25">
        <f>IF(OR($C258="",N($G258)=0),"",R258/$G258)</f>
        <v/>
      </c>
      <c r="T258" s="23">
        <f>IF($C258="","",N($G258)-N(R258))</f>
        <v/>
      </c>
      <c r="U258" s="24" t="n"/>
      <c r="V258" s="22" t="n"/>
    </row>
    <row r="259">
      <c r="B259" s="13">
        <f>IF($C259="","",COUNTA($C$9:$C259))</f>
        <v/>
      </c>
      <c r="C259" s="21" t="n"/>
      <c r="D259" s="14" t="n"/>
      <c r="E259" s="14" t="n"/>
      <c r="F259" s="14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3">
        <f>IF($C259="","",N(L259)-N(M259))</f>
        <v/>
      </c>
      <c r="P259" s="24" t="n"/>
      <c r="Q259" s="23">
        <f>IF($C259="","",N(M259)+N(N259))</f>
        <v/>
      </c>
      <c r="R259" s="23">
        <f>IF($C259="","",N(J259)+N(Q259))</f>
        <v/>
      </c>
      <c r="S259" s="25">
        <f>IF(OR($C259="",N($G259)=0),"",R259/$G259)</f>
        <v/>
      </c>
      <c r="T259" s="23">
        <f>IF($C259="","",N($G259)-N(R259))</f>
        <v/>
      </c>
      <c r="U259" s="24" t="n"/>
      <c r="V259" s="22" t="n"/>
    </row>
    <row r="260">
      <c r="B260" s="13">
        <f>IF($C260="","",COUNTA($C$9:$C260))</f>
        <v/>
      </c>
      <c r="C260" s="21" t="n"/>
      <c r="D260" s="14" t="n"/>
      <c r="E260" s="14" t="n"/>
      <c r="F260" s="14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3">
        <f>IF($C260="","",N(L260)-N(M260))</f>
        <v/>
      </c>
      <c r="P260" s="24" t="n"/>
      <c r="Q260" s="23">
        <f>IF($C260="","",N(M260)+N(N260))</f>
        <v/>
      </c>
      <c r="R260" s="23">
        <f>IF($C260="","",N(J260)+N(Q260))</f>
        <v/>
      </c>
      <c r="S260" s="25">
        <f>IF(OR($C260="",N($G260)=0),"",R260/$G260)</f>
        <v/>
      </c>
      <c r="T260" s="23">
        <f>IF($C260="","",N($G260)-N(R260))</f>
        <v/>
      </c>
      <c r="U260" s="24" t="n"/>
      <c r="V260" s="22" t="n"/>
    </row>
    <row r="261">
      <c r="B261" s="13">
        <f>IF($C261="","",COUNTA($C$9:$C261))</f>
        <v/>
      </c>
      <c r="C261" s="21" t="n"/>
      <c r="D261" s="14" t="n"/>
      <c r="E261" s="14" t="n"/>
      <c r="F261" s="14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3">
        <f>IF($C261="","",N(L261)-N(M261))</f>
        <v/>
      </c>
      <c r="P261" s="24" t="n"/>
      <c r="Q261" s="23">
        <f>IF($C261="","",N(M261)+N(N261))</f>
        <v/>
      </c>
      <c r="R261" s="23">
        <f>IF($C261="","",N(J261)+N(Q261))</f>
        <v/>
      </c>
      <c r="S261" s="25">
        <f>IF(OR($C261="",N($G261)=0),"",R261/$G261)</f>
        <v/>
      </c>
      <c r="T261" s="23">
        <f>IF($C261="","",N($G261)-N(R261))</f>
        <v/>
      </c>
      <c r="U261" s="24" t="n"/>
      <c r="V261" s="22" t="n"/>
    </row>
    <row r="262">
      <c r="B262" s="13">
        <f>IF($C262="","",COUNTA($C$9:$C262))</f>
        <v/>
      </c>
      <c r="C262" s="21" t="n"/>
      <c r="D262" s="14" t="n"/>
      <c r="E262" s="14" t="n"/>
      <c r="F262" s="14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3">
        <f>IF($C262="","",N(L262)-N(M262))</f>
        <v/>
      </c>
      <c r="P262" s="24" t="n"/>
      <c r="Q262" s="23">
        <f>IF($C262="","",N(M262)+N(N262))</f>
        <v/>
      </c>
      <c r="R262" s="23">
        <f>IF($C262="","",N(J262)+N(Q262))</f>
        <v/>
      </c>
      <c r="S262" s="25">
        <f>IF(OR($C262="",N($G262)=0),"",R262/$G262)</f>
        <v/>
      </c>
      <c r="T262" s="23">
        <f>IF($C262="","",N($G262)-N(R262))</f>
        <v/>
      </c>
      <c r="U262" s="24" t="n"/>
      <c r="V262" s="22" t="n"/>
    </row>
    <row r="263">
      <c r="B263" s="13">
        <f>IF($C263="","",COUNTA($C$9:$C263))</f>
        <v/>
      </c>
      <c r="C263" s="21" t="n"/>
      <c r="D263" s="14" t="n"/>
      <c r="E263" s="14" t="n"/>
      <c r="F263" s="14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3">
        <f>IF($C263="","",N(L263)-N(M263))</f>
        <v/>
      </c>
      <c r="P263" s="24" t="n"/>
      <c r="Q263" s="23">
        <f>IF($C263="","",N(M263)+N(N263))</f>
        <v/>
      </c>
      <c r="R263" s="23">
        <f>IF($C263="","",N(J263)+N(Q263))</f>
        <v/>
      </c>
      <c r="S263" s="25">
        <f>IF(OR($C263="",N($G263)=0),"",R263/$G263)</f>
        <v/>
      </c>
      <c r="T263" s="23">
        <f>IF($C263="","",N($G263)-N(R263))</f>
        <v/>
      </c>
      <c r="U263" s="24" t="n"/>
      <c r="V263" s="22" t="n"/>
    </row>
    <row r="264">
      <c r="B264" s="13">
        <f>IF($C264="","",COUNTA($C$9:$C264))</f>
        <v/>
      </c>
      <c r="C264" s="21" t="n"/>
      <c r="D264" s="14" t="n"/>
      <c r="E264" s="14" t="n"/>
      <c r="F264" s="14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3">
        <f>IF($C264="","",N(L264)-N(M264))</f>
        <v/>
      </c>
      <c r="P264" s="24" t="n"/>
      <c r="Q264" s="23">
        <f>IF($C264="","",N(M264)+N(N264))</f>
        <v/>
      </c>
      <c r="R264" s="23">
        <f>IF($C264="","",N(J264)+N(Q264))</f>
        <v/>
      </c>
      <c r="S264" s="25">
        <f>IF(OR($C264="",N($G264)=0),"",R264/$G264)</f>
        <v/>
      </c>
      <c r="T264" s="23">
        <f>IF($C264="","",N($G264)-N(R264))</f>
        <v/>
      </c>
      <c r="U264" s="24" t="n"/>
      <c r="V264" s="22" t="n"/>
    </row>
    <row r="265">
      <c r="B265" s="13">
        <f>IF($C265="","",COUNTA($C$9:$C265))</f>
        <v/>
      </c>
      <c r="C265" s="21" t="n"/>
      <c r="D265" s="14" t="n"/>
      <c r="E265" s="14" t="n"/>
      <c r="F265" s="14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3">
        <f>IF($C265="","",N(L265)-N(M265))</f>
        <v/>
      </c>
      <c r="P265" s="24" t="n"/>
      <c r="Q265" s="23">
        <f>IF($C265="","",N(M265)+N(N265))</f>
        <v/>
      </c>
      <c r="R265" s="23">
        <f>IF($C265="","",N(J265)+N(Q265))</f>
        <v/>
      </c>
      <c r="S265" s="25">
        <f>IF(OR($C265="",N($G265)=0),"",R265/$G265)</f>
        <v/>
      </c>
      <c r="T265" s="23">
        <f>IF($C265="","",N($G265)-N(R265))</f>
        <v/>
      </c>
      <c r="U265" s="24" t="n"/>
      <c r="V265" s="22" t="n"/>
    </row>
    <row r="266">
      <c r="B266" s="13">
        <f>IF($C266="","",COUNTA($C$9:$C266))</f>
        <v/>
      </c>
      <c r="C266" s="21" t="n"/>
      <c r="D266" s="14" t="n"/>
      <c r="E266" s="14" t="n"/>
      <c r="F266" s="14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3">
        <f>IF($C266="","",N(L266)-N(M266))</f>
        <v/>
      </c>
      <c r="P266" s="24" t="n"/>
      <c r="Q266" s="23">
        <f>IF($C266="","",N(M266)+N(N266))</f>
        <v/>
      </c>
      <c r="R266" s="23">
        <f>IF($C266="","",N(J266)+N(Q266))</f>
        <v/>
      </c>
      <c r="S266" s="25">
        <f>IF(OR($C266="",N($G266)=0),"",R266/$G266)</f>
        <v/>
      </c>
      <c r="T266" s="23">
        <f>IF($C266="","",N($G266)-N(R266))</f>
        <v/>
      </c>
      <c r="U266" s="24" t="n"/>
      <c r="V266" s="22" t="n"/>
    </row>
    <row r="267">
      <c r="B267" s="13">
        <f>IF($C267="","",COUNTA($C$9:$C267))</f>
        <v/>
      </c>
      <c r="C267" s="21" t="n"/>
      <c r="D267" s="14" t="n"/>
      <c r="E267" s="14" t="n"/>
      <c r="F267" s="14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3">
        <f>IF($C267="","",N(L267)-N(M267))</f>
        <v/>
      </c>
      <c r="P267" s="24" t="n"/>
      <c r="Q267" s="23">
        <f>IF($C267="","",N(M267)+N(N267))</f>
        <v/>
      </c>
      <c r="R267" s="23">
        <f>IF($C267="","",N(J267)+N(Q267))</f>
        <v/>
      </c>
      <c r="S267" s="25">
        <f>IF(OR($C267="",N($G267)=0),"",R267/$G267)</f>
        <v/>
      </c>
      <c r="T267" s="23">
        <f>IF($C267="","",N($G267)-N(R267))</f>
        <v/>
      </c>
      <c r="U267" s="24" t="n"/>
      <c r="V267" s="22" t="n"/>
    </row>
    <row r="268">
      <c r="B268" s="13">
        <f>IF($C268="","",COUNTA($C$9:$C268))</f>
        <v/>
      </c>
      <c r="C268" s="21" t="n"/>
      <c r="D268" s="14" t="n"/>
      <c r="E268" s="14" t="n"/>
      <c r="F268" s="14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3">
        <f>IF($C268="","",N(L268)-N(M268))</f>
        <v/>
      </c>
      <c r="P268" s="24" t="n"/>
      <c r="Q268" s="23">
        <f>IF($C268="","",N(M268)+N(N268))</f>
        <v/>
      </c>
      <c r="R268" s="23">
        <f>IF($C268="","",N(J268)+N(Q268))</f>
        <v/>
      </c>
      <c r="S268" s="25">
        <f>IF(OR($C268="",N($G268)=0),"",R268/$G268)</f>
        <v/>
      </c>
      <c r="T268" s="23">
        <f>IF($C268="","",N($G268)-N(R268))</f>
        <v/>
      </c>
      <c r="U268" s="24" t="n"/>
      <c r="V268" s="22" t="n"/>
    </row>
    <row r="269">
      <c r="B269" s="13">
        <f>IF($C269="","",COUNTA($C$9:$C269))</f>
        <v/>
      </c>
      <c r="C269" s="21" t="n"/>
      <c r="D269" s="14" t="n"/>
      <c r="E269" s="14" t="n"/>
      <c r="F269" s="14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3">
        <f>IF($C269="","",N(L269)-N(M269))</f>
        <v/>
      </c>
      <c r="P269" s="24" t="n"/>
      <c r="Q269" s="23">
        <f>IF($C269="","",N(M269)+N(N269))</f>
        <v/>
      </c>
      <c r="R269" s="23">
        <f>IF($C269="","",N(J269)+N(Q269))</f>
        <v/>
      </c>
      <c r="S269" s="25">
        <f>IF(OR($C269="",N($G269)=0),"",R269/$G269)</f>
        <v/>
      </c>
      <c r="T269" s="23">
        <f>IF($C269="","",N($G269)-N(R269))</f>
        <v/>
      </c>
      <c r="U269" s="24" t="n"/>
      <c r="V269" s="22" t="n"/>
    </row>
    <row r="270">
      <c r="B270" s="13">
        <f>IF($C270="","",COUNTA($C$9:$C270))</f>
        <v/>
      </c>
      <c r="C270" s="21" t="n"/>
      <c r="D270" s="14" t="n"/>
      <c r="E270" s="14" t="n"/>
      <c r="F270" s="14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3">
        <f>IF($C270="","",N(L270)-N(M270))</f>
        <v/>
      </c>
      <c r="P270" s="24" t="n"/>
      <c r="Q270" s="23">
        <f>IF($C270="","",N(M270)+N(N270))</f>
        <v/>
      </c>
      <c r="R270" s="23">
        <f>IF($C270="","",N(J270)+N(Q270))</f>
        <v/>
      </c>
      <c r="S270" s="25">
        <f>IF(OR($C270="",N($G270)=0),"",R270/$G270)</f>
        <v/>
      </c>
      <c r="T270" s="23">
        <f>IF($C270="","",N($G270)-N(R270))</f>
        <v/>
      </c>
      <c r="U270" s="24" t="n"/>
      <c r="V270" s="22" t="n"/>
    </row>
    <row r="271">
      <c r="B271" s="13">
        <f>IF($C271="","",COUNTA($C$9:$C271))</f>
        <v/>
      </c>
      <c r="C271" s="21" t="n"/>
      <c r="D271" s="14" t="n"/>
      <c r="E271" s="14" t="n"/>
      <c r="F271" s="14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3">
        <f>IF($C271="","",N(L271)-N(M271))</f>
        <v/>
      </c>
      <c r="P271" s="24" t="n"/>
      <c r="Q271" s="23">
        <f>IF($C271="","",N(M271)+N(N271))</f>
        <v/>
      </c>
      <c r="R271" s="23">
        <f>IF($C271="","",N(J271)+N(Q271))</f>
        <v/>
      </c>
      <c r="S271" s="25">
        <f>IF(OR($C271="",N($G271)=0),"",R271/$G271)</f>
        <v/>
      </c>
      <c r="T271" s="23">
        <f>IF($C271="","",N($G271)-N(R271))</f>
        <v/>
      </c>
      <c r="U271" s="24" t="n"/>
      <c r="V271" s="22" t="n"/>
    </row>
    <row r="272">
      <c r="B272" s="13">
        <f>IF($C272="","",COUNTA($C$9:$C272))</f>
        <v/>
      </c>
      <c r="C272" s="21" t="n"/>
      <c r="D272" s="14" t="n"/>
      <c r="E272" s="14" t="n"/>
      <c r="F272" s="14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3">
        <f>IF($C272="","",N(L272)-N(M272))</f>
        <v/>
      </c>
      <c r="P272" s="24" t="n"/>
      <c r="Q272" s="23">
        <f>IF($C272="","",N(M272)+N(N272))</f>
        <v/>
      </c>
      <c r="R272" s="23">
        <f>IF($C272="","",N(J272)+N(Q272))</f>
        <v/>
      </c>
      <c r="S272" s="25">
        <f>IF(OR($C272="",N($G272)=0),"",R272/$G272)</f>
        <v/>
      </c>
      <c r="T272" s="23">
        <f>IF($C272="","",N($G272)-N(R272))</f>
        <v/>
      </c>
      <c r="U272" s="24" t="n"/>
      <c r="V272" s="22" t="n"/>
    </row>
    <row r="273">
      <c r="B273" s="13">
        <f>IF($C273="","",COUNTA($C$9:$C273))</f>
        <v/>
      </c>
      <c r="C273" s="21" t="n"/>
      <c r="D273" s="14" t="n"/>
      <c r="E273" s="14" t="n"/>
      <c r="F273" s="14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3">
        <f>IF($C273="","",N(L273)-N(M273))</f>
        <v/>
      </c>
      <c r="P273" s="24" t="n"/>
      <c r="Q273" s="23">
        <f>IF($C273="","",N(M273)+N(N273))</f>
        <v/>
      </c>
      <c r="R273" s="23">
        <f>IF($C273="","",N(J273)+N(Q273))</f>
        <v/>
      </c>
      <c r="S273" s="25">
        <f>IF(OR($C273="",N($G273)=0),"",R273/$G273)</f>
        <v/>
      </c>
      <c r="T273" s="23">
        <f>IF($C273="","",N($G273)-N(R273))</f>
        <v/>
      </c>
      <c r="U273" s="24" t="n"/>
      <c r="V273" s="22" t="n"/>
    </row>
    <row r="274">
      <c r="B274" s="13">
        <f>IF($C274="","",COUNTA($C$9:$C274))</f>
        <v/>
      </c>
      <c r="C274" s="21" t="n"/>
      <c r="D274" s="14" t="n"/>
      <c r="E274" s="14" t="n"/>
      <c r="F274" s="14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3">
        <f>IF($C274="","",N(L274)-N(M274))</f>
        <v/>
      </c>
      <c r="P274" s="24" t="n"/>
      <c r="Q274" s="23">
        <f>IF($C274="","",N(M274)+N(N274))</f>
        <v/>
      </c>
      <c r="R274" s="23">
        <f>IF($C274="","",N(J274)+N(Q274))</f>
        <v/>
      </c>
      <c r="S274" s="25">
        <f>IF(OR($C274="",N($G274)=0),"",R274/$G274)</f>
        <v/>
      </c>
      <c r="T274" s="23">
        <f>IF($C274="","",N($G274)-N(R274))</f>
        <v/>
      </c>
      <c r="U274" s="24" t="n"/>
      <c r="V274" s="22" t="n"/>
    </row>
    <row r="275">
      <c r="B275" s="13">
        <f>IF($C275="","",COUNTA($C$9:$C275))</f>
        <v/>
      </c>
      <c r="C275" s="21" t="n"/>
      <c r="D275" s="14" t="n"/>
      <c r="E275" s="14" t="n"/>
      <c r="F275" s="14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3">
        <f>IF($C275="","",N(L275)-N(M275))</f>
        <v/>
      </c>
      <c r="P275" s="24" t="n"/>
      <c r="Q275" s="23">
        <f>IF($C275="","",N(M275)+N(N275))</f>
        <v/>
      </c>
      <c r="R275" s="23">
        <f>IF($C275="","",N(J275)+N(Q275))</f>
        <v/>
      </c>
      <c r="S275" s="25">
        <f>IF(OR($C275="",N($G275)=0),"",R275/$G275)</f>
        <v/>
      </c>
      <c r="T275" s="23">
        <f>IF($C275="","",N($G275)-N(R275))</f>
        <v/>
      </c>
      <c r="U275" s="24" t="n"/>
      <c r="V275" s="22" t="n"/>
    </row>
    <row r="276">
      <c r="B276" s="13">
        <f>IF($C276="","",COUNTA($C$9:$C276))</f>
        <v/>
      </c>
      <c r="C276" s="21" t="n"/>
      <c r="D276" s="14" t="n"/>
      <c r="E276" s="14" t="n"/>
      <c r="F276" s="14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3">
        <f>IF($C276="","",N(L276)-N(M276))</f>
        <v/>
      </c>
      <c r="P276" s="24" t="n"/>
      <c r="Q276" s="23">
        <f>IF($C276="","",N(M276)+N(N276))</f>
        <v/>
      </c>
      <c r="R276" s="23">
        <f>IF($C276="","",N(J276)+N(Q276))</f>
        <v/>
      </c>
      <c r="S276" s="25">
        <f>IF(OR($C276="",N($G276)=0),"",R276/$G276)</f>
        <v/>
      </c>
      <c r="T276" s="23">
        <f>IF($C276="","",N($G276)-N(R276))</f>
        <v/>
      </c>
      <c r="U276" s="24" t="n"/>
      <c r="V276" s="22" t="n"/>
    </row>
    <row r="277">
      <c r="B277" s="13">
        <f>IF($C277="","",COUNTA($C$9:$C277))</f>
        <v/>
      </c>
      <c r="C277" s="21" t="n"/>
      <c r="D277" s="14" t="n"/>
      <c r="E277" s="14" t="n"/>
      <c r="F277" s="14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3">
        <f>IF($C277="","",N(L277)-N(M277))</f>
        <v/>
      </c>
      <c r="P277" s="24" t="n"/>
      <c r="Q277" s="23">
        <f>IF($C277="","",N(M277)+N(N277))</f>
        <v/>
      </c>
      <c r="R277" s="23">
        <f>IF($C277="","",N(J277)+N(Q277))</f>
        <v/>
      </c>
      <c r="S277" s="25">
        <f>IF(OR($C277="",N($G277)=0),"",R277/$G277)</f>
        <v/>
      </c>
      <c r="T277" s="23">
        <f>IF($C277="","",N($G277)-N(R277))</f>
        <v/>
      </c>
      <c r="U277" s="24" t="n"/>
      <c r="V277" s="22" t="n"/>
    </row>
    <row r="278">
      <c r="B278" s="13">
        <f>IF($C278="","",COUNTA($C$9:$C278))</f>
        <v/>
      </c>
      <c r="C278" s="21" t="n"/>
      <c r="D278" s="14" t="n"/>
      <c r="E278" s="14" t="n"/>
      <c r="F278" s="14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3">
        <f>IF($C278="","",N(L278)-N(M278))</f>
        <v/>
      </c>
      <c r="P278" s="24" t="n"/>
      <c r="Q278" s="23">
        <f>IF($C278="","",N(M278)+N(N278))</f>
        <v/>
      </c>
      <c r="R278" s="23">
        <f>IF($C278="","",N(J278)+N(Q278))</f>
        <v/>
      </c>
      <c r="S278" s="25">
        <f>IF(OR($C278="",N($G278)=0),"",R278/$G278)</f>
        <v/>
      </c>
      <c r="T278" s="23">
        <f>IF($C278="","",N($G278)-N(R278))</f>
        <v/>
      </c>
      <c r="U278" s="24" t="n"/>
      <c r="V278" s="22" t="n"/>
    </row>
    <row r="279">
      <c r="B279" s="13">
        <f>IF($C279="","",COUNTA($C$9:$C279))</f>
        <v/>
      </c>
      <c r="C279" s="21" t="n"/>
      <c r="D279" s="14" t="n"/>
      <c r="E279" s="14" t="n"/>
      <c r="F279" s="14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3">
        <f>IF($C279="","",N(L279)-N(M279))</f>
        <v/>
      </c>
      <c r="P279" s="24" t="n"/>
      <c r="Q279" s="23">
        <f>IF($C279="","",N(M279)+N(N279))</f>
        <v/>
      </c>
      <c r="R279" s="23">
        <f>IF($C279="","",N(J279)+N(Q279))</f>
        <v/>
      </c>
      <c r="S279" s="25">
        <f>IF(OR($C279="",N($G279)=0),"",R279/$G279)</f>
        <v/>
      </c>
      <c r="T279" s="23">
        <f>IF($C279="","",N($G279)-N(R279))</f>
        <v/>
      </c>
      <c r="U279" s="24" t="n"/>
      <c r="V279" s="22" t="n"/>
    </row>
    <row r="280">
      <c r="B280" s="13">
        <f>IF($C280="","",COUNTA($C$9:$C280))</f>
        <v/>
      </c>
      <c r="C280" s="21" t="n"/>
      <c r="D280" s="14" t="n"/>
      <c r="E280" s="14" t="n"/>
      <c r="F280" s="14" t="n"/>
      <c r="G280" s="22" t="n"/>
      <c r="H280" s="22" t="n"/>
      <c r="I280" s="22" t="n"/>
      <c r="J280" s="22" t="n"/>
      <c r="K280" s="22" t="n"/>
      <c r="L280" s="22" t="n"/>
      <c r="M280" s="22" t="n"/>
      <c r="N280" s="22" t="n"/>
      <c r="O280" s="23">
        <f>IF($C280="","",N(L280)-N(M280))</f>
        <v/>
      </c>
      <c r="P280" s="24" t="n"/>
      <c r="Q280" s="23">
        <f>IF($C280="","",N(M280)+N(N280))</f>
        <v/>
      </c>
      <c r="R280" s="23">
        <f>IF($C280="","",N(J280)+N(Q280))</f>
        <v/>
      </c>
      <c r="S280" s="25">
        <f>IF(OR($C280="",N($G280)=0),"",R280/$G280)</f>
        <v/>
      </c>
      <c r="T280" s="23">
        <f>IF($C280="","",N($G280)-N(R280))</f>
        <v/>
      </c>
      <c r="U280" s="24" t="n"/>
      <c r="V280" s="22" t="n"/>
    </row>
    <row r="281">
      <c r="B281" s="13">
        <f>IF($C281="","",COUNTA($C$9:$C281))</f>
        <v/>
      </c>
      <c r="C281" s="21" t="n"/>
      <c r="D281" s="14" t="n"/>
      <c r="E281" s="14" t="n"/>
      <c r="F281" s="14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3">
        <f>IF($C281="","",N(L281)-N(M281))</f>
        <v/>
      </c>
      <c r="P281" s="24" t="n"/>
      <c r="Q281" s="23">
        <f>IF($C281="","",N(M281)+N(N281))</f>
        <v/>
      </c>
      <c r="R281" s="23">
        <f>IF($C281="","",N(J281)+N(Q281))</f>
        <v/>
      </c>
      <c r="S281" s="25">
        <f>IF(OR($C281="",N($G281)=0),"",R281/$G281)</f>
        <v/>
      </c>
      <c r="T281" s="23">
        <f>IF($C281="","",N($G281)-N(R281))</f>
        <v/>
      </c>
      <c r="U281" s="24" t="n"/>
      <c r="V281" s="22" t="n"/>
    </row>
    <row r="282">
      <c r="B282" s="13">
        <f>IF($C282="","",COUNTA($C$9:$C282))</f>
        <v/>
      </c>
      <c r="C282" s="21" t="n"/>
      <c r="D282" s="14" t="n"/>
      <c r="E282" s="14" t="n"/>
      <c r="F282" s="14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3">
        <f>IF($C282="","",N(L282)-N(M282))</f>
        <v/>
      </c>
      <c r="P282" s="24" t="n"/>
      <c r="Q282" s="23">
        <f>IF($C282="","",N(M282)+N(N282))</f>
        <v/>
      </c>
      <c r="R282" s="23">
        <f>IF($C282="","",N(J282)+N(Q282))</f>
        <v/>
      </c>
      <c r="S282" s="25">
        <f>IF(OR($C282="",N($G282)=0),"",R282/$G282)</f>
        <v/>
      </c>
      <c r="T282" s="23">
        <f>IF($C282="","",N($G282)-N(R282))</f>
        <v/>
      </c>
      <c r="U282" s="24" t="n"/>
      <c r="V282" s="22" t="n"/>
    </row>
    <row r="283">
      <c r="B283" s="13">
        <f>IF($C283="","",COUNTA($C$9:$C283))</f>
        <v/>
      </c>
      <c r="C283" s="21" t="n"/>
      <c r="D283" s="14" t="n"/>
      <c r="E283" s="14" t="n"/>
      <c r="F283" s="14" t="n"/>
      <c r="G283" s="22" t="n"/>
      <c r="H283" s="22" t="n"/>
      <c r="I283" s="22" t="n"/>
      <c r="J283" s="22" t="n"/>
      <c r="K283" s="22" t="n"/>
      <c r="L283" s="22" t="n"/>
      <c r="M283" s="22" t="n"/>
      <c r="N283" s="22" t="n"/>
      <c r="O283" s="23">
        <f>IF($C283="","",N(L283)-N(M283))</f>
        <v/>
      </c>
      <c r="P283" s="24" t="n"/>
      <c r="Q283" s="23">
        <f>IF($C283="","",N(M283)+N(N283))</f>
        <v/>
      </c>
      <c r="R283" s="23">
        <f>IF($C283="","",N(J283)+N(Q283))</f>
        <v/>
      </c>
      <c r="S283" s="25">
        <f>IF(OR($C283="",N($G283)=0),"",R283/$G283)</f>
        <v/>
      </c>
      <c r="T283" s="23">
        <f>IF($C283="","",N($G283)-N(R283))</f>
        <v/>
      </c>
      <c r="U283" s="24" t="n"/>
      <c r="V283" s="22" t="n"/>
    </row>
    <row r="284">
      <c r="B284" s="13">
        <f>IF($C284="","",COUNTA($C$9:$C284))</f>
        <v/>
      </c>
      <c r="C284" s="21" t="n"/>
      <c r="D284" s="14" t="n"/>
      <c r="E284" s="14" t="n"/>
      <c r="F284" s="14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3">
        <f>IF($C284="","",N(L284)-N(M284))</f>
        <v/>
      </c>
      <c r="P284" s="24" t="n"/>
      <c r="Q284" s="23">
        <f>IF($C284="","",N(M284)+N(N284))</f>
        <v/>
      </c>
      <c r="R284" s="23">
        <f>IF($C284="","",N(J284)+N(Q284))</f>
        <v/>
      </c>
      <c r="S284" s="25">
        <f>IF(OR($C284="",N($G284)=0),"",R284/$G284)</f>
        <v/>
      </c>
      <c r="T284" s="23">
        <f>IF($C284="","",N($G284)-N(R284))</f>
        <v/>
      </c>
      <c r="U284" s="24" t="n"/>
      <c r="V284" s="22" t="n"/>
    </row>
    <row r="285">
      <c r="B285" s="13">
        <f>IF($C285="","",COUNTA($C$9:$C285))</f>
        <v/>
      </c>
      <c r="C285" s="21" t="n"/>
      <c r="D285" s="14" t="n"/>
      <c r="E285" s="14" t="n"/>
      <c r="F285" s="14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3">
        <f>IF($C285="","",N(L285)-N(M285))</f>
        <v/>
      </c>
      <c r="P285" s="24" t="n"/>
      <c r="Q285" s="23">
        <f>IF($C285="","",N(M285)+N(N285))</f>
        <v/>
      </c>
      <c r="R285" s="23">
        <f>IF($C285="","",N(J285)+N(Q285))</f>
        <v/>
      </c>
      <c r="S285" s="25">
        <f>IF(OR($C285="",N($G285)=0),"",R285/$G285)</f>
        <v/>
      </c>
      <c r="T285" s="23">
        <f>IF($C285="","",N($G285)-N(R285))</f>
        <v/>
      </c>
      <c r="U285" s="24" t="n"/>
      <c r="V285" s="22" t="n"/>
    </row>
    <row r="286">
      <c r="B286" s="13">
        <f>IF($C286="","",COUNTA($C$9:$C286))</f>
        <v/>
      </c>
      <c r="C286" s="21" t="n"/>
      <c r="D286" s="14" t="n"/>
      <c r="E286" s="14" t="n"/>
      <c r="F286" s="14" t="n"/>
      <c r="G286" s="22" t="n"/>
      <c r="H286" s="22" t="n"/>
      <c r="I286" s="22" t="n"/>
      <c r="J286" s="22" t="n"/>
      <c r="K286" s="22" t="n"/>
      <c r="L286" s="22" t="n"/>
      <c r="M286" s="22" t="n"/>
      <c r="N286" s="22" t="n"/>
      <c r="O286" s="23">
        <f>IF($C286="","",N(L286)-N(M286))</f>
        <v/>
      </c>
      <c r="P286" s="24" t="n"/>
      <c r="Q286" s="23">
        <f>IF($C286="","",N(M286)+N(N286))</f>
        <v/>
      </c>
      <c r="R286" s="23">
        <f>IF($C286="","",N(J286)+N(Q286))</f>
        <v/>
      </c>
      <c r="S286" s="25">
        <f>IF(OR($C286="",N($G286)=0),"",R286/$G286)</f>
        <v/>
      </c>
      <c r="T286" s="23">
        <f>IF($C286="","",N($G286)-N(R286))</f>
        <v/>
      </c>
      <c r="U286" s="24" t="n"/>
      <c r="V286" s="22" t="n"/>
    </row>
    <row r="287">
      <c r="B287" s="13">
        <f>IF($C287="","",COUNTA($C$9:$C287))</f>
        <v/>
      </c>
      <c r="C287" s="21" t="n"/>
      <c r="D287" s="14" t="n"/>
      <c r="E287" s="14" t="n"/>
      <c r="F287" s="14" t="n"/>
      <c r="G287" s="22" t="n"/>
      <c r="H287" s="22" t="n"/>
      <c r="I287" s="22" t="n"/>
      <c r="J287" s="22" t="n"/>
      <c r="K287" s="22" t="n"/>
      <c r="L287" s="22" t="n"/>
      <c r="M287" s="22" t="n"/>
      <c r="N287" s="22" t="n"/>
      <c r="O287" s="23">
        <f>IF($C287="","",N(L287)-N(M287))</f>
        <v/>
      </c>
      <c r="P287" s="24" t="n"/>
      <c r="Q287" s="23">
        <f>IF($C287="","",N(M287)+N(N287))</f>
        <v/>
      </c>
      <c r="R287" s="23">
        <f>IF($C287="","",N(J287)+N(Q287))</f>
        <v/>
      </c>
      <c r="S287" s="25">
        <f>IF(OR($C287="",N($G287)=0),"",R287/$G287)</f>
        <v/>
      </c>
      <c r="T287" s="23">
        <f>IF($C287="","",N($G287)-N(R287))</f>
        <v/>
      </c>
      <c r="U287" s="24" t="n"/>
      <c r="V287" s="22" t="n"/>
    </row>
    <row r="288">
      <c r="B288" s="13">
        <f>IF($C288="","",COUNTA($C$9:$C288))</f>
        <v/>
      </c>
      <c r="C288" s="21" t="n"/>
      <c r="D288" s="14" t="n"/>
      <c r="E288" s="14" t="n"/>
      <c r="F288" s="14" t="n"/>
      <c r="G288" s="22" t="n"/>
      <c r="H288" s="22" t="n"/>
      <c r="I288" s="22" t="n"/>
      <c r="J288" s="22" t="n"/>
      <c r="K288" s="22" t="n"/>
      <c r="L288" s="22" t="n"/>
      <c r="M288" s="22" t="n"/>
      <c r="N288" s="22" t="n"/>
      <c r="O288" s="23">
        <f>IF($C288="","",N(L288)-N(M288))</f>
        <v/>
      </c>
      <c r="P288" s="24" t="n"/>
      <c r="Q288" s="23">
        <f>IF($C288="","",N(M288)+N(N288))</f>
        <v/>
      </c>
      <c r="R288" s="23">
        <f>IF($C288="","",N(J288)+N(Q288))</f>
        <v/>
      </c>
      <c r="S288" s="25">
        <f>IF(OR($C288="",N($G288)=0),"",R288/$G288)</f>
        <v/>
      </c>
      <c r="T288" s="23">
        <f>IF($C288="","",N($G288)-N(R288))</f>
        <v/>
      </c>
      <c r="U288" s="24" t="n"/>
      <c r="V288" s="22" t="n"/>
    </row>
    <row r="289">
      <c r="B289" s="13">
        <f>IF($C289="","",COUNTA($C$9:$C289))</f>
        <v/>
      </c>
      <c r="C289" s="21" t="n"/>
      <c r="D289" s="14" t="n"/>
      <c r="E289" s="14" t="n"/>
      <c r="F289" s="14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3">
        <f>IF($C289="","",N(L289)-N(M289))</f>
        <v/>
      </c>
      <c r="P289" s="24" t="n"/>
      <c r="Q289" s="23">
        <f>IF($C289="","",N(M289)+N(N289))</f>
        <v/>
      </c>
      <c r="R289" s="23">
        <f>IF($C289="","",N(J289)+N(Q289))</f>
        <v/>
      </c>
      <c r="S289" s="25">
        <f>IF(OR($C289="",N($G289)=0),"",R289/$G289)</f>
        <v/>
      </c>
      <c r="T289" s="23">
        <f>IF($C289="","",N($G289)-N(R289))</f>
        <v/>
      </c>
      <c r="U289" s="24" t="n"/>
      <c r="V289" s="22" t="n"/>
    </row>
    <row r="290">
      <c r="B290" s="13">
        <f>IF($C290="","",COUNTA($C$9:$C290))</f>
        <v/>
      </c>
      <c r="C290" s="21" t="n"/>
      <c r="D290" s="14" t="n"/>
      <c r="E290" s="14" t="n"/>
      <c r="F290" s="14" t="n"/>
      <c r="G290" s="22" t="n"/>
      <c r="H290" s="22" t="n"/>
      <c r="I290" s="22" t="n"/>
      <c r="J290" s="22" t="n"/>
      <c r="K290" s="22" t="n"/>
      <c r="L290" s="22" t="n"/>
      <c r="M290" s="22" t="n"/>
      <c r="N290" s="22" t="n"/>
      <c r="O290" s="23">
        <f>IF($C290="","",N(L290)-N(M290))</f>
        <v/>
      </c>
      <c r="P290" s="24" t="n"/>
      <c r="Q290" s="23">
        <f>IF($C290="","",N(M290)+N(N290))</f>
        <v/>
      </c>
      <c r="R290" s="23">
        <f>IF($C290="","",N(J290)+N(Q290))</f>
        <v/>
      </c>
      <c r="S290" s="25">
        <f>IF(OR($C290="",N($G290)=0),"",R290/$G290)</f>
        <v/>
      </c>
      <c r="T290" s="23">
        <f>IF($C290="","",N($G290)-N(R290))</f>
        <v/>
      </c>
      <c r="U290" s="24" t="n"/>
      <c r="V290" s="22" t="n"/>
    </row>
    <row r="291">
      <c r="B291" s="13">
        <f>IF($C291="","",COUNTA($C$9:$C291))</f>
        <v/>
      </c>
      <c r="C291" s="21" t="n"/>
      <c r="D291" s="14" t="n"/>
      <c r="E291" s="14" t="n"/>
      <c r="F291" s="14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3">
        <f>IF($C291="","",N(L291)-N(M291))</f>
        <v/>
      </c>
      <c r="P291" s="24" t="n"/>
      <c r="Q291" s="23">
        <f>IF($C291="","",N(M291)+N(N291))</f>
        <v/>
      </c>
      <c r="R291" s="23">
        <f>IF($C291="","",N(J291)+N(Q291))</f>
        <v/>
      </c>
      <c r="S291" s="25">
        <f>IF(OR($C291="",N($G291)=0),"",R291/$G291)</f>
        <v/>
      </c>
      <c r="T291" s="23">
        <f>IF($C291="","",N($G291)-N(R291))</f>
        <v/>
      </c>
      <c r="U291" s="24" t="n"/>
      <c r="V291" s="22" t="n"/>
    </row>
    <row r="292">
      <c r="B292" s="13">
        <f>IF($C292="","",COUNTA($C$9:$C292))</f>
        <v/>
      </c>
      <c r="C292" s="21" t="n"/>
      <c r="D292" s="14" t="n"/>
      <c r="E292" s="14" t="n"/>
      <c r="F292" s="14" t="n"/>
      <c r="G292" s="22" t="n"/>
      <c r="H292" s="22" t="n"/>
      <c r="I292" s="22" t="n"/>
      <c r="J292" s="22" t="n"/>
      <c r="K292" s="22" t="n"/>
      <c r="L292" s="22" t="n"/>
      <c r="M292" s="22" t="n"/>
      <c r="N292" s="22" t="n"/>
      <c r="O292" s="23">
        <f>IF($C292="","",N(L292)-N(M292))</f>
        <v/>
      </c>
      <c r="P292" s="24" t="n"/>
      <c r="Q292" s="23">
        <f>IF($C292="","",N(M292)+N(N292))</f>
        <v/>
      </c>
      <c r="R292" s="23">
        <f>IF($C292="","",N(J292)+N(Q292))</f>
        <v/>
      </c>
      <c r="S292" s="25">
        <f>IF(OR($C292="",N($G292)=0),"",R292/$G292)</f>
        <v/>
      </c>
      <c r="T292" s="23">
        <f>IF($C292="","",N($G292)-N(R292))</f>
        <v/>
      </c>
      <c r="U292" s="24" t="n"/>
      <c r="V292" s="22" t="n"/>
    </row>
    <row r="293">
      <c r="B293" s="13">
        <f>IF($C293="","",COUNTA($C$9:$C293))</f>
        <v/>
      </c>
      <c r="C293" s="21" t="n"/>
      <c r="D293" s="14" t="n"/>
      <c r="E293" s="14" t="n"/>
      <c r="F293" s="14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3">
        <f>IF($C293="","",N(L293)-N(M293))</f>
        <v/>
      </c>
      <c r="P293" s="24" t="n"/>
      <c r="Q293" s="23">
        <f>IF($C293="","",N(M293)+N(N293))</f>
        <v/>
      </c>
      <c r="R293" s="23">
        <f>IF($C293="","",N(J293)+N(Q293))</f>
        <v/>
      </c>
      <c r="S293" s="25">
        <f>IF(OR($C293="",N($G293)=0),"",R293/$G293)</f>
        <v/>
      </c>
      <c r="T293" s="23">
        <f>IF($C293="","",N($G293)-N(R293))</f>
        <v/>
      </c>
      <c r="U293" s="24" t="n"/>
      <c r="V293" s="22" t="n"/>
    </row>
    <row r="294">
      <c r="B294" s="13">
        <f>IF($C294="","",COUNTA($C$9:$C294))</f>
        <v/>
      </c>
      <c r="C294" s="21" t="n"/>
      <c r="D294" s="14" t="n"/>
      <c r="E294" s="14" t="n"/>
      <c r="F294" s="14" t="n"/>
      <c r="G294" s="22" t="n"/>
      <c r="H294" s="22" t="n"/>
      <c r="I294" s="22" t="n"/>
      <c r="J294" s="22" t="n"/>
      <c r="K294" s="22" t="n"/>
      <c r="L294" s="22" t="n"/>
      <c r="M294" s="22" t="n"/>
      <c r="N294" s="22" t="n"/>
      <c r="O294" s="23">
        <f>IF($C294="","",N(L294)-N(M294))</f>
        <v/>
      </c>
      <c r="P294" s="24" t="n"/>
      <c r="Q294" s="23">
        <f>IF($C294="","",N(M294)+N(N294))</f>
        <v/>
      </c>
      <c r="R294" s="23">
        <f>IF($C294="","",N(J294)+N(Q294))</f>
        <v/>
      </c>
      <c r="S294" s="25">
        <f>IF(OR($C294="",N($G294)=0),"",R294/$G294)</f>
        <v/>
      </c>
      <c r="T294" s="23">
        <f>IF($C294="","",N($G294)-N(R294))</f>
        <v/>
      </c>
      <c r="U294" s="24" t="n"/>
      <c r="V294" s="22" t="n"/>
    </row>
    <row r="295">
      <c r="B295" s="13">
        <f>IF($C295="","",COUNTA($C$9:$C295))</f>
        <v/>
      </c>
      <c r="C295" s="21" t="n"/>
      <c r="D295" s="14" t="n"/>
      <c r="E295" s="14" t="n"/>
      <c r="F295" s="14" t="n"/>
      <c r="G295" s="22" t="n"/>
      <c r="H295" s="22" t="n"/>
      <c r="I295" s="22" t="n"/>
      <c r="J295" s="22" t="n"/>
      <c r="K295" s="22" t="n"/>
      <c r="L295" s="22" t="n"/>
      <c r="M295" s="22" t="n"/>
      <c r="N295" s="22" t="n"/>
      <c r="O295" s="23">
        <f>IF($C295="","",N(L295)-N(M295))</f>
        <v/>
      </c>
      <c r="P295" s="24" t="n"/>
      <c r="Q295" s="23">
        <f>IF($C295="","",N(M295)+N(N295))</f>
        <v/>
      </c>
      <c r="R295" s="23">
        <f>IF($C295="","",N(J295)+N(Q295))</f>
        <v/>
      </c>
      <c r="S295" s="25">
        <f>IF(OR($C295="",N($G295)=0),"",R295/$G295)</f>
        <v/>
      </c>
      <c r="T295" s="23">
        <f>IF($C295="","",N($G295)-N(R295))</f>
        <v/>
      </c>
      <c r="U295" s="24" t="n"/>
      <c r="V295" s="22" t="n"/>
    </row>
    <row r="296">
      <c r="B296" s="13">
        <f>IF($C296="","",COUNTA($C$9:$C296))</f>
        <v/>
      </c>
      <c r="C296" s="21" t="n"/>
      <c r="D296" s="14" t="n"/>
      <c r="E296" s="14" t="n"/>
      <c r="F296" s="14" t="n"/>
      <c r="G296" s="22" t="n"/>
      <c r="H296" s="22" t="n"/>
      <c r="I296" s="22" t="n"/>
      <c r="J296" s="22" t="n"/>
      <c r="K296" s="22" t="n"/>
      <c r="L296" s="22" t="n"/>
      <c r="M296" s="22" t="n"/>
      <c r="N296" s="22" t="n"/>
      <c r="O296" s="23">
        <f>IF($C296="","",N(L296)-N(M296))</f>
        <v/>
      </c>
      <c r="P296" s="24" t="n"/>
      <c r="Q296" s="23">
        <f>IF($C296="","",N(M296)+N(N296))</f>
        <v/>
      </c>
      <c r="R296" s="23">
        <f>IF($C296="","",N(J296)+N(Q296))</f>
        <v/>
      </c>
      <c r="S296" s="25">
        <f>IF(OR($C296="",N($G296)=0),"",R296/$G296)</f>
        <v/>
      </c>
      <c r="T296" s="23">
        <f>IF($C296="","",N($G296)-N(R296))</f>
        <v/>
      </c>
      <c r="U296" s="24" t="n"/>
      <c r="V296" s="22" t="n"/>
    </row>
    <row r="297">
      <c r="B297" s="13">
        <f>IF($C297="","",COUNTA($C$9:$C297))</f>
        <v/>
      </c>
      <c r="C297" s="21" t="n"/>
      <c r="D297" s="14" t="n"/>
      <c r="E297" s="14" t="n"/>
      <c r="F297" s="14" t="n"/>
      <c r="G297" s="22" t="n"/>
      <c r="H297" s="22" t="n"/>
      <c r="I297" s="22" t="n"/>
      <c r="J297" s="22" t="n"/>
      <c r="K297" s="22" t="n"/>
      <c r="L297" s="22" t="n"/>
      <c r="M297" s="22" t="n"/>
      <c r="N297" s="22" t="n"/>
      <c r="O297" s="23">
        <f>IF($C297="","",N(L297)-N(M297))</f>
        <v/>
      </c>
      <c r="P297" s="24" t="n"/>
      <c r="Q297" s="23">
        <f>IF($C297="","",N(M297)+N(N297))</f>
        <v/>
      </c>
      <c r="R297" s="23">
        <f>IF($C297="","",N(J297)+N(Q297))</f>
        <v/>
      </c>
      <c r="S297" s="25">
        <f>IF(OR($C297="",N($G297)=0),"",R297/$G297)</f>
        <v/>
      </c>
      <c r="T297" s="23">
        <f>IF($C297="","",N($G297)-N(R297))</f>
        <v/>
      </c>
      <c r="U297" s="24" t="n"/>
      <c r="V297" s="22" t="n"/>
    </row>
    <row r="298">
      <c r="B298" s="13">
        <f>IF($C298="","",COUNTA($C$9:$C298))</f>
        <v/>
      </c>
      <c r="C298" s="21" t="n"/>
      <c r="D298" s="14" t="n"/>
      <c r="E298" s="14" t="n"/>
      <c r="F298" s="14" t="n"/>
      <c r="G298" s="22" t="n"/>
      <c r="H298" s="22" t="n"/>
      <c r="I298" s="22" t="n"/>
      <c r="J298" s="22" t="n"/>
      <c r="K298" s="22" t="n"/>
      <c r="L298" s="22" t="n"/>
      <c r="M298" s="22" t="n"/>
      <c r="N298" s="22" t="n"/>
      <c r="O298" s="23">
        <f>IF($C298="","",N(L298)-N(M298))</f>
        <v/>
      </c>
      <c r="P298" s="24" t="n"/>
      <c r="Q298" s="23">
        <f>IF($C298="","",N(M298)+N(N298))</f>
        <v/>
      </c>
      <c r="R298" s="23">
        <f>IF($C298="","",N(J298)+N(Q298))</f>
        <v/>
      </c>
      <c r="S298" s="25">
        <f>IF(OR($C298="",N($G298)=0),"",R298/$G298)</f>
        <v/>
      </c>
      <c r="T298" s="23">
        <f>IF($C298="","",N($G298)-N(R298))</f>
        <v/>
      </c>
      <c r="U298" s="24" t="n"/>
      <c r="V298" s="22" t="n"/>
    </row>
    <row r="299">
      <c r="B299" s="13">
        <f>IF($C299="","",COUNTA($C$9:$C299))</f>
        <v/>
      </c>
      <c r="C299" s="21" t="n"/>
      <c r="D299" s="14" t="n"/>
      <c r="E299" s="14" t="n"/>
      <c r="F299" s="14" t="n"/>
      <c r="G299" s="22" t="n"/>
      <c r="H299" s="22" t="n"/>
      <c r="I299" s="22" t="n"/>
      <c r="J299" s="22" t="n"/>
      <c r="K299" s="22" t="n"/>
      <c r="L299" s="22" t="n"/>
      <c r="M299" s="22" t="n"/>
      <c r="N299" s="22" t="n"/>
      <c r="O299" s="23">
        <f>IF($C299="","",N(L299)-N(M299))</f>
        <v/>
      </c>
      <c r="P299" s="24" t="n"/>
      <c r="Q299" s="23">
        <f>IF($C299="","",N(M299)+N(N299))</f>
        <v/>
      </c>
      <c r="R299" s="23">
        <f>IF($C299="","",N(J299)+N(Q299))</f>
        <v/>
      </c>
      <c r="S299" s="25">
        <f>IF(OR($C299="",N($G299)=0),"",R299/$G299)</f>
        <v/>
      </c>
      <c r="T299" s="23">
        <f>IF($C299="","",N($G299)-N(R299))</f>
        <v/>
      </c>
      <c r="U299" s="24" t="n"/>
      <c r="V299" s="22" t="n"/>
    </row>
    <row r="300">
      <c r="B300" s="13">
        <f>IF($C300="","",COUNTA($C$9:$C300))</f>
        <v/>
      </c>
      <c r="C300" s="21" t="n"/>
      <c r="D300" s="14" t="n"/>
      <c r="E300" s="14" t="n"/>
      <c r="F300" s="14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3">
        <f>IF($C300="","",N(L300)-N(M300))</f>
        <v/>
      </c>
      <c r="P300" s="24" t="n"/>
      <c r="Q300" s="23">
        <f>IF($C300="","",N(M300)+N(N300))</f>
        <v/>
      </c>
      <c r="R300" s="23">
        <f>IF($C300="","",N(J300)+N(Q300))</f>
        <v/>
      </c>
      <c r="S300" s="25">
        <f>IF(OR($C300="",N($G300)=0),"",R300/$G300)</f>
        <v/>
      </c>
      <c r="T300" s="23">
        <f>IF($C300="","",N($G300)-N(R300))</f>
        <v/>
      </c>
      <c r="U300" s="24" t="n"/>
      <c r="V300" s="22" t="n"/>
    </row>
    <row r="301">
      <c r="B301" s="13">
        <f>IF($C301="","",COUNTA($C$9:$C301))</f>
        <v/>
      </c>
      <c r="C301" s="21" t="n"/>
      <c r="D301" s="14" t="n"/>
      <c r="E301" s="14" t="n"/>
      <c r="F301" s="14" t="n"/>
      <c r="G301" s="22" t="n"/>
      <c r="H301" s="22" t="n"/>
      <c r="I301" s="22" t="n"/>
      <c r="J301" s="22" t="n"/>
      <c r="K301" s="22" t="n"/>
      <c r="L301" s="22" t="n"/>
      <c r="M301" s="22" t="n"/>
      <c r="N301" s="22" t="n"/>
      <c r="O301" s="23">
        <f>IF($C301="","",N(L301)-N(M301))</f>
        <v/>
      </c>
      <c r="P301" s="24" t="n"/>
      <c r="Q301" s="23">
        <f>IF($C301="","",N(M301)+N(N301))</f>
        <v/>
      </c>
      <c r="R301" s="23">
        <f>IF($C301="","",N(J301)+N(Q301))</f>
        <v/>
      </c>
      <c r="S301" s="25">
        <f>IF(OR($C301="",N($G301)=0),"",R301/$G301)</f>
        <v/>
      </c>
      <c r="T301" s="23">
        <f>IF($C301="","",N($G301)-N(R301))</f>
        <v/>
      </c>
      <c r="U301" s="24" t="n"/>
      <c r="V301" s="22" t="n"/>
    </row>
    <row r="302">
      <c r="B302" s="13">
        <f>IF($C302="","",COUNTA($C$9:$C302))</f>
        <v/>
      </c>
      <c r="C302" s="21" t="n"/>
      <c r="D302" s="14" t="n"/>
      <c r="E302" s="14" t="n"/>
      <c r="F302" s="14" t="n"/>
      <c r="G302" s="22" t="n"/>
      <c r="H302" s="22" t="n"/>
      <c r="I302" s="22" t="n"/>
      <c r="J302" s="22" t="n"/>
      <c r="K302" s="22" t="n"/>
      <c r="L302" s="22" t="n"/>
      <c r="M302" s="22" t="n"/>
      <c r="N302" s="22" t="n"/>
      <c r="O302" s="23">
        <f>IF($C302="","",N(L302)-N(M302))</f>
        <v/>
      </c>
      <c r="P302" s="24" t="n"/>
      <c r="Q302" s="23">
        <f>IF($C302="","",N(M302)+N(N302))</f>
        <v/>
      </c>
      <c r="R302" s="23">
        <f>IF($C302="","",N(J302)+N(Q302))</f>
        <v/>
      </c>
      <c r="S302" s="25">
        <f>IF(OR($C302="",N($G302)=0),"",R302/$G302)</f>
        <v/>
      </c>
      <c r="T302" s="23">
        <f>IF($C302="","",N($G302)-N(R302))</f>
        <v/>
      </c>
      <c r="U302" s="24" t="n"/>
      <c r="V302" s="22" t="n"/>
    </row>
    <row r="303">
      <c r="B303" s="13">
        <f>IF($C303="","",COUNTA($C$9:$C303))</f>
        <v/>
      </c>
      <c r="C303" s="21" t="n"/>
      <c r="D303" s="14" t="n"/>
      <c r="E303" s="14" t="n"/>
      <c r="F303" s="14" t="n"/>
      <c r="G303" s="22" t="n"/>
      <c r="H303" s="22" t="n"/>
      <c r="I303" s="22" t="n"/>
      <c r="J303" s="22" t="n"/>
      <c r="K303" s="22" t="n"/>
      <c r="L303" s="22" t="n"/>
      <c r="M303" s="22" t="n"/>
      <c r="N303" s="22" t="n"/>
      <c r="O303" s="23">
        <f>IF($C303="","",N(L303)-N(M303))</f>
        <v/>
      </c>
      <c r="P303" s="24" t="n"/>
      <c r="Q303" s="23">
        <f>IF($C303="","",N(M303)+N(N303))</f>
        <v/>
      </c>
      <c r="R303" s="23">
        <f>IF($C303="","",N(J303)+N(Q303))</f>
        <v/>
      </c>
      <c r="S303" s="25">
        <f>IF(OR($C303="",N($G303)=0),"",R303/$G303)</f>
        <v/>
      </c>
      <c r="T303" s="23">
        <f>IF($C303="","",N($G303)-N(R303))</f>
        <v/>
      </c>
      <c r="U303" s="24" t="n"/>
      <c r="V303" s="22" t="n"/>
    </row>
    <row r="304">
      <c r="B304" s="13">
        <f>IF($C304="","",COUNTA($C$9:$C304))</f>
        <v/>
      </c>
      <c r="C304" s="21" t="n"/>
      <c r="D304" s="14" t="n"/>
      <c r="E304" s="14" t="n"/>
      <c r="F304" s="14" t="n"/>
      <c r="G304" s="22" t="n"/>
      <c r="H304" s="22" t="n"/>
      <c r="I304" s="22" t="n"/>
      <c r="J304" s="22" t="n"/>
      <c r="K304" s="22" t="n"/>
      <c r="L304" s="22" t="n"/>
      <c r="M304" s="22" t="n"/>
      <c r="N304" s="22" t="n"/>
      <c r="O304" s="23">
        <f>IF($C304="","",N(L304)-N(M304))</f>
        <v/>
      </c>
      <c r="P304" s="24" t="n"/>
      <c r="Q304" s="23">
        <f>IF($C304="","",N(M304)+N(N304))</f>
        <v/>
      </c>
      <c r="R304" s="23">
        <f>IF($C304="","",N(J304)+N(Q304))</f>
        <v/>
      </c>
      <c r="S304" s="25">
        <f>IF(OR($C304="",N($G304)=0),"",R304/$G304)</f>
        <v/>
      </c>
      <c r="T304" s="23">
        <f>IF($C304="","",N($G304)-N(R304))</f>
        <v/>
      </c>
      <c r="U304" s="24" t="n"/>
      <c r="V304" s="22" t="n"/>
    </row>
    <row r="305">
      <c r="B305" s="13">
        <f>IF($C305="","",COUNTA($C$9:$C305))</f>
        <v/>
      </c>
      <c r="C305" s="21" t="n"/>
      <c r="D305" s="14" t="n"/>
      <c r="E305" s="14" t="n"/>
      <c r="F305" s="14" t="n"/>
      <c r="G305" s="22" t="n"/>
      <c r="H305" s="22" t="n"/>
      <c r="I305" s="22" t="n"/>
      <c r="J305" s="22" t="n"/>
      <c r="K305" s="22" t="n"/>
      <c r="L305" s="22" t="n"/>
      <c r="M305" s="22" t="n"/>
      <c r="N305" s="22" t="n"/>
      <c r="O305" s="23">
        <f>IF($C305="","",N(L305)-N(M305))</f>
        <v/>
      </c>
      <c r="P305" s="24" t="n"/>
      <c r="Q305" s="23">
        <f>IF($C305="","",N(M305)+N(N305))</f>
        <v/>
      </c>
      <c r="R305" s="23">
        <f>IF($C305="","",N(J305)+N(Q305))</f>
        <v/>
      </c>
      <c r="S305" s="25">
        <f>IF(OR($C305="",N($G305)=0),"",R305/$G305)</f>
        <v/>
      </c>
      <c r="T305" s="23">
        <f>IF($C305="","",N($G305)-N(R305))</f>
        <v/>
      </c>
      <c r="U305" s="24" t="n"/>
      <c r="V305" s="22" t="n"/>
    </row>
    <row r="306">
      <c r="B306" s="13">
        <f>IF($C306="","",COUNTA($C$9:$C306))</f>
        <v/>
      </c>
      <c r="C306" s="21" t="n"/>
      <c r="D306" s="14" t="n"/>
      <c r="E306" s="14" t="n"/>
      <c r="F306" s="14" t="n"/>
      <c r="G306" s="22" t="n"/>
      <c r="H306" s="22" t="n"/>
      <c r="I306" s="22" t="n"/>
      <c r="J306" s="22" t="n"/>
      <c r="K306" s="22" t="n"/>
      <c r="L306" s="22" t="n"/>
      <c r="M306" s="22" t="n"/>
      <c r="N306" s="22" t="n"/>
      <c r="O306" s="23">
        <f>IF($C306="","",N(L306)-N(M306))</f>
        <v/>
      </c>
      <c r="P306" s="24" t="n"/>
      <c r="Q306" s="23">
        <f>IF($C306="","",N(M306)+N(N306))</f>
        <v/>
      </c>
      <c r="R306" s="23">
        <f>IF($C306="","",N(J306)+N(Q306))</f>
        <v/>
      </c>
      <c r="S306" s="25">
        <f>IF(OR($C306="",N($G306)=0),"",R306/$G306)</f>
        <v/>
      </c>
      <c r="T306" s="23">
        <f>IF($C306="","",N($G306)-N(R306))</f>
        <v/>
      </c>
      <c r="U306" s="24" t="n"/>
      <c r="V306" s="22" t="n"/>
    </row>
    <row r="307">
      <c r="B307" s="13">
        <f>IF($C307="","",COUNTA($C$9:$C307))</f>
        <v/>
      </c>
      <c r="C307" s="21" t="n"/>
      <c r="D307" s="14" t="n"/>
      <c r="E307" s="14" t="n"/>
      <c r="F307" s="14" t="n"/>
      <c r="G307" s="22" t="n"/>
      <c r="H307" s="22" t="n"/>
      <c r="I307" s="22" t="n"/>
      <c r="J307" s="22" t="n"/>
      <c r="K307" s="22" t="n"/>
      <c r="L307" s="22" t="n"/>
      <c r="M307" s="22" t="n"/>
      <c r="N307" s="22" t="n"/>
      <c r="O307" s="23">
        <f>IF($C307="","",N(L307)-N(M307))</f>
        <v/>
      </c>
      <c r="P307" s="24" t="n"/>
      <c r="Q307" s="23">
        <f>IF($C307="","",N(M307)+N(N307))</f>
        <v/>
      </c>
      <c r="R307" s="23">
        <f>IF($C307="","",N(J307)+N(Q307))</f>
        <v/>
      </c>
      <c r="S307" s="25">
        <f>IF(OR($C307="",N($G307)=0),"",R307/$G307)</f>
        <v/>
      </c>
      <c r="T307" s="23">
        <f>IF($C307="","",N($G307)-N(R307))</f>
        <v/>
      </c>
      <c r="U307" s="24" t="n"/>
      <c r="V307" s="22" t="n"/>
    </row>
    <row r="308">
      <c r="B308" s="13">
        <f>IF($C308="","",COUNTA($C$9:$C308))</f>
        <v/>
      </c>
      <c r="C308" s="21" t="n"/>
      <c r="D308" s="14" t="n"/>
      <c r="E308" s="14" t="n"/>
      <c r="F308" s="14" t="n"/>
      <c r="G308" s="22" t="n"/>
      <c r="H308" s="22" t="n"/>
      <c r="I308" s="22" t="n"/>
      <c r="J308" s="22" t="n"/>
      <c r="K308" s="22" t="n"/>
      <c r="L308" s="22" t="n"/>
      <c r="M308" s="22" t="n"/>
      <c r="N308" s="22" t="n"/>
      <c r="O308" s="23">
        <f>IF($C308="","",N(L308)-N(M308))</f>
        <v/>
      </c>
      <c r="P308" s="24" t="n"/>
      <c r="Q308" s="23">
        <f>IF($C308="","",N(M308)+N(N308))</f>
        <v/>
      </c>
      <c r="R308" s="23">
        <f>IF($C308="","",N(J308)+N(Q308))</f>
        <v/>
      </c>
      <c r="S308" s="25">
        <f>IF(OR($C308="",N($G308)=0),"",R308/$G308)</f>
        <v/>
      </c>
      <c r="T308" s="23">
        <f>IF($C308="","",N($G308)-N(R308))</f>
        <v/>
      </c>
      <c r="U308" s="24" t="n"/>
      <c r="V308" s="22" t="n"/>
    </row>
    <row r="309">
      <c r="B309" s="13">
        <f>IF($C309="","",COUNTA($C$9:$C309))</f>
        <v/>
      </c>
      <c r="C309" s="21" t="n"/>
      <c r="D309" s="14" t="n"/>
      <c r="E309" s="14" t="n"/>
      <c r="F309" s="14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3">
        <f>IF($C309="","",N(L309)-N(M309))</f>
        <v/>
      </c>
      <c r="P309" s="24" t="n"/>
      <c r="Q309" s="23">
        <f>IF($C309="","",N(M309)+N(N309))</f>
        <v/>
      </c>
      <c r="R309" s="23">
        <f>IF($C309="","",N(J309)+N(Q309))</f>
        <v/>
      </c>
      <c r="S309" s="25">
        <f>IF(OR($C309="",N($G309)=0),"",R309/$G309)</f>
        <v/>
      </c>
      <c r="T309" s="23">
        <f>IF($C309="","",N($G309)-N(R309))</f>
        <v/>
      </c>
      <c r="U309" s="24" t="n"/>
      <c r="V309" s="22" t="n"/>
    </row>
    <row r="310">
      <c r="B310" s="13">
        <f>IF($C310="","",COUNTA($C$9:$C310))</f>
        <v/>
      </c>
      <c r="C310" s="21" t="n"/>
      <c r="D310" s="14" t="n"/>
      <c r="E310" s="14" t="n"/>
      <c r="F310" s="14" t="n"/>
      <c r="G310" s="22" t="n"/>
      <c r="H310" s="22" t="n"/>
      <c r="I310" s="22" t="n"/>
      <c r="J310" s="22" t="n"/>
      <c r="K310" s="22" t="n"/>
      <c r="L310" s="22" t="n"/>
      <c r="M310" s="22" t="n"/>
      <c r="N310" s="22" t="n"/>
      <c r="O310" s="23">
        <f>IF($C310="","",N(L310)-N(M310))</f>
        <v/>
      </c>
      <c r="P310" s="24" t="n"/>
      <c r="Q310" s="23">
        <f>IF($C310="","",N(M310)+N(N310))</f>
        <v/>
      </c>
      <c r="R310" s="23">
        <f>IF($C310="","",N(J310)+N(Q310))</f>
        <v/>
      </c>
      <c r="S310" s="25">
        <f>IF(OR($C310="",N($G310)=0),"",R310/$G310)</f>
        <v/>
      </c>
      <c r="T310" s="23">
        <f>IF($C310="","",N($G310)-N(R310))</f>
        <v/>
      </c>
      <c r="U310" s="24" t="n"/>
      <c r="V310" s="22" t="n"/>
    </row>
    <row r="311">
      <c r="B311" s="13">
        <f>IF($C311="","",COUNTA($C$9:$C311))</f>
        <v/>
      </c>
      <c r="C311" s="21" t="n"/>
      <c r="D311" s="14" t="n"/>
      <c r="E311" s="14" t="n"/>
      <c r="F311" s="14" t="n"/>
      <c r="G311" s="22" t="n"/>
      <c r="H311" s="22" t="n"/>
      <c r="I311" s="22" t="n"/>
      <c r="J311" s="22" t="n"/>
      <c r="K311" s="22" t="n"/>
      <c r="L311" s="22" t="n"/>
      <c r="M311" s="22" t="n"/>
      <c r="N311" s="22" t="n"/>
      <c r="O311" s="23">
        <f>IF($C311="","",N(L311)-N(M311))</f>
        <v/>
      </c>
      <c r="P311" s="24" t="n"/>
      <c r="Q311" s="23">
        <f>IF($C311="","",N(M311)+N(N311))</f>
        <v/>
      </c>
      <c r="R311" s="23">
        <f>IF($C311="","",N(J311)+N(Q311))</f>
        <v/>
      </c>
      <c r="S311" s="25">
        <f>IF(OR($C311="",N($G311)=0),"",R311/$G311)</f>
        <v/>
      </c>
      <c r="T311" s="23">
        <f>IF($C311="","",N($G311)-N(R311))</f>
        <v/>
      </c>
      <c r="U311" s="24" t="n"/>
      <c r="V311" s="22" t="n"/>
    </row>
    <row r="312">
      <c r="B312" s="13">
        <f>IF($C312="","",COUNTA($C$9:$C312))</f>
        <v/>
      </c>
      <c r="C312" s="21" t="n"/>
      <c r="D312" s="14" t="n"/>
      <c r="E312" s="14" t="n"/>
      <c r="F312" s="14" t="n"/>
      <c r="G312" s="22" t="n"/>
      <c r="H312" s="22" t="n"/>
      <c r="I312" s="22" t="n"/>
      <c r="J312" s="22" t="n"/>
      <c r="K312" s="22" t="n"/>
      <c r="L312" s="22" t="n"/>
      <c r="M312" s="22" t="n"/>
      <c r="N312" s="22" t="n"/>
      <c r="O312" s="23">
        <f>IF($C312="","",N(L312)-N(M312))</f>
        <v/>
      </c>
      <c r="P312" s="24" t="n"/>
      <c r="Q312" s="23">
        <f>IF($C312="","",N(M312)+N(N312))</f>
        <v/>
      </c>
      <c r="R312" s="23">
        <f>IF($C312="","",N(J312)+N(Q312))</f>
        <v/>
      </c>
      <c r="S312" s="25">
        <f>IF(OR($C312="",N($G312)=0),"",R312/$G312)</f>
        <v/>
      </c>
      <c r="T312" s="23">
        <f>IF($C312="","",N($G312)-N(R312))</f>
        <v/>
      </c>
      <c r="U312" s="24" t="n"/>
      <c r="V312" s="22" t="n"/>
    </row>
    <row r="313">
      <c r="B313" s="13">
        <f>IF($C313="","",COUNTA($C$9:$C313))</f>
        <v/>
      </c>
      <c r="C313" s="21" t="n"/>
      <c r="D313" s="14" t="n"/>
      <c r="E313" s="14" t="n"/>
      <c r="F313" s="14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3">
        <f>IF($C313="","",N(L313)-N(M313))</f>
        <v/>
      </c>
      <c r="P313" s="24" t="n"/>
      <c r="Q313" s="23">
        <f>IF($C313="","",N(M313)+N(N313))</f>
        <v/>
      </c>
      <c r="R313" s="23">
        <f>IF($C313="","",N(J313)+N(Q313))</f>
        <v/>
      </c>
      <c r="S313" s="25">
        <f>IF(OR($C313="",N($G313)=0),"",R313/$G313)</f>
        <v/>
      </c>
      <c r="T313" s="23">
        <f>IF($C313="","",N($G313)-N(R313))</f>
        <v/>
      </c>
      <c r="U313" s="24" t="n"/>
      <c r="V313" s="22" t="n"/>
    </row>
    <row r="314">
      <c r="B314" s="13">
        <f>IF($C314="","",COUNTA($C$9:$C314))</f>
        <v/>
      </c>
      <c r="C314" s="21" t="n"/>
      <c r="D314" s="14" t="n"/>
      <c r="E314" s="14" t="n"/>
      <c r="F314" s="14" t="n"/>
      <c r="G314" s="22" t="n"/>
      <c r="H314" s="22" t="n"/>
      <c r="I314" s="22" t="n"/>
      <c r="J314" s="22" t="n"/>
      <c r="K314" s="22" t="n"/>
      <c r="L314" s="22" t="n"/>
      <c r="M314" s="22" t="n"/>
      <c r="N314" s="22" t="n"/>
      <c r="O314" s="23">
        <f>IF($C314="","",N(L314)-N(M314))</f>
        <v/>
      </c>
      <c r="P314" s="24" t="n"/>
      <c r="Q314" s="23">
        <f>IF($C314="","",N(M314)+N(N314))</f>
        <v/>
      </c>
      <c r="R314" s="23">
        <f>IF($C314="","",N(J314)+N(Q314))</f>
        <v/>
      </c>
      <c r="S314" s="25">
        <f>IF(OR($C314="",N($G314)=0),"",R314/$G314)</f>
        <v/>
      </c>
      <c r="T314" s="23">
        <f>IF($C314="","",N($G314)-N(R314))</f>
        <v/>
      </c>
      <c r="U314" s="24" t="n"/>
      <c r="V314" s="22" t="n"/>
    </row>
    <row r="315">
      <c r="B315" s="13">
        <f>IF($C315="","",COUNTA($C$9:$C315))</f>
        <v/>
      </c>
      <c r="C315" s="21" t="n"/>
      <c r="D315" s="14" t="n"/>
      <c r="E315" s="14" t="n"/>
      <c r="F315" s="14" t="n"/>
      <c r="G315" s="22" t="n"/>
      <c r="H315" s="22" t="n"/>
      <c r="I315" s="22" t="n"/>
      <c r="J315" s="22" t="n"/>
      <c r="K315" s="22" t="n"/>
      <c r="L315" s="22" t="n"/>
      <c r="M315" s="22" t="n"/>
      <c r="N315" s="22" t="n"/>
      <c r="O315" s="23">
        <f>IF($C315="","",N(L315)-N(M315))</f>
        <v/>
      </c>
      <c r="P315" s="24" t="n"/>
      <c r="Q315" s="23">
        <f>IF($C315="","",N(M315)+N(N315))</f>
        <v/>
      </c>
      <c r="R315" s="23">
        <f>IF($C315="","",N(J315)+N(Q315))</f>
        <v/>
      </c>
      <c r="S315" s="25">
        <f>IF(OR($C315="",N($G315)=0),"",R315/$G315)</f>
        <v/>
      </c>
      <c r="T315" s="23">
        <f>IF($C315="","",N($G315)-N(R315))</f>
        <v/>
      </c>
      <c r="U315" s="24" t="n"/>
      <c r="V315" s="22" t="n"/>
    </row>
    <row r="316">
      <c r="B316" s="13">
        <f>IF($C316="","",COUNTA($C$9:$C316))</f>
        <v/>
      </c>
      <c r="C316" s="21" t="n"/>
      <c r="D316" s="14" t="n"/>
      <c r="E316" s="14" t="n"/>
      <c r="F316" s="14" t="n"/>
      <c r="G316" s="22" t="n"/>
      <c r="H316" s="22" t="n"/>
      <c r="I316" s="22" t="n"/>
      <c r="J316" s="22" t="n"/>
      <c r="K316" s="22" t="n"/>
      <c r="L316" s="22" t="n"/>
      <c r="M316" s="22" t="n"/>
      <c r="N316" s="22" t="n"/>
      <c r="O316" s="23">
        <f>IF($C316="","",N(L316)-N(M316))</f>
        <v/>
      </c>
      <c r="P316" s="24" t="n"/>
      <c r="Q316" s="23">
        <f>IF($C316="","",N(M316)+N(N316))</f>
        <v/>
      </c>
      <c r="R316" s="23">
        <f>IF($C316="","",N(J316)+N(Q316))</f>
        <v/>
      </c>
      <c r="S316" s="25">
        <f>IF(OR($C316="",N($G316)=0),"",R316/$G316)</f>
        <v/>
      </c>
      <c r="T316" s="23">
        <f>IF($C316="","",N($G316)-N(R316))</f>
        <v/>
      </c>
      <c r="U316" s="24" t="n"/>
      <c r="V316" s="22" t="n"/>
    </row>
    <row r="317">
      <c r="B317" s="13">
        <f>IF($C317="","",COUNTA($C$9:$C317))</f>
        <v/>
      </c>
      <c r="C317" s="21" t="n"/>
      <c r="D317" s="14" t="n"/>
      <c r="E317" s="14" t="n"/>
      <c r="F317" s="14" t="n"/>
      <c r="G317" s="22" t="n"/>
      <c r="H317" s="22" t="n"/>
      <c r="I317" s="22" t="n"/>
      <c r="J317" s="22" t="n"/>
      <c r="K317" s="22" t="n"/>
      <c r="L317" s="22" t="n"/>
      <c r="M317" s="22" t="n"/>
      <c r="N317" s="22" t="n"/>
      <c r="O317" s="23">
        <f>IF($C317="","",N(L317)-N(M317))</f>
        <v/>
      </c>
      <c r="P317" s="24" t="n"/>
      <c r="Q317" s="23">
        <f>IF($C317="","",N(M317)+N(N317))</f>
        <v/>
      </c>
      <c r="R317" s="23">
        <f>IF($C317="","",N(J317)+N(Q317))</f>
        <v/>
      </c>
      <c r="S317" s="25">
        <f>IF(OR($C317="",N($G317)=0),"",R317/$G317)</f>
        <v/>
      </c>
      <c r="T317" s="23">
        <f>IF($C317="","",N($G317)-N(R317))</f>
        <v/>
      </c>
      <c r="U317" s="24" t="n"/>
      <c r="V317" s="22" t="n"/>
    </row>
    <row r="318">
      <c r="B318" s="13">
        <f>IF($C318="","",COUNTA($C$9:$C318))</f>
        <v/>
      </c>
      <c r="C318" s="21" t="n"/>
      <c r="D318" s="14" t="n"/>
      <c r="E318" s="14" t="n"/>
      <c r="F318" s="14" t="n"/>
      <c r="G318" s="22" t="n"/>
      <c r="H318" s="22" t="n"/>
      <c r="I318" s="22" t="n"/>
      <c r="J318" s="22" t="n"/>
      <c r="K318" s="22" t="n"/>
      <c r="L318" s="22" t="n"/>
      <c r="M318" s="22" t="n"/>
      <c r="N318" s="22" t="n"/>
      <c r="O318" s="23">
        <f>IF($C318="","",N(L318)-N(M318))</f>
        <v/>
      </c>
      <c r="P318" s="24" t="n"/>
      <c r="Q318" s="23">
        <f>IF($C318="","",N(M318)+N(N318))</f>
        <v/>
      </c>
      <c r="R318" s="23">
        <f>IF($C318="","",N(J318)+N(Q318))</f>
        <v/>
      </c>
      <c r="S318" s="25">
        <f>IF(OR($C318="",N($G318)=0),"",R318/$G318)</f>
        <v/>
      </c>
      <c r="T318" s="23">
        <f>IF($C318="","",N($G318)-N(R318))</f>
        <v/>
      </c>
      <c r="U318" s="24" t="n"/>
      <c r="V318" s="22" t="n"/>
    </row>
    <row r="319">
      <c r="B319" s="13">
        <f>IF($C319="","",COUNTA($C$9:$C319))</f>
        <v/>
      </c>
      <c r="C319" s="21" t="n"/>
      <c r="D319" s="14" t="n"/>
      <c r="E319" s="14" t="n"/>
      <c r="F319" s="14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3">
        <f>IF($C319="","",N(L319)-N(M319))</f>
        <v/>
      </c>
      <c r="P319" s="24" t="n"/>
      <c r="Q319" s="23">
        <f>IF($C319="","",N(M319)+N(N319))</f>
        <v/>
      </c>
      <c r="R319" s="23">
        <f>IF($C319="","",N(J319)+N(Q319))</f>
        <v/>
      </c>
      <c r="S319" s="25">
        <f>IF(OR($C319="",N($G319)=0),"",R319/$G319)</f>
        <v/>
      </c>
      <c r="T319" s="23">
        <f>IF($C319="","",N($G319)-N(R319))</f>
        <v/>
      </c>
      <c r="U319" s="24" t="n"/>
      <c r="V319" s="22" t="n"/>
    </row>
    <row r="320">
      <c r="B320" s="13">
        <f>IF($C320="","",COUNTA($C$9:$C320))</f>
        <v/>
      </c>
      <c r="C320" s="21" t="n"/>
      <c r="D320" s="14" t="n"/>
      <c r="E320" s="14" t="n"/>
      <c r="F320" s="14" t="n"/>
      <c r="G320" s="22" t="n"/>
      <c r="H320" s="22" t="n"/>
      <c r="I320" s="22" t="n"/>
      <c r="J320" s="22" t="n"/>
      <c r="K320" s="22" t="n"/>
      <c r="L320" s="22" t="n"/>
      <c r="M320" s="22" t="n"/>
      <c r="N320" s="22" t="n"/>
      <c r="O320" s="23">
        <f>IF($C320="","",N(L320)-N(M320))</f>
        <v/>
      </c>
      <c r="P320" s="24" t="n"/>
      <c r="Q320" s="23">
        <f>IF($C320="","",N(M320)+N(N320))</f>
        <v/>
      </c>
      <c r="R320" s="23">
        <f>IF($C320="","",N(J320)+N(Q320))</f>
        <v/>
      </c>
      <c r="S320" s="25">
        <f>IF(OR($C320="",N($G320)=0),"",R320/$G320)</f>
        <v/>
      </c>
      <c r="T320" s="23">
        <f>IF($C320="","",N($G320)-N(R320))</f>
        <v/>
      </c>
      <c r="U320" s="24" t="n"/>
      <c r="V320" s="22" t="n"/>
    </row>
    <row r="321">
      <c r="B321" s="13">
        <f>IF($C321="","",COUNTA($C$9:$C321))</f>
        <v/>
      </c>
      <c r="C321" s="21" t="n"/>
      <c r="D321" s="14" t="n"/>
      <c r="E321" s="14" t="n"/>
      <c r="F321" s="14" t="n"/>
      <c r="G321" s="22" t="n"/>
      <c r="H321" s="22" t="n"/>
      <c r="I321" s="22" t="n"/>
      <c r="J321" s="22" t="n"/>
      <c r="K321" s="22" t="n"/>
      <c r="L321" s="22" t="n"/>
      <c r="M321" s="22" t="n"/>
      <c r="N321" s="22" t="n"/>
      <c r="O321" s="23">
        <f>IF($C321="","",N(L321)-N(M321))</f>
        <v/>
      </c>
      <c r="P321" s="24" t="n"/>
      <c r="Q321" s="23">
        <f>IF($C321="","",N(M321)+N(N321))</f>
        <v/>
      </c>
      <c r="R321" s="23">
        <f>IF($C321="","",N(J321)+N(Q321))</f>
        <v/>
      </c>
      <c r="S321" s="25">
        <f>IF(OR($C321="",N($G321)=0),"",R321/$G321)</f>
        <v/>
      </c>
      <c r="T321" s="23">
        <f>IF($C321="","",N($G321)-N(R321))</f>
        <v/>
      </c>
      <c r="U321" s="24" t="n"/>
      <c r="V321" s="22" t="n"/>
    </row>
    <row r="322">
      <c r="B322" s="13">
        <f>IF($C322="","",COUNTA($C$9:$C322))</f>
        <v/>
      </c>
      <c r="C322" s="21" t="n"/>
      <c r="D322" s="14" t="n"/>
      <c r="E322" s="14" t="n"/>
      <c r="F322" s="14" t="n"/>
      <c r="G322" s="22" t="n"/>
      <c r="H322" s="22" t="n"/>
      <c r="I322" s="22" t="n"/>
      <c r="J322" s="22" t="n"/>
      <c r="K322" s="22" t="n"/>
      <c r="L322" s="22" t="n"/>
      <c r="M322" s="22" t="n"/>
      <c r="N322" s="22" t="n"/>
      <c r="O322" s="23">
        <f>IF($C322="","",N(L322)-N(M322))</f>
        <v/>
      </c>
      <c r="P322" s="24" t="n"/>
      <c r="Q322" s="23">
        <f>IF($C322="","",N(M322)+N(N322))</f>
        <v/>
      </c>
      <c r="R322" s="23">
        <f>IF($C322="","",N(J322)+N(Q322))</f>
        <v/>
      </c>
      <c r="S322" s="25">
        <f>IF(OR($C322="",N($G322)=0),"",R322/$G322)</f>
        <v/>
      </c>
      <c r="T322" s="23">
        <f>IF($C322="","",N($G322)-N(R322))</f>
        <v/>
      </c>
      <c r="U322" s="24" t="n"/>
      <c r="V322" s="22" t="n"/>
    </row>
    <row r="323">
      <c r="B323" s="13">
        <f>IF($C323="","",COUNTA($C$9:$C323))</f>
        <v/>
      </c>
      <c r="C323" s="21" t="n"/>
      <c r="D323" s="14" t="n"/>
      <c r="E323" s="14" t="n"/>
      <c r="F323" s="14" t="n"/>
      <c r="G323" s="22" t="n"/>
      <c r="H323" s="22" t="n"/>
      <c r="I323" s="22" t="n"/>
      <c r="J323" s="22" t="n"/>
      <c r="K323" s="22" t="n"/>
      <c r="L323" s="22" t="n"/>
      <c r="M323" s="22" t="n"/>
      <c r="N323" s="22" t="n"/>
      <c r="O323" s="23">
        <f>IF($C323="","",N(L323)-N(M323))</f>
        <v/>
      </c>
      <c r="P323" s="24" t="n"/>
      <c r="Q323" s="23">
        <f>IF($C323="","",N(M323)+N(N323))</f>
        <v/>
      </c>
      <c r="R323" s="23">
        <f>IF($C323="","",N(J323)+N(Q323))</f>
        <v/>
      </c>
      <c r="S323" s="25">
        <f>IF(OR($C323="",N($G323)=0),"",R323/$G323)</f>
        <v/>
      </c>
      <c r="T323" s="23">
        <f>IF($C323="","",N($G323)-N(R323))</f>
        <v/>
      </c>
      <c r="U323" s="24" t="n"/>
      <c r="V323" s="22" t="n"/>
    </row>
    <row r="324">
      <c r="B324" s="13">
        <f>IF($C324="","",COUNTA($C$9:$C324))</f>
        <v/>
      </c>
      <c r="C324" s="21" t="n"/>
      <c r="D324" s="14" t="n"/>
      <c r="E324" s="14" t="n"/>
      <c r="F324" s="14" t="n"/>
      <c r="G324" s="22" t="n"/>
      <c r="H324" s="22" t="n"/>
      <c r="I324" s="22" t="n"/>
      <c r="J324" s="22" t="n"/>
      <c r="K324" s="22" t="n"/>
      <c r="L324" s="22" t="n"/>
      <c r="M324" s="22" t="n"/>
      <c r="N324" s="22" t="n"/>
      <c r="O324" s="23">
        <f>IF($C324="","",N(L324)-N(M324))</f>
        <v/>
      </c>
      <c r="P324" s="24" t="n"/>
      <c r="Q324" s="23">
        <f>IF($C324="","",N(M324)+N(N324))</f>
        <v/>
      </c>
      <c r="R324" s="23">
        <f>IF($C324="","",N(J324)+N(Q324))</f>
        <v/>
      </c>
      <c r="S324" s="25">
        <f>IF(OR($C324="",N($G324)=0),"",R324/$G324)</f>
        <v/>
      </c>
      <c r="T324" s="23">
        <f>IF($C324="","",N($G324)-N(R324))</f>
        <v/>
      </c>
      <c r="U324" s="24" t="n"/>
      <c r="V324" s="22" t="n"/>
    </row>
    <row r="325">
      <c r="B325" s="13">
        <f>IF($C325="","",COUNTA($C$9:$C325))</f>
        <v/>
      </c>
      <c r="C325" s="21" t="n"/>
      <c r="D325" s="14" t="n"/>
      <c r="E325" s="14" t="n"/>
      <c r="F325" s="14" t="n"/>
      <c r="G325" s="22" t="n"/>
      <c r="H325" s="22" t="n"/>
      <c r="I325" s="22" t="n"/>
      <c r="J325" s="22" t="n"/>
      <c r="K325" s="22" t="n"/>
      <c r="L325" s="22" t="n"/>
      <c r="M325" s="22" t="n"/>
      <c r="N325" s="22" t="n"/>
      <c r="O325" s="23">
        <f>IF($C325="","",N(L325)-N(M325))</f>
        <v/>
      </c>
      <c r="P325" s="24" t="n"/>
      <c r="Q325" s="23">
        <f>IF($C325="","",N(M325)+N(N325))</f>
        <v/>
      </c>
      <c r="R325" s="23">
        <f>IF($C325="","",N(J325)+N(Q325))</f>
        <v/>
      </c>
      <c r="S325" s="25">
        <f>IF(OR($C325="",N($G325)=0),"",R325/$G325)</f>
        <v/>
      </c>
      <c r="T325" s="23">
        <f>IF($C325="","",N($G325)-N(R325))</f>
        <v/>
      </c>
      <c r="U325" s="24" t="n"/>
      <c r="V325" s="22" t="n"/>
    </row>
    <row r="326">
      <c r="B326" s="13">
        <f>IF($C326="","",COUNTA($C$9:$C326))</f>
        <v/>
      </c>
      <c r="C326" s="21" t="n"/>
      <c r="D326" s="14" t="n"/>
      <c r="E326" s="14" t="n"/>
      <c r="F326" s="14" t="n"/>
      <c r="G326" s="22" t="n"/>
      <c r="H326" s="22" t="n"/>
      <c r="I326" s="22" t="n"/>
      <c r="J326" s="22" t="n"/>
      <c r="K326" s="22" t="n"/>
      <c r="L326" s="22" t="n"/>
      <c r="M326" s="22" t="n"/>
      <c r="N326" s="22" t="n"/>
      <c r="O326" s="23">
        <f>IF($C326="","",N(L326)-N(M326))</f>
        <v/>
      </c>
      <c r="P326" s="24" t="n"/>
      <c r="Q326" s="23">
        <f>IF($C326="","",N(M326)+N(N326))</f>
        <v/>
      </c>
      <c r="R326" s="23">
        <f>IF($C326="","",N(J326)+N(Q326))</f>
        <v/>
      </c>
      <c r="S326" s="25">
        <f>IF(OR($C326="",N($G326)=0),"",R326/$G326)</f>
        <v/>
      </c>
      <c r="T326" s="23">
        <f>IF($C326="","",N($G326)-N(R326))</f>
        <v/>
      </c>
      <c r="U326" s="24" t="n"/>
      <c r="V326" s="22" t="n"/>
    </row>
    <row r="327">
      <c r="B327" s="13">
        <f>IF($C327="","",COUNTA($C$9:$C327))</f>
        <v/>
      </c>
      <c r="C327" s="21" t="n"/>
      <c r="D327" s="14" t="n"/>
      <c r="E327" s="14" t="n"/>
      <c r="F327" s="14" t="n"/>
      <c r="G327" s="22" t="n"/>
      <c r="H327" s="22" t="n"/>
      <c r="I327" s="22" t="n"/>
      <c r="J327" s="22" t="n"/>
      <c r="K327" s="22" t="n"/>
      <c r="L327" s="22" t="n"/>
      <c r="M327" s="22" t="n"/>
      <c r="N327" s="22" t="n"/>
      <c r="O327" s="23">
        <f>IF($C327="","",N(L327)-N(M327))</f>
        <v/>
      </c>
      <c r="P327" s="24" t="n"/>
      <c r="Q327" s="23">
        <f>IF($C327="","",N(M327)+N(N327))</f>
        <v/>
      </c>
      <c r="R327" s="23">
        <f>IF($C327="","",N(J327)+N(Q327))</f>
        <v/>
      </c>
      <c r="S327" s="25">
        <f>IF(OR($C327="",N($G327)=0),"",R327/$G327)</f>
        <v/>
      </c>
      <c r="T327" s="23">
        <f>IF($C327="","",N($G327)-N(R327))</f>
        <v/>
      </c>
      <c r="U327" s="24" t="n"/>
      <c r="V327" s="22" t="n"/>
    </row>
    <row r="328">
      <c r="B328" s="13">
        <f>IF($C328="","",COUNTA($C$9:$C328))</f>
        <v/>
      </c>
      <c r="C328" s="21" t="n"/>
      <c r="D328" s="14" t="n"/>
      <c r="E328" s="14" t="n"/>
      <c r="F328" s="14" t="n"/>
      <c r="G328" s="22" t="n"/>
      <c r="H328" s="22" t="n"/>
      <c r="I328" s="22" t="n"/>
      <c r="J328" s="22" t="n"/>
      <c r="K328" s="22" t="n"/>
      <c r="L328" s="22" t="n"/>
      <c r="M328" s="22" t="n"/>
      <c r="N328" s="22" t="n"/>
      <c r="O328" s="23">
        <f>IF($C328="","",N(L328)-N(M328))</f>
        <v/>
      </c>
      <c r="P328" s="24" t="n"/>
      <c r="Q328" s="23">
        <f>IF($C328="","",N(M328)+N(N328))</f>
        <v/>
      </c>
      <c r="R328" s="23">
        <f>IF($C328="","",N(J328)+N(Q328))</f>
        <v/>
      </c>
      <c r="S328" s="25">
        <f>IF(OR($C328="",N($G328)=0),"",R328/$G328)</f>
        <v/>
      </c>
      <c r="T328" s="23">
        <f>IF($C328="","",N($G328)-N(R328))</f>
        <v/>
      </c>
      <c r="U328" s="24" t="n"/>
      <c r="V328" s="22" t="n"/>
    </row>
    <row r="329">
      <c r="B329" s="13">
        <f>IF($C329="","",COUNTA($C$9:$C329))</f>
        <v/>
      </c>
      <c r="C329" s="21" t="n"/>
      <c r="D329" s="14" t="n"/>
      <c r="E329" s="14" t="n"/>
      <c r="F329" s="14" t="n"/>
      <c r="G329" s="22" t="n"/>
      <c r="H329" s="22" t="n"/>
      <c r="I329" s="22" t="n"/>
      <c r="J329" s="22" t="n"/>
      <c r="K329" s="22" t="n"/>
      <c r="L329" s="22" t="n"/>
      <c r="M329" s="22" t="n"/>
      <c r="N329" s="22" t="n"/>
      <c r="O329" s="23">
        <f>IF($C329="","",N(L329)-N(M329))</f>
        <v/>
      </c>
      <c r="P329" s="24" t="n"/>
      <c r="Q329" s="23">
        <f>IF($C329="","",N(M329)+N(N329))</f>
        <v/>
      </c>
      <c r="R329" s="23">
        <f>IF($C329="","",N(J329)+N(Q329))</f>
        <v/>
      </c>
      <c r="S329" s="25">
        <f>IF(OR($C329="",N($G329)=0),"",R329/$G329)</f>
        <v/>
      </c>
      <c r="T329" s="23">
        <f>IF($C329="","",N($G329)-N(R329))</f>
        <v/>
      </c>
      <c r="U329" s="24" t="n"/>
      <c r="V329" s="22" t="n"/>
    </row>
    <row r="330">
      <c r="B330" s="13">
        <f>IF($C330="","",COUNTA($C$9:$C330))</f>
        <v/>
      </c>
      <c r="C330" s="21" t="n"/>
      <c r="D330" s="14" t="n"/>
      <c r="E330" s="14" t="n"/>
      <c r="F330" s="14" t="n"/>
      <c r="G330" s="22" t="n"/>
      <c r="H330" s="22" t="n"/>
      <c r="I330" s="22" t="n"/>
      <c r="J330" s="22" t="n"/>
      <c r="K330" s="22" t="n"/>
      <c r="L330" s="22" t="n"/>
      <c r="M330" s="22" t="n"/>
      <c r="N330" s="22" t="n"/>
      <c r="O330" s="23">
        <f>IF($C330="","",N(L330)-N(M330))</f>
        <v/>
      </c>
      <c r="P330" s="24" t="n"/>
      <c r="Q330" s="23">
        <f>IF($C330="","",N(M330)+N(N330))</f>
        <v/>
      </c>
      <c r="R330" s="23">
        <f>IF($C330="","",N(J330)+N(Q330))</f>
        <v/>
      </c>
      <c r="S330" s="25">
        <f>IF(OR($C330="",N($G330)=0),"",R330/$G330)</f>
        <v/>
      </c>
      <c r="T330" s="23">
        <f>IF($C330="","",N($G330)-N(R330))</f>
        <v/>
      </c>
      <c r="U330" s="24" t="n"/>
      <c r="V330" s="22" t="n"/>
    </row>
    <row r="331">
      <c r="B331" s="13">
        <f>IF($C331="","",COUNTA($C$9:$C331))</f>
        <v/>
      </c>
      <c r="C331" s="21" t="n"/>
      <c r="D331" s="14" t="n"/>
      <c r="E331" s="14" t="n"/>
      <c r="F331" s="14" t="n"/>
      <c r="G331" s="22" t="n"/>
      <c r="H331" s="22" t="n"/>
      <c r="I331" s="22" t="n"/>
      <c r="J331" s="22" t="n"/>
      <c r="K331" s="22" t="n"/>
      <c r="L331" s="22" t="n"/>
      <c r="M331" s="22" t="n"/>
      <c r="N331" s="22" t="n"/>
      <c r="O331" s="23">
        <f>IF($C331="","",N(L331)-N(M331))</f>
        <v/>
      </c>
      <c r="P331" s="24" t="n"/>
      <c r="Q331" s="23">
        <f>IF($C331="","",N(M331)+N(N331))</f>
        <v/>
      </c>
      <c r="R331" s="23">
        <f>IF($C331="","",N(J331)+N(Q331))</f>
        <v/>
      </c>
      <c r="S331" s="25">
        <f>IF(OR($C331="",N($G331)=0),"",R331/$G331)</f>
        <v/>
      </c>
      <c r="T331" s="23">
        <f>IF($C331="","",N($G331)-N(R331))</f>
        <v/>
      </c>
      <c r="U331" s="24" t="n"/>
      <c r="V331" s="22" t="n"/>
    </row>
    <row r="332">
      <c r="B332" s="13">
        <f>IF($C332="","",COUNTA($C$9:$C332))</f>
        <v/>
      </c>
      <c r="C332" s="21" t="n"/>
      <c r="D332" s="14" t="n"/>
      <c r="E332" s="14" t="n"/>
      <c r="F332" s="14" t="n"/>
      <c r="G332" s="22" t="n"/>
      <c r="H332" s="22" t="n"/>
      <c r="I332" s="22" t="n"/>
      <c r="J332" s="22" t="n"/>
      <c r="K332" s="22" t="n"/>
      <c r="L332" s="22" t="n"/>
      <c r="M332" s="22" t="n"/>
      <c r="N332" s="22" t="n"/>
      <c r="O332" s="23">
        <f>IF($C332="","",N(L332)-N(M332))</f>
        <v/>
      </c>
      <c r="P332" s="24" t="n"/>
      <c r="Q332" s="23">
        <f>IF($C332="","",N(M332)+N(N332))</f>
        <v/>
      </c>
      <c r="R332" s="23">
        <f>IF($C332="","",N(J332)+N(Q332))</f>
        <v/>
      </c>
      <c r="S332" s="25">
        <f>IF(OR($C332="",N($G332)=0),"",R332/$G332)</f>
        <v/>
      </c>
      <c r="T332" s="23">
        <f>IF($C332="","",N($G332)-N(R332))</f>
        <v/>
      </c>
      <c r="U332" s="24" t="n"/>
      <c r="V332" s="22" t="n"/>
    </row>
    <row r="333">
      <c r="B333" s="13">
        <f>IF($C333="","",COUNTA($C$9:$C333))</f>
        <v/>
      </c>
      <c r="C333" s="21" t="n"/>
      <c r="D333" s="14" t="n"/>
      <c r="E333" s="14" t="n"/>
      <c r="F333" s="14" t="n"/>
      <c r="G333" s="22" t="n"/>
      <c r="H333" s="22" t="n"/>
      <c r="I333" s="22" t="n"/>
      <c r="J333" s="22" t="n"/>
      <c r="K333" s="22" t="n"/>
      <c r="L333" s="22" t="n"/>
      <c r="M333" s="22" t="n"/>
      <c r="N333" s="22" t="n"/>
      <c r="O333" s="23">
        <f>IF($C333="","",N(L333)-N(M333))</f>
        <v/>
      </c>
      <c r="P333" s="24" t="n"/>
      <c r="Q333" s="23">
        <f>IF($C333="","",N(M333)+N(N333))</f>
        <v/>
      </c>
      <c r="R333" s="23">
        <f>IF($C333="","",N(J333)+N(Q333))</f>
        <v/>
      </c>
      <c r="S333" s="25">
        <f>IF(OR($C333="",N($G333)=0),"",R333/$G333)</f>
        <v/>
      </c>
      <c r="T333" s="23">
        <f>IF($C333="","",N($G333)-N(R333))</f>
        <v/>
      </c>
      <c r="U333" s="24" t="n"/>
      <c r="V333" s="22" t="n"/>
    </row>
    <row r="334">
      <c r="B334" s="13">
        <f>IF($C334="","",COUNTA($C$9:$C334))</f>
        <v/>
      </c>
      <c r="C334" s="21" t="n"/>
      <c r="D334" s="14" t="n"/>
      <c r="E334" s="14" t="n"/>
      <c r="F334" s="14" t="n"/>
      <c r="G334" s="22" t="n"/>
      <c r="H334" s="22" t="n"/>
      <c r="I334" s="22" t="n"/>
      <c r="J334" s="22" t="n"/>
      <c r="K334" s="22" t="n"/>
      <c r="L334" s="22" t="n"/>
      <c r="M334" s="22" t="n"/>
      <c r="N334" s="22" t="n"/>
      <c r="O334" s="23">
        <f>IF($C334="","",N(L334)-N(M334))</f>
        <v/>
      </c>
      <c r="P334" s="24" t="n"/>
      <c r="Q334" s="23">
        <f>IF($C334="","",N(M334)+N(N334))</f>
        <v/>
      </c>
      <c r="R334" s="23">
        <f>IF($C334="","",N(J334)+N(Q334))</f>
        <v/>
      </c>
      <c r="S334" s="25">
        <f>IF(OR($C334="",N($G334)=0),"",R334/$G334)</f>
        <v/>
      </c>
      <c r="T334" s="23">
        <f>IF($C334="","",N($G334)-N(R334))</f>
        <v/>
      </c>
      <c r="U334" s="24" t="n"/>
      <c r="V334" s="22" t="n"/>
    </row>
    <row r="335">
      <c r="B335" s="13">
        <f>IF($C335="","",COUNTA($C$9:$C335))</f>
        <v/>
      </c>
      <c r="C335" s="21" t="n"/>
      <c r="D335" s="14" t="n"/>
      <c r="E335" s="14" t="n"/>
      <c r="F335" s="14" t="n"/>
      <c r="G335" s="22" t="n"/>
      <c r="H335" s="22" t="n"/>
      <c r="I335" s="22" t="n"/>
      <c r="J335" s="22" t="n"/>
      <c r="K335" s="22" t="n"/>
      <c r="L335" s="22" t="n"/>
      <c r="M335" s="22" t="n"/>
      <c r="N335" s="22" t="n"/>
      <c r="O335" s="23">
        <f>IF($C335="","",N(L335)-N(M335))</f>
        <v/>
      </c>
      <c r="P335" s="24" t="n"/>
      <c r="Q335" s="23">
        <f>IF($C335="","",N(M335)+N(N335))</f>
        <v/>
      </c>
      <c r="R335" s="23">
        <f>IF($C335="","",N(J335)+N(Q335))</f>
        <v/>
      </c>
      <c r="S335" s="25">
        <f>IF(OR($C335="",N($G335)=0),"",R335/$G335)</f>
        <v/>
      </c>
      <c r="T335" s="23">
        <f>IF($C335="","",N($G335)-N(R335))</f>
        <v/>
      </c>
      <c r="U335" s="24" t="n"/>
      <c r="V335" s="22" t="n"/>
    </row>
    <row r="336">
      <c r="B336" s="13">
        <f>IF($C336="","",COUNTA($C$9:$C336))</f>
        <v/>
      </c>
      <c r="C336" s="21" t="n"/>
      <c r="D336" s="14" t="n"/>
      <c r="E336" s="14" t="n"/>
      <c r="F336" s="14" t="n"/>
      <c r="G336" s="22" t="n"/>
      <c r="H336" s="22" t="n"/>
      <c r="I336" s="22" t="n"/>
      <c r="J336" s="22" t="n"/>
      <c r="K336" s="22" t="n"/>
      <c r="L336" s="22" t="n"/>
      <c r="M336" s="22" t="n"/>
      <c r="N336" s="22" t="n"/>
      <c r="O336" s="23">
        <f>IF($C336="","",N(L336)-N(M336))</f>
        <v/>
      </c>
      <c r="P336" s="24" t="n"/>
      <c r="Q336" s="23">
        <f>IF($C336="","",N(M336)+N(N336))</f>
        <v/>
      </c>
      <c r="R336" s="23">
        <f>IF($C336="","",N(J336)+N(Q336))</f>
        <v/>
      </c>
      <c r="S336" s="25">
        <f>IF(OR($C336="",N($G336)=0),"",R336/$G336)</f>
        <v/>
      </c>
      <c r="T336" s="23">
        <f>IF($C336="","",N($G336)-N(R336))</f>
        <v/>
      </c>
      <c r="U336" s="24" t="n"/>
      <c r="V336" s="22" t="n"/>
    </row>
    <row r="337">
      <c r="B337" s="13">
        <f>IF($C337="","",COUNTA($C$9:$C337))</f>
        <v/>
      </c>
      <c r="C337" s="21" t="n"/>
      <c r="D337" s="14" t="n"/>
      <c r="E337" s="14" t="n"/>
      <c r="F337" s="14" t="n"/>
      <c r="G337" s="22" t="n"/>
      <c r="H337" s="22" t="n"/>
      <c r="I337" s="22" t="n"/>
      <c r="J337" s="22" t="n"/>
      <c r="K337" s="22" t="n"/>
      <c r="L337" s="22" t="n"/>
      <c r="M337" s="22" t="n"/>
      <c r="N337" s="22" t="n"/>
      <c r="O337" s="23">
        <f>IF($C337="","",N(L337)-N(M337))</f>
        <v/>
      </c>
      <c r="P337" s="24" t="n"/>
      <c r="Q337" s="23">
        <f>IF($C337="","",N(M337)+N(N337))</f>
        <v/>
      </c>
      <c r="R337" s="23">
        <f>IF($C337="","",N(J337)+N(Q337))</f>
        <v/>
      </c>
      <c r="S337" s="25">
        <f>IF(OR($C337="",N($G337)=0),"",R337/$G337)</f>
        <v/>
      </c>
      <c r="T337" s="23">
        <f>IF($C337="","",N($G337)-N(R337))</f>
        <v/>
      </c>
      <c r="U337" s="24" t="n"/>
      <c r="V337" s="22" t="n"/>
    </row>
    <row r="338">
      <c r="B338" s="13">
        <f>IF($C338="","",COUNTA($C$9:$C338))</f>
        <v/>
      </c>
      <c r="C338" s="21" t="n"/>
      <c r="D338" s="14" t="n"/>
      <c r="E338" s="14" t="n"/>
      <c r="F338" s="14" t="n"/>
      <c r="G338" s="22" t="n"/>
      <c r="H338" s="22" t="n"/>
      <c r="I338" s="22" t="n"/>
      <c r="J338" s="22" t="n"/>
      <c r="K338" s="22" t="n"/>
      <c r="L338" s="22" t="n"/>
      <c r="M338" s="22" t="n"/>
      <c r="N338" s="22" t="n"/>
      <c r="O338" s="23">
        <f>IF($C338="","",N(L338)-N(M338))</f>
        <v/>
      </c>
      <c r="P338" s="24" t="n"/>
      <c r="Q338" s="23">
        <f>IF($C338="","",N(M338)+N(N338))</f>
        <v/>
      </c>
      <c r="R338" s="23">
        <f>IF($C338="","",N(J338)+N(Q338))</f>
        <v/>
      </c>
      <c r="S338" s="25">
        <f>IF(OR($C338="",N($G338)=0),"",R338/$G338)</f>
        <v/>
      </c>
      <c r="T338" s="23">
        <f>IF($C338="","",N($G338)-N(R338))</f>
        <v/>
      </c>
      <c r="U338" s="24" t="n"/>
      <c r="V338" s="22" t="n"/>
    </row>
    <row r="339">
      <c r="B339" s="13">
        <f>IF($C339="","",COUNTA($C$9:$C339))</f>
        <v/>
      </c>
      <c r="C339" s="21" t="n"/>
      <c r="D339" s="14" t="n"/>
      <c r="E339" s="14" t="n"/>
      <c r="F339" s="14" t="n"/>
      <c r="G339" s="22" t="n"/>
      <c r="H339" s="22" t="n"/>
      <c r="I339" s="22" t="n"/>
      <c r="J339" s="22" t="n"/>
      <c r="K339" s="22" t="n"/>
      <c r="L339" s="22" t="n"/>
      <c r="M339" s="22" t="n"/>
      <c r="N339" s="22" t="n"/>
      <c r="O339" s="23">
        <f>IF($C339="","",N(L339)-N(M339))</f>
        <v/>
      </c>
      <c r="P339" s="24" t="n"/>
      <c r="Q339" s="23">
        <f>IF($C339="","",N(M339)+N(N339))</f>
        <v/>
      </c>
      <c r="R339" s="23">
        <f>IF($C339="","",N(J339)+N(Q339))</f>
        <v/>
      </c>
      <c r="S339" s="25">
        <f>IF(OR($C339="",N($G339)=0),"",R339/$G339)</f>
        <v/>
      </c>
      <c r="T339" s="23">
        <f>IF($C339="","",N($G339)-N(R339))</f>
        <v/>
      </c>
      <c r="U339" s="24" t="n"/>
      <c r="V339" s="22" t="n"/>
    </row>
    <row r="340">
      <c r="B340" s="13">
        <f>IF($C340="","",COUNTA($C$9:$C340))</f>
        <v/>
      </c>
      <c r="C340" s="21" t="n"/>
      <c r="D340" s="14" t="n"/>
      <c r="E340" s="14" t="n"/>
      <c r="F340" s="14" t="n"/>
      <c r="G340" s="22" t="n"/>
      <c r="H340" s="22" t="n"/>
      <c r="I340" s="22" t="n"/>
      <c r="J340" s="22" t="n"/>
      <c r="K340" s="22" t="n"/>
      <c r="L340" s="22" t="n"/>
      <c r="M340" s="22" t="n"/>
      <c r="N340" s="22" t="n"/>
      <c r="O340" s="23">
        <f>IF($C340="","",N(L340)-N(M340))</f>
        <v/>
      </c>
      <c r="P340" s="24" t="n"/>
      <c r="Q340" s="23">
        <f>IF($C340="","",N(M340)+N(N340))</f>
        <v/>
      </c>
      <c r="R340" s="23">
        <f>IF($C340="","",N(J340)+N(Q340))</f>
        <v/>
      </c>
      <c r="S340" s="25">
        <f>IF(OR($C340="",N($G340)=0),"",R340/$G340)</f>
        <v/>
      </c>
      <c r="T340" s="23">
        <f>IF($C340="","",N($G340)-N(R340))</f>
        <v/>
      </c>
      <c r="U340" s="24" t="n"/>
      <c r="V340" s="22" t="n"/>
    </row>
    <row r="341">
      <c r="B341" s="13">
        <f>IF($C341="","",COUNTA($C$9:$C341))</f>
        <v/>
      </c>
      <c r="C341" s="21" t="n"/>
      <c r="D341" s="14" t="n"/>
      <c r="E341" s="14" t="n"/>
      <c r="F341" s="14" t="n"/>
      <c r="G341" s="22" t="n"/>
      <c r="H341" s="22" t="n"/>
      <c r="I341" s="22" t="n"/>
      <c r="J341" s="22" t="n"/>
      <c r="K341" s="22" t="n"/>
      <c r="L341" s="22" t="n"/>
      <c r="M341" s="22" t="n"/>
      <c r="N341" s="22" t="n"/>
      <c r="O341" s="23">
        <f>IF($C341="","",N(L341)-N(M341))</f>
        <v/>
      </c>
      <c r="P341" s="24" t="n"/>
      <c r="Q341" s="23">
        <f>IF($C341="","",N(M341)+N(N341))</f>
        <v/>
      </c>
      <c r="R341" s="23">
        <f>IF($C341="","",N(J341)+N(Q341))</f>
        <v/>
      </c>
      <c r="S341" s="25">
        <f>IF(OR($C341="",N($G341)=0),"",R341/$G341)</f>
        <v/>
      </c>
      <c r="T341" s="23">
        <f>IF($C341="","",N($G341)-N(R341))</f>
        <v/>
      </c>
      <c r="U341" s="24" t="n"/>
      <c r="V341" s="22" t="n"/>
    </row>
    <row r="342">
      <c r="B342" s="13">
        <f>IF($C342="","",COUNTA($C$9:$C342))</f>
        <v/>
      </c>
      <c r="C342" s="21" t="n"/>
      <c r="D342" s="14" t="n"/>
      <c r="E342" s="14" t="n"/>
      <c r="F342" s="14" t="n"/>
      <c r="G342" s="22" t="n"/>
      <c r="H342" s="22" t="n"/>
      <c r="I342" s="22" t="n"/>
      <c r="J342" s="22" t="n"/>
      <c r="K342" s="22" t="n"/>
      <c r="L342" s="22" t="n"/>
      <c r="M342" s="22" t="n"/>
      <c r="N342" s="22" t="n"/>
      <c r="O342" s="23">
        <f>IF($C342="","",N(L342)-N(M342))</f>
        <v/>
      </c>
      <c r="P342" s="24" t="n"/>
      <c r="Q342" s="23">
        <f>IF($C342="","",N(M342)+N(N342))</f>
        <v/>
      </c>
      <c r="R342" s="23">
        <f>IF($C342="","",N(J342)+N(Q342))</f>
        <v/>
      </c>
      <c r="S342" s="25">
        <f>IF(OR($C342="",N($G342)=0),"",R342/$G342)</f>
        <v/>
      </c>
      <c r="T342" s="23">
        <f>IF($C342="","",N($G342)-N(R342))</f>
        <v/>
      </c>
      <c r="U342" s="24" t="n"/>
      <c r="V342" s="22" t="n"/>
    </row>
    <row r="343">
      <c r="B343" s="13">
        <f>IF($C343="","",COUNTA($C$9:$C343))</f>
        <v/>
      </c>
      <c r="C343" s="21" t="n"/>
      <c r="D343" s="14" t="n"/>
      <c r="E343" s="14" t="n"/>
      <c r="F343" s="14" t="n"/>
      <c r="G343" s="22" t="n"/>
      <c r="H343" s="22" t="n"/>
      <c r="I343" s="22" t="n"/>
      <c r="J343" s="22" t="n"/>
      <c r="K343" s="22" t="n"/>
      <c r="L343" s="22" t="n"/>
      <c r="M343" s="22" t="n"/>
      <c r="N343" s="22" t="n"/>
      <c r="O343" s="23">
        <f>IF($C343="","",N(L343)-N(M343))</f>
        <v/>
      </c>
      <c r="P343" s="24" t="n"/>
      <c r="Q343" s="23">
        <f>IF($C343="","",N(M343)+N(N343))</f>
        <v/>
      </c>
      <c r="R343" s="23">
        <f>IF($C343="","",N(J343)+N(Q343))</f>
        <v/>
      </c>
      <c r="S343" s="25">
        <f>IF(OR($C343="",N($G343)=0),"",R343/$G343)</f>
        <v/>
      </c>
      <c r="T343" s="23">
        <f>IF($C343="","",N($G343)-N(R343))</f>
        <v/>
      </c>
      <c r="U343" s="24" t="n"/>
      <c r="V343" s="22" t="n"/>
    </row>
    <row r="344">
      <c r="B344" s="13">
        <f>IF($C344="","",COUNTA($C$9:$C344))</f>
        <v/>
      </c>
      <c r="C344" s="21" t="n"/>
      <c r="D344" s="14" t="n"/>
      <c r="E344" s="14" t="n"/>
      <c r="F344" s="14" t="n"/>
      <c r="G344" s="22" t="n"/>
      <c r="H344" s="22" t="n"/>
      <c r="I344" s="22" t="n"/>
      <c r="J344" s="22" t="n"/>
      <c r="K344" s="22" t="n"/>
      <c r="L344" s="22" t="n"/>
      <c r="M344" s="22" t="n"/>
      <c r="N344" s="22" t="n"/>
      <c r="O344" s="23">
        <f>IF($C344="","",N(L344)-N(M344))</f>
        <v/>
      </c>
      <c r="P344" s="24" t="n"/>
      <c r="Q344" s="23">
        <f>IF($C344="","",N(M344)+N(N344))</f>
        <v/>
      </c>
      <c r="R344" s="23">
        <f>IF($C344="","",N(J344)+N(Q344))</f>
        <v/>
      </c>
      <c r="S344" s="25">
        <f>IF(OR($C344="",N($G344)=0),"",R344/$G344)</f>
        <v/>
      </c>
      <c r="T344" s="23">
        <f>IF($C344="","",N($G344)-N(R344))</f>
        <v/>
      </c>
      <c r="U344" s="24" t="n"/>
      <c r="V344" s="22" t="n"/>
    </row>
    <row r="345">
      <c r="B345" s="13">
        <f>IF($C345="","",COUNTA($C$9:$C345))</f>
        <v/>
      </c>
      <c r="C345" s="21" t="n"/>
      <c r="D345" s="14" t="n"/>
      <c r="E345" s="14" t="n"/>
      <c r="F345" s="14" t="n"/>
      <c r="G345" s="22" t="n"/>
      <c r="H345" s="22" t="n"/>
      <c r="I345" s="22" t="n"/>
      <c r="J345" s="22" t="n"/>
      <c r="K345" s="22" t="n"/>
      <c r="L345" s="22" t="n"/>
      <c r="M345" s="22" t="n"/>
      <c r="N345" s="22" t="n"/>
      <c r="O345" s="23">
        <f>IF($C345="","",N(L345)-N(M345))</f>
        <v/>
      </c>
      <c r="P345" s="24" t="n"/>
      <c r="Q345" s="23">
        <f>IF($C345="","",N(M345)+N(N345))</f>
        <v/>
      </c>
      <c r="R345" s="23">
        <f>IF($C345="","",N(J345)+N(Q345))</f>
        <v/>
      </c>
      <c r="S345" s="25">
        <f>IF(OR($C345="",N($G345)=0),"",R345/$G345)</f>
        <v/>
      </c>
      <c r="T345" s="23">
        <f>IF($C345="","",N($G345)-N(R345))</f>
        <v/>
      </c>
      <c r="U345" s="24" t="n"/>
      <c r="V345" s="22" t="n"/>
    </row>
    <row r="346">
      <c r="B346" s="13">
        <f>IF($C346="","",COUNTA($C$9:$C346))</f>
        <v/>
      </c>
      <c r="C346" s="21" t="n"/>
      <c r="D346" s="14" t="n"/>
      <c r="E346" s="14" t="n"/>
      <c r="F346" s="14" t="n"/>
      <c r="G346" s="22" t="n"/>
      <c r="H346" s="22" t="n"/>
      <c r="I346" s="22" t="n"/>
      <c r="J346" s="22" t="n"/>
      <c r="K346" s="22" t="n"/>
      <c r="L346" s="22" t="n"/>
      <c r="M346" s="22" t="n"/>
      <c r="N346" s="22" t="n"/>
      <c r="O346" s="23">
        <f>IF($C346="","",N(L346)-N(M346))</f>
        <v/>
      </c>
      <c r="P346" s="24" t="n"/>
      <c r="Q346" s="23">
        <f>IF($C346="","",N(M346)+N(N346))</f>
        <v/>
      </c>
      <c r="R346" s="23">
        <f>IF($C346="","",N(J346)+N(Q346))</f>
        <v/>
      </c>
      <c r="S346" s="25">
        <f>IF(OR($C346="",N($G346)=0),"",R346/$G346)</f>
        <v/>
      </c>
      <c r="T346" s="23">
        <f>IF($C346="","",N($G346)-N(R346))</f>
        <v/>
      </c>
      <c r="U346" s="24" t="n"/>
      <c r="V346" s="22" t="n"/>
    </row>
    <row r="347">
      <c r="B347" s="13">
        <f>IF($C347="","",COUNTA($C$9:$C347))</f>
        <v/>
      </c>
      <c r="C347" s="21" t="n"/>
      <c r="D347" s="14" t="n"/>
      <c r="E347" s="14" t="n"/>
      <c r="F347" s="14" t="n"/>
      <c r="G347" s="22" t="n"/>
      <c r="H347" s="22" t="n"/>
      <c r="I347" s="22" t="n"/>
      <c r="J347" s="22" t="n"/>
      <c r="K347" s="22" t="n"/>
      <c r="L347" s="22" t="n"/>
      <c r="M347" s="22" t="n"/>
      <c r="N347" s="22" t="n"/>
      <c r="O347" s="23">
        <f>IF($C347="","",N(L347)-N(M347))</f>
        <v/>
      </c>
      <c r="P347" s="24" t="n"/>
      <c r="Q347" s="23">
        <f>IF($C347="","",N(M347)+N(N347))</f>
        <v/>
      </c>
      <c r="R347" s="23">
        <f>IF($C347="","",N(J347)+N(Q347))</f>
        <v/>
      </c>
      <c r="S347" s="25">
        <f>IF(OR($C347="",N($G347)=0),"",R347/$G347)</f>
        <v/>
      </c>
      <c r="T347" s="23">
        <f>IF($C347="","",N($G347)-N(R347))</f>
        <v/>
      </c>
      <c r="U347" s="24" t="n"/>
      <c r="V347" s="22" t="n"/>
    </row>
    <row r="348">
      <c r="B348" s="13">
        <f>IF($C348="","",COUNTA($C$9:$C348))</f>
        <v/>
      </c>
      <c r="C348" s="21" t="n"/>
      <c r="D348" s="14" t="n"/>
      <c r="E348" s="14" t="n"/>
      <c r="F348" s="14" t="n"/>
      <c r="G348" s="22" t="n"/>
      <c r="H348" s="22" t="n"/>
      <c r="I348" s="22" t="n"/>
      <c r="J348" s="22" t="n"/>
      <c r="K348" s="22" t="n"/>
      <c r="L348" s="22" t="n"/>
      <c r="M348" s="22" t="n"/>
      <c r="N348" s="22" t="n"/>
      <c r="O348" s="23">
        <f>IF($C348="","",N(L348)-N(M348))</f>
        <v/>
      </c>
      <c r="P348" s="24" t="n"/>
      <c r="Q348" s="23">
        <f>IF($C348="","",N(M348)+N(N348))</f>
        <v/>
      </c>
      <c r="R348" s="23">
        <f>IF($C348="","",N(J348)+N(Q348))</f>
        <v/>
      </c>
      <c r="S348" s="25">
        <f>IF(OR($C348="",N($G348)=0),"",R348/$G348)</f>
        <v/>
      </c>
      <c r="T348" s="23">
        <f>IF($C348="","",N($G348)-N(R348))</f>
        <v/>
      </c>
      <c r="U348" s="24" t="n"/>
      <c r="V348" s="22" t="n"/>
    </row>
    <row r="349">
      <c r="B349" s="13">
        <f>IF($C349="","",COUNTA($C$9:$C349))</f>
        <v/>
      </c>
      <c r="C349" s="21" t="n"/>
      <c r="D349" s="14" t="n"/>
      <c r="E349" s="14" t="n"/>
      <c r="F349" s="14" t="n"/>
      <c r="G349" s="22" t="n"/>
      <c r="H349" s="22" t="n"/>
      <c r="I349" s="22" t="n"/>
      <c r="J349" s="22" t="n"/>
      <c r="K349" s="22" t="n"/>
      <c r="L349" s="22" t="n"/>
      <c r="M349" s="22" t="n"/>
      <c r="N349" s="22" t="n"/>
      <c r="O349" s="23">
        <f>IF($C349="","",N(L349)-N(M349))</f>
        <v/>
      </c>
      <c r="P349" s="24" t="n"/>
      <c r="Q349" s="23">
        <f>IF($C349="","",N(M349)+N(N349))</f>
        <v/>
      </c>
      <c r="R349" s="23">
        <f>IF($C349="","",N(J349)+N(Q349))</f>
        <v/>
      </c>
      <c r="S349" s="25">
        <f>IF(OR($C349="",N($G349)=0),"",R349/$G349)</f>
        <v/>
      </c>
      <c r="T349" s="23">
        <f>IF($C349="","",N($G349)-N(R349))</f>
        <v/>
      </c>
      <c r="U349" s="24" t="n"/>
      <c r="V349" s="22" t="n"/>
    </row>
    <row r="350">
      <c r="B350" s="13">
        <f>IF($C350="","",COUNTA($C$9:$C350))</f>
        <v/>
      </c>
      <c r="C350" s="21" t="n"/>
      <c r="D350" s="14" t="n"/>
      <c r="E350" s="14" t="n"/>
      <c r="F350" s="14" t="n"/>
      <c r="G350" s="22" t="n"/>
      <c r="H350" s="22" t="n"/>
      <c r="I350" s="22" t="n"/>
      <c r="J350" s="22" t="n"/>
      <c r="K350" s="22" t="n"/>
      <c r="L350" s="22" t="n"/>
      <c r="M350" s="22" t="n"/>
      <c r="N350" s="22" t="n"/>
      <c r="O350" s="23">
        <f>IF($C350="","",N(L350)-N(M350))</f>
        <v/>
      </c>
      <c r="P350" s="24" t="n"/>
      <c r="Q350" s="23">
        <f>IF($C350="","",N(M350)+N(N350))</f>
        <v/>
      </c>
      <c r="R350" s="23">
        <f>IF($C350="","",N(J350)+N(Q350))</f>
        <v/>
      </c>
      <c r="S350" s="25">
        <f>IF(OR($C350="",N($G350)=0),"",R350/$G350)</f>
        <v/>
      </c>
      <c r="T350" s="23">
        <f>IF($C350="","",N($G350)-N(R350))</f>
        <v/>
      </c>
      <c r="U350" s="24" t="n"/>
      <c r="V350" s="22" t="n"/>
    </row>
    <row r="351">
      <c r="B351" s="13">
        <f>IF($C351="","",COUNTA($C$9:$C351))</f>
        <v/>
      </c>
      <c r="C351" s="21" t="n"/>
      <c r="D351" s="14" t="n"/>
      <c r="E351" s="14" t="n"/>
      <c r="F351" s="14" t="n"/>
      <c r="G351" s="22" t="n"/>
      <c r="H351" s="22" t="n"/>
      <c r="I351" s="22" t="n"/>
      <c r="J351" s="22" t="n"/>
      <c r="K351" s="22" t="n"/>
      <c r="L351" s="22" t="n"/>
      <c r="M351" s="22" t="n"/>
      <c r="N351" s="22" t="n"/>
      <c r="O351" s="23">
        <f>IF($C351="","",N(L351)-N(M351))</f>
        <v/>
      </c>
      <c r="P351" s="24" t="n"/>
      <c r="Q351" s="23">
        <f>IF($C351="","",N(M351)+N(N351))</f>
        <v/>
      </c>
      <c r="R351" s="23">
        <f>IF($C351="","",N(J351)+N(Q351))</f>
        <v/>
      </c>
      <c r="S351" s="25">
        <f>IF(OR($C351="",N($G351)=0),"",R351/$G351)</f>
        <v/>
      </c>
      <c r="T351" s="23">
        <f>IF($C351="","",N($G351)-N(R351))</f>
        <v/>
      </c>
      <c r="U351" s="24" t="n"/>
      <c r="V351" s="22" t="n"/>
    </row>
    <row r="352">
      <c r="B352" s="13">
        <f>IF($C352="","",COUNTA($C$9:$C352))</f>
        <v/>
      </c>
      <c r="C352" s="21" t="n"/>
      <c r="D352" s="14" t="n"/>
      <c r="E352" s="14" t="n"/>
      <c r="F352" s="14" t="n"/>
      <c r="G352" s="22" t="n"/>
      <c r="H352" s="22" t="n"/>
      <c r="I352" s="22" t="n"/>
      <c r="J352" s="22" t="n"/>
      <c r="K352" s="22" t="n"/>
      <c r="L352" s="22" t="n"/>
      <c r="M352" s="22" t="n"/>
      <c r="N352" s="22" t="n"/>
      <c r="O352" s="23">
        <f>IF($C352="","",N(L352)-N(M352))</f>
        <v/>
      </c>
      <c r="P352" s="24" t="n"/>
      <c r="Q352" s="23">
        <f>IF($C352="","",N(M352)+N(N352))</f>
        <v/>
      </c>
      <c r="R352" s="23">
        <f>IF($C352="","",N(J352)+N(Q352))</f>
        <v/>
      </c>
      <c r="S352" s="25">
        <f>IF(OR($C352="",N($G352)=0),"",R352/$G352)</f>
        <v/>
      </c>
      <c r="T352" s="23">
        <f>IF($C352="","",N($G352)-N(R352))</f>
        <v/>
      </c>
      <c r="U352" s="24" t="n"/>
      <c r="V352" s="22" t="n"/>
    </row>
    <row r="353">
      <c r="B353" s="13">
        <f>IF($C353="","",COUNTA($C$9:$C353))</f>
        <v/>
      </c>
      <c r="C353" s="21" t="n"/>
      <c r="D353" s="14" t="n"/>
      <c r="E353" s="14" t="n"/>
      <c r="F353" s="14" t="n"/>
      <c r="G353" s="22" t="n"/>
      <c r="H353" s="22" t="n"/>
      <c r="I353" s="22" t="n"/>
      <c r="J353" s="22" t="n"/>
      <c r="K353" s="22" t="n"/>
      <c r="L353" s="22" t="n"/>
      <c r="M353" s="22" t="n"/>
      <c r="N353" s="22" t="n"/>
      <c r="O353" s="23">
        <f>IF($C353="","",N(L353)-N(M353))</f>
        <v/>
      </c>
      <c r="P353" s="24" t="n"/>
      <c r="Q353" s="23">
        <f>IF($C353="","",N(M353)+N(N353))</f>
        <v/>
      </c>
      <c r="R353" s="23">
        <f>IF($C353="","",N(J353)+N(Q353))</f>
        <v/>
      </c>
      <c r="S353" s="25">
        <f>IF(OR($C353="",N($G353)=0),"",R353/$G353)</f>
        <v/>
      </c>
      <c r="T353" s="23">
        <f>IF($C353="","",N($G353)-N(R353))</f>
        <v/>
      </c>
      <c r="U353" s="24" t="n"/>
      <c r="V353" s="22" t="n"/>
    </row>
    <row r="354">
      <c r="B354" s="13">
        <f>IF($C354="","",COUNTA($C$9:$C354))</f>
        <v/>
      </c>
      <c r="C354" s="21" t="n"/>
      <c r="D354" s="14" t="n"/>
      <c r="E354" s="14" t="n"/>
      <c r="F354" s="14" t="n"/>
      <c r="G354" s="22" t="n"/>
      <c r="H354" s="22" t="n"/>
      <c r="I354" s="22" t="n"/>
      <c r="J354" s="22" t="n"/>
      <c r="K354" s="22" t="n"/>
      <c r="L354" s="22" t="n"/>
      <c r="M354" s="22" t="n"/>
      <c r="N354" s="22" t="n"/>
      <c r="O354" s="23">
        <f>IF($C354="","",N(L354)-N(M354))</f>
        <v/>
      </c>
      <c r="P354" s="24" t="n"/>
      <c r="Q354" s="23">
        <f>IF($C354="","",N(M354)+N(N354))</f>
        <v/>
      </c>
      <c r="R354" s="23">
        <f>IF($C354="","",N(J354)+N(Q354))</f>
        <v/>
      </c>
      <c r="S354" s="25">
        <f>IF(OR($C354="",N($G354)=0),"",R354/$G354)</f>
        <v/>
      </c>
      <c r="T354" s="23">
        <f>IF($C354="","",N($G354)-N(R354))</f>
        <v/>
      </c>
      <c r="U354" s="24" t="n"/>
      <c r="V354" s="22" t="n"/>
    </row>
    <row r="355">
      <c r="B355" s="13">
        <f>IF($C355="","",COUNTA($C$9:$C355))</f>
        <v/>
      </c>
      <c r="C355" s="21" t="n"/>
      <c r="D355" s="14" t="n"/>
      <c r="E355" s="14" t="n"/>
      <c r="F355" s="14" t="n"/>
      <c r="G355" s="22" t="n"/>
      <c r="H355" s="22" t="n"/>
      <c r="I355" s="22" t="n"/>
      <c r="J355" s="22" t="n"/>
      <c r="K355" s="22" t="n"/>
      <c r="L355" s="22" t="n"/>
      <c r="M355" s="22" t="n"/>
      <c r="N355" s="22" t="n"/>
      <c r="O355" s="23">
        <f>IF($C355="","",N(L355)-N(M355))</f>
        <v/>
      </c>
      <c r="P355" s="24" t="n"/>
      <c r="Q355" s="23">
        <f>IF($C355="","",N(M355)+N(N355))</f>
        <v/>
      </c>
      <c r="R355" s="23">
        <f>IF($C355="","",N(J355)+N(Q355))</f>
        <v/>
      </c>
      <c r="S355" s="25">
        <f>IF(OR($C355="",N($G355)=0),"",R355/$G355)</f>
        <v/>
      </c>
      <c r="T355" s="23">
        <f>IF($C355="","",N($G355)-N(R355))</f>
        <v/>
      </c>
      <c r="U355" s="24" t="n"/>
      <c r="V355" s="22" t="n"/>
    </row>
    <row r="356">
      <c r="B356" s="13">
        <f>IF($C356="","",COUNTA($C$9:$C356))</f>
        <v/>
      </c>
      <c r="C356" s="21" t="n"/>
      <c r="D356" s="14" t="n"/>
      <c r="E356" s="14" t="n"/>
      <c r="F356" s="14" t="n"/>
      <c r="G356" s="22" t="n"/>
      <c r="H356" s="22" t="n"/>
      <c r="I356" s="22" t="n"/>
      <c r="J356" s="22" t="n"/>
      <c r="K356" s="22" t="n"/>
      <c r="L356" s="22" t="n"/>
      <c r="M356" s="22" t="n"/>
      <c r="N356" s="22" t="n"/>
      <c r="O356" s="23">
        <f>IF($C356="","",N(L356)-N(M356))</f>
        <v/>
      </c>
      <c r="P356" s="24" t="n"/>
      <c r="Q356" s="23">
        <f>IF($C356="","",N(M356)+N(N356))</f>
        <v/>
      </c>
      <c r="R356" s="23">
        <f>IF($C356="","",N(J356)+N(Q356))</f>
        <v/>
      </c>
      <c r="S356" s="25">
        <f>IF(OR($C356="",N($G356)=0),"",R356/$G356)</f>
        <v/>
      </c>
      <c r="T356" s="23">
        <f>IF($C356="","",N($G356)-N(R356))</f>
        <v/>
      </c>
      <c r="U356" s="24" t="n"/>
      <c r="V356" s="22" t="n"/>
    </row>
    <row r="357">
      <c r="B357" s="13">
        <f>IF($C357="","",COUNTA($C$9:$C357))</f>
        <v/>
      </c>
      <c r="C357" s="21" t="n"/>
      <c r="D357" s="14" t="n"/>
      <c r="E357" s="14" t="n"/>
      <c r="F357" s="14" t="n"/>
      <c r="G357" s="22" t="n"/>
      <c r="H357" s="22" t="n"/>
      <c r="I357" s="22" t="n"/>
      <c r="J357" s="22" t="n"/>
      <c r="K357" s="22" t="n"/>
      <c r="L357" s="22" t="n"/>
      <c r="M357" s="22" t="n"/>
      <c r="N357" s="22" t="n"/>
      <c r="O357" s="23">
        <f>IF($C357="","",N(L357)-N(M357))</f>
        <v/>
      </c>
      <c r="P357" s="24" t="n"/>
      <c r="Q357" s="23">
        <f>IF($C357="","",N(M357)+N(N357))</f>
        <v/>
      </c>
      <c r="R357" s="23">
        <f>IF($C357="","",N(J357)+N(Q357))</f>
        <v/>
      </c>
      <c r="S357" s="25">
        <f>IF(OR($C357="",N($G357)=0),"",R357/$G357)</f>
        <v/>
      </c>
      <c r="T357" s="23">
        <f>IF($C357="","",N($G357)-N(R357))</f>
        <v/>
      </c>
      <c r="U357" s="24" t="n"/>
      <c r="V357" s="22" t="n"/>
    </row>
    <row r="358">
      <c r="B358" s="13">
        <f>IF($C358="","",COUNTA($C$9:$C358))</f>
        <v/>
      </c>
      <c r="C358" s="21" t="n"/>
      <c r="D358" s="14" t="n"/>
      <c r="E358" s="14" t="n"/>
      <c r="F358" s="14" t="n"/>
      <c r="G358" s="22" t="n"/>
      <c r="H358" s="22" t="n"/>
      <c r="I358" s="22" t="n"/>
      <c r="J358" s="22" t="n"/>
      <c r="K358" s="22" t="n"/>
      <c r="L358" s="22" t="n"/>
      <c r="M358" s="22" t="n"/>
      <c r="N358" s="22" t="n"/>
      <c r="O358" s="23">
        <f>IF($C358="","",N(L358)-N(M358))</f>
        <v/>
      </c>
      <c r="P358" s="24" t="n"/>
      <c r="Q358" s="23">
        <f>IF($C358="","",N(M358)+N(N358))</f>
        <v/>
      </c>
      <c r="R358" s="23">
        <f>IF($C358="","",N(J358)+N(Q358))</f>
        <v/>
      </c>
      <c r="S358" s="25">
        <f>IF(OR($C358="",N($G358)=0),"",R358/$G358)</f>
        <v/>
      </c>
      <c r="T358" s="23">
        <f>IF($C358="","",N($G358)-N(R358))</f>
        <v/>
      </c>
      <c r="U358" s="24" t="n"/>
      <c r="V358" s="22" t="n"/>
    </row>
    <row r="359">
      <c r="B359" s="13">
        <f>IF($C359="","",COUNTA($C$9:$C359))</f>
        <v/>
      </c>
      <c r="C359" s="21" t="n"/>
      <c r="D359" s="14" t="n"/>
      <c r="E359" s="14" t="n"/>
      <c r="F359" s="14" t="n"/>
      <c r="G359" s="22" t="n"/>
      <c r="H359" s="22" t="n"/>
      <c r="I359" s="22" t="n"/>
      <c r="J359" s="22" t="n"/>
      <c r="K359" s="22" t="n"/>
      <c r="L359" s="22" t="n"/>
      <c r="M359" s="22" t="n"/>
      <c r="N359" s="22" t="n"/>
      <c r="O359" s="23">
        <f>IF($C359="","",N(L359)-N(M359))</f>
        <v/>
      </c>
      <c r="P359" s="24" t="n"/>
      <c r="Q359" s="23">
        <f>IF($C359="","",N(M359)+N(N359))</f>
        <v/>
      </c>
      <c r="R359" s="23">
        <f>IF($C359="","",N(J359)+N(Q359))</f>
        <v/>
      </c>
      <c r="S359" s="25">
        <f>IF(OR($C359="",N($G359)=0),"",R359/$G359)</f>
        <v/>
      </c>
      <c r="T359" s="23">
        <f>IF($C359="","",N($G359)-N(R359))</f>
        <v/>
      </c>
      <c r="U359" s="24" t="n"/>
      <c r="V359" s="22" t="n"/>
    </row>
    <row r="360">
      <c r="B360" s="13">
        <f>IF($C360="","",COUNTA($C$9:$C360))</f>
        <v/>
      </c>
      <c r="C360" s="21" t="n"/>
      <c r="D360" s="14" t="n"/>
      <c r="E360" s="14" t="n"/>
      <c r="F360" s="14" t="n"/>
      <c r="G360" s="22" t="n"/>
      <c r="H360" s="22" t="n"/>
      <c r="I360" s="22" t="n"/>
      <c r="J360" s="22" t="n"/>
      <c r="K360" s="22" t="n"/>
      <c r="L360" s="22" t="n"/>
      <c r="M360" s="22" t="n"/>
      <c r="N360" s="22" t="n"/>
      <c r="O360" s="23">
        <f>IF($C360="","",N(L360)-N(M360))</f>
        <v/>
      </c>
      <c r="P360" s="24" t="n"/>
      <c r="Q360" s="23">
        <f>IF($C360="","",N(M360)+N(N360))</f>
        <v/>
      </c>
      <c r="R360" s="23">
        <f>IF($C360="","",N(J360)+N(Q360))</f>
        <v/>
      </c>
      <c r="S360" s="25">
        <f>IF(OR($C360="",N($G360)=0),"",R360/$G360)</f>
        <v/>
      </c>
      <c r="T360" s="23">
        <f>IF($C360="","",N($G360)-N(R360))</f>
        <v/>
      </c>
      <c r="U360" s="24" t="n"/>
      <c r="V360" s="22" t="n"/>
    </row>
    <row r="361">
      <c r="B361" s="13">
        <f>IF($C361="","",COUNTA($C$9:$C361))</f>
        <v/>
      </c>
      <c r="C361" s="21" t="n"/>
      <c r="D361" s="14" t="n"/>
      <c r="E361" s="14" t="n"/>
      <c r="F361" s="14" t="n"/>
      <c r="G361" s="22" t="n"/>
      <c r="H361" s="22" t="n"/>
      <c r="I361" s="22" t="n"/>
      <c r="J361" s="22" t="n"/>
      <c r="K361" s="22" t="n"/>
      <c r="L361" s="22" t="n"/>
      <c r="M361" s="22" t="n"/>
      <c r="N361" s="22" t="n"/>
      <c r="O361" s="23">
        <f>IF($C361="","",N(L361)-N(M361))</f>
        <v/>
      </c>
      <c r="P361" s="24" t="n"/>
      <c r="Q361" s="23">
        <f>IF($C361="","",N(M361)+N(N361))</f>
        <v/>
      </c>
      <c r="R361" s="23">
        <f>IF($C361="","",N(J361)+N(Q361))</f>
        <v/>
      </c>
      <c r="S361" s="25">
        <f>IF(OR($C361="",N($G361)=0),"",R361/$G361)</f>
        <v/>
      </c>
      <c r="T361" s="23">
        <f>IF($C361="","",N($G361)-N(R361))</f>
        <v/>
      </c>
      <c r="U361" s="24" t="n"/>
      <c r="V361" s="22" t="n"/>
    </row>
    <row r="362">
      <c r="B362" s="13">
        <f>IF($C362="","",COUNTA($C$9:$C362))</f>
        <v/>
      </c>
      <c r="C362" s="21" t="n"/>
      <c r="D362" s="14" t="n"/>
      <c r="E362" s="14" t="n"/>
      <c r="F362" s="14" t="n"/>
      <c r="G362" s="22" t="n"/>
      <c r="H362" s="22" t="n"/>
      <c r="I362" s="22" t="n"/>
      <c r="J362" s="22" t="n"/>
      <c r="K362" s="22" t="n"/>
      <c r="L362" s="22" t="n"/>
      <c r="M362" s="22" t="n"/>
      <c r="N362" s="22" t="n"/>
      <c r="O362" s="23">
        <f>IF($C362="","",N(L362)-N(M362))</f>
        <v/>
      </c>
      <c r="P362" s="24" t="n"/>
      <c r="Q362" s="23">
        <f>IF($C362="","",N(M362)+N(N362))</f>
        <v/>
      </c>
      <c r="R362" s="23">
        <f>IF($C362="","",N(J362)+N(Q362))</f>
        <v/>
      </c>
      <c r="S362" s="25">
        <f>IF(OR($C362="",N($G362)=0),"",R362/$G362)</f>
        <v/>
      </c>
      <c r="T362" s="23">
        <f>IF($C362="","",N($G362)-N(R362))</f>
        <v/>
      </c>
      <c r="U362" s="24" t="n"/>
      <c r="V362" s="22" t="n"/>
    </row>
    <row r="363">
      <c r="B363" s="13">
        <f>IF($C363="","",COUNTA($C$9:$C363))</f>
        <v/>
      </c>
      <c r="C363" s="21" t="n"/>
      <c r="D363" s="14" t="n"/>
      <c r="E363" s="14" t="n"/>
      <c r="F363" s="14" t="n"/>
      <c r="G363" s="22" t="n"/>
      <c r="H363" s="22" t="n"/>
      <c r="I363" s="22" t="n"/>
      <c r="J363" s="22" t="n"/>
      <c r="K363" s="22" t="n"/>
      <c r="L363" s="22" t="n"/>
      <c r="M363" s="22" t="n"/>
      <c r="N363" s="22" t="n"/>
      <c r="O363" s="23">
        <f>IF($C363="","",N(L363)-N(M363))</f>
        <v/>
      </c>
      <c r="P363" s="24" t="n"/>
      <c r="Q363" s="23">
        <f>IF($C363="","",N(M363)+N(N363))</f>
        <v/>
      </c>
      <c r="R363" s="23">
        <f>IF($C363="","",N(J363)+N(Q363))</f>
        <v/>
      </c>
      <c r="S363" s="25">
        <f>IF(OR($C363="",N($G363)=0),"",R363/$G363)</f>
        <v/>
      </c>
      <c r="T363" s="23">
        <f>IF($C363="","",N($G363)-N(R363))</f>
        <v/>
      </c>
      <c r="U363" s="24" t="n"/>
      <c r="V363" s="22" t="n"/>
    </row>
    <row r="364">
      <c r="B364" s="13">
        <f>IF($C364="","",COUNTA($C$9:$C364))</f>
        <v/>
      </c>
      <c r="C364" s="21" t="n"/>
      <c r="D364" s="14" t="n"/>
      <c r="E364" s="14" t="n"/>
      <c r="F364" s="14" t="n"/>
      <c r="G364" s="22" t="n"/>
      <c r="H364" s="22" t="n"/>
      <c r="I364" s="22" t="n"/>
      <c r="J364" s="22" t="n"/>
      <c r="K364" s="22" t="n"/>
      <c r="L364" s="22" t="n"/>
      <c r="M364" s="22" t="n"/>
      <c r="N364" s="22" t="n"/>
      <c r="O364" s="23">
        <f>IF($C364="","",N(L364)-N(M364))</f>
        <v/>
      </c>
      <c r="P364" s="24" t="n"/>
      <c r="Q364" s="23">
        <f>IF($C364="","",N(M364)+N(N364))</f>
        <v/>
      </c>
      <c r="R364" s="23">
        <f>IF($C364="","",N(J364)+N(Q364))</f>
        <v/>
      </c>
      <c r="S364" s="25">
        <f>IF(OR($C364="",N($G364)=0),"",R364/$G364)</f>
        <v/>
      </c>
      <c r="T364" s="23">
        <f>IF($C364="","",N($G364)-N(R364))</f>
        <v/>
      </c>
      <c r="U364" s="24" t="n"/>
      <c r="V364" s="22" t="n"/>
    </row>
    <row r="365">
      <c r="B365" s="13">
        <f>IF($C365="","",COUNTA($C$9:$C365))</f>
        <v/>
      </c>
      <c r="C365" s="21" t="n"/>
      <c r="D365" s="14" t="n"/>
      <c r="E365" s="14" t="n"/>
      <c r="F365" s="14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3">
        <f>IF($C365="","",N(L365)-N(M365))</f>
        <v/>
      </c>
      <c r="P365" s="24" t="n"/>
      <c r="Q365" s="23">
        <f>IF($C365="","",N(M365)+N(N365))</f>
        <v/>
      </c>
      <c r="R365" s="23">
        <f>IF($C365="","",N(J365)+N(Q365))</f>
        <v/>
      </c>
      <c r="S365" s="25">
        <f>IF(OR($C365="",N($G365)=0),"",R365/$G365)</f>
        <v/>
      </c>
      <c r="T365" s="23">
        <f>IF($C365="","",N($G365)-N(R365))</f>
        <v/>
      </c>
      <c r="U365" s="24" t="n"/>
      <c r="V365" s="22" t="n"/>
    </row>
    <row r="366">
      <c r="B366" s="13">
        <f>IF($C366="","",COUNTA($C$9:$C366))</f>
        <v/>
      </c>
      <c r="C366" s="21" t="n"/>
      <c r="D366" s="14" t="n"/>
      <c r="E366" s="14" t="n"/>
      <c r="F366" s="14" t="n"/>
      <c r="G366" s="22" t="n"/>
      <c r="H366" s="22" t="n"/>
      <c r="I366" s="22" t="n"/>
      <c r="J366" s="22" t="n"/>
      <c r="K366" s="22" t="n"/>
      <c r="L366" s="22" t="n"/>
      <c r="M366" s="22" t="n"/>
      <c r="N366" s="22" t="n"/>
      <c r="O366" s="23">
        <f>IF($C366="","",N(L366)-N(M366))</f>
        <v/>
      </c>
      <c r="P366" s="24" t="n"/>
      <c r="Q366" s="23">
        <f>IF($C366="","",N(M366)+N(N366))</f>
        <v/>
      </c>
      <c r="R366" s="23">
        <f>IF($C366="","",N(J366)+N(Q366))</f>
        <v/>
      </c>
      <c r="S366" s="25">
        <f>IF(OR($C366="",N($G366)=0),"",R366/$G366)</f>
        <v/>
      </c>
      <c r="T366" s="23">
        <f>IF($C366="","",N($G366)-N(R366))</f>
        <v/>
      </c>
      <c r="U366" s="24" t="n"/>
      <c r="V366" s="22" t="n"/>
    </row>
    <row r="367">
      <c r="B367" s="13">
        <f>IF($C367="","",COUNTA($C$9:$C367))</f>
        <v/>
      </c>
      <c r="C367" s="21" t="n"/>
      <c r="D367" s="14" t="n"/>
      <c r="E367" s="14" t="n"/>
      <c r="F367" s="14" t="n"/>
      <c r="G367" s="22" t="n"/>
      <c r="H367" s="22" t="n"/>
      <c r="I367" s="22" t="n"/>
      <c r="J367" s="22" t="n"/>
      <c r="K367" s="22" t="n"/>
      <c r="L367" s="22" t="n"/>
      <c r="M367" s="22" t="n"/>
      <c r="N367" s="22" t="n"/>
      <c r="O367" s="23">
        <f>IF($C367="","",N(L367)-N(M367))</f>
        <v/>
      </c>
      <c r="P367" s="24" t="n"/>
      <c r="Q367" s="23">
        <f>IF($C367="","",N(M367)+N(N367))</f>
        <v/>
      </c>
      <c r="R367" s="23">
        <f>IF($C367="","",N(J367)+N(Q367))</f>
        <v/>
      </c>
      <c r="S367" s="25">
        <f>IF(OR($C367="",N($G367)=0),"",R367/$G367)</f>
        <v/>
      </c>
      <c r="T367" s="23">
        <f>IF($C367="","",N($G367)-N(R367))</f>
        <v/>
      </c>
      <c r="U367" s="24" t="n"/>
      <c r="V367" s="22" t="n"/>
    </row>
    <row r="368">
      <c r="B368" s="13">
        <f>IF($C368="","",COUNTA($C$9:$C368))</f>
        <v/>
      </c>
      <c r="C368" s="21" t="n"/>
      <c r="D368" s="14" t="n"/>
      <c r="E368" s="14" t="n"/>
      <c r="F368" s="14" t="n"/>
      <c r="G368" s="22" t="n"/>
      <c r="H368" s="22" t="n"/>
      <c r="I368" s="22" t="n"/>
      <c r="J368" s="22" t="n"/>
      <c r="K368" s="22" t="n"/>
      <c r="L368" s="22" t="n"/>
      <c r="M368" s="22" t="n"/>
      <c r="N368" s="22" t="n"/>
      <c r="O368" s="23">
        <f>IF($C368="","",N(L368)-N(M368))</f>
        <v/>
      </c>
      <c r="P368" s="24" t="n"/>
      <c r="Q368" s="23">
        <f>IF($C368="","",N(M368)+N(N368))</f>
        <v/>
      </c>
      <c r="R368" s="23">
        <f>IF($C368="","",N(J368)+N(Q368))</f>
        <v/>
      </c>
      <c r="S368" s="25">
        <f>IF(OR($C368="",N($G368)=0),"",R368/$G368)</f>
        <v/>
      </c>
      <c r="T368" s="23">
        <f>IF($C368="","",N($G368)-N(R368))</f>
        <v/>
      </c>
      <c r="U368" s="24" t="n"/>
      <c r="V368" s="22" t="n"/>
    </row>
    <row r="369">
      <c r="B369" s="13">
        <f>IF($C369="","",COUNTA($C$9:$C369))</f>
        <v/>
      </c>
      <c r="C369" s="21" t="n"/>
      <c r="D369" s="14" t="n"/>
      <c r="E369" s="14" t="n"/>
      <c r="F369" s="14" t="n"/>
      <c r="G369" s="22" t="n"/>
      <c r="H369" s="22" t="n"/>
      <c r="I369" s="22" t="n"/>
      <c r="J369" s="22" t="n"/>
      <c r="K369" s="22" t="n"/>
      <c r="L369" s="22" t="n"/>
      <c r="M369" s="22" t="n"/>
      <c r="N369" s="22" t="n"/>
      <c r="O369" s="23">
        <f>IF($C369="","",N(L369)-N(M369))</f>
        <v/>
      </c>
      <c r="P369" s="24" t="n"/>
      <c r="Q369" s="23">
        <f>IF($C369="","",N(M369)+N(N369))</f>
        <v/>
      </c>
      <c r="R369" s="23">
        <f>IF($C369="","",N(J369)+N(Q369))</f>
        <v/>
      </c>
      <c r="S369" s="25">
        <f>IF(OR($C369="",N($G369)=0),"",R369/$G369)</f>
        <v/>
      </c>
      <c r="T369" s="23">
        <f>IF($C369="","",N($G369)-N(R369))</f>
        <v/>
      </c>
      <c r="U369" s="24" t="n"/>
      <c r="V369" s="22" t="n"/>
    </row>
    <row r="370">
      <c r="B370" s="13">
        <f>IF($C370="","",COUNTA($C$9:$C370))</f>
        <v/>
      </c>
      <c r="C370" s="21" t="n"/>
      <c r="D370" s="14" t="n"/>
      <c r="E370" s="14" t="n"/>
      <c r="F370" s="14" t="n"/>
      <c r="G370" s="22" t="n"/>
      <c r="H370" s="22" t="n"/>
      <c r="I370" s="22" t="n"/>
      <c r="J370" s="22" t="n"/>
      <c r="K370" s="22" t="n"/>
      <c r="L370" s="22" t="n"/>
      <c r="M370" s="22" t="n"/>
      <c r="N370" s="22" t="n"/>
      <c r="O370" s="23">
        <f>IF($C370="","",N(L370)-N(M370))</f>
        <v/>
      </c>
      <c r="P370" s="24" t="n"/>
      <c r="Q370" s="23">
        <f>IF($C370="","",N(M370)+N(N370))</f>
        <v/>
      </c>
      <c r="R370" s="23">
        <f>IF($C370="","",N(J370)+N(Q370))</f>
        <v/>
      </c>
      <c r="S370" s="25">
        <f>IF(OR($C370="",N($G370)=0),"",R370/$G370)</f>
        <v/>
      </c>
      <c r="T370" s="23">
        <f>IF($C370="","",N($G370)-N(R370))</f>
        <v/>
      </c>
      <c r="U370" s="24" t="n"/>
      <c r="V370" s="22" t="n"/>
    </row>
    <row r="371">
      <c r="B371" s="13">
        <f>IF($C371="","",COUNTA($C$9:$C371))</f>
        <v/>
      </c>
      <c r="C371" s="21" t="n"/>
      <c r="D371" s="14" t="n"/>
      <c r="E371" s="14" t="n"/>
      <c r="F371" s="14" t="n"/>
      <c r="G371" s="22" t="n"/>
      <c r="H371" s="22" t="n"/>
      <c r="I371" s="22" t="n"/>
      <c r="J371" s="22" t="n"/>
      <c r="K371" s="22" t="n"/>
      <c r="L371" s="22" t="n"/>
      <c r="M371" s="22" t="n"/>
      <c r="N371" s="22" t="n"/>
      <c r="O371" s="23">
        <f>IF($C371="","",N(L371)-N(M371))</f>
        <v/>
      </c>
      <c r="P371" s="24" t="n"/>
      <c r="Q371" s="23">
        <f>IF($C371="","",N(M371)+N(N371))</f>
        <v/>
      </c>
      <c r="R371" s="23">
        <f>IF($C371="","",N(J371)+N(Q371))</f>
        <v/>
      </c>
      <c r="S371" s="25">
        <f>IF(OR($C371="",N($G371)=0),"",R371/$G371)</f>
        <v/>
      </c>
      <c r="T371" s="23">
        <f>IF($C371="","",N($G371)-N(R371))</f>
        <v/>
      </c>
      <c r="U371" s="24" t="n"/>
      <c r="V371" s="22" t="n"/>
    </row>
    <row r="372">
      <c r="B372" s="13">
        <f>IF($C372="","",COUNTA($C$9:$C372))</f>
        <v/>
      </c>
      <c r="C372" s="21" t="n"/>
      <c r="D372" s="14" t="n"/>
      <c r="E372" s="14" t="n"/>
      <c r="F372" s="14" t="n"/>
      <c r="G372" s="22" t="n"/>
      <c r="H372" s="22" t="n"/>
      <c r="I372" s="22" t="n"/>
      <c r="J372" s="22" t="n"/>
      <c r="K372" s="22" t="n"/>
      <c r="L372" s="22" t="n"/>
      <c r="M372" s="22" t="n"/>
      <c r="N372" s="22" t="n"/>
      <c r="O372" s="23">
        <f>IF($C372="","",N(L372)-N(M372))</f>
        <v/>
      </c>
      <c r="P372" s="24" t="n"/>
      <c r="Q372" s="23">
        <f>IF($C372="","",N(M372)+N(N372))</f>
        <v/>
      </c>
      <c r="R372" s="23">
        <f>IF($C372="","",N(J372)+N(Q372))</f>
        <v/>
      </c>
      <c r="S372" s="25">
        <f>IF(OR($C372="",N($G372)=0),"",R372/$G372)</f>
        <v/>
      </c>
      <c r="T372" s="23">
        <f>IF($C372="","",N($G372)-N(R372))</f>
        <v/>
      </c>
      <c r="U372" s="24" t="n"/>
      <c r="V372" s="22" t="n"/>
    </row>
    <row r="373">
      <c r="B373" s="13">
        <f>IF($C373="","",COUNTA($C$9:$C373))</f>
        <v/>
      </c>
      <c r="C373" s="21" t="n"/>
      <c r="D373" s="14" t="n"/>
      <c r="E373" s="14" t="n"/>
      <c r="F373" s="14" t="n"/>
      <c r="G373" s="22" t="n"/>
      <c r="H373" s="22" t="n"/>
      <c r="I373" s="22" t="n"/>
      <c r="J373" s="22" t="n"/>
      <c r="K373" s="22" t="n"/>
      <c r="L373" s="22" t="n"/>
      <c r="M373" s="22" t="n"/>
      <c r="N373" s="22" t="n"/>
      <c r="O373" s="23">
        <f>IF($C373="","",N(L373)-N(M373))</f>
        <v/>
      </c>
      <c r="P373" s="24" t="n"/>
      <c r="Q373" s="23">
        <f>IF($C373="","",N(M373)+N(N373))</f>
        <v/>
      </c>
      <c r="R373" s="23">
        <f>IF($C373="","",N(J373)+N(Q373))</f>
        <v/>
      </c>
      <c r="S373" s="25">
        <f>IF(OR($C373="",N($G373)=0),"",R373/$G373)</f>
        <v/>
      </c>
      <c r="T373" s="23">
        <f>IF($C373="","",N($G373)-N(R373))</f>
        <v/>
      </c>
      <c r="U373" s="24" t="n"/>
      <c r="V373" s="22" t="n"/>
    </row>
    <row r="374">
      <c r="B374" s="13">
        <f>IF($C374="","",COUNTA($C$9:$C374))</f>
        <v/>
      </c>
      <c r="C374" s="21" t="n"/>
      <c r="D374" s="14" t="n"/>
      <c r="E374" s="14" t="n"/>
      <c r="F374" s="14" t="n"/>
      <c r="G374" s="22" t="n"/>
      <c r="H374" s="22" t="n"/>
      <c r="I374" s="22" t="n"/>
      <c r="J374" s="22" t="n"/>
      <c r="K374" s="22" t="n"/>
      <c r="L374" s="22" t="n"/>
      <c r="M374" s="22" t="n"/>
      <c r="N374" s="22" t="n"/>
      <c r="O374" s="23">
        <f>IF($C374="","",N(L374)-N(M374))</f>
        <v/>
      </c>
      <c r="P374" s="24" t="n"/>
      <c r="Q374" s="23">
        <f>IF($C374="","",N(M374)+N(N374))</f>
        <v/>
      </c>
      <c r="R374" s="23">
        <f>IF($C374="","",N(J374)+N(Q374))</f>
        <v/>
      </c>
      <c r="S374" s="25">
        <f>IF(OR($C374="",N($G374)=0),"",R374/$G374)</f>
        <v/>
      </c>
      <c r="T374" s="23">
        <f>IF($C374="","",N($G374)-N(R374))</f>
        <v/>
      </c>
      <c r="U374" s="24" t="n"/>
      <c r="V374" s="22" t="n"/>
    </row>
    <row r="375">
      <c r="B375" s="13">
        <f>IF($C375="","",COUNTA($C$9:$C375))</f>
        <v/>
      </c>
      <c r="C375" s="21" t="n"/>
      <c r="D375" s="14" t="n"/>
      <c r="E375" s="14" t="n"/>
      <c r="F375" s="14" t="n"/>
      <c r="G375" s="22" t="n"/>
      <c r="H375" s="22" t="n"/>
      <c r="I375" s="22" t="n"/>
      <c r="J375" s="22" t="n"/>
      <c r="K375" s="22" t="n"/>
      <c r="L375" s="22" t="n"/>
      <c r="M375" s="22" t="n"/>
      <c r="N375" s="22" t="n"/>
      <c r="O375" s="23">
        <f>IF($C375="","",N(L375)-N(M375))</f>
        <v/>
      </c>
      <c r="P375" s="24" t="n"/>
      <c r="Q375" s="23">
        <f>IF($C375="","",N(M375)+N(N375))</f>
        <v/>
      </c>
      <c r="R375" s="23">
        <f>IF($C375="","",N(J375)+N(Q375))</f>
        <v/>
      </c>
      <c r="S375" s="25">
        <f>IF(OR($C375="",N($G375)=0),"",R375/$G375)</f>
        <v/>
      </c>
      <c r="T375" s="23">
        <f>IF($C375="","",N($G375)-N(R375))</f>
        <v/>
      </c>
      <c r="U375" s="24" t="n"/>
      <c r="V375" s="22" t="n"/>
    </row>
    <row r="376">
      <c r="B376" s="13">
        <f>IF($C376="","",COUNTA($C$9:$C376))</f>
        <v/>
      </c>
      <c r="C376" s="21" t="n"/>
      <c r="D376" s="14" t="n"/>
      <c r="E376" s="14" t="n"/>
      <c r="F376" s="14" t="n"/>
      <c r="G376" s="22" t="n"/>
      <c r="H376" s="22" t="n"/>
      <c r="I376" s="22" t="n"/>
      <c r="J376" s="22" t="n"/>
      <c r="K376" s="22" t="n"/>
      <c r="L376" s="22" t="n"/>
      <c r="M376" s="22" t="n"/>
      <c r="N376" s="22" t="n"/>
      <c r="O376" s="23">
        <f>IF($C376="","",N(L376)-N(M376))</f>
        <v/>
      </c>
      <c r="P376" s="24" t="n"/>
      <c r="Q376" s="23">
        <f>IF($C376="","",N(M376)+N(N376))</f>
        <v/>
      </c>
      <c r="R376" s="23">
        <f>IF($C376="","",N(J376)+N(Q376))</f>
        <v/>
      </c>
      <c r="S376" s="25">
        <f>IF(OR($C376="",N($G376)=0),"",R376/$G376)</f>
        <v/>
      </c>
      <c r="T376" s="23">
        <f>IF($C376="","",N($G376)-N(R376))</f>
        <v/>
      </c>
      <c r="U376" s="24" t="n"/>
      <c r="V376" s="22" t="n"/>
    </row>
    <row r="377">
      <c r="B377" s="13">
        <f>IF($C377="","",COUNTA($C$9:$C377))</f>
        <v/>
      </c>
      <c r="C377" s="21" t="n"/>
      <c r="D377" s="14" t="n"/>
      <c r="E377" s="14" t="n"/>
      <c r="F377" s="14" t="n"/>
      <c r="G377" s="22" t="n"/>
      <c r="H377" s="22" t="n"/>
      <c r="I377" s="22" t="n"/>
      <c r="J377" s="22" t="n"/>
      <c r="K377" s="22" t="n"/>
      <c r="L377" s="22" t="n"/>
      <c r="M377" s="22" t="n"/>
      <c r="N377" s="22" t="n"/>
      <c r="O377" s="23">
        <f>IF($C377="","",N(L377)-N(M377))</f>
        <v/>
      </c>
      <c r="P377" s="24" t="n"/>
      <c r="Q377" s="23">
        <f>IF($C377="","",N(M377)+N(N377))</f>
        <v/>
      </c>
      <c r="R377" s="23">
        <f>IF($C377="","",N(J377)+N(Q377))</f>
        <v/>
      </c>
      <c r="S377" s="25">
        <f>IF(OR($C377="",N($G377)=0),"",R377/$G377)</f>
        <v/>
      </c>
      <c r="T377" s="23">
        <f>IF($C377="","",N($G377)-N(R377))</f>
        <v/>
      </c>
      <c r="U377" s="24" t="n"/>
      <c r="V377" s="22" t="n"/>
    </row>
    <row r="378">
      <c r="B378" s="13">
        <f>IF($C378="","",COUNTA($C$9:$C378))</f>
        <v/>
      </c>
      <c r="C378" s="21" t="n"/>
      <c r="D378" s="14" t="n"/>
      <c r="E378" s="14" t="n"/>
      <c r="F378" s="14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3">
        <f>IF($C378="","",N(L378)-N(M378))</f>
        <v/>
      </c>
      <c r="P378" s="24" t="n"/>
      <c r="Q378" s="23">
        <f>IF($C378="","",N(M378)+N(N378))</f>
        <v/>
      </c>
      <c r="R378" s="23">
        <f>IF($C378="","",N(J378)+N(Q378))</f>
        <v/>
      </c>
      <c r="S378" s="25">
        <f>IF(OR($C378="",N($G378)=0),"",R378/$G378)</f>
        <v/>
      </c>
      <c r="T378" s="23">
        <f>IF($C378="","",N($G378)-N(R378))</f>
        <v/>
      </c>
      <c r="U378" s="24" t="n"/>
      <c r="V378" s="22" t="n"/>
    </row>
    <row r="379">
      <c r="B379" s="13">
        <f>IF($C379="","",COUNTA($C$9:$C379))</f>
        <v/>
      </c>
      <c r="C379" s="21" t="n"/>
      <c r="D379" s="14" t="n"/>
      <c r="E379" s="14" t="n"/>
      <c r="F379" s="14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3">
        <f>IF($C379="","",N(L379)-N(M379))</f>
        <v/>
      </c>
      <c r="P379" s="24" t="n"/>
      <c r="Q379" s="23">
        <f>IF($C379="","",N(M379)+N(N379))</f>
        <v/>
      </c>
      <c r="R379" s="23">
        <f>IF($C379="","",N(J379)+N(Q379))</f>
        <v/>
      </c>
      <c r="S379" s="25">
        <f>IF(OR($C379="",N($G379)=0),"",R379/$G379)</f>
        <v/>
      </c>
      <c r="T379" s="23">
        <f>IF($C379="","",N($G379)-N(R379))</f>
        <v/>
      </c>
      <c r="U379" s="24" t="n"/>
      <c r="V379" s="22" t="n"/>
    </row>
    <row r="380">
      <c r="B380" s="13">
        <f>IF($C380="","",COUNTA($C$9:$C380))</f>
        <v/>
      </c>
      <c r="C380" s="21" t="n"/>
      <c r="D380" s="14" t="n"/>
      <c r="E380" s="14" t="n"/>
      <c r="F380" s="14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3">
        <f>IF($C380="","",N(L380)-N(M380))</f>
        <v/>
      </c>
      <c r="P380" s="24" t="n"/>
      <c r="Q380" s="23">
        <f>IF($C380="","",N(M380)+N(N380))</f>
        <v/>
      </c>
      <c r="R380" s="23">
        <f>IF($C380="","",N(J380)+N(Q380))</f>
        <v/>
      </c>
      <c r="S380" s="25">
        <f>IF(OR($C380="",N($G380)=0),"",R380/$G380)</f>
        <v/>
      </c>
      <c r="T380" s="23">
        <f>IF($C380="","",N($G380)-N(R380))</f>
        <v/>
      </c>
      <c r="U380" s="24" t="n"/>
      <c r="V380" s="22" t="n"/>
    </row>
    <row r="381">
      <c r="B381" s="13">
        <f>IF($C381="","",COUNTA($C$9:$C381))</f>
        <v/>
      </c>
      <c r="C381" s="21" t="n"/>
      <c r="D381" s="14" t="n"/>
      <c r="E381" s="14" t="n"/>
      <c r="F381" s="14" t="n"/>
      <c r="G381" s="22" t="n"/>
      <c r="H381" s="22" t="n"/>
      <c r="I381" s="22" t="n"/>
      <c r="J381" s="22" t="n"/>
      <c r="K381" s="22" t="n"/>
      <c r="L381" s="22" t="n"/>
      <c r="M381" s="22" t="n"/>
      <c r="N381" s="22" t="n"/>
      <c r="O381" s="23">
        <f>IF($C381="","",N(L381)-N(M381))</f>
        <v/>
      </c>
      <c r="P381" s="24" t="n"/>
      <c r="Q381" s="23">
        <f>IF($C381="","",N(M381)+N(N381))</f>
        <v/>
      </c>
      <c r="R381" s="23">
        <f>IF($C381="","",N(J381)+N(Q381))</f>
        <v/>
      </c>
      <c r="S381" s="25">
        <f>IF(OR($C381="",N($G381)=0),"",R381/$G381)</f>
        <v/>
      </c>
      <c r="T381" s="23">
        <f>IF($C381="","",N($G381)-N(R381))</f>
        <v/>
      </c>
      <c r="U381" s="24" t="n"/>
      <c r="V381" s="22" t="n"/>
    </row>
    <row r="382">
      <c r="B382" s="13">
        <f>IF($C382="","",COUNTA($C$9:$C382))</f>
        <v/>
      </c>
      <c r="C382" s="21" t="n"/>
      <c r="D382" s="14" t="n"/>
      <c r="E382" s="14" t="n"/>
      <c r="F382" s="14" t="n"/>
      <c r="G382" s="22" t="n"/>
      <c r="H382" s="22" t="n"/>
      <c r="I382" s="22" t="n"/>
      <c r="J382" s="22" t="n"/>
      <c r="K382" s="22" t="n"/>
      <c r="L382" s="22" t="n"/>
      <c r="M382" s="22" t="n"/>
      <c r="N382" s="22" t="n"/>
      <c r="O382" s="23">
        <f>IF($C382="","",N(L382)-N(M382))</f>
        <v/>
      </c>
      <c r="P382" s="24" t="n"/>
      <c r="Q382" s="23">
        <f>IF($C382="","",N(M382)+N(N382))</f>
        <v/>
      </c>
      <c r="R382" s="23">
        <f>IF($C382="","",N(J382)+N(Q382))</f>
        <v/>
      </c>
      <c r="S382" s="25">
        <f>IF(OR($C382="",N($G382)=0),"",R382/$G382)</f>
        <v/>
      </c>
      <c r="T382" s="23">
        <f>IF($C382="","",N($G382)-N(R382))</f>
        <v/>
      </c>
      <c r="U382" s="24" t="n"/>
      <c r="V382" s="22" t="n"/>
    </row>
    <row r="383">
      <c r="B383" s="13">
        <f>IF($C383="","",COUNTA($C$9:$C383))</f>
        <v/>
      </c>
      <c r="C383" s="21" t="n"/>
      <c r="D383" s="14" t="n"/>
      <c r="E383" s="14" t="n"/>
      <c r="F383" s="14" t="n"/>
      <c r="G383" s="22" t="n"/>
      <c r="H383" s="22" t="n"/>
      <c r="I383" s="22" t="n"/>
      <c r="J383" s="22" t="n"/>
      <c r="K383" s="22" t="n"/>
      <c r="L383" s="22" t="n"/>
      <c r="M383" s="22" t="n"/>
      <c r="N383" s="22" t="n"/>
      <c r="O383" s="23">
        <f>IF($C383="","",N(L383)-N(M383))</f>
        <v/>
      </c>
      <c r="P383" s="24" t="n"/>
      <c r="Q383" s="23">
        <f>IF($C383="","",N(M383)+N(N383))</f>
        <v/>
      </c>
      <c r="R383" s="23">
        <f>IF($C383="","",N(J383)+N(Q383))</f>
        <v/>
      </c>
      <c r="S383" s="25">
        <f>IF(OR($C383="",N($G383)=0),"",R383/$G383)</f>
        <v/>
      </c>
      <c r="T383" s="23">
        <f>IF($C383="","",N($G383)-N(R383))</f>
        <v/>
      </c>
      <c r="U383" s="24" t="n"/>
      <c r="V383" s="22" t="n"/>
    </row>
    <row r="384">
      <c r="B384" s="13">
        <f>IF($C384="","",COUNTA($C$9:$C384))</f>
        <v/>
      </c>
      <c r="C384" s="21" t="n"/>
      <c r="D384" s="14" t="n"/>
      <c r="E384" s="14" t="n"/>
      <c r="F384" s="14" t="n"/>
      <c r="G384" s="22" t="n"/>
      <c r="H384" s="22" t="n"/>
      <c r="I384" s="22" t="n"/>
      <c r="J384" s="22" t="n"/>
      <c r="K384" s="22" t="n"/>
      <c r="L384" s="22" t="n"/>
      <c r="M384" s="22" t="n"/>
      <c r="N384" s="22" t="n"/>
      <c r="O384" s="23">
        <f>IF($C384="","",N(L384)-N(M384))</f>
        <v/>
      </c>
      <c r="P384" s="24" t="n"/>
      <c r="Q384" s="23">
        <f>IF($C384="","",N(M384)+N(N384))</f>
        <v/>
      </c>
      <c r="R384" s="23">
        <f>IF($C384="","",N(J384)+N(Q384))</f>
        <v/>
      </c>
      <c r="S384" s="25">
        <f>IF(OR($C384="",N($G384)=0),"",R384/$G384)</f>
        <v/>
      </c>
      <c r="T384" s="23">
        <f>IF($C384="","",N($G384)-N(R384))</f>
        <v/>
      </c>
      <c r="U384" s="24" t="n"/>
      <c r="V384" s="22" t="n"/>
    </row>
    <row r="385">
      <c r="B385" s="13">
        <f>IF($C385="","",COUNTA($C$9:$C385))</f>
        <v/>
      </c>
      <c r="C385" s="21" t="n"/>
      <c r="D385" s="14" t="n"/>
      <c r="E385" s="14" t="n"/>
      <c r="F385" s="14" t="n"/>
      <c r="G385" s="22" t="n"/>
      <c r="H385" s="22" t="n"/>
      <c r="I385" s="22" t="n"/>
      <c r="J385" s="22" t="n"/>
      <c r="K385" s="22" t="n"/>
      <c r="L385" s="22" t="n"/>
      <c r="M385" s="22" t="n"/>
      <c r="N385" s="22" t="n"/>
      <c r="O385" s="23">
        <f>IF($C385="","",N(L385)-N(M385))</f>
        <v/>
      </c>
      <c r="P385" s="24" t="n"/>
      <c r="Q385" s="23">
        <f>IF($C385="","",N(M385)+N(N385))</f>
        <v/>
      </c>
      <c r="R385" s="23">
        <f>IF($C385="","",N(J385)+N(Q385))</f>
        <v/>
      </c>
      <c r="S385" s="25">
        <f>IF(OR($C385="",N($G385)=0),"",R385/$G385)</f>
        <v/>
      </c>
      <c r="T385" s="23">
        <f>IF($C385="","",N($G385)-N(R385))</f>
        <v/>
      </c>
      <c r="U385" s="24" t="n"/>
      <c r="V385" s="22" t="n"/>
    </row>
    <row r="386">
      <c r="B386" s="13">
        <f>IF($C386="","",COUNTA($C$9:$C386))</f>
        <v/>
      </c>
      <c r="C386" s="21" t="n"/>
      <c r="D386" s="14" t="n"/>
      <c r="E386" s="14" t="n"/>
      <c r="F386" s="14" t="n"/>
      <c r="G386" s="22" t="n"/>
      <c r="H386" s="22" t="n"/>
      <c r="I386" s="22" t="n"/>
      <c r="J386" s="22" t="n"/>
      <c r="K386" s="22" t="n"/>
      <c r="L386" s="22" t="n"/>
      <c r="M386" s="22" t="n"/>
      <c r="N386" s="22" t="n"/>
      <c r="O386" s="23">
        <f>IF($C386="","",N(L386)-N(M386))</f>
        <v/>
      </c>
      <c r="P386" s="24" t="n"/>
      <c r="Q386" s="23">
        <f>IF($C386="","",N(M386)+N(N386))</f>
        <v/>
      </c>
      <c r="R386" s="23">
        <f>IF($C386="","",N(J386)+N(Q386))</f>
        <v/>
      </c>
      <c r="S386" s="25">
        <f>IF(OR($C386="",N($G386)=0),"",R386/$G386)</f>
        <v/>
      </c>
      <c r="T386" s="23">
        <f>IF($C386="","",N($G386)-N(R386))</f>
        <v/>
      </c>
      <c r="U386" s="24" t="n"/>
      <c r="V386" s="22" t="n"/>
    </row>
    <row r="387">
      <c r="B387" s="13">
        <f>IF($C387="","",COUNTA($C$9:$C387))</f>
        <v/>
      </c>
      <c r="C387" s="21" t="n"/>
      <c r="D387" s="14" t="n"/>
      <c r="E387" s="14" t="n"/>
      <c r="F387" s="14" t="n"/>
      <c r="G387" s="22" t="n"/>
      <c r="H387" s="22" t="n"/>
      <c r="I387" s="22" t="n"/>
      <c r="J387" s="22" t="n"/>
      <c r="K387" s="22" t="n"/>
      <c r="L387" s="22" t="n"/>
      <c r="M387" s="22" t="n"/>
      <c r="N387" s="22" t="n"/>
      <c r="O387" s="23">
        <f>IF($C387="","",N(L387)-N(M387))</f>
        <v/>
      </c>
      <c r="P387" s="24" t="n"/>
      <c r="Q387" s="23">
        <f>IF($C387="","",N(M387)+N(N387))</f>
        <v/>
      </c>
      <c r="R387" s="23">
        <f>IF($C387="","",N(J387)+N(Q387))</f>
        <v/>
      </c>
      <c r="S387" s="25">
        <f>IF(OR($C387="",N($G387)=0),"",R387/$G387)</f>
        <v/>
      </c>
      <c r="T387" s="23">
        <f>IF($C387="","",N($G387)-N(R387))</f>
        <v/>
      </c>
      <c r="U387" s="24" t="n"/>
      <c r="V387" s="22" t="n"/>
    </row>
    <row r="388">
      <c r="B388" s="13">
        <f>IF($C388="","",COUNTA($C$9:$C388))</f>
        <v/>
      </c>
      <c r="C388" s="21" t="n"/>
      <c r="D388" s="14" t="n"/>
      <c r="E388" s="14" t="n"/>
      <c r="F388" s="14" t="n"/>
      <c r="G388" s="22" t="n"/>
      <c r="H388" s="22" t="n"/>
      <c r="I388" s="22" t="n"/>
      <c r="J388" s="22" t="n"/>
      <c r="K388" s="22" t="n"/>
      <c r="L388" s="22" t="n"/>
      <c r="M388" s="22" t="n"/>
      <c r="N388" s="22" t="n"/>
      <c r="O388" s="23">
        <f>IF($C388="","",N(L388)-N(M388))</f>
        <v/>
      </c>
      <c r="P388" s="24" t="n"/>
      <c r="Q388" s="23">
        <f>IF($C388="","",N(M388)+N(N388))</f>
        <v/>
      </c>
      <c r="R388" s="23">
        <f>IF($C388="","",N(J388)+N(Q388))</f>
        <v/>
      </c>
      <c r="S388" s="25">
        <f>IF(OR($C388="",N($G388)=0),"",R388/$G388)</f>
        <v/>
      </c>
      <c r="T388" s="23">
        <f>IF($C388="","",N($G388)-N(R388))</f>
        <v/>
      </c>
      <c r="U388" s="24" t="n"/>
      <c r="V388" s="22" t="n"/>
    </row>
    <row r="389">
      <c r="B389" s="13">
        <f>IF($C389="","",COUNTA($C$9:$C389))</f>
        <v/>
      </c>
      <c r="C389" s="21" t="n"/>
      <c r="D389" s="14" t="n"/>
      <c r="E389" s="14" t="n"/>
      <c r="F389" s="14" t="n"/>
      <c r="G389" s="22" t="n"/>
      <c r="H389" s="22" t="n"/>
      <c r="I389" s="22" t="n"/>
      <c r="J389" s="22" t="n"/>
      <c r="K389" s="22" t="n"/>
      <c r="L389" s="22" t="n"/>
      <c r="M389" s="22" t="n"/>
      <c r="N389" s="22" t="n"/>
      <c r="O389" s="23">
        <f>IF($C389="","",N(L389)-N(M389))</f>
        <v/>
      </c>
      <c r="P389" s="24" t="n"/>
      <c r="Q389" s="23">
        <f>IF($C389="","",N(M389)+N(N389))</f>
        <v/>
      </c>
      <c r="R389" s="23">
        <f>IF($C389="","",N(J389)+N(Q389))</f>
        <v/>
      </c>
      <c r="S389" s="25">
        <f>IF(OR($C389="",N($G389)=0),"",R389/$G389)</f>
        <v/>
      </c>
      <c r="T389" s="23">
        <f>IF($C389="","",N($G389)-N(R389))</f>
        <v/>
      </c>
      <c r="U389" s="24" t="n"/>
      <c r="V389" s="22" t="n"/>
    </row>
    <row r="390">
      <c r="B390" s="13">
        <f>IF($C390="","",COUNTA($C$9:$C390))</f>
        <v/>
      </c>
      <c r="C390" s="21" t="n"/>
      <c r="D390" s="14" t="n"/>
      <c r="E390" s="14" t="n"/>
      <c r="F390" s="14" t="n"/>
      <c r="G390" s="22" t="n"/>
      <c r="H390" s="22" t="n"/>
      <c r="I390" s="22" t="n"/>
      <c r="J390" s="22" t="n"/>
      <c r="K390" s="22" t="n"/>
      <c r="L390" s="22" t="n"/>
      <c r="M390" s="22" t="n"/>
      <c r="N390" s="22" t="n"/>
      <c r="O390" s="23">
        <f>IF($C390="","",N(L390)-N(M390))</f>
        <v/>
      </c>
      <c r="P390" s="24" t="n"/>
      <c r="Q390" s="23">
        <f>IF($C390="","",N(M390)+N(N390))</f>
        <v/>
      </c>
      <c r="R390" s="23">
        <f>IF($C390="","",N(J390)+N(Q390))</f>
        <v/>
      </c>
      <c r="S390" s="25">
        <f>IF(OR($C390="",N($G390)=0),"",R390/$G390)</f>
        <v/>
      </c>
      <c r="T390" s="23">
        <f>IF($C390="","",N($G390)-N(R390))</f>
        <v/>
      </c>
      <c r="U390" s="24" t="n"/>
      <c r="V390" s="22" t="n"/>
    </row>
    <row r="391">
      <c r="B391" s="13">
        <f>IF($C391="","",COUNTA($C$9:$C391))</f>
        <v/>
      </c>
      <c r="C391" s="21" t="n"/>
      <c r="D391" s="14" t="n"/>
      <c r="E391" s="14" t="n"/>
      <c r="F391" s="14" t="n"/>
      <c r="G391" s="22" t="n"/>
      <c r="H391" s="22" t="n"/>
      <c r="I391" s="22" t="n"/>
      <c r="J391" s="22" t="n"/>
      <c r="K391" s="22" t="n"/>
      <c r="L391" s="22" t="n"/>
      <c r="M391" s="22" t="n"/>
      <c r="N391" s="22" t="n"/>
      <c r="O391" s="23">
        <f>IF($C391="","",N(L391)-N(M391))</f>
        <v/>
      </c>
      <c r="P391" s="24" t="n"/>
      <c r="Q391" s="23">
        <f>IF($C391="","",N(M391)+N(N391))</f>
        <v/>
      </c>
      <c r="R391" s="23">
        <f>IF($C391="","",N(J391)+N(Q391))</f>
        <v/>
      </c>
      <c r="S391" s="25">
        <f>IF(OR($C391="",N($G391)=0),"",R391/$G391)</f>
        <v/>
      </c>
      <c r="T391" s="23">
        <f>IF($C391="","",N($G391)-N(R391))</f>
        <v/>
      </c>
      <c r="U391" s="24" t="n"/>
      <c r="V391" s="22" t="n"/>
    </row>
    <row r="392">
      <c r="B392" s="13">
        <f>IF($C392="","",COUNTA($C$9:$C392))</f>
        <v/>
      </c>
      <c r="C392" s="21" t="n"/>
      <c r="D392" s="14" t="n"/>
      <c r="E392" s="14" t="n"/>
      <c r="F392" s="14" t="n"/>
      <c r="G392" s="22" t="n"/>
      <c r="H392" s="22" t="n"/>
      <c r="I392" s="22" t="n"/>
      <c r="J392" s="22" t="n"/>
      <c r="K392" s="22" t="n"/>
      <c r="L392" s="22" t="n"/>
      <c r="M392" s="22" t="n"/>
      <c r="N392" s="22" t="n"/>
      <c r="O392" s="23">
        <f>IF($C392="","",N(L392)-N(M392))</f>
        <v/>
      </c>
      <c r="P392" s="24" t="n"/>
      <c r="Q392" s="23">
        <f>IF($C392="","",N(M392)+N(N392))</f>
        <v/>
      </c>
      <c r="R392" s="23">
        <f>IF($C392="","",N(J392)+N(Q392))</f>
        <v/>
      </c>
      <c r="S392" s="25">
        <f>IF(OR($C392="",N($G392)=0),"",R392/$G392)</f>
        <v/>
      </c>
      <c r="T392" s="23">
        <f>IF($C392="","",N($G392)-N(R392))</f>
        <v/>
      </c>
      <c r="U392" s="24" t="n"/>
      <c r="V392" s="22" t="n"/>
    </row>
    <row r="393">
      <c r="B393" s="13">
        <f>IF($C393="","",COUNTA($C$9:$C393))</f>
        <v/>
      </c>
      <c r="C393" s="21" t="n"/>
      <c r="D393" s="14" t="n"/>
      <c r="E393" s="14" t="n"/>
      <c r="F393" s="14" t="n"/>
      <c r="G393" s="22" t="n"/>
      <c r="H393" s="22" t="n"/>
      <c r="I393" s="22" t="n"/>
      <c r="J393" s="22" t="n"/>
      <c r="K393" s="22" t="n"/>
      <c r="L393" s="22" t="n"/>
      <c r="M393" s="22" t="n"/>
      <c r="N393" s="22" t="n"/>
      <c r="O393" s="23">
        <f>IF($C393="","",N(L393)-N(M393))</f>
        <v/>
      </c>
      <c r="P393" s="24" t="n"/>
      <c r="Q393" s="23">
        <f>IF($C393="","",N(M393)+N(N393))</f>
        <v/>
      </c>
      <c r="R393" s="23">
        <f>IF($C393="","",N(J393)+N(Q393))</f>
        <v/>
      </c>
      <c r="S393" s="25">
        <f>IF(OR($C393="",N($G393)=0),"",R393/$G393)</f>
        <v/>
      </c>
      <c r="T393" s="23">
        <f>IF($C393="","",N($G393)-N(R393))</f>
        <v/>
      </c>
      <c r="U393" s="24" t="n"/>
      <c r="V393" s="22" t="n"/>
    </row>
    <row r="394">
      <c r="B394" s="13">
        <f>IF($C394="","",COUNTA($C$9:$C394))</f>
        <v/>
      </c>
      <c r="C394" s="21" t="n"/>
      <c r="D394" s="14" t="n"/>
      <c r="E394" s="14" t="n"/>
      <c r="F394" s="14" t="n"/>
      <c r="G394" s="22" t="n"/>
      <c r="H394" s="22" t="n"/>
      <c r="I394" s="22" t="n"/>
      <c r="J394" s="22" t="n"/>
      <c r="K394" s="22" t="n"/>
      <c r="L394" s="22" t="n"/>
      <c r="M394" s="22" t="n"/>
      <c r="N394" s="22" t="n"/>
      <c r="O394" s="23">
        <f>IF($C394="","",N(L394)-N(M394))</f>
        <v/>
      </c>
      <c r="P394" s="24" t="n"/>
      <c r="Q394" s="23">
        <f>IF($C394="","",N(M394)+N(N394))</f>
        <v/>
      </c>
      <c r="R394" s="23">
        <f>IF($C394="","",N(J394)+N(Q394))</f>
        <v/>
      </c>
      <c r="S394" s="25">
        <f>IF(OR($C394="",N($G394)=0),"",R394/$G394)</f>
        <v/>
      </c>
      <c r="T394" s="23">
        <f>IF($C394="","",N($G394)-N(R394))</f>
        <v/>
      </c>
      <c r="U394" s="24" t="n"/>
      <c r="V394" s="22" t="n"/>
    </row>
    <row r="395">
      <c r="B395" s="13">
        <f>IF($C395="","",COUNTA($C$9:$C395))</f>
        <v/>
      </c>
      <c r="C395" s="21" t="n"/>
      <c r="D395" s="14" t="n"/>
      <c r="E395" s="14" t="n"/>
      <c r="F395" s="14" t="n"/>
      <c r="G395" s="22" t="n"/>
      <c r="H395" s="22" t="n"/>
      <c r="I395" s="22" t="n"/>
      <c r="J395" s="22" t="n"/>
      <c r="K395" s="22" t="n"/>
      <c r="L395" s="22" t="n"/>
      <c r="M395" s="22" t="n"/>
      <c r="N395" s="22" t="n"/>
      <c r="O395" s="23">
        <f>IF($C395="","",N(L395)-N(M395))</f>
        <v/>
      </c>
      <c r="P395" s="24" t="n"/>
      <c r="Q395" s="23">
        <f>IF($C395="","",N(M395)+N(N395))</f>
        <v/>
      </c>
      <c r="R395" s="23">
        <f>IF($C395="","",N(J395)+N(Q395))</f>
        <v/>
      </c>
      <c r="S395" s="25">
        <f>IF(OR($C395="",N($G395)=0),"",R395/$G395)</f>
        <v/>
      </c>
      <c r="T395" s="23">
        <f>IF($C395="","",N($G395)-N(R395))</f>
        <v/>
      </c>
      <c r="U395" s="24" t="n"/>
      <c r="V395" s="22" t="n"/>
    </row>
    <row r="396">
      <c r="B396" s="13">
        <f>IF($C396="","",COUNTA($C$9:$C396))</f>
        <v/>
      </c>
      <c r="C396" s="21" t="n"/>
      <c r="D396" s="14" t="n"/>
      <c r="E396" s="14" t="n"/>
      <c r="F396" s="14" t="n"/>
      <c r="G396" s="22" t="n"/>
      <c r="H396" s="22" t="n"/>
      <c r="I396" s="22" t="n"/>
      <c r="J396" s="22" t="n"/>
      <c r="K396" s="22" t="n"/>
      <c r="L396" s="22" t="n"/>
      <c r="M396" s="22" t="n"/>
      <c r="N396" s="22" t="n"/>
      <c r="O396" s="23">
        <f>IF($C396="","",N(L396)-N(M396))</f>
        <v/>
      </c>
      <c r="P396" s="24" t="n"/>
      <c r="Q396" s="23">
        <f>IF($C396="","",N(M396)+N(N396))</f>
        <v/>
      </c>
      <c r="R396" s="23">
        <f>IF($C396="","",N(J396)+N(Q396))</f>
        <v/>
      </c>
      <c r="S396" s="25">
        <f>IF(OR($C396="",N($G396)=0),"",R396/$G396)</f>
        <v/>
      </c>
      <c r="T396" s="23">
        <f>IF($C396="","",N($G396)-N(R396))</f>
        <v/>
      </c>
      <c r="U396" s="24" t="n"/>
      <c r="V396" s="22" t="n"/>
    </row>
    <row r="397">
      <c r="B397" s="13">
        <f>IF($C397="","",COUNTA($C$9:$C397))</f>
        <v/>
      </c>
      <c r="C397" s="21" t="n"/>
      <c r="D397" s="14" t="n"/>
      <c r="E397" s="14" t="n"/>
      <c r="F397" s="14" t="n"/>
      <c r="G397" s="22" t="n"/>
      <c r="H397" s="22" t="n"/>
      <c r="I397" s="22" t="n"/>
      <c r="J397" s="22" t="n"/>
      <c r="K397" s="22" t="n"/>
      <c r="L397" s="22" t="n"/>
      <c r="M397" s="22" t="n"/>
      <c r="N397" s="22" t="n"/>
      <c r="O397" s="23">
        <f>IF($C397="","",N(L397)-N(M397))</f>
        <v/>
      </c>
      <c r="P397" s="24" t="n"/>
      <c r="Q397" s="23">
        <f>IF($C397="","",N(M397)+N(N397))</f>
        <v/>
      </c>
      <c r="R397" s="23">
        <f>IF($C397="","",N(J397)+N(Q397))</f>
        <v/>
      </c>
      <c r="S397" s="25">
        <f>IF(OR($C397="",N($G397)=0),"",R397/$G397)</f>
        <v/>
      </c>
      <c r="T397" s="23">
        <f>IF($C397="","",N($G397)-N(R397))</f>
        <v/>
      </c>
      <c r="U397" s="24" t="n"/>
      <c r="V397" s="22" t="n"/>
    </row>
    <row r="398">
      <c r="B398" s="13">
        <f>IF($C398="","",COUNTA($C$9:$C398))</f>
        <v/>
      </c>
      <c r="C398" s="21" t="n"/>
      <c r="D398" s="14" t="n"/>
      <c r="E398" s="14" t="n"/>
      <c r="F398" s="14" t="n"/>
      <c r="G398" s="22" t="n"/>
      <c r="H398" s="22" t="n"/>
      <c r="I398" s="22" t="n"/>
      <c r="J398" s="22" t="n"/>
      <c r="K398" s="22" t="n"/>
      <c r="L398" s="22" t="n"/>
      <c r="M398" s="22" t="n"/>
      <c r="N398" s="22" t="n"/>
      <c r="O398" s="23">
        <f>IF($C398="","",N(L398)-N(M398))</f>
        <v/>
      </c>
      <c r="P398" s="24" t="n"/>
      <c r="Q398" s="23">
        <f>IF($C398="","",N(M398)+N(N398))</f>
        <v/>
      </c>
      <c r="R398" s="23">
        <f>IF($C398="","",N(J398)+N(Q398))</f>
        <v/>
      </c>
      <c r="S398" s="25">
        <f>IF(OR($C398="",N($G398)=0),"",R398/$G398)</f>
        <v/>
      </c>
      <c r="T398" s="23">
        <f>IF($C398="","",N($G398)-N(R398))</f>
        <v/>
      </c>
      <c r="U398" s="24" t="n"/>
      <c r="V398" s="22" t="n"/>
    </row>
    <row r="399">
      <c r="B399" s="13">
        <f>IF($C399="","",COUNTA($C$9:$C399))</f>
        <v/>
      </c>
      <c r="C399" s="21" t="n"/>
      <c r="D399" s="14" t="n"/>
      <c r="E399" s="14" t="n"/>
      <c r="F399" s="14" t="n"/>
      <c r="G399" s="22" t="n"/>
      <c r="H399" s="22" t="n"/>
      <c r="I399" s="22" t="n"/>
      <c r="J399" s="22" t="n"/>
      <c r="K399" s="22" t="n"/>
      <c r="L399" s="22" t="n"/>
      <c r="M399" s="22" t="n"/>
      <c r="N399" s="22" t="n"/>
      <c r="O399" s="23">
        <f>IF($C399="","",N(L399)-N(M399))</f>
        <v/>
      </c>
      <c r="P399" s="24" t="n"/>
      <c r="Q399" s="23">
        <f>IF($C399="","",N(M399)+N(N399))</f>
        <v/>
      </c>
      <c r="R399" s="23">
        <f>IF($C399="","",N(J399)+N(Q399))</f>
        <v/>
      </c>
      <c r="S399" s="25">
        <f>IF(OR($C399="",N($G399)=0),"",R399/$G399)</f>
        <v/>
      </c>
      <c r="T399" s="23">
        <f>IF($C399="","",N($G399)-N(R399))</f>
        <v/>
      </c>
      <c r="U399" s="24" t="n"/>
      <c r="V399" s="22" t="n"/>
    </row>
    <row r="400">
      <c r="B400" s="13">
        <f>IF($C400="","",COUNTA($C$9:$C400))</f>
        <v/>
      </c>
      <c r="C400" s="21" t="n"/>
      <c r="D400" s="14" t="n"/>
      <c r="E400" s="14" t="n"/>
      <c r="F400" s="14" t="n"/>
      <c r="G400" s="22" t="n"/>
      <c r="H400" s="22" t="n"/>
      <c r="I400" s="22" t="n"/>
      <c r="J400" s="22" t="n"/>
      <c r="K400" s="22" t="n"/>
      <c r="L400" s="22" t="n"/>
      <c r="M400" s="22" t="n"/>
      <c r="N400" s="22" t="n"/>
      <c r="O400" s="23">
        <f>IF($C400="","",N(L400)-N(M400))</f>
        <v/>
      </c>
      <c r="P400" s="24" t="n"/>
      <c r="Q400" s="23">
        <f>IF($C400="","",N(M400)+N(N400))</f>
        <v/>
      </c>
      <c r="R400" s="23">
        <f>IF($C400="","",N(J400)+N(Q400))</f>
        <v/>
      </c>
      <c r="S400" s="25">
        <f>IF(OR($C400="",N($G400)=0),"",R400/$G400)</f>
        <v/>
      </c>
      <c r="T400" s="23">
        <f>IF($C400="","",N($G400)-N(R400))</f>
        <v/>
      </c>
      <c r="U400" s="24" t="n"/>
      <c r="V400" s="22" t="n"/>
    </row>
    <row r="401">
      <c r="B401" s="13">
        <f>IF($C401="","",COUNTA($C$9:$C401))</f>
        <v/>
      </c>
      <c r="C401" s="21" t="n"/>
      <c r="D401" s="14" t="n"/>
      <c r="E401" s="14" t="n"/>
      <c r="F401" s="14" t="n"/>
      <c r="G401" s="22" t="n"/>
      <c r="H401" s="22" t="n"/>
      <c r="I401" s="22" t="n"/>
      <c r="J401" s="22" t="n"/>
      <c r="K401" s="22" t="n"/>
      <c r="L401" s="22" t="n"/>
      <c r="M401" s="22" t="n"/>
      <c r="N401" s="22" t="n"/>
      <c r="O401" s="23">
        <f>IF($C401="","",N(L401)-N(M401))</f>
        <v/>
      </c>
      <c r="P401" s="24" t="n"/>
      <c r="Q401" s="23">
        <f>IF($C401="","",N(M401)+N(N401))</f>
        <v/>
      </c>
      <c r="R401" s="23">
        <f>IF($C401="","",N(J401)+N(Q401))</f>
        <v/>
      </c>
      <c r="S401" s="25">
        <f>IF(OR($C401="",N($G401)=0),"",R401/$G401)</f>
        <v/>
      </c>
      <c r="T401" s="23">
        <f>IF($C401="","",N($G401)-N(R401))</f>
        <v/>
      </c>
      <c r="U401" s="24" t="n"/>
      <c r="V401" s="22" t="n"/>
    </row>
    <row r="402">
      <c r="B402" s="13">
        <f>IF($C402="","",COUNTA($C$9:$C402))</f>
        <v/>
      </c>
      <c r="C402" s="21" t="n"/>
      <c r="D402" s="14" t="n"/>
      <c r="E402" s="14" t="n"/>
      <c r="F402" s="14" t="n"/>
      <c r="G402" s="22" t="n"/>
      <c r="H402" s="22" t="n"/>
      <c r="I402" s="22" t="n"/>
      <c r="J402" s="22" t="n"/>
      <c r="K402" s="22" t="n"/>
      <c r="L402" s="22" t="n"/>
      <c r="M402" s="22" t="n"/>
      <c r="N402" s="22" t="n"/>
      <c r="O402" s="23">
        <f>IF($C402="","",N(L402)-N(M402))</f>
        <v/>
      </c>
      <c r="P402" s="24" t="n"/>
      <c r="Q402" s="23">
        <f>IF($C402="","",N(M402)+N(N402))</f>
        <v/>
      </c>
      <c r="R402" s="23">
        <f>IF($C402="","",N(J402)+N(Q402))</f>
        <v/>
      </c>
      <c r="S402" s="25">
        <f>IF(OR($C402="",N($G402)=0),"",R402/$G402)</f>
        <v/>
      </c>
      <c r="T402" s="23">
        <f>IF($C402="","",N($G402)-N(R402))</f>
        <v/>
      </c>
      <c r="U402" s="24" t="n"/>
      <c r="V402" s="22" t="n"/>
    </row>
    <row r="403">
      <c r="B403" s="13">
        <f>IF($C403="","",COUNTA($C$9:$C403))</f>
        <v/>
      </c>
      <c r="C403" s="21" t="n"/>
      <c r="D403" s="14" t="n"/>
      <c r="E403" s="14" t="n"/>
      <c r="F403" s="14" t="n"/>
      <c r="G403" s="22" t="n"/>
      <c r="H403" s="22" t="n"/>
      <c r="I403" s="22" t="n"/>
      <c r="J403" s="22" t="n"/>
      <c r="K403" s="22" t="n"/>
      <c r="L403" s="22" t="n"/>
      <c r="M403" s="22" t="n"/>
      <c r="N403" s="22" t="n"/>
      <c r="O403" s="23">
        <f>IF($C403="","",N(L403)-N(M403))</f>
        <v/>
      </c>
      <c r="P403" s="24" t="n"/>
      <c r="Q403" s="23">
        <f>IF($C403="","",N(M403)+N(N403))</f>
        <v/>
      </c>
      <c r="R403" s="23">
        <f>IF($C403="","",N(J403)+N(Q403))</f>
        <v/>
      </c>
      <c r="S403" s="25">
        <f>IF(OR($C403="",N($G403)=0),"",R403/$G403)</f>
        <v/>
      </c>
      <c r="T403" s="23">
        <f>IF($C403="","",N($G403)-N(R403))</f>
        <v/>
      </c>
      <c r="U403" s="24" t="n"/>
      <c r="V403" s="22" t="n"/>
    </row>
    <row r="404">
      <c r="B404" s="13">
        <f>IF($C404="","",COUNTA($C$9:$C404))</f>
        <v/>
      </c>
      <c r="C404" s="21" t="n"/>
      <c r="D404" s="14" t="n"/>
      <c r="E404" s="14" t="n"/>
      <c r="F404" s="14" t="n"/>
      <c r="G404" s="22" t="n"/>
      <c r="H404" s="22" t="n"/>
      <c r="I404" s="22" t="n"/>
      <c r="J404" s="22" t="n"/>
      <c r="K404" s="22" t="n"/>
      <c r="L404" s="22" t="n"/>
      <c r="M404" s="22" t="n"/>
      <c r="N404" s="22" t="n"/>
      <c r="O404" s="23">
        <f>IF($C404="","",N(L404)-N(M404))</f>
        <v/>
      </c>
      <c r="P404" s="24" t="n"/>
      <c r="Q404" s="23">
        <f>IF($C404="","",N(M404)+N(N404))</f>
        <v/>
      </c>
      <c r="R404" s="23">
        <f>IF($C404="","",N(J404)+N(Q404))</f>
        <v/>
      </c>
      <c r="S404" s="25">
        <f>IF(OR($C404="",N($G404)=0),"",R404/$G404)</f>
        <v/>
      </c>
      <c r="T404" s="23">
        <f>IF($C404="","",N($G404)-N(R404))</f>
        <v/>
      </c>
      <c r="U404" s="24" t="n"/>
      <c r="V404" s="22" t="n"/>
    </row>
    <row r="405">
      <c r="B405" s="13">
        <f>IF($C405="","",COUNTA($C$9:$C405))</f>
        <v/>
      </c>
      <c r="C405" s="21" t="n"/>
      <c r="D405" s="14" t="n"/>
      <c r="E405" s="14" t="n"/>
      <c r="F405" s="14" t="n"/>
      <c r="G405" s="22" t="n"/>
      <c r="H405" s="22" t="n"/>
      <c r="I405" s="22" t="n"/>
      <c r="J405" s="22" t="n"/>
      <c r="K405" s="22" t="n"/>
      <c r="L405" s="22" t="n"/>
      <c r="M405" s="22" t="n"/>
      <c r="N405" s="22" t="n"/>
      <c r="O405" s="23">
        <f>IF($C405="","",N(L405)-N(M405))</f>
        <v/>
      </c>
      <c r="P405" s="24" t="n"/>
      <c r="Q405" s="23">
        <f>IF($C405="","",N(M405)+N(N405))</f>
        <v/>
      </c>
      <c r="R405" s="23">
        <f>IF($C405="","",N(J405)+N(Q405))</f>
        <v/>
      </c>
      <c r="S405" s="25">
        <f>IF(OR($C405="",N($G405)=0),"",R405/$G405)</f>
        <v/>
      </c>
      <c r="T405" s="23">
        <f>IF($C405="","",N($G405)-N(R405))</f>
        <v/>
      </c>
      <c r="U405" s="24" t="n"/>
      <c r="V405" s="22" t="n"/>
    </row>
    <row r="406">
      <c r="B406" s="13">
        <f>IF($C406="","",COUNTA($C$9:$C406))</f>
        <v/>
      </c>
      <c r="C406" s="21" t="n"/>
      <c r="D406" s="14" t="n"/>
      <c r="E406" s="14" t="n"/>
      <c r="F406" s="14" t="n"/>
      <c r="G406" s="22" t="n"/>
      <c r="H406" s="22" t="n"/>
      <c r="I406" s="22" t="n"/>
      <c r="J406" s="22" t="n"/>
      <c r="K406" s="22" t="n"/>
      <c r="L406" s="22" t="n"/>
      <c r="M406" s="22" t="n"/>
      <c r="N406" s="22" t="n"/>
      <c r="O406" s="23">
        <f>IF($C406="","",N(L406)-N(M406))</f>
        <v/>
      </c>
      <c r="P406" s="24" t="n"/>
      <c r="Q406" s="23">
        <f>IF($C406="","",N(M406)+N(N406))</f>
        <v/>
      </c>
      <c r="R406" s="23">
        <f>IF($C406="","",N(J406)+N(Q406))</f>
        <v/>
      </c>
      <c r="S406" s="25">
        <f>IF(OR($C406="",N($G406)=0),"",R406/$G406)</f>
        <v/>
      </c>
      <c r="T406" s="23">
        <f>IF($C406="","",N($G406)-N(R406))</f>
        <v/>
      </c>
      <c r="U406" s="24" t="n"/>
      <c r="V406" s="22" t="n"/>
    </row>
    <row r="407">
      <c r="B407" s="13">
        <f>IF($C407="","",COUNTA($C$9:$C407))</f>
        <v/>
      </c>
      <c r="C407" s="21" t="n"/>
      <c r="D407" s="14" t="n"/>
      <c r="E407" s="14" t="n"/>
      <c r="F407" s="14" t="n"/>
      <c r="G407" s="22" t="n"/>
      <c r="H407" s="22" t="n"/>
      <c r="I407" s="22" t="n"/>
      <c r="J407" s="22" t="n"/>
      <c r="K407" s="22" t="n"/>
      <c r="L407" s="22" t="n"/>
      <c r="M407" s="22" t="n"/>
      <c r="N407" s="22" t="n"/>
      <c r="O407" s="23">
        <f>IF($C407="","",N(L407)-N(M407))</f>
        <v/>
      </c>
      <c r="P407" s="24" t="n"/>
      <c r="Q407" s="23">
        <f>IF($C407="","",N(M407)+N(N407))</f>
        <v/>
      </c>
      <c r="R407" s="23">
        <f>IF($C407="","",N(J407)+N(Q407))</f>
        <v/>
      </c>
      <c r="S407" s="25">
        <f>IF(OR($C407="",N($G407)=0),"",R407/$G407)</f>
        <v/>
      </c>
      <c r="T407" s="23">
        <f>IF($C407="","",N($G407)-N(R407))</f>
        <v/>
      </c>
      <c r="U407" s="24" t="n"/>
      <c r="V407" s="22" t="n"/>
    </row>
    <row r="408">
      <c r="B408" s="13">
        <f>IF($C408="","",COUNTA($C$9:$C408))</f>
        <v/>
      </c>
      <c r="C408" s="21" t="n"/>
      <c r="D408" s="14" t="n"/>
      <c r="E408" s="14" t="n"/>
      <c r="F408" s="14" t="n"/>
      <c r="G408" s="22" t="n"/>
      <c r="H408" s="22" t="n"/>
      <c r="I408" s="22" t="n"/>
      <c r="J408" s="22" t="n"/>
      <c r="K408" s="22" t="n"/>
      <c r="L408" s="22" t="n"/>
      <c r="M408" s="22" t="n"/>
      <c r="N408" s="22" t="n"/>
      <c r="O408" s="23">
        <f>IF($C408="","",N(L408)-N(M408))</f>
        <v/>
      </c>
      <c r="P408" s="24" t="n"/>
      <c r="Q408" s="23">
        <f>IF($C408="","",N(M408)+N(N408))</f>
        <v/>
      </c>
      <c r="R408" s="23">
        <f>IF($C408="","",N(J408)+N(Q408))</f>
        <v/>
      </c>
      <c r="S408" s="25">
        <f>IF(OR($C408="",N($G408)=0),"",R408/$G408)</f>
        <v/>
      </c>
      <c r="T408" s="23">
        <f>IF($C408="","",N($G408)-N(R408))</f>
        <v/>
      </c>
      <c r="U408" s="24" t="n"/>
      <c r="V408" s="22" t="n"/>
    </row>
  </sheetData>
  <autoFilter ref="B7:V408"/>
  <mergeCells count="2">
    <mergeCell ref="C4:V4"/>
    <mergeCell ref="C3:V3"/>
  </mergeCells>
  <conditionalFormatting sqref="O9:O408">
    <cfRule type="cellIs" priority="1" operator="greaterThan" dxfId="0">
      <formula>0</formula>
    </cfRule>
  </conditionalFormatting>
  <conditionalFormatting sqref="S9:S408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dataValidations count="3">
    <dataValidation sqref="D9:D408" showDropDown="0" showInputMessage="0" showErrorMessage="0" allowBlank="1" type="list">
      <formula1>=Areas</formula1>
    </dataValidation>
    <dataValidation sqref="E9:E408" showDropDown="0" showInputMessage="0" showErrorMessage="0" allowBlank="1" type="list">
      <formula1>=Activities</formula1>
    </dataValidation>
    <dataValidation sqref="F9:F408" showDropDown="0" showInputMessage="0" showErrorMessage="0" allowBlank="1" type="list">
      <formula1>=Agencies</formula1>
    </dataValidation>
  </dataValidation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B1:V408"/>
  <sheetViews>
    <sheetView zoomScale="85" workbookViewId="0">
      <pane xSplit="6" ySplit="8" topLeftCell="G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6" customWidth="1" min="2" max="2"/>
    <col width="38" customWidth="1" min="3" max="3"/>
    <col width="22" customWidth="1" min="4" max="4"/>
    <col width="24" customWidth="1" min="5" max="5"/>
    <col width="22" customWidth="1" min="6" max="6"/>
    <col width="11" customWidth="1" min="7" max="7"/>
    <col width="12" customWidth="1" min="8" max="8"/>
    <col width="12" customWidth="1" min="9" max="9"/>
    <col width="13" customWidth="1" min="10" max="10"/>
    <col width="11" customWidth="1" min="11" max="11"/>
    <col width="11" customWidth="1" min="12" max="12"/>
    <col width="11" customWidth="1" min="13" max="13"/>
    <col width="13" customWidth="1" min="14" max="14"/>
    <col width="12" customWidth="1" min="15" max="15"/>
    <col width="26" customWidth="1" min="16" max="16"/>
    <col width="13" customWidth="1" min="17" max="17"/>
    <col width="13" customWidth="1" min="18" max="18"/>
    <col width="10" customWidth="1" min="19" max="19"/>
    <col width="11" customWidth="1" min="20" max="20"/>
    <col width="30" customWidth="1" min="21" max="21"/>
    <col width="11" customWidth="1" min="22" max="22"/>
  </cols>
  <sheetData>
    <row r="1" ht="15" customHeight="1"/>
    <row r="2" ht="15" customHeight="1">
      <c r="B2" s="5" t="inlineStr">
        <is>
          <t>JSW</t>
        </is>
      </c>
    </row>
    <row r="3" ht="15" customHeight="1">
      <c r="C3" s="18" t="inlineStr">
        <is>
          <t>Panels  —  Backup Sheet   (UOM: Nos)</t>
        </is>
      </c>
    </row>
    <row r="4" ht="15" customHeight="1">
      <c r="C4" s="19">
        <f>Config!$C$4</f>
        <v/>
      </c>
    </row>
    <row r="5" ht="15" customHeight="1">
      <c r="S5" s="8" t="inlineStr">
        <is>
          <t>Data date:</t>
        </is>
      </c>
      <c r="T5" s="9">
        <f>Config!$C$6</f>
        <v/>
      </c>
    </row>
    <row r="6" ht="15" customHeight="1">
      <c r="S6" s="8" t="inlineStr">
        <is>
          <t>Reporting date:</t>
        </is>
      </c>
      <c r="T6" s="9">
        <f>Config!$C$7</f>
        <v/>
      </c>
    </row>
    <row r="7" ht="34" customHeight="1">
      <c r="B7" s="20" t="inlineStr">
        <is>
          <t>SL.</t>
        </is>
      </c>
      <c r="C7" s="20" t="inlineStr">
        <is>
          <t>Name of the Structures</t>
        </is>
      </c>
      <c r="D7" s="20" t="inlineStr">
        <is>
          <t>Area</t>
        </is>
      </c>
      <c r="E7" s="20" t="inlineStr">
        <is>
          <t>Activity</t>
        </is>
      </c>
      <c r="F7" s="20" t="inlineStr">
        <is>
          <t>Agency / Contractor</t>
        </is>
      </c>
      <c r="G7" s="20" t="inlineStr">
        <is>
          <t>Scope</t>
        </is>
      </c>
      <c r="H7" s="20" t="inlineStr">
        <is>
          <t>Drawing Released</t>
        </is>
      </c>
      <c r="I7" s="20" t="inlineStr">
        <is>
          <t>Cum Front Available</t>
        </is>
      </c>
      <c r="J7" s="20" t="inlineStr">
        <is>
          <t>Achieved till last month</t>
        </is>
      </c>
      <c r="K7" s="20" t="inlineStr">
        <is>
          <t>Plan FTM</t>
        </is>
      </c>
      <c r="L7" s="20" t="inlineStr">
        <is>
          <t>Plan FTD</t>
        </is>
      </c>
      <c r="M7" s="20" t="inlineStr">
        <is>
          <t>Achieved FTD</t>
        </is>
      </c>
      <c r="N7" s="20" t="inlineStr">
        <is>
          <t>Achieved FTM till previous date</t>
        </is>
      </c>
      <c r="O7" s="20" t="inlineStr">
        <is>
          <t>Variance for the Day</t>
        </is>
      </c>
      <c r="P7" s="20" t="inlineStr">
        <is>
          <t>Reason(s) for Variance</t>
        </is>
      </c>
      <c r="Q7" s="20" t="inlineStr">
        <is>
          <t>Achieved FTM till date</t>
        </is>
      </c>
      <c r="R7" s="20" t="inlineStr">
        <is>
          <t>Workdone Till Date</t>
        </is>
      </c>
      <c r="S7" s="20" t="inlineStr">
        <is>
          <t>% Complete</t>
        </is>
      </c>
      <c r="T7" s="20" t="inlineStr">
        <is>
          <t>Balance</t>
        </is>
      </c>
      <c r="U7" s="20" t="inlineStr">
        <is>
          <t>Remarks</t>
        </is>
      </c>
      <c r="V7" s="20" t="inlineStr">
        <is>
          <t>Available Manpower</t>
        </is>
      </c>
    </row>
    <row r="8" ht="15" customHeight="1">
      <c r="B8" s="12" t="inlineStr">
        <is>
          <t>a</t>
        </is>
      </c>
      <c r="C8" s="12" t="inlineStr">
        <is>
          <t>b</t>
        </is>
      </c>
      <c r="D8" s="12" t="inlineStr">
        <is>
          <t>c</t>
        </is>
      </c>
      <c r="E8" s="12" t="inlineStr">
        <is>
          <t>d</t>
        </is>
      </c>
      <c r="F8" s="12" t="inlineStr">
        <is>
          <t>e</t>
        </is>
      </c>
      <c r="G8" s="12" t="inlineStr">
        <is>
          <t>f</t>
        </is>
      </c>
      <c r="H8" s="12" t="inlineStr">
        <is>
          <t>g</t>
        </is>
      </c>
      <c r="I8" s="12" t="inlineStr">
        <is>
          <t>h</t>
        </is>
      </c>
      <c r="J8" s="12" t="inlineStr">
        <is>
          <t>i</t>
        </is>
      </c>
      <c r="K8" s="12" t="inlineStr">
        <is>
          <t>j</t>
        </is>
      </c>
      <c r="L8" s="12" t="inlineStr">
        <is>
          <t>k</t>
        </is>
      </c>
      <c r="M8" s="12" t="inlineStr">
        <is>
          <t>l</t>
        </is>
      </c>
      <c r="N8" s="12" t="inlineStr">
        <is>
          <t>m</t>
        </is>
      </c>
      <c r="O8" s="12" t="inlineStr">
        <is>
          <t>n = k-l</t>
        </is>
      </c>
      <c r="P8" s="12" t="inlineStr">
        <is>
          <t>o</t>
        </is>
      </c>
      <c r="Q8" s="12" t="inlineStr">
        <is>
          <t>p = l+m</t>
        </is>
      </c>
      <c r="R8" s="12" t="inlineStr">
        <is>
          <t>q = i+p</t>
        </is>
      </c>
      <c r="S8" s="12" t="inlineStr">
        <is>
          <t>r = (q/f)x100</t>
        </is>
      </c>
      <c r="T8" s="12" t="inlineStr">
        <is>
          <t>s = f-q</t>
        </is>
      </c>
      <c r="U8" s="12" t="inlineStr">
        <is>
          <t>t</t>
        </is>
      </c>
      <c r="V8" s="12" t="inlineStr">
        <is>
          <t>u</t>
        </is>
      </c>
    </row>
    <row r="9">
      <c r="B9" s="13">
        <f>IF($C9="","",COUNTA($C$9:$C9))</f>
        <v/>
      </c>
      <c r="C9" s="21" t="n"/>
      <c r="D9" s="14" t="n"/>
      <c r="E9" s="14" t="n"/>
      <c r="F9" s="14" t="n"/>
      <c r="G9" s="22" t="n"/>
      <c r="H9" s="22" t="n"/>
      <c r="I9" s="22" t="n"/>
      <c r="J9" s="22" t="n"/>
      <c r="K9" s="22" t="n"/>
      <c r="L9" s="22" t="n"/>
      <c r="M9" s="22" t="n"/>
      <c r="N9" s="22" t="n"/>
      <c r="O9" s="23">
        <f>IF($C9="","",N(L9)-N(M9))</f>
        <v/>
      </c>
      <c r="P9" s="24" t="n"/>
      <c r="Q9" s="23">
        <f>IF($C9="","",N(M9)+N(N9))</f>
        <v/>
      </c>
      <c r="R9" s="23">
        <f>IF($C9="","",N(J9)+N(Q9))</f>
        <v/>
      </c>
      <c r="S9" s="25">
        <f>IF(OR($C9="",N($G9)=0),"",R9/$G9)</f>
        <v/>
      </c>
      <c r="T9" s="23">
        <f>IF($C9="","",N($G9)-N(R9))</f>
        <v/>
      </c>
      <c r="U9" s="24" t="n"/>
      <c r="V9" s="22" t="n"/>
    </row>
    <row r="10">
      <c r="B10" s="13">
        <f>IF($C10="","",COUNTA($C$9:$C10))</f>
        <v/>
      </c>
      <c r="C10" s="21" t="n"/>
      <c r="D10" s="14" t="n"/>
      <c r="E10" s="14" t="n"/>
      <c r="F10" s="14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3">
        <f>IF($C10="","",N(L10)-N(M10))</f>
        <v/>
      </c>
      <c r="P10" s="24" t="n"/>
      <c r="Q10" s="23">
        <f>IF($C10="","",N(M10)+N(N10))</f>
        <v/>
      </c>
      <c r="R10" s="23">
        <f>IF($C10="","",N(J10)+N(Q10))</f>
        <v/>
      </c>
      <c r="S10" s="25">
        <f>IF(OR($C10="",N($G10)=0),"",R10/$G10)</f>
        <v/>
      </c>
      <c r="T10" s="23">
        <f>IF($C10="","",N($G10)-N(R10))</f>
        <v/>
      </c>
      <c r="U10" s="24" t="n"/>
      <c r="V10" s="22" t="n"/>
    </row>
    <row r="11">
      <c r="B11" s="13">
        <f>IF($C11="","",COUNTA($C$9:$C11))</f>
        <v/>
      </c>
      <c r="C11" s="21" t="n"/>
      <c r="D11" s="14" t="n"/>
      <c r="E11" s="14" t="n"/>
      <c r="F11" s="14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3">
        <f>IF($C11="","",N(L11)-N(M11))</f>
        <v/>
      </c>
      <c r="P11" s="24" t="n"/>
      <c r="Q11" s="23">
        <f>IF($C11="","",N(M11)+N(N11))</f>
        <v/>
      </c>
      <c r="R11" s="23">
        <f>IF($C11="","",N(J11)+N(Q11))</f>
        <v/>
      </c>
      <c r="S11" s="25">
        <f>IF(OR($C11="",N($G11)=0),"",R11/$G11)</f>
        <v/>
      </c>
      <c r="T11" s="23">
        <f>IF($C11="","",N($G11)-N(R11))</f>
        <v/>
      </c>
      <c r="U11" s="24" t="n"/>
      <c r="V11" s="22" t="n"/>
    </row>
    <row r="12">
      <c r="B12" s="13">
        <f>IF($C12="","",COUNTA($C$9:$C12))</f>
        <v/>
      </c>
      <c r="C12" s="21" t="n"/>
      <c r="D12" s="14" t="n"/>
      <c r="E12" s="14" t="n"/>
      <c r="F12" s="14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3">
        <f>IF($C12="","",N(L12)-N(M12))</f>
        <v/>
      </c>
      <c r="P12" s="24" t="n"/>
      <c r="Q12" s="23">
        <f>IF($C12="","",N(M12)+N(N12))</f>
        <v/>
      </c>
      <c r="R12" s="23">
        <f>IF($C12="","",N(J12)+N(Q12))</f>
        <v/>
      </c>
      <c r="S12" s="25">
        <f>IF(OR($C12="",N($G12)=0),"",R12/$G12)</f>
        <v/>
      </c>
      <c r="T12" s="23">
        <f>IF($C12="","",N($G12)-N(R12))</f>
        <v/>
      </c>
      <c r="U12" s="24" t="n"/>
      <c r="V12" s="22" t="n"/>
    </row>
    <row r="13">
      <c r="B13" s="13">
        <f>IF($C13="","",COUNTA($C$9:$C13))</f>
        <v/>
      </c>
      <c r="C13" s="21" t="n"/>
      <c r="D13" s="14" t="n"/>
      <c r="E13" s="14" t="n"/>
      <c r="F13" s="14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3">
        <f>IF($C13="","",N(L13)-N(M13))</f>
        <v/>
      </c>
      <c r="P13" s="24" t="n"/>
      <c r="Q13" s="23">
        <f>IF($C13="","",N(M13)+N(N13))</f>
        <v/>
      </c>
      <c r="R13" s="23">
        <f>IF($C13="","",N(J13)+N(Q13))</f>
        <v/>
      </c>
      <c r="S13" s="25">
        <f>IF(OR($C13="",N($G13)=0),"",R13/$G13)</f>
        <v/>
      </c>
      <c r="T13" s="23">
        <f>IF($C13="","",N($G13)-N(R13))</f>
        <v/>
      </c>
      <c r="U13" s="24" t="n"/>
      <c r="V13" s="22" t="n"/>
    </row>
    <row r="14">
      <c r="B14" s="13">
        <f>IF($C14="","",COUNTA($C$9:$C14))</f>
        <v/>
      </c>
      <c r="C14" s="21" t="n"/>
      <c r="D14" s="14" t="n"/>
      <c r="E14" s="14" t="n"/>
      <c r="F14" s="14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3">
        <f>IF($C14="","",N(L14)-N(M14))</f>
        <v/>
      </c>
      <c r="P14" s="24" t="n"/>
      <c r="Q14" s="23">
        <f>IF($C14="","",N(M14)+N(N14))</f>
        <v/>
      </c>
      <c r="R14" s="23">
        <f>IF($C14="","",N(J14)+N(Q14))</f>
        <v/>
      </c>
      <c r="S14" s="25">
        <f>IF(OR($C14="",N($G14)=0),"",R14/$G14)</f>
        <v/>
      </c>
      <c r="T14" s="23">
        <f>IF($C14="","",N($G14)-N(R14))</f>
        <v/>
      </c>
      <c r="U14" s="24" t="n"/>
      <c r="V14" s="22" t="n"/>
    </row>
    <row r="15">
      <c r="B15" s="13">
        <f>IF($C15="","",COUNTA($C$9:$C15))</f>
        <v/>
      </c>
      <c r="C15" s="21" t="n"/>
      <c r="D15" s="14" t="n"/>
      <c r="E15" s="14" t="n"/>
      <c r="F15" s="14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3">
        <f>IF($C15="","",N(L15)-N(M15))</f>
        <v/>
      </c>
      <c r="P15" s="24" t="n"/>
      <c r="Q15" s="23">
        <f>IF($C15="","",N(M15)+N(N15))</f>
        <v/>
      </c>
      <c r="R15" s="23">
        <f>IF($C15="","",N(J15)+N(Q15))</f>
        <v/>
      </c>
      <c r="S15" s="25">
        <f>IF(OR($C15="",N($G15)=0),"",R15/$G15)</f>
        <v/>
      </c>
      <c r="T15" s="23">
        <f>IF($C15="","",N($G15)-N(R15))</f>
        <v/>
      </c>
      <c r="U15" s="24" t="n"/>
      <c r="V15" s="22" t="n"/>
    </row>
    <row r="16">
      <c r="B16" s="13">
        <f>IF($C16="","",COUNTA($C$9:$C16))</f>
        <v/>
      </c>
      <c r="C16" s="21" t="n"/>
      <c r="D16" s="14" t="n"/>
      <c r="E16" s="14" t="n"/>
      <c r="F16" s="14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3">
        <f>IF($C16="","",N(L16)-N(M16))</f>
        <v/>
      </c>
      <c r="P16" s="24" t="n"/>
      <c r="Q16" s="23">
        <f>IF($C16="","",N(M16)+N(N16))</f>
        <v/>
      </c>
      <c r="R16" s="23">
        <f>IF($C16="","",N(J16)+N(Q16))</f>
        <v/>
      </c>
      <c r="S16" s="25">
        <f>IF(OR($C16="",N($G16)=0),"",R16/$G16)</f>
        <v/>
      </c>
      <c r="T16" s="23">
        <f>IF($C16="","",N($G16)-N(R16))</f>
        <v/>
      </c>
      <c r="U16" s="24" t="n"/>
      <c r="V16" s="22" t="n"/>
    </row>
    <row r="17">
      <c r="B17" s="13">
        <f>IF($C17="","",COUNTA($C$9:$C17))</f>
        <v/>
      </c>
      <c r="C17" s="21" t="n"/>
      <c r="D17" s="14" t="n"/>
      <c r="E17" s="14" t="n"/>
      <c r="F17" s="14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3">
        <f>IF($C17="","",N(L17)-N(M17))</f>
        <v/>
      </c>
      <c r="P17" s="24" t="n"/>
      <c r="Q17" s="23">
        <f>IF($C17="","",N(M17)+N(N17))</f>
        <v/>
      </c>
      <c r="R17" s="23">
        <f>IF($C17="","",N(J17)+N(Q17))</f>
        <v/>
      </c>
      <c r="S17" s="25">
        <f>IF(OR($C17="",N($G17)=0),"",R17/$G17)</f>
        <v/>
      </c>
      <c r="T17" s="23">
        <f>IF($C17="","",N($G17)-N(R17))</f>
        <v/>
      </c>
      <c r="U17" s="24" t="n"/>
      <c r="V17" s="22" t="n"/>
    </row>
    <row r="18">
      <c r="B18" s="13">
        <f>IF($C18="","",COUNTA($C$9:$C18))</f>
        <v/>
      </c>
      <c r="C18" s="21" t="n"/>
      <c r="D18" s="14" t="n"/>
      <c r="E18" s="14" t="n"/>
      <c r="F18" s="14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3">
        <f>IF($C18="","",N(L18)-N(M18))</f>
        <v/>
      </c>
      <c r="P18" s="24" t="n"/>
      <c r="Q18" s="23">
        <f>IF($C18="","",N(M18)+N(N18))</f>
        <v/>
      </c>
      <c r="R18" s="23">
        <f>IF($C18="","",N(J18)+N(Q18))</f>
        <v/>
      </c>
      <c r="S18" s="25">
        <f>IF(OR($C18="",N($G18)=0),"",R18/$G18)</f>
        <v/>
      </c>
      <c r="T18" s="23">
        <f>IF($C18="","",N($G18)-N(R18))</f>
        <v/>
      </c>
      <c r="U18" s="24" t="n"/>
      <c r="V18" s="22" t="n"/>
    </row>
    <row r="19">
      <c r="B19" s="13">
        <f>IF($C19="","",COUNTA($C$9:$C19))</f>
        <v/>
      </c>
      <c r="C19" s="21" t="n"/>
      <c r="D19" s="14" t="n"/>
      <c r="E19" s="14" t="n"/>
      <c r="F19" s="14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3">
        <f>IF($C19="","",N(L19)-N(M19))</f>
        <v/>
      </c>
      <c r="P19" s="24" t="n"/>
      <c r="Q19" s="23">
        <f>IF($C19="","",N(M19)+N(N19))</f>
        <v/>
      </c>
      <c r="R19" s="23">
        <f>IF($C19="","",N(J19)+N(Q19))</f>
        <v/>
      </c>
      <c r="S19" s="25">
        <f>IF(OR($C19="",N($G19)=0),"",R19/$G19)</f>
        <v/>
      </c>
      <c r="T19" s="23">
        <f>IF($C19="","",N($G19)-N(R19))</f>
        <v/>
      </c>
      <c r="U19" s="24" t="n"/>
      <c r="V19" s="22" t="n"/>
    </row>
    <row r="20">
      <c r="B20" s="13">
        <f>IF($C20="","",COUNTA($C$9:$C20))</f>
        <v/>
      </c>
      <c r="C20" s="21" t="n"/>
      <c r="D20" s="14" t="n"/>
      <c r="E20" s="14" t="n"/>
      <c r="F20" s="14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3">
        <f>IF($C20="","",N(L20)-N(M20))</f>
        <v/>
      </c>
      <c r="P20" s="24" t="n"/>
      <c r="Q20" s="23">
        <f>IF($C20="","",N(M20)+N(N20))</f>
        <v/>
      </c>
      <c r="R20" s="23">
        <f>IF($C20="","",N(J20)+N(Q20))</f>
        <v/>
      </c>
      <c r="S20" s="25">
        <f>IF(OR($C20="",N($G20)=0),"",R20/$G20)</f>
        <v/>
      </c>
      <c r="T20" s="23">
        <f>IF($C20="","",N($G20)-N(R20))</f>
        <v/>
      </c>
      <c r="U20" s="24" t="n"/>
      <c r="V20" s="22" t="n"/>
    </row>
    <row r="21">
      <c r="B21" s="13">
        <f>IF($C21="","",COUNTA($C$9:$C21))</f>
        <v/>
      </c>
      <c r="C21" s="21" t="n"/>
      <c r="D21" s="14" t="n"/>
      <c r="E21" s="14" t="n"/>
      <c r="F21" s="14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3">
        <f>IF($C21="","",N(L21)-N(M21))</f>
        <v/>
      </c>
      <c r="P21" s="24" t="n"/>
      <c r="Q21" s="23">
        <f>IF($C21="","",N(M21)+N(N21))</f>
        <v/>
      </c>
      <c r="R21" s="23">
        <f>IF($C21="","",N(J21)+N(Q21))</f>
        <v/>
      </c>
      <c r="S21" s="25">
        <f>IF(OR($C21="",N($G21)=0),"",R21/$G21)</f>
        <v/>
      </c>
      <c r="T21" s="23">
        <f>IF($C21="","",N($G21)-N(R21))</f>
        <v/>
      </c>
      <c r="U21" s="24" t="n"/>
      <c r="V21" s="22" t="n"/>
    </row>
    <row r="22">
      <c r="B22" s="13">
        <f>IF($C22="","",COUNTA($C$9:$C22))</f>
        <v/>
      </c>
      <c r="C22" s="21" t="n"/>
      <c r="D22" s="14" t="n"/>
      <c r="E22" s="14" t="n"/>
      <c r="F22" s="14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3">
        <f>IF($C22="","",N(L22)-N(M22))</f>
        <v/>
      </c>
      <c r="P22" s="24" t="n"/>
      <c r="Q22" s="23">
        <f>IF($C22="","",N(M22)+N(N22))</f>
        <v/>
      </c>
      <c r="R22" s="23">
        <f>IF($C22="","",N(J22)+N(Q22))</f>
        <v/>
      </c>
      <c r="S22" s="25">
        <f>IF(OR($C22="",N($G22)=0),"",R22/$G22)</f>
        <v/>
      </c>
      <c r="T22" s="23">
        <f>IF($C22="","",N($G22)-N(R22))</f>
        <v/>
      </c>
      <c r="U22" s="24" t="n"/>
      <c r="V22" s="22" t="n"/>
    </row>
    <row r="23">
      <c r="B23" s="13">
        <f>IF($C23="","",COUNTA($C$9:$C23))</f>
        <v/>
      </c>
      <c r="C23" s="21" t="n"/>
      <c r="D23" s="14" t="n"/>
      <c r="E23" s="14" t="n"/>
      <c r="F23" s="14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3">
        <f>IF($C23="","",N(L23)-N(M23))</f>
        <v/>
      </c>
      <c r="P23" s="24" t="n"/>
      <c r="Q23" s="23">
        <f>IF($C23="","",N(M23)+N(N23))</f>
        <v/>
      </c>
      <c r="R23" s="23">
        <f>IF($C23="","",N(J23)+N(Q23))</f>
        <v/>
      </c>
      <c r="S23" s="25">
        <f>IF(OR($C23="",N($G23)=0),"",R23/$G23)</f>
        <v/>
      </c>
      <c r="T23" s="23">
        <f>IF($C23="","",N($G23)-N(R23))</f>
        <v/>
      </c>
      <c r="U23" s="24" t="n"/>
      <c r="V23" s="22" t="n"/>
    </row>
    <row r="24">
      <c r="B24" s="13">
        <f>IF($C24="","",COUNTA($C$9:$C24))</f>
        <v/>
      </c>
      <c r="C24" s="21" t="n"/>
      <c r="D24" s="14" t="n"/>
      <c r="E24" s="14" t="n"/>
      <c r="F24" s="14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3">
        <f>IF($C24="","",N(L24)-N(M24))</f>
        <v/>
      </c>
      <c r="P24" s="24" t="n"/>
      <c r="Q24" s="23">
        <f>IF($C24="","",N(M24)+N(N24))</f>
        <v/>
      </c>
      <c r="R24" s="23">
        <f>IF($C24="","",N(J24)+N(Q24))</f>
        <v/>
      </c>
      <c r="S24" s="25">
        <f>IF(OR($C24="",N($G24)=0),"",R24/$G24)</f>
        <v/>
      </c>
      <c r="T24" s="23">
        <f>IF($C24="","",N($G24)-N(R24))</f>
        <v/>
      </c>
      <c r="U24" s="24" t="n"/>
      <c r="V24" s="22" t="n"/>
    </row>
    <row r="25">
      <c r="B25" s="13">
        <f>IF($C25="","",COUNTA($C$9:$C25))</f>
        <v/>
      </c>
      <c r="C25" s="21" t="n"/>
      <c r="D25" s="14" t="n"/>
      <c r="E25" s="14" t="n"/>
      <c r="F25" s="14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3">
        <f>IF($C25="","",N(L25)-N(M25))</f>
        <v/>
      </c>
      <c r="P25" s="24" t="n"/>
      <c r="Q25" s="23">
        <f>IF($C25="","",N(M25)+N(N25))</f>
        <v/>
      </c>
      <c r="R25" s="23">
        <f>IF($C25="","",N(J25)+N(Q25))</f>
        <v/>
      </c>
      <c r="S25" s="25">
        <f>IF(OR($C25="",N($G25)=0),"",R25/$G25)</f>
        <v/>
      </c>
      <c r="T25" s="23">
        <f>IF($C25="","",N($G25)-N(R25))</f>
        <v/>
      </c>
      <c r="U25" s="24" t="n"/>
      <c r="V25" s="22" t="n"/>
    </row>
    <row r="26">
      <c r="B26" s="13">
        <f>IF($C26="","",COUNTA($C$9:$C26))</f>
        <v/>
      </c>
      <c r="C26" s="21" t="n"/>
      <c r="D26" s="14" t="n"/>
      <c r="E26" s="14" t="n"/>
      <c r="F26" s="14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3">
        <f>IF($C26="","",N(L26)-N(M26))</f>
        <v/>
      </c>
      <c r="P26" s="24" t="n"/>
      <c r="Q26" s="23">
        <f>IF($C26="","",N(M26)+N(N26))</f>
        <v/>
      </c>
      <c r="R26" s="23">
        <f>IF($C26="","",N(J26)+N(Q26))</f>
        <v/>
      </c>
      <c r="S26" s="25">
        <f>IF(OR($C26="",N($G26)=0),"",R26/$G26)</f>
        <v/>
      </c>
      <c r="T26" s="23">
        <f>IF($C26="","",N($G26)-N(R26))</f>
        <v/>
      </c>
      <c r="U26" s="24" t="n"/>
      <c r="V26" s="22" t="n"/>
    </row>
    <row r="27">
      <c r="B27" s="13">
        <f>IF($C27="","",COUNTA($C$9:$C27))</f>
        <v/>
      </c>
      <c r="C27" s="21" t="n"/>
      <c r="D27" s="14" t="n"/>
      <c r="E27" s="14" t="n"/>
      <c r="F27" s="14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3">
        <f>IF($C27="","",N(L27)-N(M27))</f>
        <v/>
      </c>
      <c r="P27" s="24" t="n"/>
      <c r="Q27" s="23">
        <f>IF($C27="","",N(M27)+N(N27))</f>
        <v/>
      </c>
      <c r="R27" s="23">
        <f>IF($C27="","",N(J27)+N(Q27))</f>
        <v/>
      </c>
      <c r="S27" s="25">
        <f>IF(OR($C27="",N($G27)=0),"",R27/$G27)</f>
        <v/>
      </c>
      <c r="T27" s="23">
        <f>IF($C27="","",N($G27)-N(R27))</f>
        <v/>
      </c>
      <c r="U27" s="24" t="n"/>
      <c r="V27" s="22" t="n"/>
    </row>
    <row r="28">
      <c r="B28" s="13">
        <f>IF($C28="","",COUNTA($C$9:$C28))</f>
        <v/>
      </c>
      <c r="C28" s="21" t="n"/>
      <c r="D28" s="14" t="n"/>
      <c r="E28" s="14" t="n"/>
      <c r="F28" s="14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3">
        <f>IF($C28="","",N(L28)-N(M28))</f>
        <v/>
      </c>
      <c r="P28" s="24" t="n"/>
      <c r="Q28" s="23">
        <f>IF($C28="","",N(M28)+N(N28))</f>
        <v/>
      </c>
      <c r="R28" s="23">
        <f>IF($C28="","",N(J28)+N(Q28))</f>
        <v/>
      </c>
      <c r="S28" s="25">
        <f>IF(OR($C28="",N($G28)=0),"",R28/$G28)</f>
        <v/>
      </c>
      <c r="T28" s="23">
        <f>IF($C28="","",N($G28)-N(R28))</f>
        <v/>
      </c>
      <c r="U28" s="24" t="n"/>
      <c r="V28" s="22" t="n"/>
    </row>
    <row r="29">
      <c r="B29" s="13">
        <f>IF($C29="","",COUNTA($C$9:$C29))</f>
        <v/>
      </c>
      <c r="C29" s="21" t="n"/>
      <c r="D29" s="14" t="n"/>
      <c r="E29" s="14" t="n"/>
      <c r="F29" s="14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3">
        <f>IF($C29="","",N(L29)-N(M29))</f>
        <v/>
      </c>
      <c r="P29" s="24" t="n"/>
      <c r="Q29" s="23">
        <f>IF($C29="","",N(M29)+N(N29))</f>
        <v/>
      </c>
      <c r="R29" s="23">
        <f>IF($C29="","",N(J29)+N(Q29))</f>
        <v/>
      </c>
      <c r="S29" s="25">
        <f>IF(OR($C29="",N($G29)=0),"",R29/$G29)</f>
        <v/>
      </c>
      <c r="T29" s="23">
        <f>IF($C29="","",N($G29)-N(R29))</f>
        <v/>
      </c>
      <c r="U29" s="24" t="n"/>
      <c r="V29" s="22" t="n"/>
    </row>
    <row r="30">
      <c r="B30" s="13">
        <f>IF($C30="","",COUNTA($C$9:$C30))</f>
        <v/>
      </c>
      <c r="C30" s="21" t="n"/>
      <c r="D30" s="14" t="n"/>
      <c r="E30" s="14" t="n"/>
      <c r="F30" s="14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3">
        <f>IF($C30="","",N(L30)-N(M30))</f>
        <v/>
      </c>
      <c r="P30" s="24" t="n"/>
      <c r="Q30" s="23">
        <f>IF($C30="","",N(M30)+N(N30))</f>
        <v/>
      </c>
      <c r="R30" s="23">
        <f>IF($C30="","",N(J30)+N(Q30))</f>
        <v/>
      </c>
      <c r="S30" s="25">
        <f>IF(OR($C30="",N($G30)=0),"",R30/$G30)</f>
        <v/>
      </c>
      <c r="T30" s="23">
        <f>IF($C30="","",N($G30)-N(R30))</f>
        <v/>
      </c>
      <c r="U30" s="24" t="n"/>
      <c r="V30" s="22" t="n"/>
    </row>
    <row r="31">
      <c r="B31" s="13">
        <f>IF($C31="","",COUNTA($C$9:$C31))</f>
        <v/>
      </c>
      <c r="C31" s="21" t="n"/>
      <c r="D31" s="14" t="n"/>
      <c r="E31" s="14" t="n"/>
      <c r="F31" s="14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3">
        <f>IF($C31="","",N(L31)-N(M31))</f>
        <v/>
      </c>
      <c r="P31" s="24" t="n"/>
      <c r="Q31" s="23">
        <f>IF($C31="","",N(M31)+N(N31))</f>
        <v/>
      </c>
      <c r="R31" s="23">
        <f>IF($C31="","",N(J31)+N(Q31))</f>
        <v/>
      </c>
      <c r="S31" s="25">
        <f>IF(OR($C31="",N($G31)=0),"",R31/$G31)</f>
        <v/>
      </c>
      <c r="T31" s="23">
        <f>IF($C31="","",N($G31)-N(R31))</f>
        <v/>
      </c>
      <c r="U31" s="24" t="n"/>
      <c r="V31" s="22" t="n"/>
    </row>
    <row r="32">
      <c r="B32" s="13">
        <f>IF($C32="","",COUNTA($C$9:$C32))</f>
        <v/>
      </c>
      <c r="C32" s="21" t="n"/>
      <c r="D32" s="14" t="n"/>
      <c r="E32" s="14" t="n"/>
      <c r="F32" s="14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3">
        <f>IF($C32="","",N(L32)-N(M32))</f>
        <v/>
      </c>
      <c r="P32" s="24" t="n"/>
      <c r="Q32" s="23">
        <f>IF($C32="","",N(M32)+N(N32))</f>
        <v/>
      </c>
      <c r="R32" s="23">
        <f>IF($C32="","",N(J32)+N(Q32))</f>
        <v/>
      </c>
      <c r="S32" s="25">
        <f>IF(OR($C32="",N($G32)=0),"",R32/$G32)</f>
        <v/>
      </c>
      <c r="T32" s="23">
        <f>IF($C32="","",N($G32)-N(R32))</f>
        <v/>
      </c>
      <c r="U32" s="24" t="n"/>
      <c r="V32" s="22" t="n"/>
    </row>
    <row r="33">
      <c r="B33" s="13">
        <f>IF($C33="","",COUNTA($C$9:$C33))</f>
        <v/>
      </c>
      <c r="C33" s="21" t="n"/>
      <c r="D33" s="14" t="n"/>
      <c r="E33" s="14" t="n"/>
      <c r="F33" s="14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3">
        <f>IF($C33="","",N(L33)-N(M33))</f>
        <v/>
      </c>
      <c r="P33" s="24" t="n"/>
      <c r="Q33" s="23">
        <f>IF($C33="","",N(M33)+N(N33))</f>
        <v/>
      </c>
      <c r="R33" s="23">
        <f>IF($C33="","",N(J33)+N(Q33))</f>
        <v/>
      </c>
      <c r="S33" s="25">
        <f>IF(OR($C33="",N($G33)=0),"",R33/$G33)</f>
        <v/>
      </c>
      <c r="T33" s="23">
        <f>IF($C33="","",N($G33)-N(R33))</f>
        <v/>
      </c>
      <c r="U33" s="24" t="n"/>
      <c r="V33" s="22" t="n"/>
    </row>
    <row r="34">
      <c r="B34" s="13">
        <f>IF($C34="","",COUNTA($C$9:$C34))</f>
        <v/>
      </c>
      <c r="C34" s="21" t="n"/>
      <c r="D34" s="14" t="n"/>
      <c r="E34" s="14" t="n"/>
      <c r="F34" s="14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3">
        <f>IF($C34="","",N(L34)-N(M34))</f>
        <v/>
      </c>
      <c r="P34" s="24" t="n"/>
      <c r="Q34" s="23">
        <f>IF($C34="","",N(M34)+N(N34))</f>
        <v/>
      </c>
      <c r="R34" s="23">
        <f>IF($C34="","",N(J34)+N(Q34))</f>
        <v/>
      </c>
      <c r="S34" s="25">
        <f>IF(OR($C34="",N($G34)=0),"",R34/$G34)</f>
        <v/>
      </c>
      <c r="T34" s="23">
        <f>IF($C34="","",N($G34)-N(R34))</f>
        <v/>
      </c>
      <c r="U34" s="24" t="n"/>
      <c r="V34" s="22" t="n"/>
    </row>
    <row r="35">
      <c r="B35" s="13">
        <f>IF($C35="","",COUNTA($C$9:$C35))</f>
        <v/>
      </c>
      <c r="C35" s="21" t="n"/>
      <c r="D35" s="14" t="n"/>
      <c r="E35" s="14" t="n"/>
      <c r="F35" s="14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3">
        <f>IF($C35="","",N(L35)-N(M35))</f>
        <v/>
      </c>
      <c r="P35" s="24" t="n"/>
      <c r="Q35" s="23">
        <f>IF($C35="","",N(M35)+N(N35))</f>
        <v/>
      </c>
      <c r="R35" s="23">
        <f>IF($C35="","",N(J35)+N(Q35))</f>
        <v/>
      </c>
      <c r="S35" s="25">
        <f>IF(OR($C35="",N($G35)=0),"",R35/$G35)</f>
        <v/>
      </c>
      <c r="T35" s="23">
        <f>IF($C35="","",N($G35)-N(R35))</f>
        <v/>
      </c>
      <c r="U35" s="24" t="n"/>
      <c r="V35" s="22" t="n"/>
    </row>
    <row r="36">
      <c r="B36" s="13">
        <f>IF($C36="","",COUNTA($C$9:$C36))</f>
        <v/>
      </c>
      <c r="C36" s="21" t="n"/>
      <c r="D36" s="14" t="n"/>
      <c r="E36" s="14" t="n"/>
      <c r="F36" s="14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3">
        <f>IF($C36="","",N(L36)-N(M36))</f>
        <v/>
      </c>
      <c r="P36" s="24" t="n"/>
      <c r="Q36" s="23">
        <f>IF($C36="","",N(M36)+N(N36))</f>
        <v/>
      </c>
      <c r="R36" s="23">
        <f>IF($C36="","",N(J36)+N(Q36))</f>
        <v/>
      </c>
      <c r="S36" s="25">
        <f>IF(OR($C36="",N($G36)=0),"",R36/$G36)</f>
        <v/>
      </c>
      <c r="T36" s="23">
        <f>IF($C36="","",N($G36)-N(R36))</f>
        <v/>
      </c>
      <c r="U36" s="24" t="n"/>
      <c r="V36" s="22" t="n"/>
    </row>
    <row r="37">
      <c r="B37" s="13">
        <f>IF($C37="","",COUNTA($C$9:$C37))</f>
        <v/>
      </c>
      <c r="C37" s="21" t="n"/>
      <c r="D37" s="14" t="n"/>
      <c r="E37" s="14" t="n"/>
      <c r="F37" s="14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3">
        <f>IF($C37="","",N(L37)-N(M37))</f>
        <v/>
      </c>
      <c r="P37" s="24" t="n"/>
      <c r="Q37" s="23">
        <f>IF($C37="","",N(M37)+N(N37))</f>
        <v/>
      </c>
      <c r="R37" s="23">
        <f>IF($C37="","",N(J37)+N(Q37))</f>
        <v/>
      </c>
      <c r="S37" s="25">
        <f>IF(OR($C37="",N($G37)=0),"",R37/$G37)</f>
        <v/>
      </c>
      <c r="T37" s="23">
        <f>IF($C37="","",N($G37)-N(R37))</f>
        <v/>
      </c>
      <c r="U37" s="24" t="n"/>
      <c r="V37" s="22" t="n"/>
    </row>
    <row r="38">
      <c r="B38" s="13">
        <f>IF($C38="","",COUNTA($C$9:$C38))</f>
        <v/>
      </c>
      <c r="C38" s="21" t="n"/>
      <c r="D38" s="14" t="n"/>
      <c r="E38" s="14" t="n"/>
      <c r="F38" s="14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3">
        <f>IF($C38="","",N(L38)-N(M38))</f>
        <v/>
      </c>
      <c r="P38" s="24" t="n"/>
      <c r="Q38" s="23">
        <f>IF($C38="","",N(M38)+N(N38))</f>
        <v/>
      </c>
      <c r="R38" s="23">
        <f>IF($C38="","",N(J38)+N(Q38))</f>
        <v/>
      </c>
      <c r="S38" s="25">
        <f>IF(OR($C38="",N($G38)=0),"",R38/$G38)</f>
        <v/>
      </c>
      <c r="T38" s="23">
        <f>IF($C38="","",N($G38)-N(R38))</f>
        <v/>
      </c>
      <c r="U38" s="24" t="n"/>
      <c r="V38" s="22" t="n"/>
    </row>
    <row r="39">
      <c r="B39" s="13">
        <f>IF($C39="","",COUNTA($C$9:$C39))</f>
        <v/>
      </c>
      <c r="C39" s="21" t="n"/>
      <c r="D39" s="14" t="n"/>
      <c r="E39" s="14" t="n"/>
      <c r="F39" s="14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3">
        <f>IF($C39="","",N(L39)-N(M39))</f>
        <v/>
      </c>
      <c r="P39" s="24" t="n"/>
      <c r="Q39" s="23">
        <f>IF($C39="","",N(M39)+N(N39))</f>
        <v/>
      </c>
      <c r="R39" s="23">
        <f>IF($C39="","",N(J39)+N(Q39))</f>
        <v/>
      </c>
      <c r="S39" s="25">
        <f>IF(OR($C39="",N($G39)=0),"",R39/$G39)</f>
        <v/>
      </c>
      <c r="T39" s="23">
        <f>IF($C39="","",N($G39)-N(R39))</f>
        <v/>
      </c>
      <c r="U39" s="24" t="n"/>
      <c r="V39" s="22" t="n"/>
    </row>
    <row r="40">
      <c r="B40" s="13">
        <f>IF($C40="","",COUNTA($C$9:$C40))</f>
        <v/>
      </c>
      <c r="C40" s="21" t="n"/>
      <c r="D40" s="14" t="n"/>
      <c r="E40" s="14" t="n"/>
      <c r="F40" s="14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3">
        <f>IF($C40="","",N(L40)-N(M40))</f>
        <v/>
      </c>
      <c r="P40" s="24" t="n"/>
      <c r="Q40" s="23">
        <f>IF($C40="","",N(M40)+N(N40))</f>
        <v/>
      </c>
      <c r="R40" s="23">
        <f>IF($C40="","",N(J40)+N(Q40))</f>
        <v/>
      </c>
      <c r="S40" s="25">
        <f>IF(OR($C40="",N($G40)=0),"",R40/$G40)</f>
        <v/>
      </c>
      <c r="T40" s="23">
        <f>IF($C40="","",N($G40)-N(R40))</f>
        <v/>
      </c>
      <c r="U40" s="24" t="n"/>
      <c r="V40" s="22" t="n"/>
    </row>
    <row r="41">
      <c r="B41" s="13">
        <f>IF($C41="","",COUNTA($C$9:$C41))</f>
        <v/>
      </c>
      <c r="C41" s="21" t="n"/>
      <c r="D41" s="14" t="n"/>
      <c r="E41" s="14" t="n"/>
      <c r="F41" s="14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3">
        <f>IF($C41="","",N(L41)-N(M41))</f>
        <v/>
      </c>
      <c r="P41" s="24" t="n"/>
      <c r="Q41" s="23">
        <f>IF($C41="","",N(M41)+N(N41))</f>
        <v/>
      </c>
      <c r="R41" s="23">
        <f>IF($C41="","",N(J41)+N(Q41))</f>
        <v/>
      </c>
      <c r="S41" s="25">
        <f>IF(OR($C41="",N($G41)=0),"",R41/$G41)</f>
        <v/>
      </c>
      <c r="T41" s="23">
        <f>IF($C41="","",N($G41)-N(R41))</f>
        <v/>
      </c>
      <c r="U41" s="24" t="n"/>
      <c r="V41" s="22" t="n"/>
    </row>
    <row r="42">
      <c r="B42" s="13">
        <f>IF($C42="","",COUNTA($C$9:$C42))</f>
        <v/>
      </c>
      <c r="C42" s="21" t="n"/>
      <c r="D42" s="14" t="n"/>
      <c r="E42" s="14" t="n"/>
      <c r="F42" s="14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3">
        <f>IF($C42="","",N(L42)-N(M42))</f>
        <v/>
      </c>
      <c r="P42" s="24" t="n"/>
      <c r="Q42" s="23">
        <f>IF($C42="","",N(M42)+N(N42))</f>
        <v/>
      </c>
      <c r="R42" s="23">
        <f>IF($C42="","",N(J42)+N(Q42))</f>
        <v/>
      </c>
      <c r="S42" s="25">
        <f>IF(OR($C42="",N($G42)=0),"",R42/$G42)</f>
        <v/>
      </c>
      <c r="T42" s="23">
        <f>IF($C42="","",N($G42)-N(R42))</f>
        <v/>
      </c>
      <c r="U42" s="24" t="n"/>
      <c r="V42" s="22" t="n"/>
    </row>
    <row r="43">
      <c r="B43" s="13">
        <f>IF($C43="","",COUNTA($C$9:$C43))</f>
        <v/>
      </c>
      <c r="C43" s="21" t="n"/>
      <c r="D43" s="14" t="n"/>
      <c r="E43" s="14" t="n"/>
      <c r="F43" s="14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3">
        <f>IF($C43="","",N(L43)-N(M43))</f>
        <v/>
      </c>
      <c r="P43" s="24" t="n"/>
      <c r="Q43" s="23">
        <f>IF($C43="","",N(M43)+N(N43))</f>
        <v/>
      </c>
      <c r="R43" s="23">
        <f>IF($C43="","",N(J43)+N(Q43))</f>
        <v/>
      </c>
      <c r="S43" s="25">
        <f>IF(OR($C43="",N($G43)=0),"",R43/$G43)</f>
        <v/>
      </c>
      <c r="T43" s="23">
        <f>IF($C43="","",N($G43)-N(R43))</f>
        <v/>
      </c>
      <c r="U43" s="24" t="n"/>
      <c r="V43" s="22" t="n"/>
    </row>
    <row r="44">
      <c r="B44" s="13">
        <f>IF($C44="","",COUNTA($C$9:$C44))</f>
        <v/>
      </c>
      <c r="C44" s="21" t="n"/>
      <c r="D44" s="14" t="n"/>
      <c r="E44" s="14" t="n"/>
      <c r="F44" s="14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3">
        <f>IF($C44="","",N(L44)-N(M44))</f>
        <v/>
      </c>
      <c r="P44" s="24" t="n"/>
      <c r="Q44" s="23">
        <f>IF($C44="","",N(M44)+N(N44))</f>
        <v/>
      </c>
      <c r="R44" s="23">
        <f>IF($C44="","",N(J44)+N(Q44))</f>
        <v/>
      </c>
      <c r="S44" s="25">
        <f>IF(OR($C44="",N($G44)=0),"",R44/$G44)</f>
        <v/>
      </c>
      <c r="T44" s="23">
        <f>IF($C44="","",N($G44)-N(R44))</f>
        <v/>
      </c>
      <c r="U44" s="24" t="n"/>
      <c r="V44" s="22" t="n"/>
    </row>
    <row r="45">
      <c r="B45" s="13">
        <f>IF($C45="","",COUNTA($C$9:$C45))</f>
        <v/>
      </c>
      <c r="C45" s="21" t="n"/>
      <c r="D45" s="14" t="n"/>
      <c r="E45" s="14" t="n"/>
      <c r="F45" s="14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3">
        <f>IF($C45="","",N(L45)-N(M45))</f>
        <v/>
      </c>
      <c r="P45" s="24" t="n"/>
      <c r="Q45" s="23">
        <f>IF($C45="","",N(M45)+N(N45))</f>
        <v/>
      </c>
      <c r="R45" s="23">
        <f>IF($C45="","",N(J45)+N(Q45))</f>
        <v/>
      </c>
      <c r="S45" s="25">
        <f>IF(OR($C45="",N($G45)=0),"",R45/$G45)</f>
        <v/>
      </c>
      <c r="T45" s="23">
        <f>IF($C45="","",N($G45)-N(R45))</f>
        <v/>
      </c>
      <c r="U45" s="24" t="n"/>
      <c r="V45" s="22" t="n"/>
    </row>
    <row r="46">
      <c r="B46" s="13">
        <f>IF($C46="","",COUNTA($C$9:$C46))</f>
        <v/>
      </c>
      <c r="C46" s="21" t="n"/>
      <c r="D46" s="14" t="n"/>
      <c r="E46" s="14" t="n"/>
      <c r="F46" s="14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3">
        <f>IF($C46="","",N(L46)-N(M46))</f>
        <v/>
      </c>
      <c r="P46" s="24" t="n"/>
      <c r="Q46" s="23">
        <f>IF($C46="","",N(M46)+N(N46))</f>
        <v/>
      </c>
      <c r="R46" s="23">
        <f>IF($C46="","",N(J46)+N(Q46))</f>
        <v/>
      </c>
      <c r="S46" s="25">
        <f>IF(OR($C46="",N($G46)=0),"",R46/$G46)</f>
        <v/>
      </c>
      <c r="T46" s="23">
        <f>IF($C46="","",N($G46)-N(R46))</f>
        <v/>
      </c>
      <c r="U46" s="24" t="n"/>
      <c r="V46" s="22" t="n"/>
    </row>
    <row r="47">
      <c r="B47" s="13">
        <f>IF($C47="","",COUNTA($C$9:$C47))</f>
        <v/>
      </c>
      <c r="C47" s="21" t="n"/>
      <c r="D47" s="14" t="n"/>
      <c r="E47" s="14" t="n"/>
      <c r="F47" s="14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3">
        <f>IF($C47="","",N(L47)-N(M47))</f>
        <v/>
      </c>
      <c r="P47" s="24" t="n"/>
      <c r="Q47" s="23">
        <f>IF($C47="","",N(M47)+N(N47))</f>
        <v/>
      </c>
      <c r="R47" s="23">
        <f>IF($C47="","",N(J47)+N(Q47))</f>
        <v/>
      </c>
      <c r="S47" s="25">
        <f>IF(OR($C47="",N($G47)=0),"",R47/$G47)</f>
        <v/>
      </c>
      <c r="T47" s="23">
        <f>IF($C47="","",N($G47)-N(R47))</f>
        <v/>
      </c>
      <c r="U47" s="24" t="n"/>
      <c r="V47" s="22" t="n"/>
    </row>
    <row r="48">
      <c r="B48" s="13">
        <f>IF($C48="","",COUNTA($C$9:$C48))</f>
        <v/>
      </c>
      <c r="C48" s="21" t="n"/>
      <c r="D48" s="14" t="n"/>
      <c r="E48" s="14" t="n"/>
      <c r="F48" s="14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3">
        <f>IF($C48="","",N(L48)-N(M48))</f>
        <v/>
      </c>
      <c r="P48" s="24" t="n"/>
      <c r="Q48" s="23">
        <f>IF($C48="","",N(M48)+N(N48))</f>
        <v/>
      </c>
      <c r="R48" s="23">
        <f>IF($C48="","",N(J48)+N(Q48))</f>
        <v/>
      </c>
      <c r="S48" s="25">
        <f>IF(OR($C48="",N($G48)=0),"",R48/$G48)</f>
        <v/>
      </c>
      <c r="T48" s="23">
        <f>IF($C48="","",N($G48)-N(R48))</f>
        <v/>
      </c>
      <c r="U48" s="24" t="n"/>
      <c r="V48" s="22" t="n"/>
    </row>
    <row r="49">
      <c r="B49" s="13">
        <f>IF($C49="","",COUNTA($C$9:$C49))</f>
        <v/>
      </c>
      <c r="C49" s="21" t="n"/>
      <c r="D49" s="14" t="n"/>
      <c r="E49" s="14" t="n"/>
      <c r="F49" s="14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3">
        <f>IF($C49="","",N(L49)-N(M49))</f>
        <v/>
      </c>
      <c r="P49" s="24" t="n"/>
      <c r="Q49" s="23">
        <f>IF($C49="","",N(M49)+N(N49))</f>
        <v/>
      </c>
      <c r="R49" s="23">
        <f>IF($C49="","",N(J49)+N(Q49))</f>
        <v/>
      </c>
      <c r="S49" s="25">
        <f>IF(OR($C49="",N($G49)=0),"",R49/$G49)</f>
        <v/>
      </c>
      <c r="T49" s="23">
        <f>IF($C49="","",N($G49)-N(R49))</f>
        <v/>
      </c>
      <c r="U49" s="24" t="n"/>
      <c r="V49" s="22" t="n"/>
    </row>
    <row r="50">
      <c r="B50" s="13">
        <f>IF($C50="","",COUNTA($C$9:$C50))</f>
        <v/>
      </c>
      <c r="C50" s="21" t="n"/>
      <c r="D50" s="14" t="n"/>
      <c r="E50" s="14" t="n"/>
      <c r="F50" s="14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3">
        <f>IF($C50="","",N(L50)-N(M50))</f>
        <v/>
      </c>
      <c r="P50" s="24" t="n"/>
      <c r="Q50" s="23">
        <f>IF($C50="","",N(M50)+N(N50))</f>
        <v/>
      </c>
      <c r="R50" s="23">
        <f>IF($C50="","",N(J50)+N(Q50))</f>
        <v/>
      </c>
      <c r="S50" s="25">
        <f>IF(OR($C50="",N($G50)=0),"",R50/$G50)</f>
        <v/>
      </c>
      <c r="T50" s="23">
        <f>IF($C50="","",N($G50)-N(R50))</f>
        <v/>
      </c>
      <c r="U50" s="24" t="n"/>
      <c r="V50" s="22" t="n"/>
    </row>
    <row r="51">
      <c r="B51" s="13">
        <f>IF($C51="","",COUNTA($C$9:$C51))</f>
        <v/>
      </c>
      <c r="C51" s="21" t="n"/>
      <c r="D51" s="14" t="n"/>
      <c r="E51" s="14" t="n"/>
      <c r="F51" s="14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3">
        <f>IF($C51="","",N(L51)-N(M51))</f>
        <v/>
      </c>
      <c r="P51" s="24" t="n"/>
      <c r="Q51" s="23">
        <f>IF($C51="","",N(M51)+N(N51))</f>
        <v/>
      </c>
      <c r="R51" s="23">
        <f>IF($C51="","",N(J51)+N(Q51))</f>
        <v/>
      </c>
      <c r="S51" s="25">
        <f>IF(OR($C51="",N($G51)=0),"",R51/$G51)</f>
        <v/>
      </c>
      <c r="T51" s="23">
        <f>IF($C51="","",N($G51)-N(R51))</f>
        <v/>
      </c>
      <c r="U51" s="24" t="n"/>
      <c r="V51" s="22" t="n"/>
    </row>
    <row r="52">
      <c r="B52" s="13">
        <f>IF($C52="","",COUNTA($C$9:$C52))</f>
        <v/>
      </c>
      <c r="C52" s="21" t="n"/>
      <c r="D52" s="14" t="n"/>
      <c r="E52" s="14" t="n"/>
      <c r="F52" s="14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3">
        <f>IF($C52="","",N(L52)-N(M52))</f>
        <v/>
      </c>
      <c r="P52" s="24" t="n"/>
      <c r="Q52" s="23">
        <f>IF($C52="","",N(M52)+N(N52))</f>
        <v/>
      </c>
      <c r="R52" s="23">
        <f>IF($C52="","",N(J52)+N(Q52))</f>
        <v/>
      </c>
      <c r="S52" s="25">
        <f>IF(OR($C52="",N($G52)=0),"",R52/$G52)</f>
        <v/>
      </c>
      <c r="T52" s="23">
        <f>IF($C52="","",N($G52)-N(R52))</f>
        <v/>
      </c>
      <c r="U52" s="24" t="n"/>
      <c r="V52" s="22" t="n"/>
    </row>
    <row r="53">
      <c r="B53" s="13">
        <f>IF($C53="","",COUNTA($C$9:$C53))</f>
        <v/>
      </c>
      <c r="C53" s="21" t="n"/>
      <c r="D53" s="14" t="n"/>
      <c r="E53" s="14" t="n"/>
      <c r="F53" s="14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3">
        <f>IF($C53="","",N(L53)-N(M53))</f>
        <v/>
      </c>
      <c r="P53" s="24" t="n"/>
      <c r="Q53" s="23">
        <f>IF($C53="","",N(M53)+N(N53))</f>
        <v/>
      </c>
      <c r="R53" s="23">
        <f>IF($C53="","",N(J53)+N(Q53))</f>
        <v/>
      </c>
      <c r="S53" s="25">
        <f>IF(OR($C53="",N($G53)=0),"",R53/$G53)</f>
        <v/>
      </c>
      <c r="T53" s="23">
        <f>IF($C53="","",N($G53)-N(R53))</f>
        <v/>
      </c>
      <c r="U53" s="24" t="n"/>
      <c r="V53" s="22" t="n"/>
    </row>
    <row r="54">
      <c r="B54" s="13">
        <f>IF($C54="","",COUNTA($C$9:$C54))</f>
        <v/>
      </c>
      <c r="C54" s="21" t="n"/>
      <c r="D54" s="14" t="n"/>
      <c r="E54" s="14" t="n"/>
      <c r="F54" s="14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3">
        <f>IF($C54="","",N(L54)-N(M54))</f>
        <v/>
      </c>
      <c r="P54" s="24" t="n"/>
      <c r="Q54" s="23">
        <f>IF($C54="","",N(M54)+N(N54))</f>
        <v/>
      </c>
      <c r="R54" s="23">
        <f>IF($C54="","",N(J54)+N(Q54))</f>
        <v/>
      </c>
      <c r="S54" s="25">
        <f>IF(OR($C54="",N($G54)=0),"",R54/$G54)</f>
        <v/>
      </c>
      <c r="T54" s="23">
        <f>IF($C54="","",N($G54)-N(R54))</f>
        <v/>
      </c>
      <c r="U54" s="24" t="n"/>
      <c r="V54" s="22" t="n"/>
    </row>
    <row r="55">
      <c r="B55" s="13">
        <f>IF($C55="","",COUNTA($C$9:$C55))</f>
        <v/>
      </c>
      <c r="C55" s="21" t="n"/>
      <c r="D55" s="14" t="n"/>
      <c r="E55" s="14" t="n"/>
      <c r="F55" s="14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3">
        <f>IF($C55="","",N(L55)-N(M55))</f>
        <v/>
      </c>
      <c r="P55" s="24" t="n"/>
      <c r="Q55" s="23">
        <f>IF($C55="","",N(M55)+N(N55))</f>
        <v/>
      </c>
      <c r="R55" s="23">
        <f>IF($C55="","",N(J55)+N(Q55))</f>
        <v/>
      </c>
      <c r="S55" s="25">
        <f>IF(OR($C55="",N($G55)=0),"",R55/$G55)</f>
        <v/>
      </c>
      <c r="T55" s="23">
        <f>IF($C55="","",N($G55)-N(R55))</f>
        <v/>
      </c>
      <c r="U55" s="24" t="n"/>
      <c r="V55" s="22" t="n"/>
    </row>
    <row r="56">
      <c r="B56" s="13">
        <f>IF($C56="","",COUNTA($C$9:$C56))</f>
        <v/>
      </c>
      <c r="C56" s="21" t="n"/>
      <c r="D56" s="14" t="n"/>
      <c r="E56" s="14" t="n"/>
      <c r="F56" s="14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3">
        <f>IF($C56="","",N(L56)-N(M56))</f>
        <v/>
      </c>
      <c r="P56" s="24" t="n"/>
      <c r="Q56" s="23">
        <f>IF($C56="","",N(M56)+N(N56))</f>
        <v/>
      </c>
      <c r="R56" s="23">
        <f>IF($C56="","",N(J56)+N(Q56))</f>
        <v/>
      </c>
      <c r="S56" s="25">
        <f>IF(OR($C56="",N($G56)=0),"",R56/$G56)</f>
        <v/>
      </c>
      <c r="T56" s="23">
        <f>IF($C56="","",N($G56)-N(R56))</f>
        <v/>
      </c>
      <c r="U56" s="24" t="n"/>
      <c r="V56" s="22" t="n"/>
    </row>
    <row r="57">
      <c r="B57" s="13">
        <f>IF($C57="","",COUNTA($C$9:$C57))</f>
        <v/>
      </c>
      <c r="C57" s="21" t="n"/>
      <c r="D57" s="14" t="n"/>
      <c r="E57" s="14" t="n"/>
      <c r="F57" s="14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3">
        <f>IF($C57="","",N(L57)-N(M57))</f>
        <v/>
      </c>
      <c r="P57" s="24" t="n"/>
      <c r="Q57" s="23">
        <f>IF($C57="","",N(M57)+N(N57))</f>
        <v/>
      </c>
      <c r="R57" s="23">
        <f>IF($C57="","",N(J57)+N(Q57))</f>
        <v/>
      </c>
      <c r="S57" s="25">
        <f>IF(OR($C57="",N($G57)=0),"",R57/$G57)</f>
        <v/>
      </c>
      <c r="T57" s="23">
        <f>IF($C57="","",N($G57)-N(R57))</f>
        <v/>
      </c>
      <c r="U57" s="24" t="n"/>
      <c r="V57" s="22" t="n"/>
    </row>
    <row r="58">
      <c r="B58" s="13">
        <f>IF($C58="","",COUNTA($C$9:$C58))</f>
        <v/>
      </c>
      <c r="C58" s="21" t="n"/>
      <c r="D58" s="14" t="n"/>
      <c r="E58" s="14" t="n"/>
      <c r="F58" s="14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3">
        <f>IF($C58="","",N(L58)-N(M58))</f>
        <v/>
      </c>
      <c r="P58" s="24" t="n"/>
      <c r="Q58" s="23">
        <f>IF($C58="","",N(M58)+N(N58))</f>
        <v/>
      </c>
      <c r="R58" s="23">
        <f>IF($C58="","",N(J58)+N(Q58))</f>
        <v/>
      </c>
      <c r="S58" s="25">
        <f>IF(OR($C58="",N($G58)=0),"",R58/$G58)</f>
        <v/>
      </c>
      <c r="T58" s="23">
        <f>IF($C58="","",N($G58)-N(R58))</f>
        <v/>
      </c>
      <c r="U58" s="24" t="n"/>
      <c r="V58" s="22" t="n"/>
    </row>
    <row r="59">
      <c r="B59" s="13">
        <f>IF($C59="","",COUNTA($C$9:$C59))</f>
        <v/>
      </c>
      <c r="C59" s="21" t="n"/>
      <c r="D59" s="14" t="n"/>
      <c r="E59" s="14" t="n"/>
      <c r="F59" s="14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3">
        <f>IF($C59="","",N(L59)-N(M59))</f>
        <v/>
      </c>
      <c r="P59" s="24" t="n"/>
      <c r="Q59" s="23">
        <f>IF($C59="","",N(M59)+N(N59))</f>
        <v/>
      </c>
      <c r="R59" s="23">
        <f>IF($C59="","",N(J59)+N(Q59))</f>
        <v/>
      </c>
      <c r="S59" s="25">
        <f>IF(OR($C59="",N($G59)=0),"",R59/$G59)</f>
        <v/>
      </c>
      <c r="T59" s="23">
        <f>IF($C59="","",N($G59)-N(R59))</f>
        <v/>
      </c>
      <c r="U59" s="24" t="n"/>
      <c r="V59" s="22" t="n"/>
    </row>
    <row r="60">
      <c r="B60" s="13">
        <f>IF($C60="","",COUNTA($C$9:$C60))</f>
        <v/>
      </c>
      <c r="C60" s="21" t="n"/>
      <c r="D60" s="14" t="n"/>
      <c r="E60" s="14" t="n"/>
      <c r="F60" s="14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3">
        <f>IF($C60="","",N(L60)-N(M60))</f>
        <v/>
      </c>
      <c r="P60" s="24" t="n"/>
      <c r="Q60" s="23">
        <f>IF($C60="","",N(M60)+N(N60))</f>
        <v/>
      </c>
      <c r="R60" s="23">
        <f>IF($C60="","",N(J60)+N(Q60))</f>
        <v/>
      </c>
      <c r="S60" s="25">
        <f>IF(OR($C60="",N($G60)=0),"",R60/$G60)</f>
        <v/>
      </c>
      <c r="T60" s="23">
        <f>IF($C60="","",N($G60)-N(R60))</f>
        <v/>
      </c>
      <c r="U60" s="24" t="n"/>
      <c r="V60" s="22" t="n"/>
    </row>
    <row r="61">
      <c r="B61" s="13">
        <f>IF($C61="","",COUNTA($C$9:$C61))</f>
        <v/>
      </c>
      <c r="C61" s="21" t="n"/>
      <c r="D61" s="14" t="n"/>
      <c r="E61" s="14" t="n"/>
      <c r="F61" s="14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3">
        <f>IF($C61="","",N(L61)-N(M61))</f>
        <v/>
      </c>
      <c r="P61" s="24" t="n"/>
      <c r="Q61" s="23">
        <f>IF($C61="","",N(M61)+N(N61))</f>
        <v/>
      </c>
      <c r="R61" s="23">
        <f>IF($C61="","",N(J61)+N(Q61))</f>
        <v/>
      </c>
      <c r="S61" s="25">
        <f>IF(OR($C61="",N($G61)=0),"",R61/$G61)</f>
        <v/>
      </c>
      <c r="T61" s="23">
        <f>IF($C61="","",N($G61)-N(R61))</f>
        <v/>
      </c>
      <c r="U61" s="24" t="n"/>
      <c r="V61" s="22" t="n"/>
    </row>
    <row r="62">
      <c r="B62" s="13">
        <f>IF($C62="","",COUNTA($C$9:$C62))</f>
        <v/>
      </c>
      <c r="C62" s="21" t="n"/>
      <c r="D62" s="14" t="n"/>
      <c r="E62" s="14" t="n"/>
      <c r="F62" s="14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3">
        <f>IF($C62="","",N(L62)-N(M62))</f>
        <v/>
      </c>
      <c r="P62" s="24" t="n"/>
      <c r="Q62" s="23">
        <f>IF($C62="","",N(M62)+N(N62))</f>
        <v/>
      </c>
      <c r="R62" s="23">
        <f>IF($C62="","",N(J62)+N(Q62))</f>
        <v/>
      </c>
      <c r="S62" s="25">
        <f>IF(OR($C62="",N($G62)=0),"",R62/$G62)</f>
        <v/>
      </c>
      <c r="T62" s="23">
        <f>IF($C62="","",N($G62)-N(R62))</f>
        <v/>
      </c>
      <c r="U62" s="24" t="n"/>
      <c r="V62" s="22" t="n"/>
    </row>
    <row r="63">
      <c r="B63" s="13">
        <f>IF($C63="","",COUNTA($C$9:$C63))</f>
        <v/>
      </c>
      <c r="C63" s="21" t="n"/>
      <c r="D63" s="14" t="n"/>
      <c r="E63" s="14" t="n"/>
      <c r="F63" s="14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3">
        <f>IF($C63="","",N(L63)-N(M63))</f>
        <v/>
      </c>
      <c r="P63" s="24" t="n"/>
      <c r="Q63" s="23">
        <f>IF($C63="","",N(M63)+N(N63))</f>
        <v/>
      </c>
      <c r="R63" s="23">
        <f>IF($C63="","",N(J63)+N(Q63))</f>
        <v/>
      </c>
      <c r="S63" s="25">
        <f>IF(OR($C63="",N($G63)=0),"",R63/$G63)</f>
        <v/>
      </c>
      <c r="T63" s="23">
        <f>IF($C63="","",N($G63)-N(R63))</f>
        <v/>
      </c>
      <c r="U63" s="24" t="n"/>
      <c r="V63" s="22" t="n"/>
    </row>
    <row r="64">
      <c r="B64" s="13">
        <f>IF($C64="","",COUNTA($C$9:$C64))</f>
        <v/>
      </c>
      <c r="C64" s="21" t="n"/>
      <c r="D64" s="14" t="n"/>
      <c r="E64" s="14" t="n"/>
      <c r="F64" s="14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3">
        <f>IF($C64="","",N(L64)-N(M64))</f>
        <v/>
      </c>
      <c r="P64" s="24" t="n"/>
      <c r="Q64" s="23">
        <f>IF($C64="","",N(M64)+N(N64))</f>
        <v/>
      </c>
      <c r="R64" s="23">
        <f>IF($C64="","",N(J64)+N(Q64))</f>
        <v/>
      </c>
      <c r="S64" s="25">
        <f>IF(OR($C64="",N($G64)=0),"",R64/$G64)</f>
        <v/>
      </c>
      <c r="T64" s="23">
        <f>IF($C64="","",N($G64)-N(R64))</f>
        <v/>
      </c>
      <c r="U64" s="24" t="n"/>
      <c r="V64" s="22" t="n"/>
    </row>
    <row r="65">
      <c r="B65" s="13">
        <f>IF($C65="","",COUNTA($C$9:$C65))</f>
        <v/>
      </c>
      <c r="C65" s="21" t="n"/>
      <c r="D65" s="14" t="n"/>
      <c r="E65" s="14" t="n"/>
      <c r="F65" s="14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3">
        <f>IF($C65="","",N(L65)-N(M65))</f>
        <v/>
      </c>
      <c r="P65" s="24" t="n"/>
      <c r="Q65" s="23">
        <f>IF($C65="","",N(M65)+N(N65))</f>
        <v/>
      </c>
      <c r="R65" s="23">
        <f>IF($C65="","",N(J65)+N(Q65))</f>
        <v/>
      </c>
      <c r="S65" s="25">
        <f>IF(OR($C65="",N($G65)=0),"",R65/$G65)</f>
        <v/>
      </c>
      <c r="T65" s="23">
        <f>IF($C65="","",N($G65)-N(R65))</f>
        <v/>
      </c>
      <c r="U65" s="24" t="n"/>
      <c r="V65" s="22" t="n"/>
    </row>
    <row r="66">
      <c r="B66" s="13">
        <f>IF($C66="","",COUNTA($C$9:$C66))</f>
        <v/>
      </c>
      <c r="C66" s="21" t="n"/>
      <c r="D66" s="14" t="n"/>
      <c r="E66" s="14" t="n"/>
      <c r="F66" s="14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3">
        <f>IF($C66="","",N(L66)-N(M66))</f>
        <v/>
      </c>
      <c r="P66" s="24" t="n"/>
      <c r="Q66" s="23">
        <f>IF($C66="","",N(M66)+N(N66))</f>
        <v/>
      </c>
      <c r="R66" s="23">
        <f>IF($C66="","",N(J66)+N(Q66))</f>
        <v/>
      </c>
      <c r="S66" s="25">
        <f>IF(OR($C66="",N($G66)=0),"",R66/$G66)</f>
        <v/>
      </c>
      <c r="T66" s="23">
        <f>IF($C66="","",N($G66)-N(R66))</f>
        <v/>
      </c>
      <c r="U66" s="24" t="n"/>
      <c r="V66" s="22" t="n"/>
    </row>
    <row r="67">
      <c r="B67" s="13">
        <f>IF($C67="","",COUNTA($C$9:$C67))</f>
        <v/>
      </c>
      <c r="C67" s="21" t="n"/>
      <c r="D67" s="14" t="n"/>
      <c r="E67" s="14" t="n"/>
      <c r="F67" s="14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3">
        <f>IF($C67="","",N(L67)-N(M67))</f>
        <v/>
      </c>
      <c r="P67" s="24" t="n"/>
      <c r="Q67" s="23">
        <f>IF($C67="","",N(M67)+N(N67))</f>
        <v/>
      </c>
      <c r="R67" s="23">
        <f>IF($C67="","",N(J67)+N(Q67))</f>
        <v/>
      </c>
      <c r="S67" s="25">
        <f>IF(OR($C67="",N($G67)=0),"",R67/$G67)</f>
        <v/>
      </c>
      <c r="T67" s="23">
        <f>IF($C67="","",N($G67)-N(R67))</f>
        <v/>
      </c>
      <c r="U67" s="24" t="n"/>
      <c r="V67" s="22" t="n"/>
    </row>
    <row r="68">
      <c r="B68" s="13">
        <f>IF($C68="","",COUNTA($C$9:$C68))</f>
        <v/>
      </c>
      <c r="C68" s="21" t="n"/>
      <c r="D68" s="14" t="n"/>
      <c r="E68" s="14" t="n"/>
      <c r="F68" s="14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3">
        <f>IF($C68="","",N(L68)-N(M68))</f>
        <v/>
      </c>
      <c r="P68" s="24" t="n"/>
      <c r="Q68" s="23">
        <f>IF($C68="","",N(M68)+N(N68))</f>
        <v/>
      </c>
      <c r="R68" s="23">
        <f>IF($C68="","",N(J68)+N(Q68))</f>
        <v/>
      </c>
      <c r="S68" s="25">
        <f>IF(OR($C68="",N($G68)=0),"",R68/$G68)</f>
        <v/>
      </c>
      <c r="T68" s="23">
        <f>IF($C68="","",N($G68)-N(R68))</f>
        <v/>
      </c>
      <c r="U68" s="24" t="n"/>
      <c r="V68" s="22" t="n"/>
    </row>
    <row r="69">
      <c r="B69" s="13">
        <f>IF($C69="","",COUNTA($C$9:$C69))</f>
        <v/>
      </c>
      <c r="C69" s="21" t="n"/>
      <c r="D69" s="14" t="n"/>
      <c r="E69" s="14" t="n"/>
      <c r="F69" s="14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3">
        <f>IF($C69="","",N(L69)-N(M69))</f>
        <v/>
      </c>
      <c r="P69" s="24" t="n"/>
      <c r="Q69" s="23">
        <f>IF($C69="","",N(M69)+N(N69))</f>
        <v/>
      </c>
      <c r="R69" s="23">
        <f>IF($C69="","",N(J69)+N(Q69))</f>
        <v/>
      </c>
      <c r="S69" s="25">
        <f>IF(OR($C69="",N($G69)=0),"",R69/$G69)</f>
        <v/>
      </c>
      <c r="T69" s="23">
        <f>IF($C69="","",N($G69)-N(R69))</f>
        <v/>
      </c>
      <c r="U69" s="24" t="n"/>
      <c r="V69" s="22" t="n"/>
    </row>
    <row r="70">
      <c r="B70" s="13">
        <f>IF($C70="","",COUNTA($C$9:$C70))</f>
        <v/>
      </c>
      <c r="C70" s="21" t="n"/>
      <c r="D70" s="14" t="n"/>
      <c r="E70" s="14" t="n"/>
      <c r="F70" s="14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3">
        <f>IF($C70="","",N(L70)-N(M70))</f>
        <v/>
      </c>
      <c r="P70" s="24" t="n"/>
      <c r="Q70" s="23">
        <f>IF($C70="","",N(M70)+N(N70))</f>
        <v/>
      </c>
      <c r="R70" s="23">
        <f>IF($C70="","",N(J70)+N(Q70))</f>
        <v/>
      </c>
      <c r="S70" s="25">
        <f>IF(OR($C70="",N($G70)=0),"",R70/$G70)</f>
        <v/>
      </c>
      <c r="T70" s="23">
        <f>IF($C70="","",N($G70)-N(R70))</f>
        <v/>
      </c>
      <c r="U70" s="24" t="n"/>
      <c r="V70" s="22" t="n"/>
    </row>
    <row r="71">
      <c r="B71" s="13">
        <f>IF($C71="","",COUNTA($C$9:$C71))</f>
        <v/>
      </c>
      <c r="C71" s="21" t="n"/>
      <c r="D71" s="14" t="n"/>
      <c r="E71" s="14" t="n"/>
      <c r="F71" s="14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3">
        <f>IF($C71="","",N(L71)-N(M71))</f>
        <v/>
      </c>
      <c r="P71" s="24" t="n"/>
      <c r="Q71" s="23">
        <f>IF($C71="","",N(M71)+N(N71))</f>
        <v/>
      </c>
      <c r="R71" s="23">
        <f>IF($C71="","",N(J71)+N(Q71))</f>
        <v/>
      </c>
      <c r="S71" s="25">
        <f>IF(OR($C71="",N($G71)=0),"",R71/$G71)</f>
        <v/>
      </c>
      <c r="T71" s="23">
        <f>IF($C71="","",N($G71)-N(R71))</f>
        <v/>
      </c>
      <c r="U71" s="24" t="n"/>
      <c r="V71" s="22" t="n"/>
    </row>
    <row r="72">
      <c r="B72" s="13">
        <f>IF($C72="","",COUNTA($C$9:$C72))</f>
        <v/>
      </c>
      <c r="C72" s="21" t="n"/>
      <c r="D72" s="14" t="n"/>
      <c r="E72" s="14" t="n"/>
      <c r="F72" s="14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3">
        <f>IF($C72="","",N(L72)-N(M72))</f>
        <v/>
      </c>
      <c r="P72" s="24" t="n"/>
      <c r="Q72" s="23">
        <f>IF($C72="","",N(M72)+N(N72))</f>
        <v/>
      </c>
      <c r="R72" s="23">
        <f>IF($C72="","",N(J72)+N(Q72))</f>
        <v/>
      </c>
      <c r="S72" s="25">
        <f>IF(OR($C72="",N($G72)=0),"",R72/$G72)</f>
        <v/>
      </c>
      <c r="T72" s="23">
        <f>IF($C72="","",N($G72)-N(R72))</f>
        <v/>
      </c>
      <c r="U72" s="24" t="n"/>
      <c r="V72" s="22" t="n"/>
    </row>
    <row r="73">
      <c r="B73" s="13">
        <f>IF($C73="","",COUNTA($C$9:$C73))</f>
        <v/>
      </c>
      <c r="C73" s="21" t="n"/>
      <c r="D73" s="14" t="n"/>
      <c r="E73" s="14" t="n"/>
      <c r="F73" s="14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3">
        <f>IF($C73="","",N(L73)-N(M73))</f>
        <v/>
      </c>
      <c r="P73" s="24" t="n"/>
      <c r="Q73" s="23">
        <f>IF($C73="","",N(M73)+N(N73))</f>
        <v/>
      </c>
      <c r="R73" s="23">
        <f>IF($C73="","",N(J73)+N(Q73))</f>
        <v/>
      </c>
      <c r="S73" s="25">
        <f>IF(OR($C73="",N($G73)=0),"",R73/$G73)</f>
        <v/>
      </c>
      <c r="T73" s="23">
        <f>IF($C73="","",N($G73)-N(R73))</f>
        <v/>
      </c>
      <c r="U73" s="24" t="n"/>
      <c r="V73" s="22" t="n"/>
    </row>
    <row r="74">
      <c r="B74" s="13">
        <f>IF($C74="","",COUNTA($C$9:$C74))</f>
        <v/>
      </c>
      <c r="C74" s="21" t="n"/>
      <c r="D74" s="14" t="n"/>
      <c r="E74" s="14" t="n"/>
      <c r="F74" s="14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3">
        <f>IF($C74="","",N(L74)-N(M74))</f>
        <v/>
      </c>
      <c r="P74" s="24" t="n"/>
      <c r="Q74" s="23">
        <f>IF($C74="","",N(M74)+N(N74))</f>
        <v/>
      </c>
      <c r="R74" s="23">
        <f>IF($C74="","",N(J74)+N(Q74))</f>
        <v/>
      </c>
      <c r="S74" s="25">
        <f>IF(OR($C74="",N($G74)=0),"",R74/$G74)</f>
        <v/>
      </c>
      <c r="T74" s="23">
        <f>IF($C74="","",N($G74)-N(R74))</f>
        <v/>
      </c>
      <c r="U74" s="24" t="n"/>
      <c r="V74" s="22" t="n"/>
    </row>
    <row r="75">
      <c r="B75" s="13">
        <f>IF($C75="","",COUNTA($C$9:$C75))</f>
        <v/>
      </c>
      <c r="C75" s="21" t="n"/>
      <c r="D75" s="14" t="n"/>
      <c r="E75" s="14" t="n"/>
      <c r="F75" s="14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3">
        <f>IF($C75="","",N(L75)-N(M75))</f>
        <v/>
      </c>
      <c r="P75" s="24" t="n"/>
      <c r="Q75" s="23">
        <f>IF($C75="","",N(M75)+N(N75))</f>
        <v/>
      </c>
      <c r="R75" s="23">
        <f>IF($C75="","",N(J75)+N(Q75))</f>
        <v/>
      </c>
      <c r="S75" s="25">
        <f>IF(OR($C75="",N($G75)=0),"",R75/$G75)</f>
        <v/>
      </c>
      <c r="T75" s="23">
        <f>IF($C75="","",N($G75)-N(R75))</f>
        <v/>
      </c>
      <c r="U75" s="24" t="n"/>
      <c r="V75" s="22" t="n"/>
    </row>
    <row r="76">
      <c r="B76" s="13">
        <f>IF($C76="","",COUNTA($C$9:$C76))</f>
        <v/>
      </c>
      <c r="C76" s="21" t="n"/>
      <c r="D76" s="14" t="n"/>
      <c r="E76" s="14" t="n"/>
      <c r="F76" s="14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3">
        <f>IF($C76="","",N(L76)-N(M76))</f>
        <v/>
      </c>
      <c r="P76" s="24" t="n"/>
      <c r="Q76" s="23">
        <f>IF($C76="","",N(M76)+N(N76))</f>
        <v/>
      </c>
      <c r="R76" s="23">
        <f>IF($C76="","",N(J76)+N(Q76))</f>
        <v/>
      </c>
      <c r="S76" s="25">
        <f>IF(OR($C76="",N($G76)=0),"",R76/$G76)</f>
        <v/>
      </c>
      <c r="T76" s="23">
        <f>IF($C76="","",N($G76)-N(R76))</f>
        <v/>
      </c>
      <c r="U76" s="24" t="n"/>
      <c r="V76" s="22" t="n"/>
    </row>
    <row r="77">
      <c r="B77" s="13">
        <f>IF($C77="","",COUNTA($C$9:$C77))</f>
        <v/>
      </c>
      <c r="C77" s="21" t="n"/>
      <c r="D77" s="14" t="n"/>
      <c r="E77" s="14" t="n"/>
      <c r="F77" s="14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3">
        <f>IF($C77="","",N(L77)-N(M77))</f>
        <v/>
      </c>
      <c r="P77" s="24" t="n"/>
      <c r="Q77" s="23">
        <f>IF($C77="","",N(M77)+N(N77))</f>
        <v/>
      </c>
      <c r="R77" s="23">
        <f>IF($C77="","",N(J77)+N(Q77))</f>
        <v/>
      </c>
      <c r="S77" s="25">
        <f>IF(OR($C77="",N($G77)=0),"",R77/$G77)</f>
        <v/>
      </c>
      <c r="T77" s="23">
        <f>IF($C77="","",N($G77)-N(R77))</f>
        <v/>
      </c>
      <c r="U77" s="24" t="n"/>
      <c r="V77" s="22" t="n"/>
    </row>
    <row r="78">
      <c r="B78" s="13">
        <f>IF($C78="","",COUNTA($C$9:$C78))</f>
        <v/>
      </c>
      <c r="C78" s="21" t="n"/>
      <c r="D78" s="14" t="n"/>
      <c r="E78" s="14" t="n"/>
      <c r="F78" s="14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3">
        <f>IF($C78="","",N(L78)-N(M78))</f>
        <v/>
      </c>
      <c r="P78" s="24" t="n"/>
      <c r="Q78" s="23">
        <f>IF($C78="","",N(M78)+N(N78))</f>
        <v/>
      </c>
      <c r="R78" s="23">
        <f>IF($C78="","",N(J78)+N(Q78))</f>
        <v/>
      </c>
      <c r="S78" s="25">
        <f>IF(OR($C78="",N($G78)=0),"",R78/$G78)</f>
        <v/>
      </c>
      <c r="T78" s="23">
        <f>IF($C78="","",N($G78)-N(R78))</f>
        <v/>
      </c>
      <c r="U78" s="24" t="n"/>
      <c r="V78" s="22" t="n"/>
    </row>
    <row r="79">
      <c r="B79" s="13">
        <f>IF($C79="","",COUNTA($C$9:$C79))</f>
        <v/>
      </c>
      <c r="C79" s="21" t="n"/>
      <c r="D79" s="14" t="n"/>
      <c r="E79" s="14" t="n"/>
      <c r="F79" s="14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3">
        <f>IF($C79="","",N(L79)-N(M79))</f>
        <v/>
      </c>
      <c r="P79" s="24" t="n"/>
      <c r="Q79" s="23">
        <f>IF($C79="","",N(M79)+N(N79))</f>
        <v/>
      </c>
      <c r="R79" s="23">
        <f>IF($C79="","",N(J79)+N(Q79))</f>
        <v/>
      </c>
      <c r="S79" s="25">
        <f>IF(OR($C79="",N($G79)=0),"",R79/$G79)</f>
        <v/>
      </c>
      <c r="T79" s="23">
        <f>IF($C79="","",N($G79)-N(R79))</f>
        <v/>
      </c>
      <c r="U79" s="24" t="n"/>
      <c r="V79" s="22" t="n"/>
    </row>
    <row r="80">
      <c r="B80" s="13">
        <f>IF($C80="","",COUNTA($C$9:$C80))</f>
        <v/>
      </c>
      <c r="C80" s="21" t="n"/>
      <c r="D80" s="14" t="n"/>
      <c r="E80" s="14" t="n"/>
      <c r="F80" s="14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3">
        <f>IF($C80="","",N(L80)-N(M80))</f>
        <v/>
      </c>
      <c r="P80" s="24" t="n"/>
      <c r="Q80" s="23">
        <f>IF($C80="","",N(M80)+N(N80))</f>
        <v/>
      </c>
      <c r="R80" s="23">
        <f>IF($C80="","",N(J80)+N(Q80))</f>
        <v/>
      </c>
      <c r="S80" s="25">
        <f>IF(OR($C80="",N($G80)=0),"",R80/$G80)</f>
        <v/>
      </c>
      <c r="T80" s="23">
        <f>IF($C80="","",N($G80)-N(R80))</f>
        <v/>
      </c>
      <c r="U80" s="24" t="n"/>
      <c r="V80" s="22" t="n"/>
    </row>
    <row r="81">
      <c r="B81" s="13">
        <f>IF($C81="","",COUNTA($C$9:$C81))</f>
        <v/>
      </c>
      <c r="C81" s="21" t="n"/>
      <c r="D81" s="14" t="n"/>
      <c r="E81" s="14" t="n"/>
      <c r="F81" s="14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3">
        <f>IF($C81="","",N(L81)-N(M81))</f>
        <v/>
      </c>
      <c r="P81" s="24" t="n"/>
      <c r="Q81" s="23">
        <f>IF($C81="","",N(M81)+N(N81))</f>
        <v/>
      </c>
      <c r="R81" s="23">
        <f>IF($C81="","",N(J81)+N(Q81))</f>
        <v/>
      </c>
      <c r="S81" s="25">
        <f>IF(OR($C81="",N($G81)=0),"",R81/$G81)</f>
        <v/>
      </c>
      <c r="T81" s="23">
        <f>IF($C81="","",N($G81)-N(R81))</f>
        <v/>
      </c>
      <c r="U81" s="24" t="n"/>
      <c r="V81" s="22" t="n"/>
    </row>
    <row r="82">
      <c r="B82" s="13">
        <f>IF($C82="","",COUNTA($C$9:$C82))</f>
        <v/>
      </c>
      <c r="C82" s="21" t="n"/>
      <c r="D82" s="14" t="n"/>
      <c r="E82" s="14" t="n"/>
      <c r="F82" s="14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3">
        <f>IF($C82="","",N(L82)-N(M82))</f>
        <v/>
      </c>
      <c r="P82" s="24" t="n"/>
      <c r="Q82" s="23">
        <f>IF($C82="","",N(M82)+N(N82))</f>
        <v/>
      </c>
      <c r="R82" s="23">
        <f>IF($C82="","",N(J82)+N(Q82))</f>
        <v/>
      </c>
      <c r="S82" s="25">
        <f>IF(OR($C82="",N($G82)=0),"",R82/$G82)</f>
        <v/>
      </c>
      <c r="T82" s="23">
        <f>IF($C82="","",N($G82)-N(R82))</f>
        <v/>
      </c>
      <c r="U82" s="24" t="n"/>
      <c r="V82" s="22" t="n"/>
    </row>
    <row r="83">
      <c r="B83" s="13">
        <f>IF($C83="","",COUNTA($C$9:$C83))</f>
        <v/>
      </c>
      <c r="C83" s="21" t="n"/>
      <c r="D83" s="14" t="n"/>
      <c r="E83" s="14" t="n"/>
      <c r="F83" s="14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3">
        <f>IF($C83="","",N(L83)-N(M83))</f>
        <v/>
      </c>
      <c r="P83" s="24" t="n"/>
      <c r="Q83" s="23">
        <f>IF($C83="","",N(M83)+N(N83))</f>
        <v/>
      </c>
      <c r="R83" s="23">
        <f>IF($C83="","",N(J83)+N(Q83))</f>
        <v/>
      </c>
      <c r="S83" s="25">
        <f>IF(OR($C83="",N($G83)=0),"",R83/$G83)</f>
        <v/>
      </c>
      <c r="T83" s="23">
        <f>IF($C83="","",N($G83)-N(R83))</f>
        <v/>
      </c>
      <c r="U83" s="24" t="n"/>
      <c r="V83" s="22" t="n"/>
    </row>
    <row r="84">
      <c r="B84" s="13">
        <f>IF($C84="","",COUNTA($C$9:$C84))</f>
        <v/>
      </c>
      <c r="C84" s="21" t="n"/>
      <c r="D84" s="14" t="n"/>
      <c r="E84" s="14" t="n"/>
      <c r="F84" s="14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3">
        <f>IF($C84="","",N(L84)-N(M84))</f>
        <v/>
      </c>
      <c r="P84" s="24" t="n"/>
      <c r="Q84" s="23">
        <f>IF($C84="","",N(M84)+N(N84))</f>
        <v/>
      </c>
      <c r="R84" s="23">
        <f>IF($C84="","",N(J84)+N(Q84))</f>
        <v/>
      </c>
      <c r="S84" s="25">
        <f>IF(OR($C84="",N($G84)=0),"",R84/$G84)</f>
        <v/>
      </c>
      <c r="T84" s="23">
        <f>IF($C84="","",N($G84)-N(R84))</f>
        <v/>
      </c>
      <c r="U84" s="24" t="n"/>
      <c r="V84" s="22" t="n"/>
    </row>
    <row r="85">
      <c r="B85" s="13">
        <f>IF($C85="","",COUNTA($C$9:$C85))</f>
        <v/>
      </c>
      <c r="C85" s="21" t="n"/>
      <c r="D85" s="14" t="n"/>
      <c r="E85" s="14" t="n"/>
      <c r="F85" s="14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3">
        <f>IF($C85="","",N(L85)-N(M85))</f>
        <v/>
      </c>
      <c r="P85" s="24" t="n"/>
      <c r="Q85" s="23">
        <f>IF($C85="","",N(M85)+N(N85))</f>
        <v/>
      </c>
      <c r="R85" s="23">
        <f>IF($C85="","",N(J85)+N(Q85))</f>
        <v/>
      </c>
      <c r="S85" s="25">
        <f>IF(OR($C85="",N($G85)=0),"",R85/$G85)</f>
        <v/>
      </c>
      <c r="T85" s="23">
        <f>IF($C85="","",N($G85)-N(R85))</f>
        <v/>
      </c>
      <c r="U85" s="24" t="n"/>
      <c r="V85" s="22" t="n"/>
    </row>
    <row r="86">
      <c r="B86" s="13">
        <f>IF($C86="","",COUNTA($C$9:$C86))</f>
        <v/>
      </c>
      <c r="C86" s="21" t="n"/>
      <c r="D86" s="14" t="n"/>
      <c r="E86" s="14" t="n"/>
      <c r="F86" s="14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3">
        <f>IF($C86="","",N(L86)-N(M86))</f>
        <v/>
      </c>
      <c r="P86" s="24" t="n"/>
      <c r="Q86" s="23">
        <f>IF($C86="","",N(M86)+N(N86))</f>
        <v/>
      </c>
      <c r="R86" s="23">
        <f>IF($C86="","",N(J86)+N(Q86))</f>
        <v/>
      </c>
      <c r="S86" s="25">
        <f>IF(OR($C86="",N($G86)=0),"",R86/$G86)</f>
        <v/>
      </c>
      <c r="T86" s="23">
        <f>IF($C86="","",N($G86)-N(R86))</f>
        <v/>
      </c>
      <c r="U86" s="24" t="n"/>
      <c r="V86" s="22" t="n"/>
    </row>
    <row r="87">
      <c r="B87" s="13">
        <f>IF($C87="","",COUNTA($C$9:$C87))</f>
        <v/>
      </c>
      <c r="C87" s="21" t="n"/>
      <c r="D87" s="14" t="n"/>
      <c r="E87" s="14" t="n"/>
      <c r="F87" s="14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3">
        <f>IF($C87="","",N(L87)-N(M87))</f>
        <v/>
      </c>
      <c r="P87" s="24" t="n"/>
      <c r="Q87" s="23">
        <f>IF($C87="","",N(M87)+N(N87))</f>
        <v/>
      </c>
      <c r="R87" s="23">
        <f>IF($C87="","",N(J87)+N(Q87))</f>
        <v/>
      </c>
      <c r="S87" s="25">
        <f>IF(OR($C87="",N($G87)=0),"",R87/$G87)</f>
        <v/>
      </c>
      <c r="T87" s="23">
        <f>IF($C87="","",N($G87)-N(R87))</f>
        <v/>
      </c>
      <c r="U87" s="24" t="n"/>
      <c r="V87" s="22" t="n"/>
    </row>
    <row r="88">
      <c r="B88" s="13">
        <f>IF($C88="","",COUNTA($C$9:$C88))</f>
        <v/>
      </c>
      <c r="C88" s="21" t="n"/>
      <c r="D88" s="14" t="n"/>
      <c r="E88" s="14" t="n"/>
      <c r="F88" s="14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3">
        <f>IF($C88="","",N(L88)-N(M88))</f>
        <v/>
      </c>
      <c r="P88" s="24" t="n"/>
      <c r="Q88" s="23">
        <f>IF($C88="","",N(M88)+N(N88))</f>
        <v/>
      </c>
      <c r="R88" s="23">
        <f>IF($C88="","",N(J88)+N(Q88))</f>
        <v/>
      </c>
      <c r="S88" s="25">
        <f>IF(OR($C88="",N($G88)=0),"",R88/$G88)</f>
        <v/>
      </c>
      <c r="T88" s="23">
        <f>IF($C88="","",N($G88)-N(R88))</f>
        <v/>
      </c>
      <c r="U88" s="24" t="n"/>
      <c r="V88" s="22" t="n"/>
    </row>
    <row r="89">
      <c r="B89" s="13">
        <f>IF($C89="","",COUNTA($C$9:$C89))</f>
        <v/>
      </c>
      <c r="C89" s="21" t="n"/>
      <c r="D89" s="14" t="n"/>
      <c r="E89" s="14" t="n"/>
      <c r="F89" s="14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3">
        <f>IF($C89="","",N(L89)-N(M89))</f>
        <v/>
      </c>
      <c r="P89" s="24" t="n"/>
      <c r="Q89" s="23">
        <f>IF($C89="","",N(M89)+N(N89))</f>
        <v/>
      </c>
      <c r="R89" s="23">
        <f>IF($C89="","",N(J89)+N(Q89))</f>
        <v/>
      </c>
      <c r="S89" s="25">
        <f>IF(OR($C89="",N($G89)=0),"",R89/$G89)</f>
        <v/>
      </c>
      <c r="T89" s="23">
        <f>IF($C89="","",N($G89)-N(R89))</f>
        <v/>
      </c>
      <c r="U89" s="24" t="n"/>
      <c r="V89" s="22" t="n"/>
    </row>
    <row r="90">
      <c r="B90" s="13">
        <f>IF($C90="","",COUNTA($C$9:$C90))</f>
        <v/>
      </c>
      <c r="C90" s="21" t="n"/>
      <c r="D90" s="14" t="n"/>
      <c r="E90" s="14" t="n"/>
      <c r="F90" s="14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3">
        <f>IF($C90="","",N(L90)-N(M90))</f>
        <v/>
      </c>
      <c r="P90" s="24" t="n"/>
      <c r="Q90" s="23">
        <f>IF($C90="","",N(M90)+N(N90))</f>
        <v/>
      </c>
      <c r="R90" s="23">
        <f>IF($C90="","",N(J90)+N(Q90))</f>
        <v/>
      </c>
      <c r="S90" s="25">
        <f>IF(OR($C90="",N($G90)=0),"",R90/$G90)</f>
        <v/>
      </c>
      <c r="T90" s="23">
        <f>IF($C90="","",N($G90)-N(R90))</f>
        <v/>
      </c>
      <c r="U90" s="24" t="n"/>
      <c r="V90" s="22" t="n"/>
    </row>
    <row r="91">
      <c r="B91" s="13">
        <f>IF($C91="","",COUNTA($C$9:$C91))</f>
        <v/>
      </c>
      <c r="C91" s="21" t="n"/>
      <c r="D91" s="14" t="n"/>
      <c r="E91" s="14" t="n"/>
      <c r="F91" s="14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3">
        <f>IF($C91="","",N(L91)-N(M91))</f>
        <v/>
      </c>
      <c r="P91" s="24" t="n"/>
      <c r="Q91" s="23">
        <f>IF($C91="","",N(M91)+N(N91))</f>
        <v/>
      </c>
      <c r="R91" s="23">
        <f>IF($C91="","",N(J91)+N(Q91))</f>
        <v/>
      </c>
      <c r="S91" s="25">
        <f>IF(OR($C91="",N($G91)=0),"",R91/$G91)</f>
        <v/>
      </c>
      <c r="T91" s="23">
        <f>IF($C91="","",N($G91)-N(R91))</f>
        <v/>
      </c>
      <c r="U91" s="24" t="n"/>
      <c r="V91" s="22" t="n"/>
    </row>
    <row r="92">
      <c r="B92" s="13">
        <f>IF($C92="","",COUNTA($C$9:$C92))</f>
        <v/>
      </c>
      <c r="C92" s="21" t="n"/>
      <c r="D92" s="14" t="n"/>
      <c r="E92" s="14" t="n"/>
      <c r="F92" s="14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3">
        <f>IF($C92="","",N(L92)-N(M92))</f>
        <v/>
      </c>
      <c r="P92" s="24" t="n"/>
      <c r="Q92" s="23">
        <f>IF($C92="","",N(M92)+N(N92))</f>
        <v/>
      </c>
      <c r="R92" s="23">
        <f>IF($C92="","",N(J92)+N(Q92))</f>
        <v/>
      </c>
      <c r="S92" s="25">
        <f>IF(OR($C92="",N($G92)=0),"",R92/$G92)</f>
        <v/>
      </c>
      <c r="T92" s="23">
        <f>IF($C92="","",N($G92)-N(R92))</f>
        <v/>
      </c>
      <c r="U92" s="24" t="n"/>
      <c r="V92" s="22" t="n"/>
    </row>
    <row r="93">
      <c r="B93" s="13">
        <f>IF($C93="","",COUNTA($C$9:$C93))</f>
        <v/>
      </c>
      <c r="C93" s="21" t="n"/>
      <c r="D93" s="14" t="n"/>
      <c r="E93" s="14" t="n"/>
      <c r="F93" s="14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3">
        <f>IF($C93="","",N(L93)-N(M93))</f>
        <v/>
      </c>
      <c r="P93" s="24" t="n"/>
      <c r="Q93" s="23">
        <f>IF($C93="","",N(M93)+N(N93))</f>
        <v/>
      </c>
      <c r="R93" s="23">
        <f>IF($C93="","",N(J93)+N(Q93))</f>
        <v/>
      </c>
      <c r="S93" s="25">
        <f>IF(OR($C93="",N($G93)=0),"",R93/$G93)</f>
        <v/>
      </c>
      <c r="T93" s="23">
        <f>IF($C93="","",N($G93)-N(R93))</f>
        <v/>
      </c>
      <c r="U93" s="24" t="n"/>
      <c r="V93" s="22" t="n"/>
    </row>
    <row r="94">
      <c r="B94" s="13">
        <f>IF($C94="","",COUNTA($C$9:$C94))</f>
        <v/>
      </c>
      <c r="C94" s="21" t="n"/>
      <c r="D94" s="14" t="n"/>
      <c r="E94" s="14" t="n"/>
      <c r="F94" s="14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3">
        <f>IF($C94="","",N(L94)-N(M94))</f>
        <v/>
      </c>
      <c r="P94" s="24" t="n"/>
      <c r="Q94" s="23">
        <f>IF($C94="","",N(M94)+N(N94))</f>
        <v/>
      </c>
      <c r="R94" s="23">
        <f>IF($C94="","",N(J94)+N(Q94))</f>
        <v/>
      </c>
      <c r="S94" s="25">
        <f>IF(OR($C94="",N($G94)=0),"",R94/$G94)</f>
        <v/>
      </c>
      <c r="T94" s="23">
        <f>IF($C94="","",N($G94)-N(R94))</f>
        <v/>
      </c>
      <c r="U94" s="24" t="n"/>
      <c r="V94" s="22" t="n"/>
    </row>
    <row r="95">
      <c r="B95" s="13">
        <f>IF($C95="","",COUNTA($C$9:$C95))</f>
        <v/>
      </c>
      <c r="C95" s="21" t="n"/>
      <c r="D95" s="14" t="n"/>
      <c r="E95" s="14" t="n"/>
      <c r="F95" s="14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3">
        <f>IF($C95="","",N(L95)-N(M95))</f>
        <v/>
      </c>
      <c r="P95" s="24" t="n"/>
      <c r="Q95" s="23">
        <f>IF($C95="","",N(M95)+N(N95))</f>
        <v/>
      </c>
      <c r="R95" s="23">
        <f>IF($C95="","",N(J95)+N(Q95))</f>
        <v/>
      </c>
      <c r="S95" s="25">
        <f>IF(OR($C95="",N($G95)=0),"",R95/$G95)</f>
        <v/>
      </c>
      <c r="T95" s="23">
        <f>IF($C95="","",N($G95)-N(R95))</f>
        <v/>
      </c>
      <c r="U95" s="24" t="n"/>
      <c r="V95" s="22" t="n"/>
    </row>
    <row r="96">
      <c r="B96" s="13">
        <f>IF($C96="","",COUNTA($C$9:$C96))</f>
        <v/>
      </c>
      <c r="C96" s="21" t="n"/>
      <c r="D96" s="14" t="n"/>
      <c r="E96" s="14" t="n"/>
      <c r="F96" s="14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3">
        <f>IF($C96="","",N(L96)-N(M96))</f>
        <v/>
      </c>
      <c r="P96" s="24" t="n"/>
      <c r="Q96" s="23">
        <f>IF($C96="","",N(M96)+N(N96))</f>
        <v/>
      </c>
      <c r="R96" s="23">
        <f>IF($C96="","",N(J96)+N(Q96))</f>
        <v/>
      </c>
      <c r="S96" s="25">
        <f>IF(OR($C96="",N($G96)=0),"",R96/$G96)</f>
        <v/>
      </c>
      <c r="T96" s="23">
        <f>IF($C96="","",N($G96)-N(R96))</f>
        <v/>
      </c>
      <c r="U96" s="24" t="n"/>
      <c r="V96" s="22" t="n"/>
    </row>
    <row r="97">
      <c r="B97" s="13">
        <f>IF($C97="","",COUNTA($C$9:$C97))</f>
        <v/>
      </c>
      <c r="C97" s="21" t="n"/>
      <c r="D97" s="14" t="n"/>
      <c r="E97" s="14" t="n"/>
      <c r="F97" s="14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3">
        <f>IF($C97="","",N(L97)-N(M97))</f>
        <v/>
      </c>
      <c r="P97" s="24" t="n"/>
      <c r="Q97" s="23">
        <f>IF($C97="","",N(M97)+N(N97))</f>
        <v/>
      </c>
      <c r="R97" s="23">
        <f>IF($C97="","",N(J97)+N(Q97))</f>
        <v/>
      </c>
      <c r="S97" s="25">
        <f>IF(OR($C97="",N($G97)=0),"",R97/$G97)</f>
        <v/>
      </c>
      <c r="T97" s="23">
        <f>IF($C97="","",N($G97)-N(R97))</f>
        <v/>
      </c>
      <c r="U97" s="24" t="n"/>
      <c r="V97" s="22" t="n"/>
    </row>
    <row r="98">
      <c r="B98" s="13">
        <f>IF($C98="","",COUNTA($C$9:$C98))</f>
        <v/>
      </c>
      <c r="C98" s="21" t="n"/>
      <c r="D98" s="14" t="n"/>
      <c r="E98" s="14" t="n"/>
      <c r="F98" s="14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3">
        <f>IF($C98="","",N(L98)-N(M98))</f>
        <v/>
      </c>
      <c r="P98" s="24" t="n"/>
      <c r="Q98" s="23">
        <f>IF($C98="","",N(M98)+N(N98))</f>
        <v/>
      </c>
      <c r="R98" s="23">
        <f>IF($C98="","",N(J98)+N(Q98))</f>
        <v/>
      </c>
      <c r="S98" s="25">
        <f>IF(OR($C98="",N($G98)=0),"",R98/$G98)</f>
        <v/>
      </c>
      <c r="T98" s="23">
        <f>IF($C98="","",N($G98)-N(R98))</f>
        <v/>
      </c>
      <c r="U98" s="24" t="n"/>
      <c r="V98" s="22" t="n"/>
    </row>
    <row r="99">
      <c r="B99" s="13">
        <f>IF($C99="","",COUNTA($C$9:$C99))</f>
        <v/>
      </c>
      <c r="C99" s="21" t="n"/>
      <c r="D99" s="14" t="n"/>
      <c r="E99" s="14" t="n"/>
      <c r="F99" s="14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3">
        <f>IF($C99="","",N(L99)-N(M99))</f>
        <v/>
      </c>
      <c r="P99" s="24" t="n"/>
      <c r="Q99" s="23">
        <f>IF($C99="","",N(M99)+N(N99))</f>
        <v/>
      </c>
      <c r="R99" s="23">
        <f>IF($C99="","",N(J99)+N(Q99))</f>
        <v/>
      </c>
      <c r="S99" s="25">
        <f>IF(OR($C99="",N($G99)=0),"",R99/$G99)</f>
        <v/>
      </c>
      <c r="T99" s="23">
        <f>IF($C99="","",N($G99)-N(R99))</f>
        <v/>
      </c>
      <c r="U99" s="24" t="n"/>
      <c r="V99" s="22" t="n"/>
    </row>
    <row r="100">
      <c r="B100" s="13">
        <f>IF($C100="","",COUNTA($C$9:$C100))</f>
        <v/>
      </c>
      <c r="C100" s="21" t="n"/>
      <c r="D100" s="14" t="n"/>
      <c r="E100" s="14" t="n"/>
      <c r="F100" s="14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3">
        <f>IF($C100="","",N(L100)-N(M100))</f>
        <v/>
      </c>
      <c r="P100" s="24" t="n"/>
      <c r="Q100" s="23">
        <f>IF($C100="","",N(M100)+N(N100))</f>
        <v/>
      </c>
      <c r="R100" s="23">
        <f>IF($C100="","",N(J100)+N(Q100))</f>
        <v/>
      </c>
      <c r="S100" s="25">
        <f>IF(OR($C100="",N($G100)=0),"",R100/$G100)</f>
        <v/>
      </c>
      <c r="T100" s="23">
        <f>IF($C100="","",N($G100)-N(R100))</f>
        <v/>
      </c>
      <c r="U100" s="24" t="n"/>
      <c r="V100" s="22" t="n"/>
    </row>
    <row r="101">
      <c r="B101" s="13">
        <f>IF($C101="","",COUNTA($C$9:$C101))</f>
        <v/>
      </c>
      <c r="C101" s="21" t="n"/>
      <c r="D101" s="14" t="n"/>
      <c r="E101" s="14" t="n"/>
      <c r="F101" s="14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3">
        <f>IF($C101="","",N(L101)-N(M101))</f>
        <v/>
      </c>
      <c r="P101" s="24" t="n"/>
      <c r="Q101" s="23">
        <f>IF($C101="","",N(M101)+N(N101))</f>
        <v/>
      </c>
      <c r="R101" s="23">
        <f>IF($C101="","",N(J101)+N(Q101))</f>
        <v/>
      </c>
      <c r="S101" s="25">
        <f>IF(OR($C101="",N($G101)=0),"",R101/$G101)</f>
        <v/>
      </c>
      <c r="T101" s="23">
        <f>IF($C101="","",N($G101)-N(R101))</f>
        <v/>
      </c>
      <c r="U101" s="24" t="n"/>
      <c r="V101" s="22" t="n"/>
    </row>
    <row r="102">
      <c r="B102" s="13">
        <f>IF($C102="","",COUNTA($C$9:$C102))</f>
        <v/>
      </c>
      <c r="C102" s="21" t="n"/>
      <c r="D102" s="14" t="n"/>
      <c r="E102" s="14" t="n"/>
      <c r="F102" s="14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3">
        <f>IF($C102="","",N(L102)-N(M102))</f>
        <v/>
      </c>
      <c r="P102" s="24" t="n"/>
      <c r="Q102" s="23">
        <f>IF($C102="","",N(M102)+N(N102))</f>
        <v/>
      </c>
      <c r="R102" s="23">
        <f>IF($C102="","",N(J102)+N(Q102))</f>
        <v/>
      </c>
      <c r="S102" s="25">
        <f>IF(OR($C102="",N($G102)=0),"",R102/$G102)</f>
        <v/>
      </c>
      <c r="T102" s="23">
        <f>IF($C102="","",N($G102)-N(R102))</f>
        <v/>
      </c>
      <c r="U102" s="24" t="n"/>
      <c r="V102" s="22" t="n"/>
    </row>
    <row r="103">
      <c r="B103" s="13">
        <f>IF($C103="","",COUNTA($C$9:$C103))</f>
        <v/>
      </c>
      <c r="C103" s="21" t="n"/>
      <c r="D103" s="14" t="n"/>
      <c r="E103" s="14" t="n"/>
      <c r="F103" s="14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3">
        <f>IF($C103="","",N(L103)-N(M103))</f>
        <v/>
      </c>
      <c r="P103" s="24" t="n"/>
      <c r="Q103" s="23">
        <f>IF($C103="","",N(M103)+N(N103))</f>
        <v/>
      </c>
      <c r="R103" s="23">
        <f>IF($C103="","",N(J103)+N(Q103))</f>
        <v/>
      </c>
      <c r="S103" s="25">
        <f>IF(OR($C103="",N($G103)=0),"",R103/$G103)</f>
        <v/>
      </c>
      <c r="T103" s="23">
        <f>IF($C103="","",N($G103)-N(R103))</f>
        <v/>
      </c>
      <c r="U103" s="24" t="n"/>
      <c r="V103" s="22" t="n"/>
    </row>
    <row r="104">
      <c r="B104" s="13">
        <f>IF($C104="","",COUNTA($C$9:$C104))</f>
        <v/>
      </c>
      <c r="C104" s="21" t="n"/>
      <c r="D104" s="14" t="n"/>
      <c r="E104" s="14" t="n"/>
      <c r="F104" s="14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3">
        <f>IF($C104="","",N(L104)-N(M104))</f>
        <v/>
      </c>
      <c r="P104" s="24" t="n"/>
      <c r="Q104" s="23">
        <f>IF($C104="","",N(M104)+N(N104))</f>
        <v/>
      </c>
      <c r="R104" s="23">
        <f>IF($C104="","",N(J104)+N(Q104))</f>
        <v/>
      </c>
      <c r="S104" s="25">
        <f>IF(OR($C104="",N($G104)=0),"",R104/$G104)</f>
        <v/>
      </c>
      <c r="T104" s="23">
        <f>IF($C104="","",N($G104)-N(R104))</f>
        <v/>
      </c>
      <c r="U104" s="24" t="n"/>
      <c r="V104" s="22" t="n"/>
    </row>
    <row r="105">
      <c r="B105" s="13">
        <f>IF($C105="","",COUNTA($C$9:$C105))</f>
        <v/>
      </c>
      <c r="C105" s="21" t="n"/>
      <c r="D105" s="14" t="n"/>
      <c r="E105" s="14" t="n"/>
      <c r="F105" s="14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3">
        <f>IF($C105="","",N(L105)-N(M105))</f>
        <v/>
      </c>
      <c r="P105" s="24" t="n"/>
      <c r="Q105" s="23">
        <f>IF($C105="","",N(M105)+N(N105))</f>
        <v/>
      </c>
      <c r="R105" s="23">
        <f>IF($C105="","",N(J105)+N(Q105))</f>
        <v/>
      </c>
      <c r="S105" s="25">
        <f>IF(OR($C105="",N($G105)=0),"",R105/$G105)</f>
        <v/>
      </c>
      <c r="T105" s="23">
        <f>IF($C105="","",N($G105)-N(R105))</f>
        <v/>
      </c>
      <c r="U105" s="24" t="n"/>
      <c r="V105" s="22" t="n"/>
    </row>
    <row r="106">
      <c r="B106" s="13">
        <f>IF($C106="","",COUNTA($C$9:$C106))</f>
        <v/>
      </c>
      <c r="C106" s="21" t="n"/>
      <c r="D106" s="14" t="n"/>
      <c r="E106" s="14" t="n"/>
      <c r="F106" s="14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3">
        <f>IF($C106="","",N(L106)-N(M106))</f>
        <v/>
      </c>
      <c r="P106" s="24" t="n"/>
      <c r="Q106" s="23">
        <f>IF($C106="","",N(M106)+N(N106))</f>
        <v/>
      </c>
      <c r="R106" s="23">
        <f>IF($C106="","",N(J106)+N(Q106))</f>
        <v/>
      </c>
      <c r="S106" s="25">
        <f>IF(OR($C106="",N($G106)=0),"",R106/$G106)</f>
        <v/>
      </c>
      <c r="T106" s="23">
        <f>IF($C106="","",N($G106)-N(R106))</f>
        <v/>
      </c>
      <c r="U106" s="24" t="n"/>
      <c r="V106" s="22" t="n"/>
    </row>
    <row r="107">
      <c r="B107" s="13">
        <f>IF($C107="","",COUNTA($C$9:$C107))</f>
        <v/>
      </c>
      <c r="C107" s="21" t="n"/>
      <c r="D107" s="14" t="n"/>
      <c r="E107" s="14" t="n"/>
      <c r="F107" s="14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3">
        <f>IF($C107="","",N(L107)-N(M107))</f>
        <v/>
      </c>
      <c r="P107" s="24" t="n"/>
      <c r="Q107" s="23">
        <f>IF($C107="","",N(M107)+N(N107))</f>
        <v/>
      </c>
      <c r="R107" s="23">
        <f>IF($C107="","",N(J107)+N(Q107))</f>
        <v/>
      </c>
      <c r="S107" s="25">
        <f>IF(OR($C107="",N($G107)=0),"",R107/$G107)</f>
        <v/>
      </c>
      <c r="T107" s="23">
        <f>IF($C107="","",N($G107)-N(R107))</f>
        <v/>
      </c>
      <c r="U107" s="24" t="n"/>
      <c r="V107" s="22" t="n"/>
    </row>
    <row r="108">
      <c r="B108" s="13">
        <f>IF($C108="","",COUNTA($C$9:$C108))</f>
        <v/>
      </c>
      <c r="C108" s="21" t="n"/>
      <c r="D108" s="14" t="n"/>
      <c r="E108" s="14" t="n"/>
      <c r="F108" s="14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3">
        <f>IF($C108="","",N(L108)-N(M108))</f>
        <v/>
      </c>
      <c r="P108" s="24" t="n"/>
      <c r="Q108" s="23">
        <f>IF($C108="","",N(M108)+N(N108))</f>
        <v/>
      </c>
      <c r="R108" s="23">
        <f>IF($C108="","",N(J108)+N(Q108))</f>
        <v/>
      </c>
      <c r="S108" s="25">
        <f>IF(OR($C108="",N($G108)=0),"",R108/$G108)</f>
        <v/>
      </c>
      <c r="T108" s="23">
        <f>IF($C108="","",N($G108)-N(R108))</f>
        <v/>
      </c>
      <c r="U108" s="24" t="n"/>
      <c r="V108" s="22" t="n"/>
    </row>
    <row r="109">
      <c r="B109" s="13">
        <f>IF($C109="","",COUNTA($C$9:$C109))</f>
        <v/>
      </c>
      <c r="C109" s="21" t="n"/>
      <c r="D109" s="14" t="n"/>
      <c r="E109" s="14" t="n"/>
      <c r="F109" s="14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3">
        <f>IF($C109="","",N(L109)-N(M109))</f>
        <v/>
      </c>
      <c r="P109" s="24" t="n"/>
      <c r="Q109" s="23">
        <f>IF($C109="","",N(M109)+N(N109))</f>
        <v/>
      </c>
      <c r="R109" s="23">
        <f>IF($C109="","",N(J109)+N(Q109))</f>
        <v/>
      </c>
      <c r="S109" s="25">
        <f>IF(OR($C109="",N($G109)=0),"",R109/$G109)</f>
        <v/>
      </c>
      <c r="T109" s="23">
        <f>IF($C109="","",N($G109)-N(R109))</f>
        <v/>
      </c>
      <c r="U109" s="24" t="n"/>
      <c r="V109" s="22" t="n"/>
    </row>
    <row r="110">
      <c r="B110" s="13">
        <f>IF($C110="","",COUNTA($C$9:$C110))</f>
        <v/>
      </c>
      <c r="C110" s="21" t="n"/>
      <c r="D110" s="14" t="n"/>
      <c r="E110" s="14" t="n"/>
      <c r="F110" s="14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3">
        <f>IF($C110="","",N(L110)-N(M110))</f>
        <v/>
      </c>
      <c r="P110" s="24" t="n"/>
      <c r="Q110" s="23">
        <f>IF($C110="","",N(M110)+N(N110))</f>
        <v/>
      </c>
      <c r="R110" s="23">
        <f>IF($C110="","",N(J110)+N(Q110))</f>
        <v/>
      </c>
      <c r="S110" s="25">
        <f>IF(OR($C110="",N($G110)=0),"",R110/$G110)</f>
        <v/>
      </c>
      <c r="T110" s="23">
        <f>IF($C110="","",N($G110)-N(R110))</f>
        <v/>
      </c>
      <c r="U110" s="24" t="n"/>
      <c r="V110" s="22" t="n"/>
    </row>
    <row r="111">
      <c r="B111" s="13">
        <f>IF($C111="","",COUNTA($C$9:$C111))</f>
        <v/>
      </c>
      <c r="C111" s="21" t="n"/>
      <c r="D111" s="14" t="n"/>
      <c r="E111" s="14" t="n"/>
      <c r="F111" s="14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3">
        <f>IF($C111="","",N(L111)-N(M111))</f>
        <v/>
      </c>
      <c r="P111" s="24" t="n"/>
      <c r="Q111" s="23">
        <f>IF($C111="","",N(M111)+N(N111))</f>
        <v/>
      </c>
      <c r="R111" s="23">
        <f>IF($C111="","",N(J111)+N(Q111))</f>
        <v/>
      </c>
      <c r="S111" s="25">
        <f>IF(OR($C111="",N($G111)=0),"",R111/$G111)</f>
        <v/>
      </c>
      <c r="T111" s="23">
        <f>IF($C111="","",N($G111)-N(R111))</f>
        <v/>
      </c>
      <c r="U111" s="24" t="n"/>
      <c r="V111" s="22" t="n"/>
    </row>
    <row r="112">
      <c r="B112" s="13">
        <f>IF($C112="","",COUNTA($C$9:$C112))</f>
        <v/>
      </c>
      <c r="C112" s="21" t="n"/>
      <c r="D112" s="14" t="n"/>
      <c r="E112" s="14" t="n"/>
      <c r="F112" s="14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3">
        <f>IF($C112="","",N(L112)-N(M112))</f>
        <v/>
      </c>
      <c r="P112" s="24" t="n"/>
      <c r="Q112" s="23">
        <f>IF($C112="","",N(M112)+N(N112))</f>
        <v/>
      </c>
      <c r="R112" s="23">
        <f>IF($C112="","",N(J112)+N(Q112))</f>
        <v/>
      </c>
      <c r="S112" s="25">
        <f>IF(OR($C112="",N($G112)=0),"",R112/$G112)</f>
        <v/>
      </c>
      <c r="T112" s="23">
        <f>IF($C112="","",N($G112)-N(R112))</f>
        <v/>
      </c>
      <c r="U112" s="24" t="n"/>
      <c r="V112" s="22" t="n"/>
    </row>
    <row r="113">
      <c r="B113" s="13">
        <f>IF($C113="","",COUNTA($C$9:$C113))</f>
        <v/>
      </c>
      <c r="C113" s="21" t="n"/>
      <c r="D113" s="14" t="n"/>
      <c r="E113" s="14" t="n"/>
      <c r="F113" s="14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3">
        <f>IF($C113="","",N(L113)-N(M113))</f>
        <v/>
      </c>
      <c r="P113" s="24" t="n"/>
      <c r="Q113" s="23">
        <f>IF($C113="","",N(M113)+N(N113))</f>
        <v/>
      </c>
      <c r="R113" s="23">
        <f>IF($C113="","",N(J113)+N(Q113))</f>
        <v/>
      </c>
      <c r="S113" s="25">
        <f>IF(OR($C113="",N($G113)=0),"",R113/$G113)</f>
        <v/>
      </c>
      <c r="T113" s="23">
        <f>IF($C113="","",N($G113)-N(R113))</f>
        <v/>
      </c>
      <c r="U113" s="24" t="n"/>
      <c r="V113" s="22" t="n"/>
    </row>
    <row r="114">
      <c r="B114" s="13">
        <f>IF($C114="","",COUNTA($C$9:$C114))</f>
        <v/>
      </c>
      <c r="C114" s="21" t="n"/>
      <c r="D114" s="14" t="n"/>
      <c r="E114" s="14" t="n"/>
      <c r="F114" s="14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3">
        <f>IF($C114="","",N(L114)-N(M114))</f>
        <v/>
      </c>
      <c r="P114" s="24" t="n"/>
      <c r="Q114" s="23">
        <f>IF($C114="","",N(M114)+N(N114))</f>
        <v/>
      </c>
      <c r="R114" s="23">
        <f>IF($C114="","",N(J114)+N(Q114))</f>
        <v/>
      </c>
      <c r="S114" s="25">
        <f>IF(OR($C114="",N($G114)=0),"",R114/$G114)</f>
        <v/>
      </c>
      <c r="T114" s="23">
        <f>IF($C114="","",N($G114)-N(R114))</f>
        <v/>
      </c>
      <c r="U114" s="24" t="n"/>
      <c r="V114" s="22" t="n"/>
    </row>
    <row r="115">
      <c r="B115" s="13">
        <f>IF($C115="","",COUNTA($C$9:$C115))</f>
        <v/>
      </c>
      <c r="C115" s="21" t="n"/>
      <c r="D115" s="14" t="n"/>
      <c r="E115" s="14" t="n"/>
      <c r="F115" s="14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3">
        <f>IF($C115="","",N(L115)-N(M115))</f>
        <v/>
      </c>
      <c r="P115" s="24" t="n"/>
      <c r="Q115" s="23">
        <f>IF($C115="","",N(M115)+N(N115))</f>
        <v/>
      </c>
      <c r="R115" s="23">
        <f>IF($C115="","",N(J115)+N(Q115))</f>
        <v/>
      </c>
      <c r="S115" s="25">
        <f>IF(OR($C115="",N($G115)=0),"",R115/$G115)</f>
        <v/>
      </c>
      <c r="T115" s="23">
        <f>IF($C115="","",N($G115)-N(R115))</f>
        <v/>
      </c>
      <c r="U115" s="24" t="n"/>
      <c r="V115" s="22" t="n"/>
    </row>
    <row r="116">
      <c r="B116" s="13">
        <f>IF($C116="","",COUNTA($C$9:$C116))</f>
        <v/>
      </c>
      <c r="C116" s="21" t="n"/>
      <c r="D116" s="14" t="n"/>
      <c r="E116" s="14" t="n"/>
      <c r="F116" s="14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3">
        <f>IF($C116="","",N(L116)-N(M116))</f>
        <v/>
      </c>
      <c r="P116" s="24" t="n"/>
      <c r="Q116" s="23">
        <f>IF($C116="","",N(M116)+N(N116))</f>
        <v/>
      </c>
      <c r="R116" s="23">
        <f>IF($C116="","",N(J116)+N(Q116))</f>
        <v/>
      </c>
      <c r="S116" s="25">
        <f>IF(OR($C116="",N($G116)=0),"",R116/$G116)</f>
        <v/>
      </c>
      <c r="T116" s="23">
        <f>IF($C116="","",N($G116)-N(R116))</f>
        <v/>
      </c>
      <c r="U116" s="24" t="n"/>
      <c r="V116" s="22" t="n"/>
    </row>
    <row r="117">
      <c r="B117" s="13">
        <f>IF($C117="","",COUNTA($C$9:$C117))</f>
        <v/>
      </c>
      <c r="C117" s="21" t="n"/>
      <c r="D117" s="14" t="n"/>
      <c r="E117" s="14" t="n"/>
      <c r="F117" s="14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3">
        <f>IF($C117="","",N(L117)-N(M117))</f>
        <v/>
      </c>
      <c r="P117" s="24" t="n"/>
      <c r="Q117" s="23">
        <f>IF($C117="","",N(M117)+N(N117))</f>
        <v/>
      </c>
      <c r="R117" s="23">
        <f>IF($C117="","",N(J117)+N(Q117))</f>
        <v/>
      </c>
      <c r="S117" s="25">
        <f>IF(OR($C117="",N($G117)=0),"",R117/$G117)</f>
        <v/>
      </c>
      <c r="T117" s="23">
        <f>IF($C117="","",N($G117)-N(R117))</f>
        <v/>
      </c>
      <c r="U117" s="24" t="n"/>
      <c r="V117" s="22" t="n"/>
    </row>
    <row r="118">
      <c r="B118" s="13">
        <f>IF($C118="","",COUNTA($C$9:$C118))</f>
        <v/>
      </c>
      <c r="C118" s="21" t="n"/>
      <c r="D118" s="14" t="n"/>
      <c r="E118" s="14" t="n"/>
      <c r="F118" s="14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3">
        <f>IF($C118="","",N(L118)-N(M118))</f>
        <v/>
      </c>
      <c r="P118" s="24" t="n"/>
      <c r="Q118" s="23">
        <f>IF($C118="","",N(M118)+N(N118))</f>
        <v/>
      </c>
      <c r="R118" s="23">
        <f>IF($C118="","",N(J118)+N(Q118))</f>
        <v/>
      </c>
      <c r="S118" s="25">
        <f>IF(OR($C118="",N($G118)=0),"",R118/$G118)</f>
        <v/>
      </c>
      <c r="T118" s="23">
        <f>IF($C118="","",N($G118)-N(R118))</f>
        <v/>
      </c>
      <c r="U118" s="24" t="n"/>
      <c r="V118" s="22" t="n"/>
    </row>
    <row r="119">
      <c r="B119" s="13">
        <f>IF($C119="","",COUNTA($C$9:$C119))</f>
        <v/>
      </c>
      <c r="C119" s="21" t="n"/>
      <c r="D119" s="14" t="n"/>
      <c r="E119" s="14" t="n"/>
      <c r="F119" s="14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3">
        <f>IF($C119="","",N(L119)-N(M119))</f>
        <v/>
      </c>
      <c r="P119" s="24" t="n"/>
      <c r="Q119" s="23">
        <f>IF($C119="","",N(M119)+N(N119))</f>
        <v/>
      </c>
      <c r="R119" s="23">
        <f>IF($C119="","",N(J119)+N(Q119))</f>
        <v/>
      </c>
      <c r="S119" s="25">
        <f>IF(OR($C119="",N($G119)=0),"",R119/$G119)</f>
        <v/>
      </c>
      <c r="T119" s="23">
        <f>IF($C119="","",N($G119)-N(R119))</f>
        <v/>
      </c>
      <c r="U119" s="24" t="n"/>
      <c r="V119" s="22" t="n"/>
    </row>
    <row r="120">
      <c r="B120" s="13">
        <f>IF($C120="","",COUNTA($C$9:$C120))</f>
        <v/>
      </c>
      <c r="C120" s="21" t="n"/>
      <c r="D120" s="14" t="n"/>
      <c r="E120" s="14" t="n"/>
      <c r="F120" s="14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3">
        <f>IF($C120="","",N(L120)-N(M120))</f>
        <v/>
      </c>
      <c r="P120" s="24" t="n"/>
      <c r="Q120" s="23">
        <f>IF($C120="","",N(M120)+N(N120))</f>
        <v/>
      </c>
      <c r="R120" s="23">
        <f>IF($C120="","",N(J120)+N(Q120))</f>
        <v/>
      </c>
      <c r="S120" s="25">
        <f>IF(OR($C120="",N($G120)=0),"",R120/$G120)</f>
        <v/>
      </c>
      <c r="T120" s="23">
        <f>IF($C120="","",N($G120)-N(R120))</f>
        <v/>
      </c>
      <c r="U120" s="24" t="n"/>
      <c r="V120" s="22" t="n"/>
    </row>
    <row r="121">
      <c r="B121" s="13">
        <f>IF($C121="","",COUNTA($C$9:$C121))</f>
        <v/>
      </c>
      <c r="C121" s="21" t="n"/>
      <c r="D121" s="14" t="n"/>
      <c r="E121" s="14" t="n"/>
      <c r="F121" s="14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3">
        <f>IF($C121="","",N(L121)-N(M121))</f>
        <v/>
      </c>
      <c r="P121" s="24" t="n"/>
      <c r="Q121" s="23">
        <f>IF($C121="","",N(M121)+N(N121))</f>
        <v/>
      </c>
      <c r="R121" s="23">
        <f>IF($C121="","",N(J121)+N(Q121))</f>
        <v/>
      </c>
      <c r="S121" s="25">
        <f>IF(OR($C121="",N($G121)=0),"",R121/$G121)</f>
        <v/>
      </c>
      <c r="T121" s="23">
        <f>IF($C121="","",N($G121)-N(R121))</f>
        <v/>
      </c>
      <c r="U121" s="24" t="n"/>
      <c r="V121" s="22" t="n"/>
    </row>
    <row r="122">
      <c r="B122" s="13">
        <f>IF($C122="","",COUNTA($C$9:$C122))</f>
        <v/>
      </c>
      <c r="C122" s="21" t="n"/>
      <c r="D122" s="14" t="n"/>
      <c r="E122" s="14" t="n"/>
      <c r="F122" s="14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3">
        <f>IF($C122="","",N(L122)-N(M122))</f>
        <v/>
      </c>
      <c r="P122" s="24" t="n"/>
      <c r="Q122" s="23">
        <f>IF($C122="","",N(M122)+N(N122))</f>
        <v/>
      </c>
      <c r="R122" s="23">
        <f>IF($C122="","",N(J122)+N(Q122))</f>
        <v/>
      </c>
      <c r="S122" s="25">
        <f>IF(OR($C122="",N($G122)=0),"",R122/$G122)</f>
        <v/>
      </c>
      <c r="T122" s="23">
        <f>IF($C122="","",N($G122)-N(R122))</f>
        <v/>
      </c>
      <c r="U122" s="24" t="n"/>
      <c r="V122" s="22" t="n"/>
    </row>
    <row r="123">
      <c r="B123" s="13">
        <f>IF($C123="","",COUNTA($C$9:$C123))</f>
        <v/>
      </c>
      <c r="C123" s="21" t="n"/>
      <c r="D123" s="14" t="n"/>
      <c r="E123" s="14" t="n"/>
      <c r="F123" s="14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3">
        <f>IF($C123="","",N(L123)-N(M123))</f>
        <v/>
      </c>
      <c r="P123" s="24" t="n"/>
      <c r="Q123" s="23">
        <f>IF($C123="","",N(M123)+N(N123))</f>
        <v/>
      </c>
      <c r="R123" s="23">
        <f>IF($C123="","",N(J123)+N(Q123))</f>
        <v/>
      </c>
      <c r="S123" s="25">
        <f>IF(OR($C123="",N($G123)=0),"",R123/$G123)</f>
        <v/>
      </c>
      <c r="T123" s="23">
        <f>IF($C123="","",N($G123)-N(R123))</f>
        <v/>
      </c>
      <c r="U123" s="24" t="n"/>
      <c r="V123" s="22" t="n"/>
    </row>
    <row r="124">
      <c r="B124" s="13">
        <f>IF($C124="","",COUNTA($C$9:$C124))</f>
        <v/>
      </c>
      <c r="C124" s="21" t="n"/>
      <c r="D124" s="14" t="n"/>
      <c r="E124" s="14" t="n"/>
      <c r="F124" s="14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3">
        <f>IF($C124="","",N(L124)-N(M124))</f>
        <v/>
      </c>
      <c r="P124" s="24" t="n"/>
      <c r="Q124" s="23">
        <f>IF($C124="","",N(M124)+N(N124))</f>
        <v/>
      </c>
      <c r="R124" s="23">
        <f>IF($C124="","",N(J124)+N(Q124))</f>
        <v/>
      </c>
      <c r="S124" s="25">
        <f>IF(OR($C124="",N($G124)=0),"",R124/$G124)</f>
        <v/>
      </c>
      <c r="T124" s="23">
        <f>IF($C124="","",N($G124)-N(R124))</f>
        <v/>
      </c>
      <c r="U124" s="24" t="n"/>
      <c r="V124" s="22" t="n"/>
    </row>
    <row r="125">
      <c r="B125" s="13">
        <f>IF($C125="","",COUNTA($C$9:$C125))</f>
        <v/>
      </c>
      <c r="C125" s="21" t="n"/>
      <c r="D125" s="14" t="n"/>
      <c r="E125" s="14" t="n"/>
      <c r="F125" s="14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3">
        <f>IF($C125="","",N(L125)-N(M125))</f>
        <v/>
      </c>
      <c r="P125" s="24" t="n"/>
      <c r="Q125" s="23">
        <f>IF($C125="","",N(M125)+N(N125))</f>
        <v/>
      </c>
      <c r="R125" s="23">
        <f>IF($C125="","",N(J125)+N(Q125))</f>
        <v/>
      </c>
      <c r="S125" s="25">
        <f>IF(OR($C125="",N($G125)=0),"",R125/$G125)</f>
        <v/>
      </c>
      <c r="T125" s="23">
        <f>IF($C125="","",N($G125)-N(R125))</f>
        <v/>
      </c>
      <c r="U125" s="24" t="n"/>
      <c r="V125" s="22" t="n"/>
    </row>
    <row r="126">
      <c r="B126" s="13">
        <f>IF($C126="","",COUNTA($C$9:$C126))</f>
        <v/>
      </c>
      <c r="C126" s="21" t="n"/>
      <c r="D126" s="14" t="n"/>
      <c r="E126" s="14" t="n"/>
      <c r="F126" s="14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3">
        <f>IF($C126="","",N(L126)-N(M126))</f>
        <v/>
      </c>
      <c r="P126" s="24" t="n"/>
      <c r="Q126" s="23">
        <f>IF($C126="","",N(M126)+N(N126))</f>
        <v/>
      </c>
      <c r="R126" s="23">
        <f>IF($C126="","",N(J126)+N(Q126))</f>
        <v/>
      </c>
      <c r="S126" s="25">
        <f>IF(OR($C126="",N($G126)=0),"",R126/$G126)</f>
        <v/>
      </c>
      <c r="T126" s="23">
        <f>IF($C126="","",N($G126)-N(R126))</f>
        <v/>
      </c>
      <c r="U126" s="24" t="n"/>
      <c r="V126" s="22" t="n"/>
    </row>
    <row r="127">
      <c r="B127" s="13">
        <f>IF($C127="","",COUNTA($C$9:$C127))</f>
        <v/>
      </c>
      <c r="C127" s="21" t="n"/>
      <c r="D127" s="14" t="n"/>
      <c r="E127" s="14" t="n"/>
      <c r="F127" s="14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3">
        <f>IF($C127="","",N(L127)-N(M127))</f>
        <v/>
      </c>
      <c r="P127" s="24" t="n"/>
      <c r="Q127" s="23">
        <f>IF($C127="","",N(M127)+N(N127))</f>
        <v/>
      </c>
      <c r="R127" s="23">
        <f>IF($C127="","",N(J127)+N(Q127))</f>
        <v/>
      </c>
      <c r="S127" s="25">
        <f>IF(OR($C127="",N($G127)=0),"",R127/$G127)</f>
        <v/>
      </c>
      <c r="T127" s="23">
        <f>IF($C127="","",N($G127)-N(R127))</f>
        <v/>
      </c>
      <c r="U127" s="24" t="n"/>
      <c r="V127" s="22" t="n"/>
    </row>
    <row r="128">
      <c r="B128" s="13">
        <f>IF($C128="","",COUNTA($C$9:$C128))</f>
        <v/>
      </c>
      <c r="C128" s="21" t="n"/>
      <c r="D128" s="14" t="n"/>
      <c r="E128" s="14" t="n"/>
      <c r="F128" s="14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3">
        <f>IF($C128="","",N(L128)-N(M128))</f>
        <v/>
      </c>
      <c r="P128" s="24" t="n"/>
      <c r="Q128" s="23">
        <f>IF($C128="","",N(M128)+N(N128))</f>
        <v/>
      </c>
      <c r="R128" s="23">
        <f>IF($C128="","",N(J128)+N(Q128))</f>
        <v/>
      </c>
      <c r="S128" s="25">
        <f>IF(OR($C128="",N($G128)=0),"",R128/$G128)</f>
        <v/>
      </c>
      <c r="T128" s="23">
        <f>IF($C128="","",N($G128)-N(R128))</f>
        <v/>
      </c>
      <c r="U128" s="24" t="n"/>
      <c r="V128" s="22" t="n"/>
    </row>
    <row r="129">
      <c r="B129" s="13">
        <f>IF($C129="","",COUNTA($C$9:$C129))</f>
        <v/>
      </c>
      <c r="C129" s="21" t="n"/>
      <c r="D129" s="14" t="n"/>
      <c r="E129" s="14" t="n"/>
      <c r="F129" s="14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3">
        <f>IF($C129="","",N(L129)-N(M129))</f>
        <v/>
      </c>
      <c r="P129" s="24" t="n"/>
      <c r="Q129" s="23">
        <f>IF($C129="","",N(M129)+N(N129))</f>
        <v/>
      </c>
      <c r="R129" s="23">
        <f>IF($C129="","",N(J129)+N(Q129))</f>
        <v/>
      </c>
      <c r="S129" s="25">
        <f>IF(OR($C129="",N($G129)=0),"",R129/$G129)</f>
        <v/>
      </c>
      <c r="T129" s="23">
        <f>IF($C129="","",N($G129)-N(R129))</f>
        <v/>
      </c>
      <c r="U129" s="24" t="n"/>
      <c r="V129" s="22" t="n"/>
    </row>
    <row r="130">
      <c r="B130" s="13">
        <f>IF($C130="","",COUNTA($C$9:$C130))</f>
        <v/>
      </c>
      <c r="C130" s="21" t="n"/>
      <c r="D130" s="14" t="n"/>
      <c r="E130" s="14" t="n"/>
      <c r="F130" s="14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3">
        <f>IF($C130="","",N(L130)-N(M130))</f>
        <v/>
      </c>
      <c r="P130" s="24" t="n"/>
      <c r="Q130" s="23">
        <f>IF($C130="","",N(M130)+N(N130))</f>
        <v/>
      </c>
      <c r="R130" s="23">
        <f>IF($C130="","",N(J130)+N(Q130))</f>
        <v/>
      </c>
      <c r="S130" s="25">
        <f>IF(OR($C130="",N($G130)=0),"",R130/$G130)</f>
        <v/>
      </c>
      <c r="T130" s="23">
        <f>IF($C130="","",N($G130)-N(R130))</f>
        <v/>
      </c>
      <c r="U130" s="24" t="n"/>
      <c r="V130" s="22" t="n"/>
    </row>
    <row r="131">
      <c r="B131" s="13">
        <f>IF($C131="","",COUNTA($C$9:$C131))</f>
        <v/>
      </c>
      <c r="C131" s="21" t="n"/>
      <c r="D131" s="14" t="n"/>
      <c r="E131" s="14" t="n"/>
      <c r="F131" s="14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3">
        <f>IF($C131="","",N(L131)-N(M131))</f>
        <v/>
      </c>
      <c r="P131" s="24" t="n"/>
      <c r="Q131" s="23">
        <f>IF($C131="","",N(M131)+N(N131))</f>
        <v/>
      </c>
      <c r="R131" s="23">
        <f>IF($C131="","",N(J131)+N(Q131))</f>
        <v/>
      </c>
      <c r="S131" s="25">
        <f>IF(OR($C131="",N($G131)=0),"",R131/$G131)</f>
        <v/>
      </c>
      <c r="T131" s="23">
        <f>IF($C131="","",N($G131)-N(R131))</f>
        <v/>
      </c>
      <c r="U131" s="24" t="n"/>
      <c r="V131" s="22" t="n"/>
    </row>
    <row r="132">
      <c r="B132" s="13">
        <f>IF($C132="","",COUNTA($C$9:$C132))</f>
        <v/>
      </c>
      <c r="C132" s="21" t="n"/>
      <c r="D132" s="14" t="n"/>
      <c r="E132" s="14" t="n"/>
      <c r="F132" s="14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3">
        <f>IF($C132="","",N(L132)-N(M132))</f>
        <v/>
      </c>
      <c r="P132" s="24" t="n"/>
      <c r="Q132" s="23">
        <f>IF($C132="","",N(M132)+N(N132))</f>
        <v/>
      </c>
      <c r="R132" s="23">
        <f>IF($C132="","",N(J132)+N(Q132))</f>
        <v/>
      </c>
      <c r="S132" s="25">
        <f>IF(OR($C132="",N($G132)=0),"",R132/$G132)</f>
        <v/>
      </c>
      <c r="T132" s="23">
        <f>IF($C132="","",N($G132)-N(R132))</f>
        <v/>
      </c>
      <c r="U132" s="24" t="n"/>
      <c r="V132" s="22" t="n"/>
    </row>
    <row r="133">
      <c r="B133" s="13">
        <f>IF($C133="","",COUNTA($C$9:$C133))</f>
        <v/>
      </c>
      <c r="C133" s="21" t="n"/>
      <c r="D133" s="14" t="n"/>
      <c r="E133" s="14" t="n"/>
      <c r="F133" s="14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3">
        <f>IF($C133="","",N(L133)-N(M133))</f>
        <v/>
      </c>
      <c r="P133" s="24" t="n"/>
      <c r="Q133" s="23">
        <f>IF($C133="","",N(M133)+N(N133))</f>
        <v/>
      </c>
      <c r="R133" s="23">
        <f>IF($C133="","",N(J133)+N(Q133))</f>
        <v/>
      </c>
      <c r="S133" s="25">
        <f>IF(OR($C133="",N($G133)=0),"",R133/$G133)</f>
        <v/>
      </c>
      <c r="T133" s="23">
        <f>IF($C133="","",N($G133)-N(R133))</f>
        <v/>
      </c>
      <c r="U133" s="24" t="n"/>
      <c r="V133" s="22" t="n"/>
    </row>
    <row r="134">
      <c r="B134" s="13">
        <f>IF($C134="","",COUNTA($C$9:$C134))</f>
        <v/>
      </c>
      <c r="C134" s="21" t="n"/>
      <c r="D134" s="14" t="n"/>
      <c r="E134" s="14" t="n"/>
      <c r="F134" s="14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3">
        <f>IF($C134="","",N(L134)-N(M134))</f>
        <v/>
      </c>
      <c r="P134" s="24" t="n"/>
      <c r="Q134" s="23">
        <f>IF($C134="","",N(M134)+N(N134))</f>
        <v/>
      </c>
      <c r="R134" s="23">
        <f>IF($C134="","",N(J134)+N(Q134))</f>
        <v/>
      </c>
      <c r="S134" s="25">
        <f>IF(OR($C134="",N($G134)=0),"",R134/$G134)</f>
        <v/>
      </c>
      <c r="T134" s="23">
        <f>IF($C134="","",N($G134)-N(R134))</f>
        <v/>
      </c>
      <c r="U134" s="24" t="n"/>
      <c r="V134" s="22" t="n"/>
    </row>
    <row r="135">
      <c r="B135" s="13">
        <f>IF($C135="","",COUNTA($C$9:$C135))</f>
        <v/>
      </c>
      <c r="C135" s="21" t="n"/>
      <c r="D135" s="14" t="n"/>
      <c r="E135" s="14" t="n"/>
      <c r="F135" s="14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3">
        <f>IF($C135="","",N(L135)-N(M135))</f>
        <v/>
      </c>
      <c r="P135" s="24" t="n"/>
      <c r="Q135" s="23">
        <f>IF($C135="","",N(M135)+N(N135))</f>
        <v/>
      </c>
      <c r="R135" s="23">
        <f>IF($C135="","",N(J135)+N(Q135))</f>
        <v/>
      </c>
      <c r="S135" s="25">
        <f>IF(OR($C135="",N($G135)=0),"",R135/$G135)</f>
        <v/>
      </c>
      <c r="T135" s="23">
        <f>IF($C135="","",N($G135)-N(R135))</f>
        <v/>
      </c>
      <c r="U135" s="24" t="n"/>
      <c r="V135" s="22" t="n"/>
    </row>
    <row r="136">
      <c r="B136" s="13">
        <f>IF($C136="","",COUNTA($C$9:$C136))</f>
        <v/>
      </c>
      <c r="C136" s="21" t="n"/>
      <c r="D136" s="14" t="n"/>
      <c r="E136" s="14" t="n"/>
      <c r="F136" s="14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3">
        <f>IF($C136="","",N(L136)-N(M136))</f>
        <v/>
      </c>
      <c r="P136" s="24" t="n"/>
      <c r="Q136" s="23">
        <f>IF($C136="","",N(M136)+N(N136))</f>
        <v/>
      </c>
      <c r="R136" s="23">
        <f>IF($C136="","",N(J136)+N(Q136))</f>
        <v/>
      </c>
      <c r="S136" s="25">
        <f>IF(OR($C136="",N($G136)=0),"",R136/$G136)</f>
        <v/>
      </c>
      <c r="T136" s="23">
        <f>IF($C136="","",N($G136)-N(R136))</f>
        <v/>
      </c>
      <c r="U136" s="24" t="n"/>
      <c r="V136" s="22" t="n"/>
    </row>
    <row r="137">
      <c r="B137" s="13">
        <f>IF($C137="","",COUNTA($C$9:$C137))</f>
        <v/>
      </c>
      <c r="C137" s="21" t="n"/>
      <c r="D137" s="14" t="n"/>
      <c r="E137" s="14" t="n"/>
      <c r="F137" s="14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3">
        <f>IF($C137="","",N(L137)-N(M137))</f>
        <v/>
      </c>
      <c r="P137" s="24" t="n"/>
      <c r="Q137" s="23">
        <f>IF($C137="","",N(M137)+N(N137))</f>
        <v/>
      </c>
      <c r="R137" s="23">
        <f>IF($C137="","",N(J137)+N(Q137))</f>
        <v/>
      </c>
      <c r="S137" s="25">
        <f>IF(OR($C137="",N($G137)=0),"",R137/$G137)</f>
        <v/>
      </c>
      <c r="T137" s="23">
        <f>IF($C137="","",N($G137)-N(R137))</f>
        <v/>
      </c>
      <c r="U137" s="24" t="n"/>
      <c r="V137" s="22" t="n"/>
    </row>
    <row r="138">
      <c r="B138" s="13">
        <f>IF($C138="","",COUNTA($C$9:$C138))</f>
        <v/>
      </c>
      <c r="C138" s="21" t="n"/>
      <c r="D138" s="14" t="n"/>
      <c r="E138" s="14" t="n"/>
      <c r="F138" s="14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3">
        <f>IF($C138="","",N(L138)-N(M138))</f>
        <v/>
      </c>
      <c r="P138" s="24" t="n"/>
      <c r="Q138" s="23">
        <f>IF($C138="","",N(M138)+N(N138))</f>
        <v/>
      </c>
      <c r="R138" s="23">
        <f>IF($C138="","",N(J138)+N(Q138))</f>
        <v/>
      </c>
      <c r="S138" s="25">
        <f>IF(OR($C138="",N($G138)=0),"",R138/$G138)</f>
        <v/>
      </c>
      <c r="T138" s="23">
        <f>IF($C138="","",N($G138)-N(R138))</f>
        <v/>
      </c>
      <c r="U138" s="24" t="n"/>
      <c r="V138" s="22" t="n"/>
    </row>
    <row r="139">
      <c r="B139" s="13">
        <f>IF($C139="","",COUNTA($C$9:$C139))</f>
        <v/>
      </c>
      <c r="C139" s="21" t="n"/>
      <c r="D139" s="14" t="n"/>
      <c r="E139" s="14" t="n"/>
      <c r="F139" s="14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3">
        <f>IF($C139="","",N(L139)-N(M139))</f>
        <v/>
      </c>
      <c r="P139" s="24" t="n"/>
      <c r="Q139" s="23">
        <f>IF($C139="","",N(M139)+N(N139))</f>
        <v/>
      </c>
      <c r="R139" s="23">
        <f>IF($C139="","",N(J139)+N(Q139))</f>
        <v/>
      </c>
      <c r="S139" s="25">
        <f>IF(OR($C139="",N($G139)=0),"",R139/$G139)</f>
        <v/>
      </c>
      <c r="T139" s="23">
        <f>IF($C139="","",N($G139)-N(R139))</f>
        <v/>
      </c>
      <c r="U139" s="24" t="n"/>
      <c r="V139" s="22" t="n"/>
    </row>
    <row r="140">
      <c r="B140" s="13">
        <f>IF($C140="","",COUNTA($C$9:$C140))</f>
        <v/>
      </c>
      <c r="C140" s="21" t="n"/>
      <c r="D140" s="14" t="n"/>
      <c r="E140" s="14" t="n"/>
      <c r="F140" s="14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3">
        <f>IF($C140="","",N(L140)-N(M140))</f>
        <v/>
      </c>
      <c r="P140" s="24" t="n"/>
      <c r="Q140" s="23">
        <f>IF($C140="","",N(M140)+N(N140))</f>
        <v/>
      </c>
      <c r="R140" s="23">
        <f>IF($C140="","",N(J140)+N(Q140))</f>
        <v/>
      </c>
      <c r="S140" s="25">
        <f>IF(OR($C140="",N($G140)=0),"",R140/$G140)</f>
        <v/>
      </c>
      <c r="T140" s="23">
        <f>IF($C140="","",N($G140)-N(R140))</f>
        <v/>
      </c>
      <c r="U140" s="24" t="n"/>
      <c r="V140" s="22" t="n"/>
    </row>
    <row r="141">
      <c r="B141" s="13">
        <f>IF($C141="","",COUNTA($C$9:$C141))</f>
        <v/>
      </c>
      <c r="C141" s="21" t="n"/>
      <c r="D141" s="14" t="n"/>
      <c r="E141" s="14" t="n"/>
      <c r="F141" s="14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3">
        <f>IF($C141="","",N(L141)-N(M141))</f>
        <v/>
      </c>
      <c r="P141" s="24" t="n"/>
      <c r="Q141" s="23">
        <f>IF($C141="","",N(M141)+N(N141))</f>
        <v/>
      </c>
      <c r="R141" s="23">
        <f>IF($C141="","",N(J141)+N(Q141))</f>
        <v/>
      </c>
      <c r="S141" s="25">
        <f>IF(OR($C141="",N($G141)=0),"",R141/$G141)</f>
        <v/>
      </c>
      <c r="T141" s="23">
        <f>IF($C141="","",N($G141)-N(R141))</f>
        <v/>
      </c>
      <c r="U141" s="24" t="n"/>
      <c r="V141" s="22" t="n"/>
    </row>
    <row r="142">
      <c r="B142" s="13">
        <f>IF($C142="","",COUNTA($C$9:$C142))</f>
        <v/>
      </c>
      <c r="C142" s="21" t="n"/>
      <c r="D142" s="14" t="n"/>
      <c r="E142" s="14" t="n"/>
      <c r="F142" s="14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3">
        <f>IF($C142="","",N(L142)-N(M142))</f>
        <v/>
      </c>
      <c r="P142" s="24" t="n"/>
      <c r="Q142" s="23">
        <f>IF($C142="","",N(M142)+N(N142))</f>
        <v/>
      </c>
      <c r="R142" s="23">
        <f>IF($C142="","",N(J142)+N(Q142))</f>
        <v/>
      </c>
      <c r="S142" s="25">
        <f>IF(OR($C142="",N($G142)=0),"",R142/$G142)</f>
        <v/>
      </c>
      <c r="T142" s="23">
        <f>IF($C142="","",N($G142)-N(R142))</f>
        <v/>
      </c>
      <c r="U142" s="24" t="n"/>
      <c r="V142" s="22" t="n"/>
    </row>
    <row r="143">
      <c r="B143" s="13">
        <f>IF($C143="","",COUNTA($C$9:$C143))</f>
        <v/>
      </c>
      <c r="C143" s="21" t="n"/>
      <c r="D143" s="14" t="n"/>
      <c r="E143" s="14" t="n"/>
      <c r="F143" s="14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3">
        <f>IF($C143="","",N(L143)-N(M143))</f>
        <v/>
      </c>
      <c r="P143" s="24" t="n"/>
      <c r="Q143" s="23">
        <f>IF($C143="","",N(M143)+N(N143))</f>
        <v/>
      </c>
      <c r="R143" s="23">
        <f>IF($C143="","",N(J143)+N(Q143))</f>
        <v/>
      </c>
      <c r="S143" s="25">
        <f>IF(OR($C143="",N($G143)=0),"",R143/$G143)</f>
        <v/>
      </c>
      <c r="T143" s="23">
        <f>IF($C143="","",N($G143)-N(R143))</f>
        <v/>
      </c>
      <c r="U143" s="24" t="n"/>
      <c r="V143" s="22" t="n"/>
    </row>
    <row r="144">
      <c r="B144" s="13">
        <f>IF($C144="","",COUNTA($C$9:$C144))</f>
        <v/>
      </c>
      <c r="C144" s="21" t="n"/>
      <c r="D144" s="14" t="n"/>
      <c r="E144" s="14" t="n"/>
      <c r="F144" s="14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3">
        <f>IF($C144="","",N(L144)-N(M144))</f>
        <v/>
      </c>
      <c r="P144" s="24" t="n"/>
      <c r="Q144" s="23">
        <f>IF($C144="","",N(M144)+N(N144))</f>
        <v/>
      </c>
      <c r="R144" s="23">
        <f>IF($C144="","",N(J144)+N(Q144))</f>
        <v/>
      </c>
      <c r="S144" s="25">
        <f>IF(OR($C144="",N($G144)=0),"",R144/$G144)</f>
        <v/>
      </c>
      <c r="T144" s="23">
        <f>IF($C144="","",N($G144)-N(R144))</f>
        <v/>
      </c>
      <c r="U144" s="24" t="n"/>
      <c r="V144" s="22" t="n"/>
    </row>
    <row r="145">
      <c r="B145" s="13">
        <f>IF($C145="","",COUNTA($C$9:$C145))</f>
        <v/>
      </c>
      <c r="C145" s="21" t="n"/>
      <c r="D145" s="14" t="n"/>
      <c r="E145" s="14" t="n"/>
      <c r="F145" s="14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3">
        <f>IF($C145="","",N(L145)-N(M145))</f>
        <v/>
      </c>
      <c r="P145" s="24" t="n"/>
      <c r="Q145" s="23">
        <f>IF($C145="","",N(M145)+N(N145))</f>
        <v/>
      </c>
      <c r="R145" s="23">
        <f>IF($C145="","",N(J145)+N(Q145))</f>
        <v/>
      </c>
      <c r="S145" s="25">
        <f>IF(OR($C145="",N($G145)=0),"",R145/$G145)</f>
        <v/>
      </c>
      <c r="T145" s="23">
        <f>IF($C145="","",N($G145)-N(R145))</f>
        <v/>
      </c>
      <c r="U145" s="24" t="n"/>
      <c r="V145" s="22" t="n"/>
    </row>
    <row r="146">
      <c r="B146" s="13">
        <f>IF($C146="","",COUNTA($C$9:$C146))</f>
        <v/>
      </c>
      <c r="C146" s="21" t="n"/>
      <c r="D146" s="14" t="n"/>
      <c r="E146" s="14" t="n"/>
      <c r="F146" s="14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3">
        <f>IF($C146="","",N(L146)-N(M146))</f>
        <v/>
      </c>
      <c r="P146" s="24" t="n"/>
      <c r="Q146" s="23">
        <f>IF($C146="","",N(M146)+N(N146))</f>
        <v/>
      </c>
      <c r="R146" s="23">
        <f>IF($C146="","",N(J146)+N(Q146))</f>
        <v/>
      </c>
      <c r="S146" s="25">
        <f>IF(OR($C146="",N($G146)=0),"",R146/$G146)</f>
        <v/>
      </c>
      <c r="T146" s="23">
        <f>IF($C146="","",N($G146)-N(R146))</f>
        <v/>
      </c>
      <c r="U146" s="24" t="n"/>
      <c r="V146" s="22" t="n"/>
    </row>
    <row r="147">
      <c r="B147" s="13">
        <f>IF($C147="","",COUNTA($C$9:$C147))</f>
        <v/>
      </c>
      <c r="C147" s="21" t="n"/>
      <c r="D147" s="14" t="n"/>
      <c r="E147" s="14" t="n"/>
      <c r="F147" s="14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3">
        <f>IF($C147="","",N(L147)-N(M147))</f>
        <v/>
      </c>
      <c r="P147" s="24" t="n"/>
      <c r="Q147" s="23">
        <f>IF($C147="","",N(M147)+N(N147))</f>
        <v/>
      </c>
      <c r="R147" s="23">
        <f>IF($C147="","",N(J147)+N(Q147))</f>
        <v/>
      </c>
      <c r="S147" s="25">
        <f>IF(OR($C147="",N($G147)=0),"",R147/$G147)</f>
        <v/>
      </c>
      <c r="T147" s="23">
        <f>IF($C147="","",N($G147)-N(R147))</f>
        <v/>
      </c>
      <c r="U147" s="24" t="n"/>
      <c r="V147" s="22" t="n"/>
    </row>
    <row r="148">
      <c r="B148" s="13">
        <f>IF($C148="","",COUNTA($C$9:$C148))</f>
        <v/>
      </c>
      <c r="C148" s="21" t="n"/>
      <c r="D148" s="14" t="n"/>
      <c r="E148" s="14" t="n"/>
      <c r="F148" s="14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3">
        <f>IF($C148="","",N(L148)-N(M148))</f>
        <v/>
      </c>
      <c r="P148" s="24" t="n"/>
      <c r="Q148" s="23">
        <f>IF($C148="","",N(M148)+N(N148))</f>
        <v/>
      </c>
      <c r="R148" s="23">
        <f>IF($C148="","",N(J148)+N(Q148))</f>
        <v/>
      </c>
      <c r="S148" s="25">
        <f>IF(OR($C148="",N($G148)=0),"",R148/$G148)</f>
        <v/>
      </c>
      <c r="T148" s="23">
        <f>IF($C148="","",N($G148)-N(R148))</f>
        <v/>
      </c>
      <c r="U148" s="24" t="n"/>
      <c r="V148" s="22" t="n"/>
    </row>
    <row r="149">
      <c r="B149" s="13">
        <f>IF($C149="","",COUNTA($C$9:$C149))</f>
        <v/>
      </c>
      <c r="C149" s="21" t="n"/>
      <c r="D149" s="14" t="n"/>
      <c r="E149" s="14" t="n"/>
      <c r="F149" s="14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3">
        <f>IF($C149="","",N(L149)-N(M149))</f>
        <v/>
      </c>
      <c r="P149" s="24" t="n"/>
      <c r="Q149" s="23">
        <f>IF($C149="","",N(M149)+N(N149))</f>
        <v/>
      </c>
      <c r="R149" s="23">
        <f>IF($C149="","",N(J149)+N(Q149))</f>
        <v/>
      </c>
      <c r="S149" s="25">
        <f>IF(OR($C149="",N($G149)=0),"",R149/$G149)</f>
        <v/>
      </c>
      <c r="T149" s="23">
        <f>IF($C149="","",N($G149)-N(R149))</f>
        <v/>
      </c>
      <c r="U149" s="24" t="n"/>
      <c r="V149" s="22" t="n"/>
    </row>
    <row r="150">
      <c r="B150" s="13">
        <f>IF($C150="","",COUNTA($C$9:$C150))</f>
        <v/>
      </c>
      <c r="C150" s="21" t="n"/>
      <c r="D150" s="14" t="n"/>
      <c r="E150" s="14" t="n"/>
      <c r="F150" s="14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3">
        <f>IF($C150="","",N(L150)-N(M150))</f>
        <v/>
      </c>
      <c r="P150" s="24" t="n"/>
      <c r="Q150" s="23">
        <f>IF($C150="","",N(M150)+N(N150))</f>
        <v/>
      </c>
      <c r="R150" s="23">
        <f>IF($C150="","",N(J150)+N(Q150))</f>
        <v/>
      </c>
      <c r="S150" s="25">
        <f>IF(OR($C150="",N($G150)=0),"",R150/$G150)</f>
        <v/>
      </c>
      <c r="T150" s="23">
        <f>IF($C150="","",N($G150)-N(R150))</f>
        <v/>
      </c>
      <c r="U150" s="24" t="n"/>
      <c r="V150" s="22" t="n"/>
    </row>
    <row r="151">
      <c r="B151" s="13">
        <f>IF($C151="","",COUNTA($C$9:$C151))</f>
        <v/>
      </c>
      <c r="C151" s="21" t="n"/>
      <c r="D151" s="14" t="n"/>
      <c r="E151" s="14" t="n"/>
      <c r="F151" s="14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3">
        <f>IF($C151="","",N(L151)-N(M151))</f>
        <v/>
      </c>
      <c r="P151" s="24" t="n"/>
      <c r="Q151" s="23">
        <f>IF($C151="","",N(M151)+N(N151))</f>
        <v/>
      </c>
      <c r="R151" s="23">
        <f>IF($C151="","",N(J151)+N(Q151))</f>
        <v/>
      </c>
      <c r="S151" s="25">
        <f>IF(OR($C151="",N($G151)=0),"",R151/$G151)</f>
        <v/>
      </c>
      <c r="T151" s="23">
        <f>IF($C151="","",N($G151)-N(R151))</f>
        <v/>
      </c>
      <c r="U151" s="24" t="n"/>
      <c r="V151" s="22" t="n"/>
    </row>
    <row r="152">
      <c r="B152" s="13">
        <f>IF($C152="","",COUNTA($C$9:$C152))</f>
        <v/>
      </c>
      <c r="C152" s="21" t="n"/>
      <c r="D152" s="14" t="n"/>
      <c r="E152" s="14" t="n"/>
      <c r="F152" s="14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3">
        <f>IF($C152="","",N(L152)-N(M152))</f>
        <v/>
      </c>
      <c r="P152" s="24" t="n"/>
      <c r="Q152" s="23">
        <f>IF($C152="","",N(M152)+N(N152))</f>
        <v/>
      </c>
      <c r="R152" s="23">
        <f>IF($C152="","",N(J152)+N(Q152))</f>
        <v/>
      </c>
      <c r="S152" s="25">
        <f>IF(OR($C152="",N($G152)=0),"",R152/$G152)</f>
        <v/>
      </c>
      <c r="T152" s="23">
        <f>IF($C152="","",N($G152)-N(R152))</f>
        <v/>
      </c>
      <c r="U152" s="24" t="n"/>
      <c r="V152" s="22" t="n"/>
    </row>
    <row r="153">
      <c r="B153" s="13">
        <f>IF($C153="","",COUNTA($C$9:$C153))</f>
        <v/>
      </c>
      <c r="C153" s="21" t="n"/>
      <c r="D153" s="14" t="n"/>
      <c r="E153" s="14" t="n"/>
      <c r="F153" s="14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3">
        <f>IF($C153="","",N(L153)-N(M153))</f>
        <v/>
      </c>
      <c r="P153" s="24" t="n"/>
      <c r="Q153" s="23">
        <f>IF($C153="","",N(M153)+N(N153))</f>
        <v/>
      </c>
      <c r="R153" s="23">
        <f>IF($C153="","",N(J153)+N(Q153))</f>
        <v/>
      </c>
      <c r="S153" s="25">
        <f>IF(OR($C153="",N($G153)=0),"",R153/$G153)</f>
        <v/>
      </c>
      <c r="T153" s="23">
        <f>IF($C153="","",N($G153)-N(R153))</f>
        <v/>
      </c>
      <c r="U153" s="24" t="n"/>
      <c r="V153" s="22" t="n"/>
    </row>
    <row r="154">
      <c r="B154" s="13">
        <f>IF($C154="","",COUNTA($C$9:$C154))</f>
        <v/>
      </c>
      <c r="C154" s="21" t="n"/>
      <c r="D154" s="14" t="n"/>
      <c r="E154" s="14" t="n"/>
      <c r="F154" s="14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3">
        <f>IF($C154="","",N(L154)-N(M154))</f>
        <v/>
      </c>
      <c r="P154" s="24" t="n"/>
      <c r="Q154" s="23">
        <f>IF($C154="","",N(M154)+N(N154))</f>
        <v/>
      </c>
      <c r="R154" s="23">
        <f>IF($C154="","",N(J154)+N(Q154))</f>
        <v/>
      </c>
      <c r="S154" s="25">
        <f>IF(OR($C154="",N($G154)=0),"",R154/$G154)</f>
        <v/>
      </c>
      <c r="T154" s="23">
        <f>IF($C154="","",N($G154)-N(R154))</f>
        <v/>
      </c>
      <c r="U154" s="24" t="n"/>
      <c r="V154" s="22" t="n"/>
    </row>
    <row r="155">
      <c r="B155" s="13">
        <f>IF($C155="","",COUNTA($C$9:$C155))</f>
        <v/>
      </c>
      <c r="C155" s="21" t="n"/>
      <c r="D155" s="14" t="n"/>
      <c r="E155" s="14" t="n"/>
      <c r="F155" s="14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3">
        <f>IF($C155="","",N(L155)-N(M155))</f>
        <v/>
      </c>
      <c r="P155" s="24" t="n"/>
      <c r="Q155" s="23">
        <f>IF($C155="","",N(M155)+N(N155))</f>
        <v/>
      </c>
      <c r="R155" s="23">
        <f>IF($C155="","",N(J155)+N(Q155))</f>
        <v/>
      </c>
      <c r="S155" s="25">
        <f>IF(OR($C155="",N($G155)=0),"",R155/$G155)</f>
        <v/>
      </c>
      <c r="T155" s="23">
        <f>IF($C155="","",N($G155)-N(R155))</f>
        <v/>
      </c>
      <c r="U155" s="24" t="n"/>
      <c r="V155" s="22" t="n"/>
    </row>
    <row r="156">
      <c r="B156" s="13">
        <f>IF($C156="","",COUNTA($C$9:$C156))</f>
        <v/>
      </c>
      <c r="C156" s="21" t="n"/>
      <c r="D156" s="14" t="n"/>
      <c r="E156" s="14" t="n"/>
      <c r="F156" s="14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3">
        <f>IF($C156="","",N(L156)-N(M156))</f>
        <v/>
      </c>
      <c r="P156" s="24" t="n"/>
      <c r="Q156" s="23">
        <f>IF($C156="","",N(M156)+N(N156))</f>
        <v/>
      </c>
      <c r="R156" s="23">
        <f>IF($C156="","",N(J156)+N(Q156))</f>
        <v/>
      </c>
      <c r="S156" s="25">
        <f>IF(OR($C156="",N($G156)=0),"",R156/$G156)</f>
        <v/>
      </c>
      <c r="T156" s="23">
        <f>IF($C156="","",N($G156)-N(R156))</f>
        <v/>
      </c>
      <c r="U156" s="24" t="n"/>
      <c r="V156" s="22" t="n"/>
    </row>
    <row r="157">
      <c r="B157" s="13">
        <f>IF($C157="","",COUNTA($C$9:$C157))</f>
        <v/>
      </c>
      <c r="C157" s="21" t="n"/>
      <c r="D157" s="14" t="n"/>
      <c r="E157" s="14" t="n"/>
      <c r="F157" s="14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3">
        <f>IF($C157="","",N(L157)-N(M157))</f>
        <v/>
      </c>
      <c r="P157" s="24" t="n"/>
      <c r="Q157" s="23">
        <f>IF($C157="","",N(M157)+N(N157))</f>
        <v/>
      </c>
      <c r="R157" s="23">
        <f>IF($C157="","",N(J157)+N(Q157))</f>
        <v/>
      </c>
      <c r="S157" s="25">
        <f>IF(OR($C157="",N($G157)=0),"",R157/$G157)</f>
        <v/>
      </c>
      <c r="T157" s="23">
        <f>IF($C157="","",N($G157)-N(R157))</f>
        <v/>
      </c>
      <c r="U157" s="24" t="n"/>
      <c r="V157" s="22" t="n"/>
    </row>
    <row r="158">
      <c r="B158" s="13">
        <f>IF($C158="","",COUNTA($C$9:$C158))</f>
        <v/>
      </c>
      <c r="C158" s="21" t="n"/>
      <c r="D158" s="14" t="n"/>
      <c r="E158" s="14" t="n"/>
      <c r="F158" s="14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3">
        <f>IF($C158="","",N(L158)-N(M158))</f>
        <v/>
      </c>
      <c r="P158" s="24" t="n"/>
      <c r="Q158" s="23">
        <f>IF($C158="","",N(M158)+N(N158))</f>
        <v/>
      </c>
      <c r="R158" s="23">
        <f>IF($C158="","",N(J158)+N(Q158))</f>
        <v/>
      </c>
      <c r="S158" s="25">
        <f>IF(OR($C158="",N($G158)=0),"",R158/$G158)</f>
        <v/>
      </c>
      <c r="T158" s="23">
        <f>IF($C158="","",N($G158)-N(R158))</f>
        <v/>
      </c>
      <c r="U158" s="24" t="n"/>
      <c r="V158" s="22" t="n"/>
    </row>
    <row r="159">
      <c r="B159" s="13">
        <f>IF($C159="","",COUNTA($C$9:$C159))</f>
        <v/>
      </c>
      <c r="C159" s="21" t="n"/>
      <c r="D159" s="14" t="n"/>
      <c r="E159" s="14" t="n"/>
      <c r="F159" s="14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3">
        <f>IF($C159="","",N(L159)-N(M159))</f>
        <v/>
      </c>
      <c r="P159" s="24" t="n"/>
      <c r="Q159" s="23">
        <f>IF($C159="","",N(M159)+N(N159))</f>
        <v/>
      </c>
      <c r="R159" s="23">
        <f>IF($C159="","",N(J159)+N(Q159))</f>
        <v/>
      </c>
      <c r="S159" s="25">
        <f>IF(OR($C159="",N($G159)=0),"",R159/$G159)</f>
        <v/>
      </c>
      <c r="T159" s="23">
        <f>IF($C159="","",N($G159)-N(R159))</f>
        <v/>
      </c>
      <c r="U159" s="24" t="n"/>
      <c r="V159" s="22" t="n"/>
    </row>
    <row r="160">
      <c r="B160" s="13">
        <f>IF($C160="","",COUNTA($C$9:$C160))</f>
        <v/>
      </c>
      <c r="C160" s="21" t="n"/>
      <c r="D160" s="14" t="n"/>
      <c r="E160" s="14" t="n"/>
      <c r="F160" s="14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3">
        <f>IF($C160="","",N(L160)-N(M160))</f>
        <v/>
      </c>
      <c r="P160" s="24" t="n"/>
      <c r="Q160" s="23">
        <f>IF($C160="","",N(M160)+N(N160))</f>
        <v/>
      </c>
      <c r="R160" s="23">
        <f>IF($C160="","",N(J160)+N(Q160))</f>
        <v/>
      </c>
      <c r="S160" s="25">
        <f>IF(OR($C160="",N($G160)=0),"",R160/$G160)</f>
        <v/>
      </c>
      <c r="T160" s="23">
        <f>IF($C160="","",N($G160)-N(R160))</f>
        <v/>
      </c>
      <c r="U160" s="24" t="n"/>
      <c r="V160" s="22" t="n"/>
    </row>
    <row r="161">
      <c r="B161" s="13">
        <f>IF($C161="","",COUNTA($C$9:$C161))</f>
        <v/>
      </c>
      <c r="C161" s="21" t="n"/>
      <c r="D161" s="14" t="n"/>
      <c r="E161" s="14" t="n"/>
      <c r="F161" s="14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3">
        <f>IF($C161="","",N(L161)-N(M161))</f>
        <v/>
      </c>
      <c r="P161" s="24" t="n"/>
      <c r="Q161" s="23">
        <f>IF($C161="","",N(M161)+N(N161))</f>
        <v/>
      </c>
      <c r="R161" s="23">
        <f>IF($C161="","",N(J161)+N(Q161))</f>
        <v/>
      </c>
      <c r="S161" s="25">
        <f>IF(OR($C161="",N($G161)=0),"",R161/$G161)</f>
        <v/>
      </c>
      <c r="T161" s="23">
        <f>IF($C161="","",N($G161)-N(R161))</f>
        <v/>
      </c>
      <c r="U161" s="24" t="n"/>
      <c r="V161" s="22" t="n"/>
    </row>
    <row r="162">
      <c r="B162" s="13">
        <f>IF($C162="","",COUNTA($C$9:$C162))</f>
        <v/>
      </c>
      <c r="C162" s="21" t="n"/>
      <c r="D162" s="14" t="n"/>
      <c r="E162" s="14" t="n"/>
      <c r="F162" s="14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3">
        <f>IF($C162="","",N(L162)-N(M162))</f>
        <v/>
      </c>
      <c r="P162" s="24" t="n"/>
      <c r="Q162" s="23">
        <f>IF($C162="","",N(M162)+N(N162))</f>
        <v/>
      </c>
      <c r="R162" s="23">
        <f>IF($C162="","",N(J162)+N(Q162))</f>
        <v/>
      </c>
      <c r="S162" s="25">
        <f>IF(OR($C162="",N($G162)=0),"",R162/$G162)</f>
        <v/>
      </c>
      <c r="T162" s="23">
        <f>IF($C162="","",N($G162)-N(R162))</f>
        <v/>
      </c>
      <c r="U162" s="24" t="n"/>
      <c r="V162" s="22" t="n"/>
    </row>
    <row r="163">
      <c r="B163" s="13">
        <f>IF($C163="","",COUNTA($C$9:$C163))</f>
        <v/>
      </c>
      <c r="C163" s="21" t="n"/>
      <c r="D163" s="14" t="n"/>
      <c r="E163" s="14" t="n"/>
      <c r="F163" s="14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3">
        <f>IF($C163="","",N(L163)-N(M163))</f>
        <v/>
      </c>
      <c r="P163" s="24" t="n"/>
      <c r="Q163" s="23">
        <f>IF($C163="","",N(M163)+N(N163))</f>
        <v/>
      </c>
      <c r="R163" s="23">
        <f>IF($C163="","",N(J163)+N(Q163))</f>
        <v/>
      </c>
      <c r="S163" s="25">
        <f>IF(OR($C163="",N($G163)=0),"",R163/$G163)</f>
        <v/>
      </c>
      <c r="T163" s="23">
        <f>IF($C163="","",N($G163)-N(R163))</f>
        <v/>
      </c>
      <c r="U163" s="24" t="n"/>
      <c r="V163" s="22" t="n"/>
    </row>
    <row r="164">
      <c r="B164" s="13">
        <f>IF($C164="","",COUNTA($C$9:$C164))</f>
        <v/>
      </c>
      <c r="C164" s="21" t="n"/>
      <c r="D164" s="14" t="n"/>
      <c r="E164" s="14" t="n"/>
      <c r="F164" s="14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3">
        <f>IF($C164="","",N(L164)-N(M164))</f>
        <v/>
      </c>
      <c r="P164" s="24" t="n"/>
      <c r="Q164" s="23">
        <f>IF($C164="","",N(M164)+N(N164))</f>
        <v/>
      </c>
      <c r="R164" s="23">
        <f>IF($C164="","",N(J164)+N(Q164))</f>
        <v/>
      </c>
      <c r="S164" s="25">
        <f>IF(OR($C164="",N($G164)=0),"",R164/$G164)</f>
        <v/>
      </c>
      <c r="T164" s="23">
        <f>IF($C164="","",N($G164)-N(R164))</f>
        <v/>
      </c>
      <c r="U164" s="24" t="n"/>
      <c r="V164" s="22" t="n"/>
    </row>
    <row r="165">
      <c r="B165" s="13">
        <f>IF($C165="","",COUNTA($C$9:$C165))</f>
        <v/>
      </c>
      <c r="C165" s="21" t="n"/>
      <c r="D165" s="14" t="n"/>
      <c r="E165" s="14" t="n"/>
      <c r="F165" s="14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3">
        <f>IF($C165="","",N(L165)-N(M165))</f>
        <v/>
      </c>
      <c r="P165" s="24" t="n"/>
      <c r="Q165" s="23">
        <f>IF($C165="","",N(M165)+N(N165))</f>
        <v/>
      </c>
      <c r="R165" s="23">
        <f>IF($C165="","",N(J165)+N(Q165))</f>
        <v/>
      </c>
      <c r="S165" s="25">
        <f>IF(OR($C165="",N($G165)=0),"",R165/$G165)</f>
        <v/>
      </c>
      <c r="T165" s="23">
        <f>IF($C165="","",N($G165)-N(R165))</f>
        <v/>
      </c>
      <c r="U165" s="24" t="n"/>
      <c r="V165" s="22" t="n"/>
    </row>
    <row r="166">
      <c r="B166" s="13">
        <f>IF($C166="","",COUNTA($C$9:$C166))</f>
        <v/>
      </c>
      <c r="C166" s="21" t="n"/>
      <c r="D166" s="14" t="n"/>
      <c r="E166" s="14" t="n"/>
      <c r="F166" s="14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3">
        <f>IF($C166="","",N(L166)-N(M166))</f>
        <v/>
      </c>
      <c r="P166" s="24" t="n"/>
      <c r="Q166" s="23">
        <f>IF($C166="","",N(M166)+N(N166))</f>
        <v/>
      </c>
      <c r="R166" s="23">
        <f>IF($C166="","",N(J166)+N(Q166))</f>
        <v/>
      </c>
      <c r="S166" s="25">
        <f>IF(OR($C166="",N($G166)=0),"",R166/$G166)</f>
        <v/>
      </c>
      <c r="T166" s="23">
        <f>IF($C166="","",N($G166)-N(R166))</f>
        <v/>
      </c>
      <c r="U166" s="24" t="n"/>
      <c r="V166" s="22" t="n"/>
    </row>
    <row r="167">
      <c r="B167" s="13">
        <f>IF($C167="","",COUNTA($C$9:$C167))</f>
        <v/>
      </c>
      <c r="C167" s="21" t="n"/>
      <c r="D167" s="14" t="n"/>
      <c r="E167" s="14" t="n"/>
      <c r="F167" s="14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3">
        <f>IF($C167="","",N(L167)-N(M167))</f>
        <v/>
      </c>
      <c r="P167" s="24" t="n"/>
      <c r="Q167" s="23">
        <f>IF($C167="","",N(M167)+N(N167))</f>
        <v/>
      </c>
      <c r="R167" s="23">
        <f>IF($C167="","",N(J167)+N(Q167))</f>
        <v/>
      </c>
      <c r="S167" s="25">
        <f>IF(OR($C167="",N($G167)=0),"",R167/$G167)</f>
        <v/>
      </c>
      <c r="T167" s="23">
        <f>IF($C167="","",N($G167)-N(R167))</f>
        <v/>
      </c>
      <c r="U167" s="24" t="n"/>
      <c r="V167" s="22" t="n"/>
    </row>
    <row r="168">
      <c r="B168" s="13">
        <f>IF($C168="","",COUNTA($C$9:$C168))</f>
        <v/>
      </c>
      <c r="C168" s="21" t="n"/>
      <c r="D168" s="14" t="n"/>
      <c r="E168" s="14" t="n"/>
      <c r="F168" s="14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3">
        <f>IF($C168="","",N(L168)-N(M168))</f>
        <v/>
      </c>
      <c r="P168" s="24" t="n"/>
      <c r="Q168" s="23">
        <f>IF($C168="","",N(M168)+N(N168))</f>
        <v/>
      </c>
      <c r="R168" s="23">
        <f>IF($C168="","",N(J168)+N(Q168))</f>
        <v/>
      </c>
      <c r="S168" s="25">
        <f>IF(OR($C168="",N($G168)=0),"",R168/$G168)</f>
        <v/>
      </c>
      <c r="T168" s="23">
        <f>IF($C168="","",N($G168)-N(R168))</f>
        <v/>
      </c>
      <c r="U168" s="24" t="n"/>
      <c r="V168" s="22" t="n"/>
    </row>
    <row r="169">
      <c r="B169" s="13">
        <f>IF($C169="","",COUNTA($C$9:$C169))</f>
        <v/>
      </c>
      <c r="C169" s="21" t="n"/>
      <c r="D169" s="14" t="n"/>
      <c r="E169" s="14" t="n"/>
      <c r="F169" s="14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3">
        <f>IF($C169="","",N(L169)-N(M169))</f>
        <v/>
      </c>
      <c r="P169" s="24" t="n"/>
      <c r="Q169" s="23">
        <f>IF($C169="","",N(M169)+N(N169))</f>
        <v/>
      </c>
      <c r="R169" s="23">
        <f>IF($C169="","",N(J169)+N(Q169))</f>
        <v/>
      </c>
      <c r="S169" s="25">
        <f>IF(OR($C169="",N($G169)=0),"",R169/$G169)</f>
        <v/>
      </c>
      <c r="T169" s="23">
        <f>IF($C169="","",N($G169)-N(R169))</f>
        <v/>
      </c>
      <c r="U169" s="24" t="n"/>
      <c r="V169" s="22" t="n"/>
    </row>
    <row r="170">
      <c r="B170" s="13">
        <f>IF($C170="","",COUNTA($C$9:$C170))</f>
        <v/>
      </c>
      <c r="C170" s="21" t="n"/>
      <c r="D170" s="14" t="n"/>
      <c r="E170" s="14" t="n"/>
      <c r="F170" s="14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3">
        <f>IF($C170="","",N(L170)-N(M170))</f>
        <v/>
      </c>
      <c r="P170" s="24" t="n"/>
      <c r="Q170" s="23">
        <f>IF($C170="","",N(M170)+N(N170))</f>
        <v/>
      </c>
      <c r="R170" s="23">
        <f>IF($C170="","",N(J170)+N(Q170))</f>
        <v/>
      </c>
      <c r="S170" s="25">
        <f>IF(OR($C170="",N($G170)=0),"",R170/$G170)</f>
        <v/>
      </c>
      <c r="T170" s="23">
        <f>IF($C170="","",N($G170)-N(R170))</f>
        <v/>
      </c>
      <c r="U170" s="24" t="n"/>
      <c r="V170" s="22" t="n"/>
    </row>
    <row r="171">
      <c r="B171" s="13">
        <f>IF($C171="","",COUNTA($C$9:$C171))</f>
        <v/>
      </c>
      <c r="C171" s="21" t="n"/>
      <c r="D171" s="14" t="n"/>
      <c r="E171" s="14" t="n"/>
      <c r="F171" s="14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3">
        <f>IF($C171="","",N(L171)-N(M171))</f>
        <v/>
      </c>
      <c r="P171" s="24" t="n"/>
      <c r="Q171" s="23">
        <f>IF($C171="","",N(M171)+N(N171))</f>
        <v/>
      </c>
      <c r="R171" s="23">
        <f>IF($C171="","",N(J171)+N(Q171))</f>
        <v/>
      </c>
      <c r="S171" s="25">
        <f>IF(OR($C171="",N($G171)=0),"",R171/$G171)</f>
        <v/>
      </c>
      <c r="T171" s="23">
        <f>IF($C171="","",N($G171)-N(R171))</f>
        <v/>
      </c>
      <c r="U171" s="24" t="n"/>
      <c r="V171" s="22" t="n"/>
    </row>
    <row r="172">
      <c r="B172" s="13">
        <f>IF($C172="","",COUNTA($C$9:$C172))</f>
        <v/>
      </c>
      <c r="C172" s="21" t="n"/>
      <c r="D172" s="14" t="n"/>
      <c r="E172" s="14" t="n"/>
      <c r="F172" s="14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3">
        <f>IF($C172="","",N(L172)-N(M172))</f>
        <v/>
      </c>
      <c r="P172" s="24" t="n"/>
      <c r="Q172" s="23">
        <f>IF($C172="","",N(M172)+N(N172))</f>
        <v/>
      </c>
      <c r="R172" s="23">
        <f>IF($C172="","",N(J172)+N(Q172))</f>
        <v/>
      </c>
      <c r="S172" s="25">
        <f>IF(OR($C172="",N($G172)=0),"",R172/$G172)</f>
        <v/>
      </c>
      <c r="T172" s="23">
        <f>IF($C172="","",N($G172)-N(R172))</f>
        <v/>
      </c>
      <c r="U172" s="24" t="n"/>
      <c r="V172" s="22" t="n"/>
    </row>
    <row r="173">
      <c r="B173" s="13">
        <f>IF($C173="","",COUNTA($C$9:$C173))</f>
        <v/>
      </c>
      <c r="C173" s="21" t="n"/>
      <c r="D173" s="14" t="n"/>
      <c r="E173" s="14" t="n"/>
      <c r="F173" s="14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3">
        <f>IF($C173="","",N(L173)-N(M173))</f>
        <v/>
      </c>
      <c r="P173" s="24" t="n"/>
      <c r="Q173" s="23">
        <f>IF($C173="","",N(M173)+N(N173))</f>
        <v/>
      </c>
      <c r="R173" s="23">
        <f>IF($C173="","",N(J173)+N(Q173))</f>
        <v/>
      </c>
      <c r="S173" s="25">
        <f>IF(OR($C173="",N($G173)=0),"",R173/$G173)</f>
        <v/>
      </c>
      <c r="T173" s="23">
        <f>IF($C173="","",N($G173)-N(R173))</f>
        <v/>
      </c>
      <c r="U173" s="24" t="n"/>
      <c r="V173" s="22" t="n"/>
    </row>
    <row r="174">
      <c r="B174" s="13">
        <f>IF($C174="","",COUNTA($C$9:$C174))</f>
        <v/>
      </c>
      <c r="C174" s="21" t="n"/>
      <c r="D174" s="14" t="n"/>
      <c r="E174" s="14" t="n"/>
      <c r="F174" s="14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3">
        <f>IF($C174="","",N(L174)-N(M174))</f>
        <v/>
      </c>
      <c r="P174" s="24" t="n"/>
      <c r="Q174" s="23">
        <f>IF($C174="","",N(M174)+N(N174))</f>
        <v/>
      </c>
      <c r="R174" s="23">
        <f>IF($C174="","",N(J174)+N(Q174))</f>
        <v/>
      </c>
      <c r="S174" s="25">
        <f>IF(OR($C174="",N($G174)=0),"",R174/$G174)</f>
        <v/>
      </c>
      <c r="T174" s="23">
        <f>IF($C174="","",N($G174)-N(R174))</f>
        <v/>
      </c>
      <c r="U174" s="24" t="n"/>
      <c r="V174" s="22" t="n"/>
    </row>
    <row r="175">
      <c r="B175" s="13">
        <f>IF($C175="","",COUNTA($C$9:$C175))</f>
        <v/>
      </c>
      <c r="C175" s="21" t="n"/>
      <c r="D175" s="14" t="n"/>
      <c r="E175" s="14" t="n"/>
      <c r="F175" s="14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3">
        <f>IF($C175="","",N(L175)-N(M175))</f>
        <v/>
      </c>
      <c r="P175" s="24" t="n"/>
      <c r="Q175" s="23">
        <f>IF($C175="","",N(M175)+N(N175))</f>
        <v/>
      </c>
      <c r="R175" s="23">
        <f>IF($C175="","",N(J175)+N(Q175))</f>
        <v/>
      </c>
      <c r="S175" s="25">
        <f>IF(OR($C175="",N($G175)=0),"",R175/$G175)</f>
        <v/>
      </c>
      <c r="T175" s="23">
        <f>IF($C175="","",N($G175)-N(R175))</f>
        <v/>
      </c>
      <c r="U175" s="24" t="n"/>
      <c r="V175" s="22" t="n"/>
    </row>
    <row r="176">
      <c r="B176" s="13">
        <f>IF($C176="","",COUNTA($C$9:$C176))</f>
        <v/>
      </c>
      <c r="C176" s="21" t="n"/>
      <c r="D176" s="14" t="n"/>
      <c r="E176" s="14" t="n"/>
      <c r="F176" s="14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3">
        <f>IF($C176="","",N(L176)-N(M176))</f>
        <v/>
      </c>
      <c r="P176" s="24" t="n"/>
      <c r="Q176" s="23">
        <f>IF($C176="","",N(M176)+N(N176))</f>
        <v/>
      </c>
      <c r="R176" s="23">
        <f>IF($C176="","",N(J176)+N(Q176))</f>
        <v/>
      </c>
      <c r="S176" s="25">
        <f>IF(OR($C176="",N($G176)=0),"",R176/$G176)</f>
        <v/>
      </c>
      <c r="T176" s="23">
        <f>IF($C176="","",N($G176)-N(R176))</f>
        <v/>
      </c>
      <c r="U176" s="24" t="n"/>
      <c r="V176" s="22" t="n"/>
    </row>
    <row r="177">
      <c r="B177" s="13">
        <f>IF($C177="","",COUNTA($C$9:$C177))</f>
        <v/>
      </c>
      <c r="C177" s="21" t="n"/>
      <c r="D177" s="14" t="n"/>
      <c r="E177" s="14" t="n"/>
      <c r="F177" s="14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3">
        <f>IF($C177="","",N(L177)-N(M177))</f>
        <v/>
      </c>
      <c r="P177" s="24" t="n"/>
      <c r="Q177" s="23">
        <f>IF($C177="","",N(M177)+N(N177))</f>
        <v/>
      </c>
      <c r="R177" s="23">
        <f>IF($C177="","",N(J177)+N(Q177))</f>
        <v/>
      </c>
      <c r="S177" s="25">
        <f>IF(OR($C177="",N($G177)=0),"",R177/$G177)</f>
        <v/>
      </c>
      <c r="T177" s="23">
        <f>IF($C177="","",N($G177)-N(R177))</f>
        <v/>
      </c>
      <c r="U177" s="24" t="n"/>
      <c r="V177" s="22" t="n"/>
    </row>
    <row r="178">
      <c r="B178" s="13">
        <f>IF($C178="","",COUNTA($C$9:$C178))</f>
        <v/>
      </c>
      <c r="C178" s="21" t="n"/>
      <c r="D178" s="14" t="n"/>
      <c r="E178" s="14" t="n"/>
      <c r="F178" s="14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3">
        <f>IF($C178="","",N(L178)-N(M178))</f>
        <v/>
      </c>
      <c r="P178" s="24" t="n"/>
      <c r="Q178" s="23">
        <f>IF($C178="","",N(M178)+N(N178))</f>
        <v/>
      </c>
      <c r="R178" s="23">
        <f>IF($C178="","",N(J178)+N(Q178))</f>
        <v/>
      </c>
      <c r="S178" s="25">
        <f>IF(OR($C178="",N($G178)=0),"",R178/$G178)</f>
        <v/>
      </c>
      <c r="T178" s="23">
        <f>IF($C178="","",N($G178)-N(R178))</f>
        <v/>
      </c>
      <c r="U178" s="24" t="n"/>
      <c r="V178" s="22" t="n"/>
    </row>
    <row r="179">
      <c r="B179" s="13">
        <f>IF($C179="","",COUNTA($C$9:$C179))</f>
        <v/>
      </c>
      <c r="C179" s="21" t="n"/>
      <c r="D179" s="14" t="n"/>
      <c r="E179" s="14" t="n"/>
      <c r="F179" s="14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3">
        <f>IF($C179="","",N(L179)-N(M179))</f>
        <v/>
      </c>
      <c r="P179" s="24" t="n"/>
      <c r="Q179" s="23">
        <f>IF($C179="","",N(M179)+N(N179))</f>
        <v/>
      </c>
      <c r="R179" s="23">
        <f>IF($C179="","",N(J179)+N(Q179))</f>
        <v/>
      </c>
      <c r="S179" s="25">
        <f>IF(OR($C179="",N($G179)=0),"",R179/$G179)</f>
        <v/>
      </c>
      <c r="T179" s="23">
        <f>IF($C179="","",N($G179)-N(R179))</f>
        <v/>
      </c>
      <c r="U179" s="24" t="n"/>
      <c r="V179" s="22" t="n"/>
    </row>
    <row r="180">
      <c r="B180" s="13">
        <f>IF($C180="","",COUNTA($C$9:$C180))</f>
        <v/>
      </c>
      <c r="C180" s="21" t="n"/>
      <c r="D180" s="14" t="n"/>
      <c r="E180" s="14" t="n"/>
      <c r="F180" s="14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3">
        <f>IF($C180="","",N(L180)-N(M180))</f>
        <v/>
      </c>
      <c r="P180" s="24" t="n"/>
      <c r="Q180" s="23">
        <f>IF($C180="","",N(M180)+N(N180))</f>
        <v/>
      </c>
      <c r="R180" s="23">
        <f>IF($C180="","",N(J180)+N(Q180))</f>
        <v/>
      </c>
      <c r="S180" s="25">
        <f>IF(OR($C180="",N($G180)=0),"",R180/$G180)</f>
        <v/>
      </c>
      <c r="T180" s="23">
        <f>IF($C180="","",N($G180)-N(R180))</f>
        <v/>
      </c>
      <c r="U180" s="24" t="n"/>
      <c r="V180" s="22" t="n"/>
    </row>
    <row r="181">
      <c r="B181" s="13">
        <f>IF($C181="","",COUNTA($C$9:$C181))</f>
        <v/>
      </c>
      <c r="C181" s="21" t="n"/>
      <c r="D181" s="14" t="n"/>
      <c r="E181" s="14" t="n"/>
      <c r="F181" s="14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3">
        <f>IF($C181="","",N(L181)-N(M181))</f>
        <v/>
      </c>
      <c r="P181" s="24" t="n"/>
      <c r="Q181" s="23">
        <f>IF($C181="","",N(M181)+N(N181))</f>
        <v/>
      </c>
      <c r="R181" s="23">
        <f>IF($C181="","",N(J181)+N(Q181))</f>
        <v/>
      </c>
      <c r="S181" s="25">
        <f>IF(OR($C181="",N($G181)=0),"",R181/$G181)</f>
        <v/>
      </c>
      <c r="T181" s="23">
        <f>IF($C181="","",N($G181)-N(R181))</f>
        <v/>
      </c>
      <c r="U181" s="24" t="n"/>
      <c r="V181" s="22" t="n"/>
    </row>
    <row r="182">
      <c r="B182" s="13">
        <f>IF($C182="","",COUNTA($C$9:$C182))</f>
        <v/>
      </c>
      <c r="C182" s="21" t="n"/>
      <c r="D182" s="14" t="n"/>
      <c r="E182" s="14" t="n"/>
      <c r="F182" s="14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3">
        <f>IF($C182="","",N(L182)-N(M182))</f>
        <v/>
      </c>
      <c r="P182" s="24" t="n"/>
      <c r="Q182" s="23">
        <f>IF($C182="","",N(M182)+N(N182))</f>
        <v/>
      </c>
      <c r="R182" s="23">
        <f>IF($C182="","",N(J182)+N(Q182))</f>
        <v/>
      </c>
      <c r="S182" s="25">
        <f>IF(OR($C182="",N($G182)=0),"",R182/$G182)</f>
        <v/>
      </c>
      <c r="T182" s="23">
        <f>IF($C182="","",N($G182)-N(R182))</f>
        <v/>
      </c>
      <c r="U182" s="24" t="n"/>
      <c r="V182" s="22" t="n"/>
    </row>
    <row r="183">
      <c r="B183" s="13">
        <f>IF($C183="","",COUNTA($C$9:$C183))</f>
        <v/>
      </c>
      <c r="C183" s="21" t="n"/>
      <c r="D183" s="14" t="n"/>
      <c r="E183" s="14" t="n"/>
      <c r="F183" s="14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3">
        <f>IF($C183="","",N(L183)-N(M183))</f>
        <v/>
      </c>
      <c r="P183" s="24" t="n"/>
      <c r="Q183" s="23">
        <f>IF($C183="","",N(M183)+N(N183))</f>
        <v/>
      </c>
      <c r="R183" s="23">
        <f>IF($C183="","",N(J183)+N(Q183))</f>
        <v/>
      </c>
      <c r="S183" s="25">
        <f>IF(OR($C183="",N($G183)=0),"",R183/$G183)</f>
        <v/>
      </c>
      <c r="T183" s="23">
        <f>IF($C183="","",N($G183)-N(R183))</f>
        <v/>
      </c>
      <c r="U183" s="24" t="n"/>
      <c r="V183" s="22" t="n"/>
    </row>
    <row r="184">
      <c r="B184" s="13">
        <f>IF($C184="","",COUNTA($C$9:$C184))</f>
        <v/>
      </c>
      <c r="C184" s="21" t="n"/>
      <c r="D184" s="14" t="n"/>
      <c r="E184" s="14" t="n"/>
      <c r="F184" s="14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3">
        <f>IF($C184="","",N(L184)-N(M184))</f>
        <v/>
      </c>
      <c r="P184" s="24" t="n"/>
      <c r="Q184" s="23">
        <f>IF($C184="","",N(M184)+N(N184))</f>
        <v/>
      </c>
      <c r="R184" s="23">
        <f>IF($C184="","",N(J184)+N(Q184))</f>
        <v/>
      </c>
      <c r="S184" s="25">
        <f>IF(OR($C184="",N($G184)=0),"",R184/$G184)</f>
        <v/>
      </c>
      <c r="T184" s="23">
        <f>IF($C184="","",N($G184)-N(R184))</f>
        <v/>
      </c>
      <c r="U184" s="24" t="n"/>
      <c r="V184" s="22" t="n"/>
    </row>
    <row r="185">
      <c r="B185" s="13">
        <f>IF($C185="","",COUNTA($C$9:$C185))</f>
        <v/>
      </c>
      <c r="C185" s="21" t="n"/>
      <c r="D185" s="14" t="n"/>
      <c r="E185" s="14" t="n"/>
      <c r="F185" s="14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3">
        <f>IF($C185="","",N(L185)-N(M185))</f>
        <v/>
      </c>
      <c r="P185" s="24" t="n"/>
      <c r="Q185" s="23">
        <f>IF($C185="","",N(M185)+N(N185))</f>
        <v/>
      </c>
      <c r="R185" s="23">
        <f>IF($C185="","",N(J185)+N(Q185))</f>
        <v/>
      </c>
      <c r="S185" s="25">
        <f>IF(OR($C185="",N($G185)=0),"",R185/$G185)</f>
        <v/>
      </c>
      <c r="T185" s="23">
        <f>IF($C185="","",N($G185)-N(R185))</f>
        <v/>
      </c>
      <c r="U185" s="24" t="n"/>
      <c r="V185" s="22" t="n"/>
    </row>
    <row r="186">
      <c r="B186" s="13">
        <f>IF($C186="","",COUNTA($C$9:$C186))</f>
        <v/>
      </c>
      <c r="C186" s="21" t="n"/>
      <c r="D186" s="14" t="n"/>
      <c r="E186" s="14" t="n"/>
      <c r="F186" s="14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3">
        <f>IF($C186="","",N(L186)-N(M186))</f>
        <v/>
      </c>
      <c r="P186" s="24" t="n"/>
      <c r="Q186" s="23">
        <f>IF($C186="","",N(M186)+N(N186))</f>
        <v/>
      </c>
      <c r="R186" s="23">
        <f>IF($C186="","",N(J186)+N(Q186))</f>
        <v/>
      </c>
      <c r="S186" s="25">
        <f>IF(OR($C186="",N($G186)=0),"",R186/$G186)</f>
        <v/>
      </c>
      <c r="T186" s="23">
        <f>IF($C186="","",N($G186)-N(R186))</f>
        <v/>
      </c>
      <c r="U186" s="24" t="n"/>
      <c r="V186" s="22" t="n"/>
    </row>
    <row r="187">
      <c r="B187" s="13">
        <f>IF($C187="","",COUNTA($C$9:$C187))</f>
        <v/>
      </c>
      <c r="C187" s="21" t="n"/>
      <c r="D187" s="14" t="n"/>
      <c r="E187" s="14" t="n"/>
      <c r="F187" s="14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3">
        <f>IF($C187="","",N(L187)-N(M187))</f>
        <v/>
      </c>
      <c r="P187" s="24" t="n"/>
      <c r="Q187" s="23">
        <f>IF($C187="","",N(M187)+N(N187))</f>
        <v/>
      </c>
      <c r="R187" s="23">
        <f>IF($C187="","",N(J187)+N(Q187))</f>
        <v/>
      </c>
      <c r="S187" s="25">
        <f>IF(OR($C187="",N($G187)=0),"",R187/$G187)</f>
        <v/>
      </c>
      <c r="T187" s="23">
        <f>IF($C187="","",N($G187)-N(R187))</f>
        <v/>
      </c>
      <c r="U187" s="24" t="n"/>
      <c r="V187" s="22" t="n"/>
    </row>
    <row r="188">
      <c r="B188" s="13">
        <f>IF($C188="","",COUNTA($C$9:$C188))</f>
        <v/>
      </c>
      <c r="C188" s="21" t="n"/>
      <c r="D188" s="14" t="n"/>
      <c r="E188" s="14" t="n"/>
      <c r="F188" s="14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3">
        <f>IF($C188="","",N(L188)-N(M188))</f>
        <v/>
      </c>
      <c r="P188" s="24" t="n"/>
      <c r="Q188" s="23">
        <f>IF($C188="","",N(M188)+N(N188))</f>
        <v/>
      </c>
      <c r="R188" s="23">
        <f>IF($C188="","",N(J188)+N(Q188))</f>
        <v/>
      </c>
      <c r="S188" s="25">
        <f>IF(OR($C188="",N($G188)=0),"",R188/$G188)</f>
        <v/>
      </c>
      <c r="T188" s="23">
        <f>IF($C188="","",N($G188)-N(R188))</f>
        <v/>
      </c>
      <c r="U188" s="24" t="n"/>
      <c r="V188" s="22" t="n"/>
    </row>
    <row r="189">
      <c r="B189" s="13">
        <f>IF($C189="","",COUNTA($C$9:$C189))</f>
        <v/>
      </c>
      <c r="C189" s="21" t="n"/>
      <c r="D189" s="14" t="n"/>
      <c r="E189" s="14" t="n"/>
      <c r="F189" s="14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3">
        <f>IF($C189="","",N(L189)-N(M189))</f>
        <v/>
      </c>
      <c r="P189" s="24" t="n"/>
      <c r="Q189" s="23">
        <f>IF($C189="","",N(M189)+N(N189))</f>
        <v/>
      </c>
      <c r="R189" s="23">
        <f>IF($C189="","",N(J189)+N(Q189))</f>
        <v/>
      </c>
      <c r="S189" s="25">
        <f>IF(OR($C189="",N($G189)=0),"",R189/$G189)</f>
        <v/>
      </c>
      <c r="T189" s="23">
        <f>IF($C189="","",N($G189)-N(R189))</f>
        <v/>
      </c>
      <c r="U189" s="24" t="n"/>
      <c r="V189" s="22" t="n"/>
    </row>
    <row r="190">
      <c r="B190" s="13">
        <f>IF($C190="","",COUNTA($C$9:$C190))</f>
        <v/>
      </c>
      <c r="C190" s="21" t="n"/>
      <c r="D190" s="14" t="n"/>
      <c r="E190" s="14" t="n"/>
      <c r="F190" s="14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3">
        <f>IF($C190="","",N(L190)-N(M190))</f>
        <v/>
      </c>
      <c r="P190" s="24" t="n"/>
      <c r="Q190" s="23">
        <f>IF($C190="","",N(M190)+N(N190))</f>
        <v/>
      </c>
      <c r="R190" s="23">
        <f>IF($C190="","",N(J190)+N(Q190))</f>
        <v/>
      </c>
      <c r="S190" s="25">
        <f>IF(OR($C190="",N($G190)=0),"",R190/$G190)</f>
        <v/>
      </c>
      <c r="T190" s="23">
        <f>IF($C190="","",N($G190)-N(R190))</f>
        <v/>
      </c>
      <c r="U190" s="24" t="n"/>
      <c r="V190" s="22" t="n"/>
    </row>
    <row r="191">
      <c r="B191" s="13">
        <f>IF($C191="","",COUNTA($C$9:$C191))</f>
        <v/>
      </c>
      <c r="C191" s="21" t="n"/>
      <c r="D191" s="14" t="n"/>
      <c r="E191" s="14" t="n"/>
      <c r="F191" s="14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3">
        <f>IF($C191="","",N(L191)-N(M191))</f>
        <v/>
      </c>
      <c r="P191" s="24" t="n"/>
      <c r="Q191" s="23">
        <f>IF($C191="","",N(M191)+N(N191))</f>
        <v/>
      </c>
      <c r="R191" s="23">
        <f>IF($C191="","",N(J191)+N(Q191))</f>
        <v/>
      </c>
      <c r="S191" s="25">
        <f>IF(OR($C191="",N($G191)=0),"",R191/$G191)</f>
        <v/>
      </c>
      <c r="T191" s="23">
        <f>IF($C191="","",N($G191)-N(R191))</f>
        <v/>
      </c>
      <c r="U191" s="24" t="n"/>
      <c r="V191" s="22" t="n"/>
    </row>
    <row r="192">
      <c r="B192" s="13">
        <f>IF($C192="","",COUNTA($C$9:$C192))</f>
        <v/>
      </c>
      <c r="C192" s="21" t="n"/>
      <c r="D192" s="14" t="n"/>
      <c r="E192" s="14" t="n"/>
      <c r="F192" s="14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3">
        <f>IF($C192="","",N(L192)-N(M192))</f>
        <v/>
      </c>
      <c r="P192" s="24" t="n"/>
      <c r="Q192" s="23">
        <f>IF($C192="","",N(M192)+N(N192))</f>
        <v/>
      </c>
      <c r="R192" s="23">
        <f>IF($C192="","",N(J192)+N(Q192))</f>
        <v/>
      </c>
      <c r="S192" s="25">
        <f>IF(OR($C192="",N($G192)=0),"",R192/$G192)</f>
        <v/>
      </c>
      <c r="T192" s="23">
        <f>IF($C192="","",N($G192)-N(R192))</f>
        <v/>
      </c>
      <c r="U192" s="24" t="n"/>
      <c r="V192" s="22" t="n"/>
    </row>
    <row r="193">
      <c r="B193" s="13">
        <f>IF($C193="","",COUNTA($C$9:$C193))</f>
        <v/>
      </c>
      <c r="C193" s="21" t="n"/>
      <c r="D193" s="14" t="n"/>
      <c r="E193" s="14" t="n"/>
      <c r="F193" s="14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3">
        <f>IF($C193="","",N(L193)-N(M193))</f>
        <v/>
      </c>
      <c r="P193" s="24" t="n"/>
      <c r="Q193" s="23">
        <f>IF($C193="","",N(M193)+N(N193))</f>
        <v/>
      </c>
      <c r="R193" s="23">
        <f>IF($C193="","",N(J193)+N(Q193))</f>
        <v/>
      </c>
      <c r="S193" s="25">
        <f>IF(OR($C193="",N($G193)=0),"",R193/$G193)</f>
        <v/>
      </c>
      <c r="T193" s="23">
        <f>IF($C193="","",N($G193)-N(R193))</f>
        <v/>
      </c>
      <c r="U193" s="24" t="n"/>
      <c r="V193" s="22" t="n"/>
    </row>
    <row r="194">
      <c r="B194" s="13">
        <f>IF($C194="","",COUNTA($C$9:$C194))</f>
        <v/>
      </c>
      <c r="C194" s="21" t="n"/>
      <c r="D194" s="14" t="n"/>
      <c r="E194" s="14" t="n"/>
      <c r="F194" s="14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3">
        <f>IF($C194="","",N(L194)-N(M194))</f>
        <v/>
      </c>
      <c r="P194" s="24" t="n"/>
      <c r="Q194" s="23">
        <f>IF($C194="","",N(M194)+N(N194))</f>
        <v/>
      </c>
      <c r="R194" s="23">
        <f>IF($C194="","",N(J194)+N(Q194))</f>
        <v/>
      </c>
      <c r="S194" s="25">
        <f>IF(OR($C194="",N($G194)=0),"",R194/$G194)</f>
        <v/>
      </c>
      <c r="T194" s="23">
        <f>IF($C194="","",N($G194)-N(R194))</f>
        <v/>
      </c>
      <c r="U194" s="24" t="n"/>
      <c r="V194" s="22" t="n"/>
    </row>
    <row r="195">
      <c r="B195" s="13">
        <f>IF($C195="","",COUNTA($C$9:$C195))</f>
        <v/>
      </c>
      <c r="C195" s="21" t="n"/>
      <c r="D195" s="14" t="n"/>
      <c r="E195" s="14" t="n"/>
      <c r="F195" s="14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3">
        <f>IF($C195="","",N(L195)-N(M195))</f>
        <v/>
      </c>
      <c r="P195" s="24" t="n"/>
      <c r="Q195" s="23">
        <f>IF($C195="","",N(M195)+N(N195))</f>
        <v/>
      </c>
      <c r="R195" s="23">
        <f>IF($C195="","",N(J195)+N(Q195))</f>
        <v/>
      </c>
      <c r="S195" s="25">
        <f>IF(OR($C195="",N($G195)=0),"",R195/$G195)</f>
        <v/>
      </c>
      <c r="T195" s="23">
        <f>IF($C195="","",N($G195)-N(R195))</f>
        <v/>
      </c>
      <c r="U195" s="24" t="n"/>
      <c r="V195" s="22" t="n"/>
    </row>
    <row r="196">
      <c r="B196" s="13">
        <f>IF($C196="","",COUNTA($C$9:$C196))</f>
        <v/>
      </c>
      <c r="C196" s="21" t="n"/>
      <c r="D196" s="14" t="n"/>
      <c r="E196" s="14" t="n"/>
      <c r="F196" s="14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3">
        <f>IF($C196="","",N(L196)-N(M196))</f>
        <v/>
      </c>
      <c r="P196" s="24" t="n"/>
      <c r="Q196" s="23">
        <f>IF($C196="","",N(M196)+N(N196))</f>
        <v/>
      </c>
      <c r="R196" s="23">
        <f>IF($C196="","",N(J196)+N(Q196))</f>
        <v/>
      </c>
      <c r="S196" s="25">
        <f>IF(OR($C196="",N($G196)=0),"",R196/$G196)</f>
        <v/>
      </c>
      <c r="T196" s="23">
        <f>IF($C196="","",N($G196)-N(R196))</f>
        <v/>
      </c>
      <c r="U196" s="24" t="n"/>
      <c r="V196" s="22" t="n"/>
    </row>
    <row r="197">
      <c r="B197" s="13">
        <f>IF($C197="","",COUNTA($C$9:$C197))</f>
        <v/>
      </c>
      <c r="C197" s="21" t="n"/>
      <c r="D197" s="14" t="n"/>
      <c r="E197" s="14" t="n"/>
      <c r="F197" s="14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3">
        <f>IF($C197="","",N(L197)-N(M197))</f>
        <v/>
      </c>
      <c r="P197" s="24" t="n"/>
      <c r="Q197" s="23">
        <f>IF($C197="","",N(M197)+N(N197))</f>
        <v/>
      </c>
      <c r="R197" s="23">
        <f>IF($C197="","",N(J197)+N(Q197))</f>
        <v/>
      </c>
      <c r="S197" s="25">
        <f>IF(OR($C197="",N($G197)=0),"",R197/$G197)</f>
        <v/>
      </c>
      <c r="T197" s="23">
        <f>IF($C197="","",N($G197)-N(R197))</f>
        <v/>
      </c>
      <c r="U197" s="24" t="n"/>
      <c r="V197" s="22" t="n"/>
    </row>
    <row r="198">
      <c r="B198" s="13">
        <f>IF($C198="","",COUNTA($C$9:$C198))</f>
        <v/>
      </c>
      <c r="C198" s="21" t="n"/>
      <c r="D198" s="14" t="n"/>
      <c r="E198" s="14" t="n"/>
      <c r="F198" s="14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3">
        <f>IF($C198="","",N(L198)-N(M198))</f>
        <v/>
      </c>
      <c r="P198" s="24" t="n"/>
      <c r="Q198" s="23">
        <f>IF($C198="","",N(M198)+N(N198))</f>
        <v/>
      </c>
      <c r="R198" s="23">
        <f>IF($C198="","",N(J198)+N(Q198))</f>
        <v/>
      </c>
      <c r="S198" s="25">
        <f>IF(OR($C198="",N($G198)=0),"",R198/$G198)</f>
        <v/>
      </c>
      <c r="T198" s="23">
        <f>IF($C198="","",N($G198)-N(R198))</f>
        <v/>
      </c>
      <c r="U198" s="24" t="n"/>
      <c r="V198" s="22" t="n"/>
    </row>
    <row r="199">
      <c r="B199" s="13">
        <f>IF($C199="","",COUNTA($C$9:$C199))</f>
        <v/>
      </c>
      <c r="C199" s="21" t="n"/>
      <c r="D199" s="14" t="n"/>
      <c r="E199" s="14" t="n"/>
      <c r="F199" s="14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3">
        <f>IF($C199="","",N(L199)-N(M199))</f>
        <v/>
      </c>
      <c r="P199" s="24" t="n"/>
      <c r="Q199" s="23">
        <f>IF($C199="","",N(M199)+N(N199))</f>
        <v/>
      </c>
      <c r="R199" s="23">
        <f>IF($C199="","",N(J199)+N(Q199))</f>
        <v/>
      </c>
      <c r="S199" s="25">
        <f>IF(OR($C199="",N($G199)=0),"",R199/$G199)</f>
        <v/>
      </c>
      <c r="T199" s="23">
        <f>IF($C199="","",N($G199)-N(R199))</f>
        <v/>
      </c>
      <c r="U199" s="24" t="n"/>
      <c r="V199" s="22" t="n"/>
    </row>
    <row r="200">
      <c r="B200" s="13">
        <f>IF($C200="","",COUNTA($C$9:$C200))</f>
        <v/>
      </c>
      <c r="C200" s="21" t="n"/>
      <c r="D200" s="14" t="n"/>
      <c r="E200" s="14" t="n"/>
      <c r="F200" s="14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3">
        <f>IF($C200="","",N(L200)-N(M200))</f>
        <v/>
      </c>
      <c r="P200" s="24" t="n"/>
      <c r="Q200" s="23">
        <f>IF($C200="","",N(M200)+N(N200))</f>
        <v/>
      </c>
      <c r="R200" s="23">
        <f>IF($C200="","",N(J200)+N(Q200))</f>
        <v/>
      </c>
      <c r="S200" s="25">
        <f>IF(OR($C200="",N($G200)=0),"",R200/$G200)</f>
        <v/>
      </c>
      <c r="T200" s="23">
        <f>IF($C200="","",N($G200)-N(R200))</f>
        <v/>
      </c>
      <c r="U200" s="24" t="n"/>
      <c r="V200" s="22" t="n"/>
    </row>
    <row r="201">
      <c r="B201" s="13">
        <f>IF($C201="","",COUNTA($C$9:$C201))</f>
        <v/>
      </c>
      <c r="C201" s="21" t="n"/>
      <c r="D201" s="14" t="n"/>
      <c r="E201" s="14" t="n"/>
      <c r="F201" s="14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3">
        <f>IF($C201="","",N(L201)-N(M201))</f>
        <v/>
      </c>
      <c r="P201" s="24" t="n"/>
      <c r="Q201" s="23">
        <f>IF($C201="","",N(M201)+N(N201))</f>
        <v/>
      </c>
      <c r="R201" s="23">
        <f>IF($C201="","",N(J201)+N(Q201))</f>
        <v/>
      </c>
      <c r="S201" s="25">
        <f>IF(OR($C201="",N($G201)=0),"",R201/$G201)</f>
        <v/>
      </c>
      <c r="T201" s="23">
        <f>IF($C201="","",N($G201)-N(R201))</f>
        <v/>
      </c>
      <c r="U201" s="24" t="n"/>
      <c r="V201" s="22" t="n"/>
    </row>
    <row r="202">
      <c r="B202" s="13">
        <f>IF($C202="","",COUNTA($C$9:$C202))</f>
        <v/>
      </c>
      <c r="C202" s="21" t="n"/>
      <c r="D202" s="14" t="n"/>
      <c r="E202" s="14" t="n"/>
      <c r="F202" s="14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3">
        <f>IF($C202="","",N(L202)-N(M202))</f>
        <v/>
      </c>
      <c r="P202" s="24" t="n"/>
      <c r="Q202" s="23">
        <f>IF($C202="","",N(M202)+N(N202))</f>
        <v/>
      </c>
      <c r="R202" s="23">
        <f>IF($C202="","",N(J202)+N(Q202))</f>
        <v/>
      </c>
      <c r="S202" s="25">
        <f>IF(OR($C202="",N($G202)=0),"",R202/$G202)</f>
        <v/>
      </c>
      <c r="T202" s="23">
        <f>IF($C202="","",N($G202)-N(R202))</f>
        <v/>
      </c>
      <c r="U202" s="24" t="n"/>
      <c r="V202" s="22" t="n"/>
    </row>
    <row r="203">
      <c r="B203" s="13">
        <f>IF($C203="","",COUNTA($C$9:$C203))</f>
        <v/>
      </c>
      <c r="C203" s="21" t="n"/>
      <c r="D203" s="14" t="n"/>
      <c r="E203" s="14" t="n"/>
      <c r="F203" s="14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3">
        <f>IF($C203="","",N(L203)-N(M203))</f>
        <v/>
      </c>
      <c r="P203" s="24" t="n"/>
      <c r="Q203" s="23">
        <f>IF($C203="","",N(M203)+N(N203))</f>
        <v/>
      </c>
      <c r="R203" s="23">
        <f>IF($C203="","",N(J203)+N(Q203))</f>
        <v/>
      </c>
      <c r="S203" s="25">
        <f>IF(OR($C203="",N($G203)=0),"",R203/$G203)</f>
        <v/>
      </c>
      <c r="T203" s="23">
        <f>IF($C203="","",N($G203)-N(R203))</f>
        <v/>
      </c>
      <c r="U203" s="24" t="n"/>
      <c r="V203" s="22" t="n"/>
    </row>
    <row r="204">
      <c r="B204" s="13">
        <f>IF($C204="","",COUNTA($C$9:$C204))</f>
        <v/>
      </c>
      <c r="C204" s="21" t="n"/>
      <c r="D204" s="14" t="n"/>
      <c r="E204" s="14" t="n"/>
      <c r="F204" s="14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3">
        <f>IF($C204="","",N(L204)-N(M204))</f>
        <v/>
      </c>
      <c r="P204" s="24" t="n"/>
      <c r="Q204" s="23">
        <f>IF($C204="","",N(M204)+N(N204))</f>
        <v/>
      </c>
      <c r="R204" s="23">
        <f>IF($C204="","",N(J204)+N(Q204))</f>
        <v/>
      </c>
      <c r="S204" s="25">
        <f>IF(OR($C204="",N($G204)=0),"",R204/$G204)</f>
        <v/>
      </c>
      <c r="T204" s="23">
        <f>IF($C204="","",N($G204)-N(R204))</f>
        <v/>
      </c>
      <c r="U204" s="24" t="n"/>
      <c r="V204" s="22" t="n"/>
    </row>
    <row r="205">
      <c r="B205" s="13">
        <f>IF($C205="","",COUNTA($C$9:$C205))</f>
        <v/>
      </c>
      <c r="C205" s="21" t="n"/>
      <c r="D205" s="14" t="n"/>
      <c r="E205" s="14" t="n"/>
      <c r="F205" s="14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3">
        <f>IF($C205="","",N(L205)-N(M205))</f>
        <v/>
      </c>
      <c r="P205" s="24" t="n"/>
      <c r="Q205" s="23">
        <f>IF($C205="","",N(M205)+N(N205))</f>
        <v/>
      </c>
      <c r="R205" s="23">
        <f>IF($C205="","",N(J205)+N(Q205))</f>
        <v/>
      </c>
      <c r="S205" s="25">
        <f>IF(OR($C205="",N($G205)=0),"",R205/$G205)</f>
        <v/>
      </c>
      <c r="T205" s="23">
        <f>IF($C205="","",N($G205)-N(R205))</f>
        <v/>
      </c>
      <c r="U205" s="24" t="n"/>
      <c r="V205" s="22" t="n"/>
    </row>
    <row r="206">
      <c r="B206" s="13">
        <f>IF($C206="","",COUNTA($C$9:$C206))</f>
        <v/>
      </c>
      <c r="C206" s="21" t="n"/>
      <c r="D206" s="14" t="n"/>
      <c r="E206" s="14" t="n"/>
      <c r="F206" s="14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3">
        <f>IF($C206="","",N(L206)-N(M206))</f>
        <v/>
      </c>
      <c r="P206" s="24" t="n"/>
      <c r="Q206" s="23">
        <f>IF($C206="","",N(M206)+N(N206))</f>
        <v/>
      </c>
      <c r="R206" s="23">
        <f>IF($C206="","",N(J206)+N(Q206))</f>
        <v/>
      </c>
      <c r="S206" s="25">
        <f>IF(OR($C206="",N($G206)=0),"",R206/$G206)</f>
        <v/>
      </c>
      <c r="T206" s="23">
        <f>IF($C206="","",N($G206)-N(R206))</f>
        <v/>
      </c>
      <c r="U206" s="24" t="n"/>
      <c r="V206" s="22" t="n"/>
    </row>
    <row r="207">
      <c r="B207" s="13">
        <f>IF($C207="","",COUNTA($C$9:$C207))</f>
        <v/>
      </c>
      <c r="C207" s="21" t="n"/>
      <c r="D207" s="14" t="n"/>
      <c r="E207" s="14" t="n"/>
      <c r="F207" s="14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3">
        <f>IF($C207="","",N(L207)-N(M207))</f>
        <v/>
      </c>
      <c r="P207" s="24" t="n"/>
      <c r="Q207" s="23">
        <f>IF($C207="","",N(M207)+N(N207))</f>
        <v/>
      </c>
      <c r="R207" s="23">
        <f>IF($C207="","",N(J207)+N(Q207))</f>
        <v/>
      </c>
      <c r="S207" s="25">
        <f>IF(OR($C207="",N($G207)=0),"",R207/$G207)</f>
        <v/>
      </c>
      <c r="T207" s="23">
        <f>IF($C207="","",N($G207)-N(R207))</f>
        <v/>
      </c>
      <c r="U207" s="24" t="n"/>
      <c r="V207" s="22" t="n"/>
    </row>
    <row r="208">
      <c r="B208" s="13">
        <f>IF($C208="","",COUNTA($C$9:$C208))</f>
        <v/>
      </c>
      <c r="C208" s="21" t="n"/>
      <c r="D208" s="14" t="n"/>
      <c r="E208" s="14" t="n"/>
      <c r="F208" s="14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3">
        <f>IF($C208="","",N(L208)-N(M208))</f>
        <v/>
      </c>
      <c r="P208" s="24" t="n"/>
      <c r="Q208" s="23">
        <f>IF($C208="","",N(M208)+N(N208))</f>
        <v/>
      </c>
      <c r="R208" s="23">
        <f>IF($C208="","",N(J208)+N(Q208))</f>
        <v/>
      </c>
      <c r="S208" s="25">
        <f>IF(OR($C208="",N($G208)=0),"",R208/$G208)</f>
        <v/>
      </c>
      <c r="T208" s="23">
        <f>IF($C208="","",N($G208)-N(R208))</f>
        <v/>
      </c>
      <c r="U208" s="24" t="n"/>
      <c r="V208" s="22" t="n"/>
    </row>
    <row r="209">
      <c r="B209" s="13">
        <f>IF($C209="","",COUNTA($C$9:$C209))</f>
        <v/>
      </c>
      <c r="C209" s="21" t="n"/>
      <c r="D209" s="14" t="n"/>
      <c r="E209" s="14" t="n"/>
      <c r="F209" s="14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3">
        <f>IF($C209="","",N(L209)-N(M209))</f>
        <v/>
      </c>
      <c r="P209" s="24" t="n"/>
      <c r="Q209" s="23">
        <f>IF($C209="","",N(M209)+N(N209))</f>
        <v/>
      </c>
      <c r="R209" s="23">
        <f>IF($C209="","",N(J209)+N(Q209))</f>
        <v/>
      </c>
      <c r="S209" s="25">
        <f>IF(OR($C209="",N($G209)=0),"",R209/$G209)</f>
        <v/>
      </c>
      <c r="T209" s="23">
        <f>IF($C209="","",N($G209)-N(R209))</f>
        <v/>
      </c>
      <c r="U209" s="24" t="n"/>
      <c r="V209" s="22" t="n"/>
    </row>
    <row r="210">
      <c r="B210" s="13">
        <f>IF($C210="","",COUNTA($C$9:$C210))</f>
        <v/>
      </c>
      <c r="C210" s="21" t="n"/>
      <c r="D210" s="14" t="n"/>
      <c r="E210" s="14" t="n"/>
      <c r="F210" s="14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3">
        <f>IF($C210="","",N(L210)-N(M210))</f>
        <v/>
      </c>
      <c r="P210" s="24" t="n"/>
      <c r="Q210" s="23">
        <f>IF($C210="","",N(M210)+N(N210))</f>
        <v/>
      </c>
      <c r="R210" s="23">
        <f>IF($C210="","",N(J210)+N(Q210))</f>
        <v/>
      </c>
      <c r="S210" s="25">
        <f>IF(OR($C210="",N($G210)=0),"",R210/$G210)</f>
        <v/>
      </c>
      <c r="T210" s="23">
        <f>IF($C210="","",N($G210)-N(R210))</f>
        <v/>
      </c>
      <c r="U210" s="24" t="n"/>
      <c r="V210" s="22" t="n"/>
    </row>
    <row r="211">
      <c r="B211" s="13">
        <f>IF($C211="","",COUNTA($C$9:$C211))</f>
        <v/>
      </c>
      <c r="C211" s="21" t="n"/>
      <c r="D211" s="14" t="n"/>
      <c r="E211" s="14" t="n"/>
      <c r="F211" s="14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3">
        <f>IF($C211="","",N(L211)-N(M211))</f>
        <v/>
      </c>
      <c r="P211" s="24" t="n"/>
      <c r="Q211" s="23">
        <f>IF($C211="","",N(M211)+N(N211))</f>
        <v/>
      </c>
      <c r="R211" s="23">
        <f>IF($C211="","",N(J211)+N(Q211))</f>
        <v/>
      </c>
      <c r="S211" s="25">
        <f>IF(OR($C211="",N($G211)=0),"",R211/$G211)</f>
        <v/>
      </c>
      <c r="T211" s="23">
        <f>IF($C211="","",N($G211)-N(R211))</f>
        <v/>
      </c>
      <c r="U211" s="24" t="n"/>
      <c r="V211" s="22" t="n"/>
    </row>
    <row r="212">
      <c r="B212" s="13">
        <f>IF($C212="","",COUNTA($C$9:$C212))</f>
        <v/>
      </c>
      <c r="C212" s="21" t="n"/>
      <c r="D212" s="14" t="n"/>
      <c r="E212" s="14" t="n"/>
      <c r="F212" s="14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3">
        <f>IF($C212="","",N(L212)-N(M212))</f>
        <v/>
      </c>
      <c r="P212" s="24" t="n"/>
      <c r="Q212" s="23">
        <f>IF($C212="","",N(M212)+N(N212))</f>
        <v/>
      </c>
      <c r="R212" s="23">
        <f>IF($C212="","",N(J212)+N(Q212))</f>
        <v/>
      </c>
      <c r="S212" s="25">
        <f>IF(OR($C212="",N($G212)=0),"",R212/$G212)</f>
        <v/>
      </c>
      <c r="T212" s="23">
        <f>IF($C212="","",N($G212)-N(R212))</f>
        <v/>
      </c>
      <c r="U212" s="24" t="n"/>
      <c r="V212" s="22" t="n"/>
    </row>
    <row r="213">
      <c r="B213" s="13">
        <f>IF($C213="","",COUNTA($C$9:$C213))</f>
        <v/>
      </c>
      <c r="C213" s="21" t="n"/>
      <c r="D213" s="14" t="n"/>
      <c r="E213" s="14" t="n"/>
      <c r="F213" s="14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3">
        <f>IF($C213="","",N(L213)-N(M213))</f>
        <v/>
      </c>
      <c r="P213" s="24" t="n"/>
      <c r="Q213" s="23">
        <f>IF($C213="","",N(M213)+N(N213))</f>
        <v/>
      </c>
      <c r="R213" s="23">
        <f>IF($C213="","",N(J213)+N(Q213))</f>
        <v/>
      </c>
      <c r="S213" s="25">
        <f>IF(OR($C213="",N($G213)=0),"",R213/$G213)</f>
        <v/>
      </c>
      <c r="T213" s="23">
        <f>IF($C213="","",N($G213)-N(R213))</f>
        <v/>
      </c>
      <c r="U213" s="24" t="n"/>
      <c r="V213" s="22" t="n"/>
    </row>
    <row r="214">
      <c r="B214" s="13">
        <f>IF($C214="","",COUNTA($C$9:$C214))</f>
        <v/>
      </c>
      <c r="C214" s="21" t="n"/>
      <c r="D214" s="14" t="n"/>
      <c r="E214" s="14" t="n"/>
      <c r="F214" s="14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3">
        <f>IF($C214="","",N(L214)-N(M214))</f>
        <v/>
      </c>
      <c r="P214" s="24" t="n"/>
      <c r="Q214" s="23">
        <f>IF($C214="","",N(M214)+N(N214))</f>
        <v/>
      </c>
      <c r="R214" s="23">
        <f>IF($C214="","",N(J214)+N(Q214))</f>
        <v/>
      </c>
      <c r="S214" s="25">
        <f>IF(OR($C214="",N($G214)=0),"",R214/$G214)</f>
        <v/>
      </c>
      <c r="T214" s="23">
        <f>IF($C214="","",N($G214)-N(R214))</f>
        <v/>
      </c>
      <c r="U214" s="24" t="n"/>
      <c r="V214" s="22" t="n"/>
    </row>
    <row r="215">
      <c r="B215" s="13">
        <f>IF($C215="","",COUNTA($C$9:$C215))</f>
        <v/>
      </c>
      <c r="C215" s="21" t="n"/>
      <c r="D215" s="14" t="n"/>
      <c r="E215" s="14" t="n"/>
      <c r="F215" s="14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3">
        <f>IF($C215="","",N(L215)-N(M215))</f>
        <v/>
      </c>
      <c r="P215" s="24" t="n"/>
      <c r="Q215" s="23">
        <f>IF($C215="","",N(M215)+N(N215))</f>
        <v/>
      </c>
      <c r="R215" s="23">
        <f>IF($C215="","",N(J215)+N(Q215))</f>
        <v/>
      </c>
      <c r="S215" s="25">
        <f>IF(OR($C215="",N($G215)=0),"",R215/$G215)</f>
        <v/>
      </c>
      <c r="T215" s="23">
        <f>IF($C215="","",N($G215)-N(R215))</f>
        <v/>
      </c>
      <c r="U215" s="24" t="n"/>
      <c r="V215" s="22" t="n"/>
    </row>
    <row r="216">
      <c r="B216" s="13">
        <f>IF($C216="","",COUNTA($C$9:$C216))</f>
        <v/>
      </c>
      <c r="C216" s="21" t="n"/>
      <c r="D216" s="14" t="n"/>
      <c r="E216" s="14" t="n"/>
      <c r="F216" s="14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3">
        <f>IF($C216="","",N(L216)-N(M216))</f>
        <v/>
      </c>
      <c r="P216" s="24" t="n"/>
      <c r="Q216" s="23">
        <f>IF($C216="","",N(M216)+N(N216))</f>
        <v/>
      </c>
      <c r="R216" s="23">
        <f>IF($C216="","",N(J216)+N(Q216))</f>
        <v/>
      </c>
      <c r="S216" s="25">
        <f>IF(OR($C216="",N($G216)=0),"",R216/$G216)</f>
        <v/>
      </c>
      <c r="T216" s="23">
        <f>IF($C216="","",N($G216)-N(R216))</f>
        <v/>
      </c>
      <c r="U216" s="24" t="n"/>
      <c r="V216" s="22" t="n"/>
    </row>
    <row r="217">
      <c r="B217" s="13">
        <f>IF($C217="","",COUNTA($C$9:$C217))</f>
        <v/>
      </c>
      <c r="C217" s="21" t="n"/>
      <c r="D217" s="14" t="n"/>
      <c r="E217" s="14" t="n"/>
      <c r="F217" s="14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3">
        <f>IF($C217="","",N(L217)-N(M217))</f>
        <v/>
      </c>
      <c r="P217" s="24" t="n"/>
      <c r="Q217" s="23">
        <f>IF($C217="","",N(M217)+N(N217))</f>
        <v/>
      </c>
      <c r="R217" s="23">
        <f>IF($C217="","",N(J217)+N(Q217))</f>
        <v/>
      </c>
      <c r="S217" s="25">
        <f>IF(OR($C217="",N($G217)=0),"",R217/$G217)</f>
        <v/>
      </c>
      <c r="T217" s="23">
        <f>IF($C217="","",N($G217)-N(R217))</f>
        <v/>
      </c>
      <c r="U217" s="24" t="n"/>
      <c r="V217" s="22" t="n"/>
    </row>
    <row r="218">
      <c r="B218" s="13">
        <f>IF($C218="","",COUNTA($C$9:$C218))</f>
        <v/>
      </c>
      <c r="C218" s="21" t="n"/>
      <c r="D218" s="14" t="n"/>
      <c r="E218" s="14" t="n"/>
      <c r="F218" s="14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3">
        <f>IF($C218="","",N(L218)-N(M218))</f>
        <v/>
      </c>
      <c r="P218" s="24" t="n"/>
      <c r="Q218" s="23">
        <f>IF($C218="","",N(M218)+N(N218))</f>
        <v/>
      </c>
      <c r="R218" s="23">
        <f>IF($C218="","",N(J218)+N(Q218))</f>
        <v/>
      </c>
      <c r="S218" s="25">
        <f>IF(OR($C218="",N($G218)=0),"",R218/$G218)</f>
        <v/>
      </c>
      <c r="T218" s="23">
        <f>IF($C218="","",N($G218)-N(R218))</f>
        <v/>
      </c>
      <c r="U218" s="24" t="n"/>
      <c r="V218" s="22" t="n"/>
    </row>
    <row r="219">
      <c r="B219" s="13">
        <f>IF($C219="","",COUNTA($C$9:$C219))</f>
        <v/>
      </c>
      <c r="C219" s="21" t="n"/>
      <c r="D219" s="14" t="n"/>
      <c r="E219" s="14" t="n"/>
      <c r="F219" s="14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3">
        <f>IF($C219="","",N(L219)-N(M219))</f>
        <v/>
      </c>
      <c r="P219" s="24" t="n"/>
      <c r="Q219" s="23">
        <f>IF($C219="","",N(M219)+N(N219))</f>
        <v/>
      </c>
      <c r="R219" s="23">
        <f>IF($C219="","",N(J219)+N(Q219))</f>
        <v/>
      </c>
      <c r="S219" s="25">
        <f>IF(OR($C219="",N($G219)=0),"",R219/$G219)</f>
        <v/>
      </c>
      <c r="T219" s="23">
        <f>IF($C219="","",N($G219)-N(R219))</f>
        <v/>
      </c>
      <c r="U219" s="24" t="n"/>
      <c r="V219" s="22" t="n"/>
    </row>
    <row r="220">
      <c r="B220" s="13">
        <f>IF($C220="","",COUNTA($C$9:$C220))</f>
        <v/>
      </c>
      <c r="C220" s="21" t="n"/>
      <c r="D220" s="14" t="n"/>
      <c r="E220" s="14" t="n"/>
      <c r="F220" s="14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3">
        <f>IF($C220="","",N(L220)-N(M220))</f>
        <v/>
      </c>
      <c r="P220" s="24" t="n"/>
      <c r="Q220" s="23">
        <f>IF($C220="","",N(M220)+N(N220))</f>
        <v/>
      </c>
      <c r="R220" s="23">
        <f>IF($C220="","",N(J220)+N(Q220))</f>
        <v/>
      </c>
      <c r="S220" s="25">
        <f>IF(OR($C220="",N($G220)=0),"",R220/$G220)</f>
        <v/>
      </c>
      <c r="T220" s="23">
        <f>IF($C220="","",N($G220)-N(R220))</f>
        <v/>
      </c>
      <c r="U220" s="24" t="n"/>
      <c r="V220" s="22" t="n"/>
    </row>
    <row r="221">
      <c r="B221" s="13">
        <f>IF($C221="","",COUNTA($C$9:$C221))</f>
        <v/>
      </c>
      <c r="C221" s="21" t="n"/>
      <c r="D221" s="14" t="n"/>
      <c r="E221" s="14" t="n"/>
      <c r="F221" s="14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3">
        <f>IF($C221="","",N(L221)-N(M221))</f>
        <v/>
      </c>
      <c r="P221" s="24" t="n"/>
      <c r="Q221" s="23">
        <f>IF($C221="","",N(M221)+N(N221))</f>
        <v/>
      </c>
      <c r="R221" s="23">
        <f>IF($C221="","",N(J221)+N(Q221))</f>
        <v/>
      </c>
      <c r="S221" s="25">
        <f>IF(OR($C221="",N($G221)=0),"",R221/$G221)</f>
        <v/>
      </c>
      <c r="T221" s="23">
        <f>IF($C221="","",N($G221)-N(R221))</f>
        <v/>
      </c>
      <c r="U221" s="24" t="n"/>
      <c r="V221" s="22" t="n"/>
    </row>
    <row r="222">
      <c r="B222" s="13">
        <f>IF($C222="","",COUNTA($C$9:$C222))</f>
        <v/>
      </c>
      <c r="C222" s="21" t="n"/>
      <c r="D222" s="14" t="n"/>
      <c r="E222" s="14" t="n"/>
      <c r="F222" s="14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3">
        <f>IF($C222="","",N(L222)-N(M222))</f>
        <v/>
      </c>
      <c r="P222" s="24" t="n"/>
      <c r="Q222" s="23">
        <f>IF($C222="","",N(M222)+N(N222))</f>
        <v/>
      </c>
      <c r="R222" s="23">
        <f>IF($C222="","",N(J222)+N(Q222))</f>
        <v/>
      </c>
      <c r="S222" s="25">
        <f>IF(OR($C222="",N($G222)=0),"",R222/$G222)</f>
        <v/>
      </c>
      <c r="T222" s="23">
        <f>IF($C222="","",N($G222)-N(R222))</f>
        <v/>
      </c>
      <c r="U222" s="24" t="n"/>
      <c r="V222" s="22" t="n"/>
    </row>
    <row r="223">
      <c r="B223" s="13">
        <f>IF($C223="","",COUNTA($C$9:$C223))</f>
        <v/>
      </c>
      <c r="C223" s="21" t="n"/>
      <c r="D223" s="14" t="n"/>
      <c r="E223" s="14" t="n"/>
      <c r="F223" s="14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3">
        <f>IF($C223="","",N(L223)-N(M223))</f>
        <v/>
      </c>
      <c r="P223" s="24" t="n"/>
      <c r="Q223" s="23">
        <f>IF($C223="","",N(M223)+N(N223))</f>
        <v/>
      </c>
      <c r="R223" s="23">
        <f>IF($C223="","",N(J223)+N(Q223))</f>
        <v/>
      </c>
      <c r="S223" s="25">
        <f>IF(OR($C223="",N($G223)=0),"",R223/$G223)</f>
        <v/>
      </c>
      <c r="T223" s="23">
        <f>IF($C223="","",N($G223)-N(R223))</f>
        <v/>
      </c>
      <c r="U223" s="24" t="n"/>
      <c r="V223" s="22" t="n"/>
    </row>
    <row r="224">
      <c r="B224" s="13">
        <f>IF($C224="","",COUNTA($C$9:$C224))</f>
        <v/>
      </c>
      <c r="C224" s="21" t="n"/>
      <c r="D224" s="14" t="n"/>
      <c r="E224" s="14" t="n"/>
      <c r="F224" s="14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3">
        <f>IF($C224="","",N(L224)-N(M224))</f>
        <v/>
      </c>
      <c r="P224" s="24" t="n"/>
      <c r="Q224" s="23">
        <f>IF($C224="","",N(M224)+N(N224))</f>
        <v/>
      </c>
      <c r="R224" s="23">
        <f>IF($C224="","",N(J224)+N(Q224))</f>
        <v/>
      </c>
      <c r="S224" s="25">
        <f>IF(OR($C224="",N($G224)=0),"",R224/$G224)</f>
        <v/>
      </c>
      <c r="T224" s="23">
        <f>IF($C224="","",N($G224)-N(R224))</f>
        <v/>
      </c>
      <c r="U224" s="24" t="n"/>
      <c r="V224" s="22" t="n"/>
    </row>
    <row r="225">
      <c r="B225" s="13">
        <f>IF($C225="","",COUNTA($C$9:$C225))</f>
        <v/>
      </c>
      <c r="C225" s="21" t="n"/>
      <c r="D225" s="14" t="n"/>
      <c r="E225" s="14" t="n"/>
      <c r="F225" s="14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3">
        <f>IF($C225="","",N(L225)-N(M225))</f>
        <v/>
      </c>
      <c r="P225" s="24" t="n"/>
      <c r="Q225" s="23">
        <f>IF($C225="","",N(M225)+N(N225))</f>
        <v/>
      </c>
      <c r="R225" s="23">
        <f>IF($C225="","",N(J225)+N(Q225))</f>
        <v/>
      </c>
      <c r="S225" s="25">
        <f>IF(OR($C225="",N($G225)=0),"",R225/$G225)</f>
        <v/>
      </c>
      <c r="T225" s="23">
        <f>IF($C225="","",N($G225)-N(R225))</f>
        <v/>
      </c>
      <c r="U225" s="24" t="n"/>
      <c r="V225" s="22" t="n"/>
    </row>
    <row r="226">
      <c r="B226" s="13">
        <f>IF($C226="","",COUNTA($C$9:$C226))</f>
        <v/>
      </c>
      <c r="C226" s="21" t="n"/>
      <c r="D226" s="14" t="n"/>
      <c r="E226" s="14" t="n"/>
      <c r="F226" s="14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3">
        <f>IF($C226="","",N(L226)-N(M226))</f>
        <v/>
      </c>
      <c r="P226" s="24" t="n"/>
      <c r="Q226" s="23">
        <f>IF($C226="","",N(M226)+N(N226))</f>
        <v/>
      </c>
      <c r="R226" s="23">
        <f>IF($C226="","",N(J226)+N(Q226))</f>
        <v/>
      </c>
      <c r="S226" s="25">
        <f>IF(OR($C226="",N($G226)=0),"",R226/$G226)</f>
        <v/>
      </c>
      <c r="T226" s="23">
        <f>IF($C226="","",N($G226)-N(R226))</f>
        <v/>
      </c>
      <c r="U226" s="24" t="n"/>
      <c r="V226" s="22" t="n"/>
    </row>
    <row r="227">
      <c r="B227" s="13">
        <f>IF($C227="","",COUNTA($C$9:$C227))</f>
        <v/>
      </c>
      <c r="C227" s="21" t="n"/>
      <c r="D227" s="14" t="n"/>
      <c r="E227" s="14" t="n"/>
      <c r="F227" s="14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3">
        <f>IF($C227="","",N(L227)-N(M227))</f>
        <v/>
      </c>
      <c r="P227" s="24" t="n"/>
      <c r="Q227" s="23">
        <f>IF($C227="","",N(M227)+N(N227))</f>
        <v/>
      </c>
      <c r="R227" s="23">
        <f>IF($C227="","",N(J227)+N(Q227))</f>
        <v/>
      </c>
      <c r="S227" s="25">
        <f>IF(OR($C227="",N($G227)=0),"",R227/$G227)</f>
        <v/>
      </c>
      <c r="T227" s="23">
        <f>IF($C227="","",N($G227)-N(R227))</f>
        <v/>
      </c>
      <c r="U227" s="24" t="n"/>
      <c r="V227" s="22" t="n"/>
    </row>
    <row r="228">
      <c r="B228" s="13">
        <f>IF($C228="","",COUNTA($C$9:$C228))</f>
        <v/>
      </c>
      <c r="C228" s="21" t="n"/>
      <c r="D228" s="14" t="n"/>
      <c r="E228" s="14" t="n"/>
      <c r="F228" s="14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3">
        <f>IF($C228="","",N(L228)-N(M228))</f>
        <v/>
      </c>
      <c r="P228" s="24" t="n"/>
      <c r="Q228" s="23">
        <f>IF($C228="","",N(M228)+N(N228))</f>
        <v/>
      </c>
      <c r="R228" s="23">
        <f>IF($C228="","",N(J228)+N(Q228))</f>
        <v/>
      </c>
      <c r="S228" s="25">
        <f>IF(OR($C228="",N($G228)=0),"",R228/$G228)</f>
        <v/>
      </c>
      <c r="T228" s="23">
        <f>IF($C228="","",N($G228)-N(R228))</f>
        <v/>
      </c>
      <c r="U228" s="24" t="n"/>
      <c r="V228" s="22" t="n"/>
    </row>
    <row r="229">
      <c r="B229" s="13">
        <f>IF($C229="","",COUNTA($C$9:$C229))</f>
        <v/>
      </c>
      <c r="C229" s="21" t="n"/>
      <c r="D229" s="14" t="n"/>
      <c r="E229" s="14" t="n"/>
      <c r="F229" s="14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3">
        <f>IF($C229="","",N(L229)-N(M229))</f>
        <v/>
      </c>
      <c r="P229" s="24" t="n"/>
      <c r="Q229" s="23">
        <f>IF($C229="","",N(M229)+N(N229))</f>
        <v/>
      </c>
      <c r="R229" s="23">
        <f>IF($C229="","",N(J229)+N(Q229))</f>
        <v/>
      </c>
      <c r="S229" s="25">
        <f>IF(OR($C229="",N($G229)=0),"",R229/$G229)</f>
        <v/>
      </c>
      <c r="T229" s="23">
        <f>IF($C229="","",N($G229)-N(R229))</f>
        <v/>
      </c>
      <c r="U229" s="24" t="n"/>
      <c r="V229" s="22" t="n"/>
    </row>
    <row r="230">
      <c r="B230" s="13">
        <f>IF($C230="","",COUNTA($C$9:$C230))</f>
        <v/>
      </c>
      <c r="C230" s="21" t="n"/>
      <c r="D230" s="14" t="n"/>
      <c r="E230" s="14" t="n"/>
      <c r="F230" s="14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3">
        <f>IF($C230="","",N(L230)-N(M230))</f>
        <v/>
      </c>
      <c r="P230" s="24" t="n"/>
      <c r="Q230" s="23">
        <f>IF($C230="","",N(M230)+N(N230))</f>
        <v/>
      </c>
      <c r="R230" s="23">
        <f>IF($C230="","",N(J230)+N(Q230))</f>
        <v/>
      </c>
      <c r="S230" s="25">
        <f>IF(OR($C230="",N($G230)=0),"",R230/$G230)</f>
        <v/>
      </c>
      <c r="T230" s="23">
        <f>IF($C230="","",N($G230)-N(R230))</f>
        <v/>
      </c>
      <c r="U230" s="24" t="n"/>
      <c r="V230" s="22" t="n"/>
    </row>
    <row r="231">
      <c r="B231" s="13">
        <f>IF($C231="","",COUNTA($C$9:$C231))</f>
        <v/>
      </c>
      <c r="C231" s="21" t="n"/>
      <c r="D231" s="14" t="n"/>
      <c r="E231" s="14" t="n"/>
      <c r="F231" s="14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3">
        <f>IF($C231="","",N(L231)-N(M231))</f>
        <v/>
      </c>
      <c r="P231" s="24" t="n"/>
      <c r="Q231" s="23">
        <f>IF($C231="","",N(M231)+N(N231))</f>
        <v/>
      </c>
      <c r="R231" s="23">
        <f>IF($C231="","",N(J231)+N(Q231))</f>
        <v/>
      </c>
      <c r="S231" s="25">
        <f>IF(OR($C231="",N($G231)=0),"",R231/$G231)</f>
        <v/>
      </c>
      <c r="T231" s="23">
        <f>IF($C231="","",N($G231)-N(R231))</f>
        <v/>
      </c>
      <c r="U231" s="24" t="n"/>
      <c r="V231" s="22" t="n"/>
    </row>
    <row r="232">
      <c r="B232" s="13">
        <f>IF($C232="","",COUNTA($C$9:$C232))</f>
        <v/>
      </c>
      <c r="C232" s="21" t="n"/>
      <c r="D232" s="14" t="n"/>
      <c r="E232" s="14" t="n"/>
      <c r="F232" s="14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3">
        <f>IF($C232="","",N(L232)-N(M232))</f>
        <v/>
      </c>
      <c r="P232" s="24" t="n"/>
      <c r="Q232" s="23">
        <f>IF($C232="","",N(M232)+N(N232))</f>
        <v/>
      </c>
      <c r="R232" s="23">
        <f>IF($C232="","",N(J232)+N(Q232))</f>
        <v/>
      </c>
      <c r="S232" s="25">
        <f>IF(OR($C232="",N($G232)=0),"",R232/$G232)</f>
        <v/>
      </c>
      <c r="T232" s="23">
        <f>IF($C232="","",N($G232)-N(R232))</f>
        <v/>
      </c>
      <c r="U232" s="24" t="n"/>
      <c r="V232" s="22" t="n"/>
    </row>
    <row r="233">
      <c r="B233" s="13">
        <f>IF($C233="","",COUNTA($C$9:$C233))</f>
        <v/>
      </c>
      <c r="C233" s="21" t="n"/>
      <c r="D233" s="14" t="n"/>
      <c r="E233" s="14" t="n"/>
      <c r="F233" s="14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3">
        <f>IF($C233="","",N(L233)-N(M233))</f>
        <v/>
      </c>
      <c r="P233" s="24" t="n"/>
      <c r="Q233" s="23">
        <f>IF($C233="","",N(M233)+N(N233))</f>
        <v/>
      </c>
      <c r="R233" s="23">
        <f>IF($C233="","",N(J233)+N(Q233))</f>
        <v/>
      </c>
      <c r="S233" s="25">
        <f>IF(OR($C233="",N($G233)=0),"",R233/$G233)</f>
        <v/>
      </c>
      <c r="T233" s="23">
        <f>IF($C233="","",N($G233)-N(R233))</f>
        <v/>
      </c>
      <c r="U233" s="24" t="n"/>
      <c r="V233" s="22" t="n"/>
    </row>
    <row r="234">
      <c r="B234" s="13">
        <f>IF($C234="","",COUNTA($C$9:$C234))</f>
        <v/>
      </c>
      <c r="C234" s="21" t="n"/>
      <c r="D234" s="14" t="n"/>
      <c r="E234" s="14" t="n"/>
      <c r="F234" s="14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3">
        <f>IF($C234="","",N(L234)-N(M234))</f>
        <v/>
      </c>
      <c r="P234" s="24" t="n"/>
      <c r="Q234" s="23">
        <f>IF($C234="","",N(M234)+N(N234))</f>
        <v/>
      </c>
      <c r="R234" s="23">
        <f>IF($C234="","",N(J234)+N(Q234))</f>
        <v/>
      </c>
      <c r="S234" s="25">
        <f>IF(OR($C234="",N($G234)=0),"",R234/$G234)</f>
        <v/>
      </c>
      <c r="T234" s="23">
        <f>IF($C234="","",N($G234)-N(R234))</f>
        <v/>
      </c>
      <c r="U234" s="24" t="n"/>
      <c r="V234" s="22" t="n"/>
    </row>
    <row r="235">
      <c r="B235" s="13">
        <f>IF($C235="","",COUNTA($C$9:$C235))</f>
        <v/>
      </c>
      <c r="C235" s="21" t="n"/>
      <c r="D235" s="14" t="n"/>
      <c r="E235" s="14" t="n"/>
      <c r="F235" s="14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3">
        <f>IF($C235="","",N(L235)-N(M235))</f>
        <v/>
      </c>
      <c r="P235" s="24" t="n"/>
      <c r="Q235" s="23">
        <f>IF($C235="","",N(M235)+N(N235))</f>
        <v/>
      </c>
      <c r="R235" s="23">
        <f>IF($C235="","",N(J235)+N(Q235))</f>
        <v/>
      </c>
      <c r="S235" s="25">
        <f>IF(OR($C235="",N($G235)=0),"",R235/$G235)</f>
        <v/>
      </c>
      <c r="T235" s="23">
        <f>IF($C235="","",N($G235)-N(R235))</f>
        <v/>
      </c>
      <c r="U235" s="24" t="n"/>
      <c r="V235" s="22" t="n"/>
    </row>
    <row r="236">
      <c r="B236" s="13">
        <f>IF($C236="","",COUNTA($C$9:$C236))</f>
        <v/>
      </c>
      <c r="C236" s="21" t="n"/>
      <c r="D236" s="14" t="n"/>
      <c r="E236" s="14" t="n"/>
      <c r="F236" s="14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3">
        <f>IF($C236="","",N(L236)-N(M236))</f>
        <v/>
      </c>
      <c r="P236" s="24" t="n"/>
      <c r="Q236" s="23">
        <f>IF($C236="","",N(M236)+N(N236))</f>
        <v/>
      </c>
      <c r="R236" s="23">
        <f>IF($C236="","",N(J236)+N(Q236))</f>
        <v/>
      </c>
      <c r="S236" s="25">
        <f>IF(OR($C236="",N($G236)=0),"",R236/$G236)</f>
        <v/>
      </c>
      <c r="T236" s="23">
        <f>IF($C236="","",N($G236)-N(R236))</f>
        <v/>
      </c>
      <c r="U236" s="24" t="n"/>
      <c r="V236" s="22" t="n"/>
    </row>
    <row r="237">
      <c r="B237" s="13">
        <f>IF($C237="","",COUNTA($C$9:$C237))</f>
        <v/>
      </c>
      <c r="C237" s="21" t="n"/>
      <c r="D237" s="14" t="n"/>
      <c r="E237" s="14" t="n"/>
      <c r="F237" s="14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3">
        <f>IF($C237="","",N(L237)-N(M237))</f>
        <v/>
      </c>
      <c r="P237" s="24" t="n"/>
      <c r="Q237" s="23">
        <f>IF($C237="","",N(M237)+N(N237))</f>
        <v/>
      </c>
      <c r="R237" s="23">
        <f>IF($C237="","",N(J237)+N(Q237))</f>
        <v/>
      </c>
      <c r="S237" s="25">
        <f>IF(OR($C237="",N($G237)=0),"",R237/$G237)</f>
        <v/>
      </c>
      <c r="T237" s="23">
        <f>IF($C237="","",N($G237)-N(R237))</f>
        <v/>
      </c>
      <c r="U237" s="24" t="n"/>
      <c r="V237" s="22" t="n"/>
    </row>
    <row r="238">
      <c r="B238" s="13">
        <f>IF($C238="","",COUNTA($C$9:$C238))</f>
        <v/>
      </c>
      <c r="C238" s="21" t="n"/>
      <c r="D238" s="14" t="n"/>
      <c r="E238" s="14" t="n"/>
      <c r="F238" s="14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3">
        <f>IF($C238="","",N(L238)-N(M238))</f>
        <v/>
      </c>
      <c r="P238" s="24" t="n"/>
      <c r="Q238" s="23">
        <f>IF($C238="","",N(M238)+N(N238))</f>
        <v/>
      </c>
      <c r="R238" s="23">
        <f>IF($C238="","",N(J238)+N(Q238))</f>
        <v/>
      </c>
      <c r="S238" s="25">
        <f>IF(OR($C238="",N($G238)=0),"",R238/$G238)</f>
        <v/>
      </c>
      <c r="T238" s="23">
        <f>IF($C238="","",N($G238)-N(R238))</f>
        <v/>
      </c>
      <c r="U238" s="24" t="n"/>
      <c r="V238" s="22" t="n"/>
    </row>
    <row r="239">
      <c r="B239" s="13">
        <f>IF($C239="","",COUNTA($C$9:$C239))</f>
        <v/>
      </c>
      <c r="C239" s="21" t="n"/>
      <c r="D239" s="14" t="n"/>
      <c r="E239" s="14" t="n"/>
      <c r="F239" s="14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3">
        <f>IF($C239="","",N(L239)-N(M239))</f>
        <v/>
      </c>
      <c r="P239" s="24" t="n"/>
      <c r="Q239" s="23">
        <f>IF($C239="","",N(M239)+N(N239))</f>
        <v/>
      </c>
      <c r="R239" s="23">
        <f>IF($C239="","",N(J239)+N(Q239))</f>
        <v/>
      </c>
      <c r="S239" s="25">
        <f>IF(OR($C239="",N($G239)=0),"",R239/$G239)</f>
        <v/>
      </c>
      <c r="T239" s="23">
        <f>IF($C239="","",N($G239)-N(R239))</f>
        <v/>
      </c>
      <c r="U239" s="24" t="n"/>
      <c r="V239" s="22" t="n"/>
    </row>
    <row r="240">
      <c r="B240" s="13">
        <f>IF($C240="","",COUNTA($C$9:$C240))</f>
        <v/>
      </c>
      <c r="C240" s="21" t="n"/>
      <c r="D240" s="14" t="n"/>
      <c r="E240" s="14" t="n"/>
      <c r="F240" s="14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3">
        <f>IF($C240="","",N(L240)-N(M240))</f>
        <v/>
      </c>
      <c r="P240" s="24" t="n"/>
      <c r="Q240" s="23">
        <f>IF($C240="","",N(M240)+N(N240))</f>
        <v/>
      </c>
      <c r="R240" s="23">
        <f>IF($C240="","",N(J240)+N(Q240))</f>
        <v/>
      </c>
      <c r="S240" s="25">
        <f>IF(OR($C240="",N($G240)=0),"",R240/$G240)</f>
        <v/>
      </c>
      <c r="T240" s="23">
        <f>IF($C240="","",N($G240)-N(R240))</f>
        <v/>
      </c>
      <c r="U240" s="24" t="n"/>
      <c r="V240" s="22" t="n"/>
    </row>
    <row r="241">
      <c r="B241" s="13">
        <f>IF($C241="","",COUNTA($C$9:$C241))</f>
        <v/>
      </c>
      <c r="C241" s="21" t="n"/>
      <c r="D241" s="14" t="n"/>
      <c r="E241" s="14" t="n"/>
      <c r="F241" s="14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3">
        <f>IF($C241="","",N(L241)-N(M241))</f>
        <v/>
      </c>
      <c r="P241" s="24" t="n"/>
      <c r="Q241" s="23">
        <f>IF($C241="","",N(M241)+N(N241))</f>
        <v/>
      </c>
      <c r="R241" s="23">
        <f>IF($C241="","",N(J241)+N(Q241))</f>
        <v/>
      </c>
      <c r="S241" s="25">
        <f>IF(OR($C241="",N($G241)=0),"",R241/$G241)</f>
        <v/>
      </c>
      <c r="T241" s="23">
        <f>IF($C241="","",N($G241)-N(R241))</f>
        <v/>
      </c>
      <c r="U241" s="24" t="n"/>
      <c r="V241" s="22" t="n"/>
    </row>
    <row r="242">
      <c r="B242" s="13">
        <f>IF($C242="","",COUNTA($C$9:$C242))</f>
        <v/>
      </c>
      <c r="C242" s="21" t="n"/>
      <c r="D242" s="14" t="n"/>
      <c r="E242" s="14" t="n"/>
      <c r="F242" s="14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3">
        <f>IF($C242="","",N(L242)-N(M242))</f>
        <v/>
      </c>
      <c r="P242" s="24" t="n"/>
      <c r="Q242" s="23">
        <f>IF($C242="","",N(M242)+N(N242))</f>
        <v/>
      </c>
      <c r="R242" s="23">
        <f>IF($C242="","",N(J242)+N(Q242))</f>
        <v/>
      </c>
      <c r="S242" s="25">
        <f>IF(OR($C242="",N($G242)=0),"",R242/$G242)</f>
        <v/>
      </c>
      <c r="T242" s="23">
        <f>IF($C242="","",N($G242)-N(R242))</f>
        <v/>
      </c>
      <c r="U242" s="24" t="n"/>
      <c r="V242" s="22" t="n"/>
    </row>
    <row r="243">
      <c r="B243" s="13">
        <f>IF($C243="","",COUNTA($C$9:$C243))</f>
        <v/>
      </c>
      <c r="C243" s="21" t="n"/>
      <c r="D243" s="14" t="n"/>
      <c r="E243" s="14" t="n"/>
      <c r="F243" s="14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3">
        <f>IF($C243="","",N(L243)-N(M243))</f>
        <v/>
      </c>
      <c r="P243" s="24" t="n"/>
      <c r="Q243" s="23">
        <f>IF($C243="","",N(M243)+N(N243))</f>
        <v/>
      </c>
      <c r="R243" s="23">
        <f>IF($C243="","",N(J243)+N(Q243))</f>
        <v/>
      </c>
      <c r="S243" s="25">
        <f>IF(OR($C243="",N($G243)=0),"",R243/$G243)</f>
        <v/>
      </c>
      <c r="T243" s="23">
        <f>IF($C243="","",N($G243)-N(R243))</f>
        <v/>
      </c>
      <c r="U243" s="24" t="n"/>
      <c r="V243" s="22" t="n"/>
    </row>
    <row r="244">
      <c r="B244" s="13">
        <f>IF($C244="","",COUNTA($C$9:$C244))</f>
        <v/>
      </c>
      <c r="C244" s="21" t="n"/>
      <c r="D244" s="14" t="n"/>
      <c r="E244" s="14" t="n"/>
      <c r="F244" s="14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3">
        <f>IF($C244="","",N(L244)-N(M244))</f>
        <v/>
      </c>
      <c r="P244" s="24" t="n"/>
      <c r="Q244" s="23">
        <f>IF($C244="","",N(M244)+N(N244))</f>
        <v/>
      </c>
      <c r="R244" s="23">
        <f>IF($C244="","",N(J244)+N(Q244))</f>
        <v/>
      </c>
      <c r="S244" s="25">
        <f>IF(OR($C244="",N($G244)=0),"",R244/$G244)</f>
        <v/>
      </c>
      <c r="T244" s="23">
        <f>IF($C244="","",N($G244)-N(R244))</f>
        <v/>
      </c>
      <c r="U244" s="24" t="n"/>
      <c r="V244" s="22" t="n"/>
    </row>
    <row r="245">
      <c r="B245" s="13">
        <f>IF($C245="","",COUNTA($C$9:$C245))</f>
        <v/>
      </c>
      <c r="C245" s="21" t="n"/>
      <c r="D245" s="14" t="n"/>
      <c r="E245" s="14" t="n"/>
      <c r="F245" s="14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3">
        <f>IF($C245="","",N(L245)-N(M245))</f>
        <v/>
      </c>
      <c r="P245" s="24" t="n"/>
      <c r="Q245" s="23">
        <f>IF($C245="","",N(M245)+N(N245))</f>
        <v/>
      </c>
      <c r="R245" s="23">
        <f>IF($C245="","",N(J245)+N(Q245))</f>
        <v/>
      </c>
      <c r="S245" s="25">
        <f>IF(OR($C245="",N($G245)=0),"",R245/$G245)</f>
        <v/>
      </c>
      <c r="T245" s="23">
        <f>IF($C245="","",N($G245)-N(R245))</f>
        <v/>
      </c>
      <c r="U245" s="24" t="n"/>
      <c r="V245" s="22" t="n"/>
    </row>
    <row r="246">
      <c r="B246" s="13">
        <f>IF($C246="","",COUNTA($C$9:$C246))</f>
        <v/>
      </c>
      <c r="C246" s="21" t="n"/>
      <c r="D246" s="14" t="n"/>
      <c r="E246" s="14" t="n"/>
      <c r="F246" s="14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3">
        <f>IF($C246="","",N(L246)-N(M246))</f>
        <v/>
      </c>
      <c r="P246" s="24" t="n"/>
      <c r="Q246" s="23">
        <f>IF($C246="","",N(M246)+N(N246))</f>
        <v/>
      </c>
      <c r="R246" s="23">
        <f>IF($C246="","",N(J246)+N(Q246))</f>
        <v/>
      </c>
      <c r="S246" s="25">
        <f>IF(OR($C246="",N($G246)=0),"",R246/$G246)</f>
        <v/>
      </c>
      <c r="T246" s="23">
        <f>IF($C246="","",N($G246)-N(R246))</f>
        <v/>
      </c>
      <c r="U246" s="24" t="n"/>
      <c r="V246" s="22" t="n"/>
    </row>
    <row r="247">
      <c r="B247" s="13">
        <f>IF($C247="","",COUNTA($C$9:$C247))</f>
        <v/>
      </c>
      <c r="C247" s="21" t="n"/>
      <c r="D247" s="14" t="n"/>
      <c r="E247" s="14" t="n"/>
      <c r="F247" s="14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3">
        <f>IF($C247="","",N(L247)-N(M247))</f>
        <v/>
      </c>
      <c r="P247" s="24" t="n"/>
      <c r="Q247" s="23">
        <f>IF($C247="","",N(M247)+N(N247))</f>
        <v/>
      </c>
      <c r="R247" s="23">
        <f>IF($C247="","",N(J247)+N(Q247))</f>
        <v/>
      </c>
      <c r="S247" s="25">
        <f>IF(OR($C247="",N($G247)=0),"",R247/$G247)</f>
        <v/>
      </c>
      <c r="T247" s="23">
        <f>IF($C247="","",N($G247)-N(R247))</f>
        <v/>
      </c>
      <c r="U247" s="24" t="n"/>
      <c r="V247" s="22" t="n"/>
    </row>
    <row r="248">
      <c r="B248" s="13">
        <f>IF($C248="","",COUNTA($C$9:$C248))</f>
        <v/>
      </c>
      <c r="C248" s="21" t="n"/>
      <c r="D248" s="14" t="n"/>
      <c r="E248" s="14" t="n"/>
      <c r="F248" s="14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3">
        <f>IF($C248="","",N(L248)-N(M248))</f>
        <v/>
      </c>
      <c r="P248" s="24" t="n"/>
      <c r="Q248" s="23">
        <f>IF($C248="","",N(M248)+N(N248))</f>
        <v/>
      </c>
      <c r="R248" s="23">
        <f>IF($C248="","",N(J248)+N(Q248))</f>
        <v/>
      </c>
      <c r="S248" s="25">
        <f>IF(OR($C248="",N($G248)=0),"",R248/$G248)</f>
        <v/>
      </c>
      <c r="T248" s="23">
        <f>IF($C248="","",N($G248)-N(R248))</f>
        <v/>
      </c>
      <c r="U248" s="24" t="n"/>
      <c r="V248" s="22" t="n"/>
    </row>
    <row r="249">
      <c r="B249" s="13">
        <f>IF($C249="","",COUNTA($C$9:$C249))</f>
        <v/>
      </c>
      <c r="C249" s="21" t="n"/>
      <c r="D249" s="14" t="n"/>
      <c r="E249" s="14" t="n"/>
      <c r="F249" s="14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3">
        <f>IF($C249="","",N(L249)-N(M249))</f>
        <v/>
      </c>
      <c r="P249" s="24" t="n"/>
      <c r="Q249" s="23">
        <f>IF($C249="","",N(M249)+N(N249))</f>
        <v/>
      </c>
      <c r="R249" s="23">
        <f>IF($C249="","",N(J249)+N(Q249))</f>
        <v/>
      </c>
      <c r="S249" s="25">
        <f>IF(OR($C249="",N($G249)=0),"",R249/$G249)</f>
        <v/>
      </c>
      <c r="T249" s="23">
        <f>IF($C249="","",N($G249)-N(R249))</f>
        <v/>
      </c>
      <c r="U249" s="24" t="n"/>
      <c r="V249" s="22" t="n"/>
    </row>
    <row r="250">
      <c r="B250" s="13">
        <f>IF($C250="","",COUNTA($C$9:$C250))</f>
        <v/>
      </c>
      <c r="C250" s="21" t="n"/>
      <c r="D250" s="14" t="n"/>
      <c r="E250" s="14" t="n"/>
      <c r="F250" s="14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3">
        <f>IF($C250="","",N(L250)-N(M250))</f>
        <v/>
      </c>
      <c r="P250" s="24" t="n"/>
      <c r="Q250" s="23">
        <f>IF($C250="","",N(M250)+N(N250))</f>
        <v/>
      </c>
      <c r="R250" s="23">
        <f>IF($C250="","",N(J250)+N(Q250))</f>
        <v/>
      </c>
      <c r="S250" s="25">
        <f>IF(OR($C250="",N($G250)=0),"",R250/$G250)</f>
        <v/>
      </c>
      <c r="T250" s="23">
        <f>IF($C250="","",N($G250)-N(R250))</f>
        <v/>
      </c>
      <c r="U250" s="24" t="n"/>
      <c r="V250" s="22" t="n"/>
    </row>
    <row r="251">
      <c r="B251" s="13">
        <f>IF($C251="","",COUNTA($C$9:$C251))</f>
        <v/>
      </c>
      <c r="C251" s="21" t="n"/>
      <c r="D251" s="14" t="n"/>
      <c r="E251" s="14" t="n"/>
      <c r="F251" s="14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3">
        <f>IF($C251="","",N(L251)-N(M251))</f>
        <v/>
      </c>
      <c r="P251" s="24" t="n"/>
      <c r="Q251" s="23">
        <f>IF($C251="","",N(M251)+N(N251))</f>
        <v/>
      </c>
      <c r="R251" s="23">
        <f>IF($C251="","",N(J251)+N(Q251))</f>
        <v/>
      </c>
      <c r="S251" s="25">
        <f>IF(OR($C251="",N($G251)=0),"",R251/$G251)</f>
        <v/>
      </c>
      <c r="T251" s="23">
        <f>IF($C251="","",N($G251)-N(R251))</f>
        <v/>
      </c>
      <c r="U251" s="24" t="n"/>
      <c r="V251" s="22" t="n"/>
    </row>
    <row r="252">
      <c r="B252" s="13">
        <f>IF($C252="","",COUNTA($C$9:$C252))</f>
        <v/>
      </c>
      <c r="C252" s="21" t="n"/>
      <c r="D252" s="14" t="n"/>
      <c r="E252" s="14" t="n"/>
      <c r="F252" s="14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3">
        <f>IF($C252="","",N(L252)-N(M252))</f>
        <v/>
      </c>
      <c r="P252" s="24" t="n"/>
      <c r="Q252" s="23">
        <f>IF($C252="","",N(M252)+N(N252))</f>
        <v/>
      </c>
      <c r="R252" s="23">
        <f>IF($C252="","",N(J252)+N(Q252))</f>
        <v/>
      </c>
      <c r="S252" s="25">
        <f>IF(OR($C252="",N($G252)=0),"",R252/$G252)</f>
        <v/>
      </c>
      <c r="T252" s="23">
        <f>IF($C252="","",N($G252)-N(R252))</f>
        <v/>
      </c>
      <c r="U252" s="24" t="n"/>
      <c r="V252" s="22" t="n"/>
    </row>
    <row r="253">
      <c r="B253" s="13">
        <f>IF($C253="","",COUNTA($C$9:$C253))</f>
        <v/>
      </c>
      <c r="C253" s="21" t="n"/>
      <c r="D253" s="14" t="n"/>
      <c r="E253" s="14" t="n"/>
      <c r="F253" s="14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3">
        <f>IF($C253="","",N(L253)-N(M253))</f>
        <v/>
      </c>
      <c r="P253" s="24" t="n"/>
      <c r="Q253" s="23">
        <f>IF($C253="","",N(M253)+N(N253))</f>
        <v/>
      </c>
      <c r="R253" s="23">
        <f>IF($C253="","",N(J253)+N(Q253))</f>
        <v/>
      </c>
      <c r="S253" s="25">
        <f>IF(OR($C253="",N($G253)=0),"",R253/$G253)</f>
        <v/>
      </c>
      <c r="T253" s="23">
        <f>IF($C253="","",N($G253)-N(R253))</f>
        <v/>
      </c>
      <c r="U253" s="24" t="n"/>
      <c r="V253" s="22" t="n"/>
    </row>
    <row r="254">
      <c r="B254" s="13">
        <f>IF($C254="","",COUNTA($C$9:$C254))</f>
        <v/>
      </c>
      <c r="C254" s="21" t="n"/>
      <c r="D254" s="14" t="n"/>
      <c r="E254" s="14" t="n"/>
      <c r="F254" s="14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3">
        <f>IF($C254="","",N(L254)-N(M254))</f>
        <v/>
      </c>
      <c r="P254" s="24" t="n"/>
      <c r="Q254" s="23">
        <f>IF($C254="","",N(M254)+N(N254))</f>
        <v/>
      </c>
      <c r="R254" s="23">
        <f>IF($C254="","",N(J254)+N(Q254))</f>
        <v/>
      </c>
      <c r="S254" s="25">
        <f>IF(OR($C254="",N($G254)=0),"",R254/$G254)</f>
        <v/>
      </c>
      <c r="T254" s="23">
        <f>IF($C254="","",N($G254)-N(R254))</f>
        <v/>
      </c>
      <c r="U254" s="24" t="n"/>
      <c r="V254" s="22" t="n"/>
    </row>
    <row r="255">
      <c r="B255" s="13">
        <f>IF($C255="","",COUNTA($C$9:$C255))</f>
        <v/>
      </c>
      <c r="C255" s="21" t="n"/>
      <c r="D255" s="14" t="n"/>
      <c r="E255" s="14" t="n"/>
      <c r="F255" s="14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3">
        <f>IF($C255="","",N(L255)-N(M255))</f>
        <v/>
      </c>
      <c r="P255" s="24" t="n"/>
      <c r="Q255" s="23">
        <f>IF($C255="","",N(M255)+N(N255))</f>
        <v/>
      </c>
      <c r="R255" s="23">
        <f>IF($C255="","",N(J255)+N(Q255))</f>
        <v/>
      </c>
      <c r="S255" s="25">
        <f>IF(OR($C255="",N($G255)=0),"",R255/$G255)</f>
        <v/>
      </c>
      <c r="T255" s="23">
        <f>IF($C255="","",N($G255)-N(R255))</f>
        <v/>
      </c>
      <c r="U255" s="24" t="n"/>
      <c r="V255" s="22" t="n"/>
    </row>
    <row r="256">
      <c r="B256" s="13">
        <f>IF($C256="","",COUNTA($C$9:$C256))</f>
        <v/>
      </c>
      <c r="C256" s="21" t="n"/>
      <c r="D256" s="14" t="n"/>
      <c r="E256" s="14" t="n"/>
      <c r="F256" s="14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3">
        <f>IF($C256="","",N(L256)-N(M256))</f>
        <v/>
      </c>
      <c r="P256" s="24" t="n"/>
      <c r="Q256" s="23">
        <f>IF($C256="","",N(M256)+N(N256))</f>
        <v/>
      </c>
      <c r="R256" s="23">
        <f>IF($C256="","",N(J256)+N(Q256))</f>
        <v/>
      </c>
      <c r="S256" s="25">
        <f>IF(OR($C256="",N($G256)=0),"",R256/$G256)</f>
        <v/>
      </c>
      <c r="T256" s="23">
        <f>IF($C256="","",N($G256)-N(R256))</f>
        <v/>
      </c>
      <c r="U256" s="24" t="n"/>
      <c r="V256" s="22" t="n"/>
    </row>
    <row r="257">
      <c r="B257" s="13">
        <f>IF($C257="","",COUNTA($C$9:$C257))</f>
        <v/>
      </c>
      <c r="C257" s="21" t="n"/>
      <c r="D257" s="14" t="n"/>
      <c r="E257" s="14" t="n"/>
      <c r="F257" s="14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3">
        <f>IF($C257="","",N(L257)-N(M257))</f>
        <v/>
      </c>
      <c r="P257" s="24" t="n"/>
      <c r="Q257" s="23">
        <f>IF($C257="","",N(M257)+N(N257))</f>
        <v/>
      </c>
      <c r="R257" s="23">
        <f>IF($C257="","",N(J257)+N(Q257))</f>
        <v/>
      </c>
      <c r="S257" s="25">
        <f>IF(OR($C257="",N($G257)=0),"",R257/$G257)</f>
        <v/>
      </c>
      <c r="T257" s="23">
        <f>IF($C257="","",N($G257)-N(R257))</f>
        <v/>
      </c>
      <c r="U257" s="24" t="n"/>
      <c r="V257" s="22" t="n"/>
    </row>
    <row r="258">
      <c r="B258" s="13">
        <f>IF($C258="","",COUNTA($C$9:$C258))</f>
        <v/>
      </c>
      <c r="C258" s="21" t="n"/>
      <c r="D258" s="14" t="n"/>
      <c r="E258" s="14" t="n"/>
      <c r="F258" s="14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3">
        <f>IF($C258="","",N(L258)-N(M258))</f>
        <v/>
      </c>
      <c r="P258" s="24" t="n"/>
      <c r="Q258" s="23">
        <f>IF($C258="","",N(M258)+N(N258))</f>
        <v/>
      </c>
      <c r="R258" s="23">
        <f>IF($C258="","",N(J258)+N(Q258))</f>
        <v/>
      </c>
      <c r="S258" s="25">
        <f>IF(OR($C258="",N($G258)=0),"",R258/$G258)</f>
        <v/>
      </c>
      <c r="T258" s="23">
        <f>IF($C258="","",N($G258)-N(R258))</f>
        <v/>
      </c>
      <c r="U258" s="24" t="n"/>
      <c r="V258" s="22" t="n"/>
    </row>
    <row r="259">
      <c r="B259" s="13">
        <f>IF($C259="","",COUNTA($C$9:$C259))</f>
        <v/>
      </c>
      <c r="C259" s="21" t="n"/>
      <c r="D259" s="14" t="n"/>
      <c r="E259" s="14" t="n"/>
      <c r="F259" s="14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3">
        <f>IF($C259="","",N(L259)-N(M259))</f>
        <v/>
      </c>
      <c r="P259" s="24" t="n"/>
      <c r="Q259" s="23">
        <f>IF($C259="","",N(M259)+N(N259))</f>
        <v/>
      </c>
      <c r="R259" s="23">
        <f>IF($C259="","",N(J259)+N(Q259))</f>
        <v/>
      </c>
      <c r="S259" s="25">
        <f>IF(OR($C259="",N($G259)=0),"",R259/$G259)</f>
        <v/>
      </c>
      <c r="T259" s="23">
        <f>IF($C259="","",N($G259)-N(R259))</f>
        <v/>
      </c>
      <c r="U259" s="24" t="n"/>
      <c r="V259" s="22" t="n"/>
    </row>
    <row r="260">
      <c r="B260" s="13">
        <f>IF($C260="","",COUNTA($C$9:$C260))</f>
        <v/>
      </c>
      <c r="C260" s="21" t="n"/>
      <c r="D260" s="14" t="n"/>
      <c r="E260" s="14" t="n"/>
      <c r="F260" s="14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3">
        <f>IF($C260="","",N(L260)-N(M260))</f>
        <v/>
      </c>
      <c r="P260" s="24" t="n"/>
      <c r="Q260" s="23">
        <f>IF($C260="","",N(M260)+N(N260))</f>
        <v/>
      </c>
      <c r="R260" s="23">
        <f>IF($C260="","",N(J260)+N(Q260))</f>
        <v/>
      </c>
      <c r="S260" s="25">
        <f>IF(OR($C260="",N($G260)=0),"",R260/$G260)</f>
        <v/>
      </c>
      <c r="T260" s="23">
        <f>IF($C260="","",N($G260)-N(R260))</f>
        <v/>
      </c>
      <c r="U260" s="24" t="n"/>
      <c r="V260" s="22" t="n"/>
    </row>
    <row r="261">
      <c r="B261" s="13">
        <f>IF($C261="","",COUNTA($C$9:$C261))</f>
        <v/>
      </c>
      <c r="C261" s="21" t="n"/>
      <c r="D261" s="14" t="n"/>
      <c r="E261" s="14" t="n"/>
      <c r="F261" s="14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3">
        <f>IF($C261="","",N(L261)-N(M261))</f>
        <v/>
      </c>
      <c r="P261" s="24" t="n"/>
      <c r="Q261" s="23">
        <f>IF($C261="","",N(M261)+N(N261))</f>
        <v/>
      </c>
      <c r="R261" s="23">
        <f>IF($C261="","",N(J261)+N(Q261))</f>
        <v/>
      </c>
      <c r="S261" s="25">
        <f>IF(OR($C261="",N($G261)=0),"",R261/$G261)</f>
        <v/>
      </c>
      <c r="T261" s="23">
        <f>IF($C261="","",N($G261)-N(R261))</f>
        <v/>
      </c>
      <c r="U261" s="24" t="n"/>
      <c r="V261" s="22" t="n"/>
    </row>
    <row r="262">
      <c r="B262" s="13">
        <f>IF($C262="","",COUNTA($C$9:$C262))</f>
        <v/>
      </c>
      <c r="C262" s="21" t="n"/>
      <c r="D262" s="14" t="n"/>
      <c r="E262" s="14" t="n"/>
      <c r="F262" s="14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3">
        <f>IF($C262="","",N(L262)-N(M262))</f>
        <v/>
      </c>
      <c r="P262" s="24" t="n"/>
      <c r="Q262" s="23">
        <f>IF($C262="","",N(M262)+N(N262))</f>
        <v/>
      </c>
      <c r="R262" s="23">
        <f>IF($C262="","",N(J262)+N(Q262))</f>
        <v/>
      </c>
      <c r="S262" s="25">
        <f>IF(OR($C262="",N($G262)=0),"",R262/$G262)</f>
        <v/>
      </c>
      <c r="T262" s="23">
        <f>IF($C262="","",N($G262)-N(R262))</f>
        <v/>
      </c>
      <c r="U262" s="24" t="n"/>
      <c r="V262" s="22" t="n"/>
    </row>
    <row r="263">
      <c r="B263" s="13">
        <f>IF($C263="","",COUNTA($C$9:$C263))</f>
        <v/>
      </c>
      <c r="C263" s="21" t="n"/>
      <c r="D263" s="14" t="n"/>
      <c r="E263" s="14" t="n"/>
      <c r="F263" s="14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3">
        <f>IF($C263="","",N(L263)-N(M263))</f>
        <v/>
      </c>
      <c r="P263" s="24" t="n"/>
      <c r="Q263" s="23">
        <f>IF($C263="","",N(M263)+N(N263))</f>
        <v/>
      </c>
      <c r="R263" s="23">
        <f>IF($C263="","",N(J263)+N(Q263))</f>
        <v/>
      </c>
      <c r="S263" s="25">
        <f>IF(OR($C263="",N($G263)=0),"",R263/$G263)</f>
        <v/>
      </c>
      <c r="T263" s="23">
        <f>IF($C263="","",N($G263)-N(R263))</f>
        <v/>
      </c>
      <c r="U263" s="24" t="n"/>
      <c r="V263" s="22" t="n"/>
    </row>
    <row r="264">
      <c r="B264" s="13">
        <f>IF($C264="","",COUNTA($C$9:$C264))</f>
        <v/>
      </c>
      <c r="C264" s="21" t="n"/>
      <c r="D264" s="14" t="n"/>
      <c r="E264" s="14" t="n"/>
      <c r="F264" s="14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3">
        <f>IF($C264="","",N(L264)-N(M264))</f>
        <v/>
      </c>
      <c r="P264" s="24" t="n"/>
      <c r="Q264" s="23">
        <f>IF($C264="","",N(M264)+N(N264))</f>
        <v/>
      </c>
      <c r="R264" s="23">
        <f>IF($C264="","",N(J264)+N(Q264))</f>
        <v/>
      </c>
      <c r="S264" s="25">
        <f>IF(OR($C264="",N($G264)=0),"",R264/$G264)</f>
        <v/>
      </c>
      <c r="T264" s="23">
        <f>IF($C264="","",N($G264)-N(R264))</f>
        <v/>
      </c>
      <c r="U264" s="24" t="n"/>
      <c r="V264" s="22" t="n"/>
    </row>
    <row r="265">
      <c r="B265" s="13">
        <f>IF($C265="","",COUNTA($C$9:$C265))</f>
        <v/>
      </c>
      <c r="C265" s="21" t="n"/>
      <c r="D265" s="14" t="n"/>
      <c r="E265" s="14" t="n"/>
      <c r="F265" s="14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3">
        <f>IF($C265="","",N(L265)-N(M265))</f>
        <v/>
      </c>
      <c r="P265" s="24" t="n"/>
      <c r="Q265" s="23">
        <f>IF($C265="","",N(M265)+N(N265))</f>
        <v/>
      </c>
      <c r="R265" s="23">
        <f>IF($C265="","",N(J265)+N(Q265))</f>
        <v/>
      </c>
      <c r="S265" s="25">
        <f>IF(OR($C265="",N($G265)=0),"",R265/$G265)</f>
        <v/>
      </c>
      <c r="T265" s="23">
        <f>IF($C265="","",N($G265)-N(R265))</f>
        <v/>
      </c>
      <c r="U265" s="24" t="n"/>
      <c r="V265" s="22" t="n"/>
    </row>
    <row r="266">
      <c r="B266" s="13">
        <f>IF($C266="","",COUNTA($C$9:$C266))</f>
        <v/>
      </c>
      <c r="C266" s="21" t="n"/>
      <c r="D266" s="14" t="n"/>
      <c r="E266" s="14" t="n"/>
      <c r="F266" s="14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3">
        <f>IF($C266="","",N(L266)-N(M266))</f>
        <v/>
      </c>
      <c r="P266" s="24" t="n"/>
      <c r="Q266" s="23">
        <f>IF($C266="","",N(M266)+N(N266))</f>
        <v/>
      </c>
      <c r="R266" s="23">
        <f>IF($C266="","",N(J266)+N(Q266))</f>
        <v/>
      </c>
      <c r="S266" s="25">
        <f>IF(OR($C266="",N($G266)=0),"",R266/$G266)</f>
        <v/>
      </c>
      <c r="T266" s="23">
        <f>IF($C266="","",N($G266)-N(R266))</f>
        <v/>
      </c>
      <c r="U266" s="24" t="n"/>
      <c r="V266" s="22" t="n"/>
    </row>
    <row r="267">
      <c r="B267" s="13">
        <f>IF($C267="","",COUNTA($C$9:$C267))</f>
        <v/>
      </c>
      <c r="C267" s="21" t="n"/>
      <c r="D267" s="14" t="n"/>
      <c r="E267" s="14" t="n"/>
      <c r="F267" s="14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3">
        <f>IF($C267="","",N(L267)-N(M267))</f>
        <v/>
      </c>
      <c r="P267" s="24" t="n"/>
      <c r="Q267" s="23">
        <f>IF($C267="","",N(M267)+N(N267))</f>
        <v/>
      </c>
      <c r="R267" s="23">
        <f>IF($C267="","",N(J267)+N(Q267))</f>
        <v/>
      </c>
      <c r="S267" s="25">
        <f>IF(OR($C267="",N($G267)=0),"",R267/$G267)</f>
        <v/>
      </c>
      <c r="T267" s="23">
        <f>IF($C267="","",N($G267)-N(R267))</f>
        <v/>
      </c>
      <c r="U267" s="24" t="n"/>
      <c r="V267" s="22" t="n"/>
    </row>
    <row r="268">
      <c r="B268" s="13">
        <f>IF($C268="","",COUNTA($C$9:$C268))</f>
        <v/>
      </c>
      <c r="C268" s="21" t="n"/>
      <c r="D268" s="14" t="n"/>
      <c r="E268" s="14" t="n"/>
      <c r="F268" s="14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3">
        <f>IF($C268="","",N(L268)-N(M268))</f>
        <v/>
      </c>
      <c r="P268" s="24" t="n"/>
      <c r="Q268" s="23">
        <f>IF($C268="","",N(M268)+N(N268))</f>
        <v/>
      </c>
      <c r="R268" s="23">
        <f>IF($C268="","",N(J268)+N(Q268))</f>
        <v/>
      </c>
      <c r="S268" s="25">
        <f>IF(OR($C268="",N($G268)=0),"",R268/$G268)</f>
        <v/>
      </c>
      <c r="T268" s="23">
        <f>IF($C268="","",N($G268)-N(R268))</f>
        <v/>
      </c>
      <c r="U268" s="24" t="n"/>
      <c r="V268" s="22" t="n"/>
    </row>
    <row r="269">
      <c r="B269" s="13">
        <f>IF($C269="","",COUNTA($C$9:$C269))</f>
        <v/>
      </c>
      <c r="C269" s="21" t="n"/>
      <c r="D269" s="14" t="n"/>
      <c r="E269" s="14" t="n"/>
      <c r="F269" s="14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3">
        <f>IF($C269="","",N(L269)-N(M269))</f>
        <v/>
      </c>
      <c r="P269" s="24" t="n"/>
      <c r="Q269" s="23">
        <f>IF($C269="","",N(M269)+N(N269))</f>
        <v/>
      </c>
      <c r="R269" s="23">
        <f>IF($C269="","",N(J269)+N(Q269))</f>
        <v/>
      </c>
      <c r="S269" s="25">
        <f>IF(OR($C269="",N($G269)=0),"",R269/$G269)</f>
        <v/>
      </c>
      <c r="T269" s="23">
        <f>IF($C269="","",N($G269)-N(R269))</f>
        <v/>
      </c>
      <c r="U269" s="24" t="n"/>
      <c r="V269" s="22" t="n"/>
    </row>
    <row r="270">
      <c r="B270" s="13">
        <f>IF($C270="","",COUNTA($C$9:$C270))</f>
        <v/>
      </c>
      <c r="C270" s="21" t="n"/>
      <c r="D270" s="14" t="n"/>
      <c r="E270" s="14" t="n"/>
      <c r="F270" s="14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3">
        <f>IF($C270="","",N(L270)-N(M270))</f>
        <v/>
      </c>
      <c r="P270" s="24" t="n"/>
      <c r="Q270" s="23">
        <f>IF($C270="","",N(M270)+N(N270))</f>
        <v/>
      </c>
      <c r="R270" s="23">
        <f>IF($C270="","",N(J270)+N(Q270))</f>
        <v/>
      </c>
      <c r="S270" s="25">
        <f>IF(OR($C270="",N($G270)=0),"",R270/$G270)</f>
        <v/>
      </c>
      <c r="T270" s="23">
        <f>IF($C270="","",N($G270)-N(R270))</f>
        <v/>
      </c>
      <c r="U270" s="24" t="n"/>
      <c r="V270" s="22" t="n"/>
    </row>
    <row r="271">
      <c r="B271" s="13">
        <f>IF($C271="","",COUNTA($C$9:$C271))</f>
        <v/>
      </c>
      <c r="C271" s="21" t="n"/>
      <c r="D271" s="14" t="n"/>
      <c r="E271" s="14" t="n"/>
      <c r="F271" s="14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3">
        <f>IF($C271="","",N(L271)-N(M271))</f>
        <v/>
      </c>
      <c r="P271" s="24" t="n"/>
      <c r="Q271" s="23">
        <f>IF($C271="","",N(M271)+N(N271))</f>
        <v/>
      </c>
      <c r="R271" s="23">
        <f>IF($C271="","",N(J271)+N(Q271))</f>
        <v/>
      </c>
      <c r="S271" s="25">
        <f>IF(OR($C271="",N($G271)=0),"",R271/$G271)</f>
        <v/>
      </c>
      <c r="T271" s="23">
        <f>IF($C271="","",N($G271)-N(R271))</f>
        <v/>
      </c>
      <c r="U271" s="24" t="n"/>
      <c r="V271" s="22" t="n"/>
    </row>
    <row r="272">
      <c r="B272" s="13">
        <f>IF($C272="","",COUNTA($C$9:$C272))</f>
        <v/>
      </c>
      <c r="C272" s="21" t="n"/>
      <c r="D272" s="14" t="n"/>
      <c r="E272" s="14" t="n"/>
      <c r="F272" s="14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3">
        <f>IF($C272="","",N(L272)-N(M272))</f>
        <v/>
      </c>
      <c r="P272" s="24" t="n"/>
      <c r="Q272" s="23">
        <f>IF($C272="","",N(M272)+N(N272))</f>
        <v/>
      </c>
      <c r="R272" s="23">
        <f>IF($C272="","",N(J272)+N(Q272))</f>
        <v/>
      </c>
      <c r="S272" s="25">
        <f>IF(OR($C272="",N($G272)=0),"",R272/$G272)</f>
        <v/>
      </c>
      <c r="T272" s="23">
        <f>IF($C272="","",N($G272)-N(R272))</f>
        <v/>
      </c>
      <c r="U272" s="24" t="n"/>
      <c r="V272" s="22" t="n"/>
    </row>
    <row r="273">
      <c r="B273" s="13">
        <f>IF($C273="","",COUNTA($C$9:$C273))</f>
        <v/>
      </c>
      <c r="C273" s="21" t="n"/>
      <c r="D273" s="14" t="n"/>
      <c r="E273" s="14" t="n"/>
      <c r="F273" s="14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3">
        <f>IF($C273="","",N(L273)-N(M273))</f>
        <v/>
      </c>
      <c r="P273" s="24" t="n"/>
      <c r="Q273" s="23">
        <f>IF($C273="","",N(M273)+N(N273))</f>
        <v/>
      </c>
      <c r="R273" s="23">
        <f>IF($C273="","",N(J273)+N(Q273))</f>
        <v/>
      </c>
      <c r="S273" s="25">
        <f>IF(OR($C273="",N($G273)=0),"",R273/$G273)</f>
        <v/>
      </c>
      <c r="T273" s="23">
        <f>IF($C273="","",N($G273)-N(R273))</f>
        <v/>
      </c>
      <c r="U273" s="24" t="n"/>
      <c r="V273" s="22" t="n"/>
    </row>
    <row r="274">
      <c r="B274" s="13">
        <f>IF($C274="","",COUNTA($C$9:$C274))</f>
        <v/>
      </c>
      <c r="C274" s="21" t="n"/>
      <c r="D274" s="14" t="n"/>
      <c r="E274" s="14" t="n"/>
      <c r="F274" s="14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3">
        <f>IF($C274="","",N(L274)-N(M274))</f>
        <v/>
      </c>
      <c r="P274" s="24" t="n"/>
      <c r="Q274" s="23">
        <f>IF($C274="","",N(M274)+N(N274))</f>
        <v/>
      </c>
      <c r="R274" s="23">
        <f>IF($C274="","",N(J274)+N(Q274))</f>
        <v/>
      </c>
      <c r="S274" s="25">
        <f>IF(OR($C274="",N($G274)=0),"",R274/$G274)</f>
        <v/>
      </c>
      <c r="T274" s="23">
        <f>IF($C274="","",N($G274)-N(R274))</f>
        <v/>
      </c>
      <c r="U274" s="24" t="n"/>
      <c r="V274" s="22" t="n"/>
    </row>
    <row r="275">
      <c r="B275" s="13">
        <f>IF($C275="","",COUNTA($C$9:$C275))</f>
        <v/>
      </c>
      <c r="C275" s="21" t="n"/>
      <c r="D275" s="14" t="n"/>
      <c r="E275" s="14" t="n"/>
      <c r="F275" s="14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3">
        <f>IF($C275="","",N(L275)-N(M275))</f>
        <v/>
      </c>
      <c r="P275" s="24" t="n"/>
      <c r="Q275" s="23">
        <f>IF($C275="","",N(M275)+N(N275))</f>
        <v/>
      </c>
      <c r="R275" s="23">
        <f>IF($C275="","",N(J275)+N(Q275))</f>
        <v/>
      </c>
      <c r="S275" s="25">
        <f>IF(OR($C275="",N($G275)=0),"",R275/$G275)</f>
        <v/>
      </c>
      <c r="T275" s="23">
        <f>IF($C275="","",N($G275)-N(R275))</f>
        <v/>
      </c>
      <c r="U275" s="24" t="n"/>
      <c r="V275" s="22" t="n"/>
    </row>
    <row r="276">
      <c r="B276" s="13">
        <f>IF($C276="","",COUNTA($C$9:$C276))</f>
        <v/>
      </c>
      <c r="C276" s="21" t="n"/>
      <c r="D276" s="14" t="n"/>
      <c r="E276" s="14" t="n"/>
      <c r="F276" s="14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3">
        <f>IF($C276="","",N(L276)-N(M276))</f>
        <v/>
      </c>
      <c r="P276" s="24" t="n"/>
      <c r="Q276" s="23">
        <f>IF($C276="","",N(M276)+N(N276))</f>
        <v/>
      </c>
      <c r="R276" s="23">
        <f>IF($C276="","",N(J276)+N(Q276))</f>
        <v/>
      </c>
      <c r="S276" s="25">
        <f>IF(OR($C276="",N($G276)=0),"",R276/$G276)</f>
        <v/>
      </c>
      <c r="T276" s="23">
        <f>IF($C276="","",N($G276)-N(R276))</f>
        <v/>
      </c>
      <c r="U276" s="24" t="n"/>
      <c r="V276" s="22" t="n"/>
    </row>
    <row r="277">
      <c r="B277" s="13">
        <f>IF($C277="","",COUNTA($C$9:$C277))</f>
        <v/>
      </c>
      <c r="C277" s="21" t="n"/>
      <c r="D277" s="14" t="n"/>
      <c r="E277" s="14" t="n"/>
      <c r="F277" s="14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3">
        <f>IF($C277="","",N(L277)-N(M277))</f>
        <v/>
      </c>
      <c r="P277" s="24" t="n"/>
      <c r="Q277" s="23">
        <f>IF($C277="","",N(M277)+N(N277))</f>
        <v/>
      </c>
      <c r="R277" s="23">
        <f>IF($C277="","",N(J277)+N(Q277))</f>
        <v/>
      </c>
      <c r="S277" s="25">
        <f>IF(OR($C277="",N($G277)=0),"",R277/$G277)</f>
        <v/>
      </c>
      <c r="T277" s="23">
        <f>IF($C277="","",N($G277)-N(R277))</f>
        <v/>
      </c>
      <c r="U277" s="24" t="n"/>
      <c r="V277" s="22" t="n"/>
    </row>
    <row r="278">
      <c r="B278" s="13">
        <f>IF($C278="","",COUNTA($C$9:$C278))</f>
        <v/>
      </c>
      <c r="C278" s="21" t="n"/>
      <c r="D278" s="14" t="n"/>
      <c r="E278" s="14" t="n"/>
      <c r="F278" s="14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3">
        <f>IF($C278="","",N(L278)-N(M278))</f>
        <v/>
      </c>
      <c r="P278" s="24" t="n"/>
      <c r="Q278" s="23">
        <f>IF($C278="","",N(M278)+N(N278))</f>
        <v/>
      </c>
      <c r="R278" s="23">
        <f>IF($C278="","",N(J278)+N(Q278))</f>
        <v/>
      </c>
      <c r="S278" s="25">
        <f>IF(OR($C278="",N($G278)=0),"",R278/$G278)</f>
        <v/>
      </c>
      <c r="T278" s="23">
        <f>IF($C278="","",N($G278)-N(R278))</f>
        <v/>
      </c>
      <c r="U278" s="24" t="n"/>
      <c r="V278" s="22" t="n"/>
    </row>
    <row r="279">
      <c r="B279" s="13">
        <f>IF($C279="","",COUNTA($C$9:$C279))</f>
        <v/>
      </c>
      <c r="C279" s="21" t="n"/>
      <c r="D279" s="14" t="n"/>
      <c r="E279" s="14" t="n"/>
      <c r="F279" s="14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3">
        <f>IF($C279="","",N(L279)-N(M279))</f>
        <v/>
      </c>
      <c r="P279" s="24" t="n"/>
      <c r="Q279" s="23">
        <f>IF($C279="","",N(M279)+N(N279))</f>
        <v/>
      </c>
      <c r="R279" s="23">
        <f>IF($C279="","",N(J279)+N(Q279))</f>
        <v/>
      </c>
      <c r="S279" s="25">
        <f>IF(OR($C279="",N($G279)=0),"",R279/$G279)</f>
        <v/>
      </c>
      <c r="T279" s="23">
        <f>IF($C279="","",N($G279)-N(R279))</f>
        <v/>
      </c>
      <c r="U279" s="24" t="n"/>
      <c r="V279" s="22" t="n"/>
    </row>
    <row r="280">
      <c r="B280" s="13">
        <f>IF($C280="","",COUNTA($C$9:$C280))</f>
        <v/>
      </c>
      <c r="C280" s="21" t="n"/>
      <c r="D280" s="14" t="n"/>
      <c r="E280" s="14" t="n"/>
      <c r="F280" s="14" t="n"/>
      <c r="G280" s="22" t="n"/>
      <c r="H280" s="22" t="n"/>
      <c r="I280" s="22" t="n"/>
      <c r="J280" s="22" t="n"/>
      <c r="K280" s="22" t="n"/>
      <c r="L280" s="22" t="n"/>
      <c r="M280" s="22" t="n"/>
      <c r="N280" s="22" t="n"/>
      <c r="O280" s="23">
        <f>IF($C280="","",N(L280)-N(M280))</f>
        <v/>
      </c>
      <c r="P280" s="24" t="n"/>
      <c r="Q280" s="23">
        <f>IF($C280="","",N(M280)+N(N280))</f>
        <v/>
      </c>
      <c r="R280" s="23">
        <f>IF($C280="","",N(J280)+N(Q280))</f>
        <v/>
      </c>
      <c r="S280" s="25">
        <f>IF(OR($C280="",N($G280)=0),"",R280/$G280)</f>
        <v/>
      </c>
      <c r="T280" s="23">
        <f>IF($C280="","",N($G280)-N(R280))</f>
        <v/>
      </c>
      <c r="U280" s="24" t="n"/>
      <c r="V280" s="22" t="n"/>
    </row>
    <row r="281">
      <c r="B281" s="13">
        <f>IF($C281="","",COUNTA($C$9:$C281))</f>
        <v/>
      </c>
      <c r="C281" s="21" t="n"/>
      <c r="D281" s="14" t="n"/>
      <c r="E281" s="14" t="n"/>
      <c r="F281" s="14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3">
        <f>IF($C281="","",N(L281)-N(M281))</f>
        <v/>
      </c>
      <c r="P281" s="24" t="n"/>
      <c r="Q281" s="23">
        <f>IF($C281="","",N(M281)+N(N281))</f>
        <v/>
      </c>
      <c r="R281" s="23">
        <f>IF($C281="","",N(J281)+N(Q281))</f>
        <v/>
      </c>
      <c r="S281" s="25">
        <f>IF(OR($C281="",N($G281)=0),"",R281/$G281)</f>
        <v/>
      </c>
      <c r="T281" s="23">
        <f>IF($C281="","",N($G281)-N(R281))</f>
        <v/>
      </c>
      <c r="U281" s="24" t="n"/>
      <c r="V281" s="22" t="n"/>
    </row>
    <row r="282">
      <c r="B282" s="13">
        <f>IF($C282="","",COUNTA($C$9:$C282))</f>
        <v/>
      </c>
      <c r="C282" s="21" t="n"/>
      <c r="D282" s="14" t="n"/>
      <c r="E282" s="14" t="n"/>
      <c r="F282" s="14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3">
        <f>IF($C282="","",N(L282)-N(M282))</f>
        <v/>
      </c>
      <c r="P282" s="24" t="n"/>
      <c r="Q282" s="23">
        <f>IF($C282="","",N(M282)+N(N282))</f>
        <v/>
      </c>
      <c r="R282" s="23">
        <f>IF($C282="","",N(J282)+N(Q282))</f>
        <v/>
      </c>
      <c r="S282" s="25">
        <f>IF(OR($C282="",N($G282)=0),"",R282/$G282)</f>
        <v/>
      </c>
      <c r="T282" s="23">
        <f>IF($C282="","",N($G282)-N(R282))</f>
        <v/>
      </c>
      <c r="U282" s="24" t="n"/>
      <c r="V282" s="22" t="n"/>
    </row>
    <row r="283">
      <c r="B283" s="13">
        <f>IF($C283="","",COUNTA($C$9:$C283))</f>
        <v/>
      </c>
      <c r="C283" s="21" t="n"/>
      <c r="D283" s="14" t="n"/>
      <c r="E283" s="14" t="n"/>
      <c r="F283" s="14" t="n"/>
      <c r="G283" s="22" t="n"/>
      <c r="H283" s="22" t="n"/>
      <c r="I283" s="22" t="n"/>
      <c r="J283" s="22" t="n"/>
      <c r="K283" s="22" t="n"/>
      <c r="L283" s="22" t="n"/>
      <c r="M283" s="22" t="n"/>
      <c r="N283" s="22" t="n"/>
      <c r="O283" s="23">
        <f>IF($C283="","",N(L283)-N(M283))</f>
        <v/>
      </c>
      <c r="P283" s="24" t="n"/>
      <c r="Q283" s="23">
        <f>IF($C283="","",N(M283)+N(N283))</f>
        <v/>
      </c>
      <c r="R283" s="23">
        <f>IF($C283="","",N(J283)+N(Q283))</f>
        <v/>
      </c>
      <c r="S283" s="25">
        <f>IF(OR($C283="",N($G283)=0),"",R283/$G283)</f>
        <v/>
      </c>
      <c r="T283" s="23">
        <f>IF($C283="","",N($G283)-N(R283))</f>
        <v/>
      </c>
      <c r="U283" s="24" t="n"/>
      <c r="V283" s="22" t="n"/>
    </row>
    <row r="284">
      <c r="B284" s="13">
        <f>IF($C284="","",COUNTA($C$9:$C284))</f>
        <v/>
      </c>
      <c r="C284" s="21" t="n"/>
      <c r="D284" s="14" t="n"/>
      <c r="E284" s="14" t="n"/>
      <c r="F284" s="14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3">
        <f>IF($C284="","",N(L284)-N(M284))</f>
        <v/>
      </c>
      <c r="P284" s="24" t="n"/>
      <c r="Q284" s="23">
        <f>IF($C284="","",N(M284)+N(N284))</f>
        <v/>
      </c>
      <c r="R284" s="23">
        <f>IF($C284="","",N(J284)+N(Q284))</f>
        <v/>
      </c>
      <c r="S284" s="25">
        <f>IF(OR($C284="",N($G284)=0),"",R284/$G284)</f>
        <v/>
      </c>
      <c r="T284" s="23">
        <f>IF($C284="","",N($G284)-N(R284))</f>
        <v/>
      </c>
      <c r="U284" s="24" t="n"/>
      <c r="V284" s="22" t="n"/>
    </row>
    <row r="285">
      <c r="B285" s="13">
        <f>IF($C285="","",COUNTA($C$9:$C285))</f>
        <v/>
      </c>
      <c r="C285" s="21" t="n"/>
      <c r="D285" s="14" t="n"/>
      <c r="E285" s="14" t="n"/>
      <c r="F285" s="14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3">
        <f>IF($C285="","",N(L285)-N(M285))</f>
        <v/>
      </c>
      <c r="P285" s="24" t="n"/>
      <c r="Q285" s="23">
        <f>IF($C285="","",N(M285)+N(N285))</f>
        <v/>
      </c>
      <c r="R285" s="23">
        <f>IF($C285="","",N(J285)+N(Q285))</f>
        <v/>
      </c>
      <c r="S285" s="25">
        <f>IF(OR($C285="",N($G285)=0),"",R285/$G285)</f>
        <v/>
      </c>
      <c r="T285" s="23">
        <f>IF($C285="","",N($G285)-N(R285))</f>
        <v/>
      </c>
      <c r="U285" s="24" t="n"/>
      <c r="V285" s="22" t="n"/>
    </row>
    <row r="286">
      <c r="B286" s="13">
        <f>IF($C286="","",COUNTA($C$9:$C286))</f>
        <v/>
      </c>
      <c r="C286" s="21" t="n"/>
      <c r="D286" s="14" t="n"/>
      <c r="E286" s="14" t="n"/>
      <c r="F286" s="14" t="n"/>
      <c r="G286" s="22" t="n"/>
      <c r="H286" s="22" t="n"/>
      <c r="I286" s="22" t="n"/>
      <c r="J286" s="22" t="n"/>
      <c r="K286" s="22" t="n"/>
      <c r="L286" s="22" t="n"/>
      <c r="M286" s="22" t="n"/>
      <c r="N286" s="22" t="n"/>
      <c r="O286" s="23">
        <f>IF($C286="","",N(L286)-N(M286))</f>
        <v/>
      </c>
      <c r="P286" s="24" t="n"/>
      <c r="Q286" s="23">
        <f>IF($C286="","",N(M286)+N(N286))</f>
        <v/>
      </c>
      <c r="R286" s="23">
        <f>IF($C286="","",N(J286)+N(Q286))</f>
        <v/>
      </c>
      <c r="S286" s="25">
        <f>IF(OR($C286="",N($G286)=0),"",R286/$G286)</f>
        <v/>
      </c>
      <c r="T286" s="23">
        <f>IF($C286="","",N($G286)-N(R286))</f>
        <v/>
      </c>
      <c r="U286" s="24" t="n"/>
      <c r="V286" s="22" t="n"/>
    </row>
    <row r="287">
      <c r="B287" s="13">
        <f>IF($C287="","",COUNTA($C$9:$C287))</f>
        <v/>
      </c>
      <c r="C287" s="21" t="n"/>
      <c r="D287" s="14" t="n"/>
      <c r="E287" s="14" t="n"/>
      <c r="F287" s="14" t="n"/>
      <c r="G287" s="22" t="n"/>
      <c r="H287" s="22" t="n"/>
      <c r="I287" s="22" t="n"/>
      <c r="J287" s="22" t="n"/>
      <c r="K287" s="22" t="n"/>
      <c r="L287" s="22" t="n"/>
      <c r="M287" s="22" t="n"/>
      <c r="N287" s="22" t="n"/>
      <c r="O287" s="23">
        <f>IF($C287="","",N(L287)-N(M287))</f>
        <v/>
      </c>
      <c r="P287" s="24" t="n"/>
      <c r="Q287" s="23">
        <f>IF($C287="","",N(M287)+N(N287))</f>
        <v/>
      </c>
      <c r="R287" s="23">
        <f>IF($C287="","",N(J287)+N(Q287))</f>
        <v/>
      </c>
      <c r="S287" s="25">
        <f>IF(OR($C287="",N($G287)=0),"",R287/$G287)</f>
        <v/>
      </c>
      <c r="T287" s="23">
        <f>IF($C287="","",N($G287)-N(R287))</f>
        <v/>
      </c>
      <c r="U287" s="24" t="n"/>
      <c r="V287" s="22" t="n"/>
    </row>
    <row r="288">
      <c r="B288" s="13">
        <f>IF($C288="","",COUNTA($C$9:$C288))</f>
        <v/>
      </c>
      <c r="C288" s="21" t="n"/>
      <c r="D288" s="14" t="n"/>
      <c r="E288" s="14" t="n"/>
      <c r="F288" s="14" t="n"/>
      <c r="G288" s="22" t="n"/>
      <c r="H288" s="22" t="n"/>
      <c r="I288" s="22" t="n"/>
      <c r="J288" s="22" t="n"/>
      <c r="K288" s="22" t="n"/>
      <c r="L288" s="22" t="n"/>
      <c r="M288" s="22" t="n"/>
      <c r="N288" s="22" t="n"/>
      <c r="O288" s="23">
        <f>IF($C288="","",N(L288)-N(M288))</f>
        <v/>
      </c>
      <c r="P288" s="24" t="n"/>
      <c r="Q288" s="23">
        <f>IF($C288="","",N(M288)+N(N288))</f>
        <v/>
      </c>
      <c r="R288" s="23">
        <f>IF($C288="","",N(J288)+N(Q288))</f>
        <v/>
      </c>
      <c r="S288" s="25">
        <f>IF(OR($C288="",N($G288)=0),"",R288/$G288)</f>
        <v/>
      </c>
      <c r="T288" s="23">
        <f>IF($C288="","",N($G288)-N(R288))</f>
        <v/>
      </c>
      <c r="U288" s="24" t="n"/>
      <c r="V288" s="22" t="n"/>
    </row>
    <row r="289">
      <c r="B289" s="13">
        <f>IF($C289="","",COUNTA($C$9:$C289))</f>
        <v/>
      </c>
      <c r="C289" s="21" t="n"/>
      <c r="D289" s="14" t="n"/>
      <c r="E289" s="14" t="n"/>
      <c r="F289" s="14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3">
        <f>IF($C289="","",N(L289)-N(M289))</f>
        <v/>
      </c>
      <c r="P289" s="24" t="n"/>
      <c r="Q289" s="23">
        <f>IF($C289="","",N(M289)+N(N289))</f>
        <v/>
      </c>
      <c r="R289" s="23">
        <f>IF($C289="","",N(J289)+N(Q289))</f>
        <v/>
      </c>
      <c r="S289" s="25">
        <f>IF(OR($C289="",N($G289)=0),"",R289/$G289)</f>
        <v/>
      </c>
      <c r="T289" s="23">
        <f>IF($C289="","",N($G289)-N(R289))</f>
        <v/>
      </c>
      <c r="U289" s="24" t="n"/>
      <c r="V289" s="22" t="n"/>
    </row>
    <row r="290">
      <c r="B290" s="13">
        <f>IF($C290="","",COUNTA($C$9:$C290))</f>
        <v/>
      </c>
      <c r="C290" s="21" t="n"/>
      <c r="D290" s="14" t="n"/>
      <c r="E290" s="14" t="n"/>
      <c r="F290" s="14" t="n"/>
      <c r="G290" s="22" t="n"/>
      <c r="H290" s="22" t="n"/>
      <c r="I290" s="22" t="n"/>
      <c r="J290" s="22" t="n"/>
      <c r="K290" s="22" t="n"/>
      <c r="L290" s="22" t="n"/>
      <c r="M290" s="22" t="n"/>
      <c r="N290" s="22" t="n"/>
      <c r="O290" s="23">
        <f>IF($C290="","",N(L290)-N(M290))</f>
        <v/>
      </c>
      <c r="P290" s="24" t="n"/>
      <c r="Q290" s="23">
        <f>IF($C290="","",N(M290)+N(N290))</f>
        <v/>
      </c>
      <c r="R290" s="23">
        <f>IF($C290="","",N(J290)+N(Q290))</f>
        <v/>
      </c>
      <c r="S290" s="25">
        <f>IF(OR($C290="",N($G290)=0),"",R290/$G290)</f>
        <v/>
      </c>
      <c r="T290" s="23">
        <f>IF($C290="","",N($G290)-N(R290))</f>
        <v/>
      </c>
      <c r="U290" s="24" t="n"/>
      <c r="V290" s="22" t="n"/>
    </row>
    <row r="291">
      <c r="B291" s="13">
        <f>IF($C291="","",COUNTA($C$9:$C291))</f>
        <v/>
      </c>
      <c r="C291" s="21" t="n"/>
      <c r="D291" s="14" t="n"/>
      <c r="E291" s="14" t="n"/>
      <c r="F291" s="14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3">
        <f>IF($C291="","",N(L291)-N(M291))</f>
        <v/>
      </c>
      <c r="P291" s="24" t="n"/>
      <c r="Q291" s="23">
        <f>IF($C291="","",N(M291)+N(N291))</f>
        <v/>
      </c>
      <c r="R291" s="23">
        <f>IF($C291="","",N(J291)+N(Q291))</f>
        <v/>
      </c>
      <c r="S291" s="25">
        <f>IF(OR($C291="",N($G291)=0),"",R291/$G291)</f>
        <v/>
      </c>
      <c r="T291" s="23">
        <f>IF($C291="","",N($G291)-N(R291))</f>
        <v/>
      </c>
      <c r="U291" s="24" t="n"/>
      <c r="V291" s="22" t="n"/>
    </row>
    <row r="292">
      <c r="B292" s="13">
        <f>IF($C292="","",COUNTA($C$9:$C292))</f>
        <v/>
      </c>
      <c r="C292" s="21" t="n"/>
      <c r="D292" s="14" t="n"/>
      <c r="E292" s="14" t="n"/>
      <c r="F292" s="14" t="n"/>
      <c r="G292" s="22" t="n"/>
      <c r="H292" s="22" t="n"/>
      <c r="I292" s="22" t="n"/>
      <c r="J292" s="22" t="n"/>
      <c r="K292" s="22" t="n"/>
      <c r="L292" s="22" t="n"/>
      <c r="M292" s="22" t="n"/>
      <c r="N292" s="22" t="n"/>
      <c r="O292" s="23">
        <f>IF($C292="","",N(L292)-N(M292))</f>
        <v/>
      </c>
      <c r="P292" s="24" t="n"/>
      <c r="Q292" s="23">
        <f>IF($C292="","",N(M292)+N(N292))</f>
        <v/>
      </c>
      <c r="R292" s="23">
        <f>IF($C292="","",N(J292)+N(Q292))</f>
        <v/>
      </c>
      <c r="S292" s="25">
        <f>IF(OR($C292="",N($G292)=0),"",R292/$G292)</f>
        <v/>
      </c>
      <c r="T292" s="23">
        <f>IF($C292="","",N($G292)-N(R292))</f>
        <v/>
      </c>
      <c r="U292" s="24" t="n"/>
      <c r="V292" s="22" t="n"/>
    </row>
    <row r="293">
      <c r="B293" s="13">
        <f>IF($C293="","",COUNTA($C$9:$C293))</f>
        <v/>
      </c>
      <c r="C293" s="21" t="n"/>
      <c r="D293" s="14" t="n"/>
      <c r="E293" s="14" t="n"/>
      <c r="F293" s="14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3">
        <f>IF($C293="","",N(L293)-N(M293))</f>
        <v/>
      </c>
      <c r="P293" s="24" t="n"/>
      <c r="Q293" s="23">
        <f>IF($C293="","",N(M293)+N(N293))</f>
        <v/>
      </c>
      <c r="R293" s="23">
        <f>IF($C293="","",N(J293)+N(Q293))</f>
        <v/>
      </c>
      <c r="S293" s="25">
        <f>IF(OR($C293="",N($G293)=0),"",R293/$G293)</f>
        <v/>
      </c>
      <c r="T293" s="23">
        <f>IF($C293="","",N($G293)-N(R293))</f>
        <v/>
      </c>
      <c r="U293" s="24" t="n"/>
      <c r="V293" s="22" t="n"/>
    </row>
    <row r="294">
      <c r="B294" s="13">
        <f>IF($C294="","",COUNTA($C$9:$C294))</f>
        <v/>
      </c>
      <c r="C294" s="21" t="n"/>
      <c r="D294" s="14" t="n"/>
      <c r="E294" s="14" t="n"/>
      <c r="F294" s="14" t="n"/>
      <c r="G294" s="22" t="n"/>
      <c r="H294" s="22" t="n"/>
      <c r="I294" s="22" t="n"/>
      <c r="J294" s="22" t="n"/>
      <c r="K294" s="22" t="n"/>
      <c r="L294" s="22" t="n"/>
      <c r="M294" s="22" t="n"/>
      <c r="N294" s="22" t="n"/>
      <c r="O294" s="23">
        <f>IF($C294="","",N(L294)-N(M294))</f>
        <v/>
      </c>
      <c r="P294" s="24" t="n"/>
      <c r="Q294" s="23">
        <f>IF($C294="","",N(M294)+N(N294))</f>
        <v/>
      </c>
      <c r="R294" s="23">
        <f>IF($C294="","",N(J294)+N(Q294))</f>
        <v/>
      </c>
      <c r="S294" s="25">
        <f>IF(OR($C294="",N($G294)=0),"",R294/$G294)</f>
        <v/>
      </c>
      <c r="T294" s="23">
        <f>IF($C294="","",N($G294)-N(R294))</f>
        <v/>
      </c>
      <c r="U294" s="24" t="n"/>
      <c r="V294" s="22" t="n"/>
    </row>
    <row r="295">
      <c r="B295" s="13">
        <f>IF($C295="","",COUNTA($C$9:$C295))</f>
        <v/>
      </c>
      <c r="C295" s="21" t="n"/>
      <c r="D295" s="14" t="n"/>
      <c r="E295" s="14" t="n"/>
      <c r="F295" s="14" t="n"/>
      <c r="G295" s="22" t="n"/>
      <c r="H295" s="22" t="n"/>
      <c r="I295" s="22" t="n"/>
      <c r="J295" s="22" t="n"/>
      <c r="K295" s="22" t="n"/>
      <c r="L295" s="22" t="n"/>
      <c r="M295" s="22" t="n"/>
      <c r="N295" s="22" t="n"/>
      <c r="O295" s="23">
        <f>IF($C295="","",N(L295)-N(M295))</f>
        <v/>
      </c>
      <c r="P295" s="24" t="n"/>
      <c r="Q295" s="23">
        <f>IF($C295="","",N(M295)+N(N295))</f>
        <v/>
      </c>
      <c r="R295" s="23">
        <f>IF($C295="","",N(J295)+N(Q295))</f>
        <v/>
      </c>
      <c r="S295" s="25">
        <f>IF(OR($C295="",N($G295)=0),"",R295/$G295)</f>
        <v/>
      </c>
      <c r="T295" s="23">
        <f>IF($C295="","",N($G295)-N(R295))</f>
        <v/>
      </c>
      <c r="U295" s="24" t="n"/>
      <c r="V295" s="22" t="n"/>
    </row>
    <row r="296">
      <c r="B296" s="13">
        <f>IF($C296="","",COUNTA($C$9:$C296))</f>
        <v/>
      </c>
      <c r="C296" s="21" t="n"/>
      <c r="D296" s="14" t="n"/>
      <c r="E296" s="14" t="n"/>
      <c r="F296" s="14" t="n"/>
      <c r="G296" s="22" t="n"/>
      <c r="H296" s="22" t="n"/>
      <c r="I296" s="22" t="n"/>
      <c r="J296" s="22" t="n"/>
      <c r="K296" s="22" t="n"/>
      <c r="L296" s="22" t="n"/>
      <c r="M296" s="22" t="n"/>
      <c r="N296" s="22" t="n"/>
      <c r="O296" s="23">
        <f>IF($C296="","",N(L296)-N(M296))</f>
        <v/>
      </c>
      <c r="P296" s="24" t="n"/>
      <c r="Q296" s="23">
        <f>IF($C296="","",N(M296)+N(N296))</f>
        <v/>
      </c>
      <c r="R296" s="23">
        <f>IF($C296="","",N(J296)+N(Q296))</f>
        <v/>
      </c>
      <c r="S296" s="25">
        <f>IF(OR($C296="",N($G296)=0),"",R296/$G296)</f>
        <v/>
      </c>
      <c r="T296" s="23">
        <f>IF($C296="","",N($G296)-N(R296))</f>
        <v/>
      </c>
      <c r="U296" s="24" t="n"/>
      <c r="V296" s="22" t="n"/>
    </row>
    <row r="297">
      <c r="B297" s="13">
        <f>IF($C297="","",COUNTA($C$9:$C297))</f>
        <v/>
      </c>
      <c r="C297" s="21" t="n"/>
      <c r="D297" s="14" t="n"/>
      <c r="E297" s="14" t="n"/>
      <c r="F297" s="14" t="n"/>
      <c r="G297" s="22" t="n"/>
      <c r="H297" s="22" t="n"/>
      <c r="I297" s="22" t="n"/>
      <c r="J297" s="22" t="n"/>
      <c r="K297" s="22" t="n"/>
      <c r="L297" s="22" t="n"/>
      <c r="M297" s="22" t="n"/>
      <c r="N297" s="22" t="n"/>
      <c r="O297" s="23">
        <f>IF($C297="","",N(L297)-N(M297))</f>
        <v/>
      </c>
      <c r="P297" s="24" t="n"/>
      <c r="Q297" s="23">
        <f>IF($C297="","",N(M297)+N(N297))</f>
        <v/>
      </c>
      <c r="R297" s="23">
        <f>IF($C297="","",N(J297)+N(Q297))</f>
        <v/>
      </c>
      <c r="S297" s="25">
        <f>IF(OR($C297="",N($G297)=0),"",R297/$G297)</f>
        <v/>
      </c>
      <c r="T297" s="23">
        <f>IF($C297="","",N($G297)-N(R297))</f>
        <v/>
      </c>
      <c r="U297" s="24" t="n"/>
      <c r="V297" s="22" t="n"/>
    </row>
    <row r="298">
      <c r="B298" s="13">
        <f>IF($C298="","",COUNTA($C$9:$C298))</f>
        <v/>
      </c>
      <c r="C298" s="21" t="n"/>
      <c r="D298" s="14" t="n"/>
      <c r="E298" s="14" t="n"/>
      <c r="F298" s="14" t="n"/>
      <c r="G298" s="22" t="n"/>
      <c r="H298" s="22" t="n"/>
      <c r="I298" s="22" t="n"/>
      <c r="J298" s="22" t="n"/>
      <c r="K298" s="22" t="n"/>
      <c r="L298" s="22" t="n"/>
      <c r="M298" s="22" t="n"/>
      <c r="N298" s="22" t="n"/>
      <c r="O298" s="23">
        <f>IF($C298="","",N(L298)-N(M298))</f>
        <v/>
      </c>
      <c r="P298" s="24" t="n"/>
      <c r="Q298" s="23">
        <f>IF($C298="","",N(M298)+N(N298))</f>
        <v/>
      </c>
      <c r="R298" s="23">
        <f>IF($C298="","",N(J298)+N(Q298))</f>
        <v/>
      </c>
      <c r="S298" s="25">
        <f>IF(OR($C298="",N($G298)=0),"",R298/$G298)</f>
        <v/>
      </c>
      <c r="T298" s="23">
        <f>IF($C298="","",N($G298)-N(R298))</f>
        <v/>
      </c>
      <c r="U298" s="24" t="n"/>
      <c r="V298" s="22" t="n"/>
    </row>
    <row r="299">
      <c r="B299" s="13">
        <f>IF($C299="","",COUNTA($C$9:$C299))</f>
        <v/>
      </c>
      <c r="C299" s="21" t="n"/>
      <c r="D299" s="14" t="n"/>
      <c r="E299" s="14" t="n"/>
      <c r="F299" s="14" t="n"/>
      <c r="G299" s="22" t="n"/>
      <c r="H299" s="22" t="n"/>
      <c r="I299" s="22" t="n"/>
      <c r="J299" s="22" t="n"/>
      <c r="K299" s="22" t="n"/>
      <c r="L299" s="22" t="n"/>
      <c r="M299" s="22" t="n"/>
      <c r="N299" s="22" t="n"/>
      <c r="O299" s="23">
        <f>IF($C299="","",N(L299)-N(M299))</f>
        <v/>
      </c>
      <c r="P299" s="24" t="n"/>
      <c r="Q299" s="23">
        <f>IF($C299="","",N(M299)+N(N299))</f>
        <v/>
      </c>
      <c r="R299" s="23">
        <f>IF($C299="","",N(J299)+N(Q299))</f>
        <v/>
      </c>
      <c r="S299" s="25">
        <f>IF(OR($C299="",N($G299)=0),"",R299/$G299)</f>
        <v/>
      </c>
      <c r="T299" s="23">
        <f>IF($C299="","",N($G299)-N(R299))</f>
        <v/>
      </c>
      <c r="U299" s="24" t="n"/>
      <c r="V299" s="22" t="n"/>
    </row>
    <row r="300">
      <c r="B300" s="13">
        <f>IF($C300="","",COUNTA($C$9:$C300))</f>
        <v/>
      </c>
      <c r="C300" s="21" t="n"/>
      <c r="D300" s="14" t="n"/>
      <c r="E300" s="14" t="n"/>
      <c r="F300" s="14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3">
        <f>IF($C300="","",N(L300)-N(M300))</f>
        <v/>
      </c>
      <c r="P300" s="24" t="n"/>
      <c r="Q300" s="23">
        <f>IF($C300="","",N(M300)+N(N300))</f>
        <v/>
      </c>
      <c r="R300" s="23">
        <f>IF($C300="","",N(J300)+N(Q300))</f>
        <v/>
      </c>
      <c r="S300" s="25">
        <f>IF(OR($C300="",N($G300)=0),"",R300/$G300)</f>
        <v/>
      </c>
      <c r="T300" s="23">
        <f>IF($C300="","",N($G300)-N(R300))</f>
        <v/>
      </c>
      <c r="U300" s="24" t="n"/>
      <c r="V300" s="22" t="n"/>
    </row>
    <row r="301">
      <c r="B301" s="13">
        <f>IF($C301="","",COUNTA($C$9:$C301))</f>
        <v/>
      </c>
      <c r="C301" s="21" t="n"/>
      <c r="D301" s="14" t="n"/>
      <c r="E301" s="14" t="n"/>
      <c r="F301" s="14" t="n"/>
      <c r="G301" s="22" t="n"/>
      <c r="H301" s="22" t="n"/>
      <c r="I301" s="22" t="n"/>
      <c r="J301" s="22" t="n"/>
      <c r="K301" s="22" t="n"/>
      <c r="L301" s="22" t="n"/>
      <c r="M301" s="22" t="n"/>
      <c r="N301" s="22" t="n"/>
      <c r="O301" s="23">
        <f>IF($C301="","",N(L301)-N(M301))</f>
        <v/>
      </c>
      <c r="P301" s="24" t="n"/>
      <c r="Q301" s="23">
        <f>IF($C301="","",N(M301)+N(N301))</f>
        <v/>
      </c>
      <c r="R301" s="23">
        <f>IF($C301="","",N(J301)+N(Q301))</f>
        <v/>
      </c>
      <c r="S301" s="25">
        <f>IF(OR($C301="",N($G301)=0),"",R301/$G301)</f>
        <v/>
      </c>
      <c r="T301" s="23">
        <f>IF($C301="","",N($G301)-N(R301))</f>
        <v/>
      </c>
      <c r="U301" s="24" t="n"/>
      <c r="V301" s="22" t="n"/>
    </row>
    <row r="302">
      <c r="B302" s="13">
        <f>IF($C302="","",COUNTA($C$9:$C302))</f>
        <v/>
      </c>
      <c r="C302" s="21" t="n"/>
      <c r="D302" s="14" t="n"/>
      <c r="E302" s="14" t="n"/>
      <c r="F302" s="14" t="n"/>
      <c r="G302" s="22" t="n"/>
      <c r="H302" s="22" t="n"/>
      <c r="I302" s="22" t="n"/>
      <c r="J302" s="22" t="n"/>
      <c r="K302" s="22" t="n"/>
      <c r="L302" s="22" t="n"/>
      <c r="M302" s="22" t="n"/>
      <c r="N302" s="22" t="n"/>
      <c r="O302" s="23">
        <f>IF($C302="","",N(L302)-N(M302))</f>
        <v/>
      </c>
      <c r="P302" s="24" t="n"/>
      <c r="Q302" s="23">
        <f>IF($C302="","",N(M302)+N(N302))</f>
        <v/>
      </c>
      <c r="R302" s="23">
        <f>IF($C302="","",N(J302)+N(Q302))</f>
        <v/>
      </c>
      <c r="S302" s="25">
        <f>IF(OR($C302="",N($G302)=0),"",R302/$G302)</f>
        <v/>
      </c>
      <c r="T302" s="23">
        <f>IF($C302="","",N($G302)-N(R302))</f>
        <v/>
      </c>
      <c r="U302" s="24" t="n"/>
      <c r="V302" s="22" t="n"/>
    </row>
    <row r="303">
      <c r="B303" s="13">
        <f>IF($C303="","",COUNTA($C$9:$C303))</f>
        <v/>
      </c>
      <c r="C303" s="21" t="n"/>
      <c r="D303" s="14" t="n"/>
      <c r="E303" s="14" t="n"/>
      <c r="F303" s="14" t="n"/>
      <c r="G303" s="22" t="n"/>
      <c r="H303" s="22" t="n"/>
      <c r="I303" s="22" t="n"/>
      <c r="J303" s="22" t="n"/>
      <c r="K303" s="22" t="n"/>
      <c r="L303" s="22" t="n"/>
      <c r="M303" s="22" t="n"/>
      <c r="N303" s="22" t="n"/>
      <c r="O303" s="23">
        <f>IF($C303="","",N(L303)-N(M303))</f>
        <v/>
      </c>
      <c r="P303" s="24" t="n"/>
      <c r="Q303" s="23">
        <f>IF($C303="","",N(M303)+N(N303))</f>
        <v/>
      </c>
      <c r="R303" s="23">
        <f>IF($C303="","",N(J303)+N(Q303))</f>
        <v/>
      </c>
      <c r="S303" s="25">
        <f>IF(OR($C303="",N($G303)=0),"",R303/$G303)</f>
        <v/>
      </c>
      <c r="T303" s="23">
        <f>IF($C303="","",N($G303)-N(R303))</f>
        <v/>
      </c>
      <c r="U303" s="24" t="n"/>
      <c r="V303" s="22" t="n"/>
    </row>
    <row r="304">
      <c r="B304" s="13">
        <f>IF($C304="","",COUNTA($C$9:$C304))</f>
        <v/>
      </c>
      <c r="C304" s="21" t="n"/>
      <c r="D304" s="14" t="n"/>
      <c r="E304" s="14" t="n"/>
      <c r="F304" s="14" t="n"/>
      <c r="G304" s="22" t="n"/>
      <c r="H304" s="22" t="n"/>
      <c r="I304" s="22" t="n"/>
      <c r="J304" s="22" t="n"/>
      <c r="K304" s="22" t="n"/>
      <c r="L304" s="22" t="n"/>
      <c r="M304" s="22" t="n"/>
      <c r="N304" s="22" t="n"/>
      <c r="O304" s="23">
        <f>IF($C304="","",N(L304)-N(M304))</f>
        <v/>
      </c>
      <c r="P304" s="24" t="n"/>
      <c r="Q304" s="23">
        <f>IF($C304="","",N(M304)+N(N304))</f>
        <v/>
      </c>
      <c r="R304" s="23">
        <f>IF($C304="","",N(J304)+N(Q304))</f>
        <v/>
      </c>
      <c r="S304" s="25">
        <f>IF(OR($C304="",N($G304)=0),"",R304/$G304)</f>
        <v/>
      </c>
      <c r="T304" s="23">
        <f>IF($C304="","",N($G304)-N(R304))</f>
        <v/>
      </c>
      <c r="U304" s="24" t="n"/>
      <c r="V304" s="22" t="n"/>
    </row>
    <row r="305">
      <c r="B305" s="13">
        <f>IF($C305="","",COUNTA($C$9:$C305))</f>
        <v/>
      </c>
      <c r="C305" s="21" t="n"/>
      <c r="D305" s="14" t="n"/>
      <c r="E305" s="14" t="n"/>
      <c r="F305" s="14" t="n"/>
      <c r="G305" s="22" t="n"/>
      <c r="H305" s="22" t="n"/>
      <c r="I305" s="22" t="n"/>
      <c r="J305" s="22" t="n"/>
      <c r="K305" s="22" t="n"/>
      <c r="L305" s="22" t="n"/>
      <c r="M305" s="22" t="n"/>
      <c r="N305" s="22" t="n"/>
      <c r="O305" s="23">
        <f>IF($C305="","",N(L305)-N(M305))</f>
        <v/>
      </c>
      <c r="P305" s="24" t="n"/>
      <c r="Q305" s="23">
        <f>IF($C305="","",N(M305)+N(N305))</f>
        <v/>
      </c>
      <c r="R305" s="23">
        <f>IF($C305="","",N(J305)+N(Q305))</f>
        <v/>
      </c>
      <c r="S305" s="25">
        <f>IF(OR($C305="",N($G305)=0),"",R305/$G305)</f>
        <v/>
      </c>
      <c r="T305" s="23">
        <f>IF($C305="","",N($G305)-N(R305))</f>
        <v/>
      </c>
      <c r="U305" s="24" t="n"/>
      <c r="V305" s="22" t="n"/>
    </row>
    <row r="306">
      <c r="B306" s="13">
        <f>IF($C306="","",COUNTA($C$9:$C306))</f>
        <v/>
      </c>
      <c r="C306" s="21" t="n"/>
      <c r="D306" s="14" t="n"/>
      <c r="E306" s="14" t="n"/>
      <c r="F306" s="14" t="n"/>
      <c r="G306" s="22" t="n"/>
      <c r="H306" s="22" t="n"/>
      <c r="I306" s="22" t="n"/>
      <c r="J306" s="22" t="n"/>
      <c r="K306" s="22" t="n"/>
      <c r="L306" s="22" t="n"/>
      <c r="M306" s="22" t="n"/>
      <c r="N306" s="22" t="n"/>
      <c r="O306" s="23">
        <f>IF($C306="","",N(L306)-N(M306))</f>
        <v/>
      </c>
      <c r="P306" s="24" t="n"/>
      <c r="Q306" s="23">
        <f>IF($C306="","",N(M306)+N(N306))</f>
        <v/>
      </c>
      <c r="R306" s="23">
        <f>IF($C306="","",N(J306)+N(Q306))</f>
        <v/>
      </c>
      <c r="S306" s="25">
        <f>IF(OR($C306="",N($G306)=0),"",R306/$G306)</f>
        <v/>
      </c>
      <c r="T306" s="23">
        <f>IF($C306="","",N($G306)-N(R306))</f>
        <v/>
      </c>
      <c r="U306" s="24" t="n"/>
      <c r="V306" s="22" t="n"/>
    </row>
    <row r="307">
      <c r="B307" s="13">
        <f>IF($C307="","",COUNTA($C$9:$C307))</f>
        <v/>
      </c>
      <c r="C307" s="21" t="n"/>
      <c r="D307" s="14" t="n"/>
      <c r="E307" s="14" t="n"/>
      <c r="F307" s="14" t="n"/>
      <c r="G307" s="22" t="n"/>
      <c r="H307" s="22" t="n"/>
      <c r="I307" s="22" t="n"/>
      <c r="J307" s="22" t="n"/>
      <c r="K307" s="22" t="n"/>
      <c r="L307" s="22" t="n"/>
      <c r="M307" s="22" t="n"/>
      <c r="N307" s="22" t="n"/>
      <c r="O307" s="23">
        <f>IF($C307="","",N(L307)-N(M307))</f>
        <v/>
      </c>
      <c r="P307" s="24" t="n"/>
      <c r="Q307" s="23">
        <f>IF($C307="","",N(M307)+N(N307))</f>
        <v/>
      </c>
      <c r="R307" s="23">
        <f>IF($C307="","",N(J307)+N(Q307))</f>
        <v/>
      </c>
      <c r="S307" s="25">
        <f>IF(OR($C307="",N($G307)=0),"",R307/$G307)</f>
        <v/>
      </c>
      <c r="T307" s="23">
        <f>IF($C307="","",N($G307)-N(R307))</f>
        <v/>
      </c>
      <c r="U307" s="24" t="n"/>
      <c r="V307" s="22" t="n"/>
    </row>
    <row r="308">
      <c r="B308" s="13">
        <f>IF($C308="","",COUNTA($C$9:$C308))</f>
        <v/>
      </c>
      <c r="C308" s="21" t="n"/>
      <c r="D308" s="14" t="n"/>
      <c r="E308" s="14" t="n"/>
      <c r="F308" s="14" t="n"/>
      <c r="G308" s="22" t="n"/>
      <c r="H308" s="22" t="n"/>
      <c r="I308" s="22" t="n"/>
      <c r="J308" s="22" t="n"/>
      <c r="K308" s="22" t="n"/>
      <c r="L308" s="22" t="n"/>
      <c r="M308" s="22" t="n"/>
      <c r="N308" s="22" t="n"/>
      <c r="O308" s="23">
        <f>IF($C308="","",N(L308)-N(M308))</f>
        <v/>
      </c>
      <c r="P308" s="24" t="n"/>
      <c r="Q308" s="23">
        <f>IF($C308="","",N(M308)+N(N308))</f>
        <v/>
      </c>
      <c r="R308" s="23">
        <f>IF($C308="","",N(J308)+N(Q308))</f>
        <v/>
      </c>
      <c r="S308" s="25">
        <f>IF(OR($C308="",N($G308)=0),"",R308/$G308)</f>
        <v/>
      </c>
      <c r="T308" s="23">
        <f>IF($C308="","",N($G308)-N(R308))</f>
        <v/>
      </c>
      <c r="U308" s="24" t="n"/>
      <c r="V308" s="22" t="n"/>
    </row>
    <row r="309">
      <c r="B309" s="13">
        <f>IF($C309="","",COUNTA($C$9:$C309))</f>
        <v/>
      </c>
      <c r="C309" s="21" t="n"/>
      <c r="D309" s="14" t="n"/>
      <c r="E309" s="14" t="n"/>
      <c r="F309" s="14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3">
        <f>IF($C309="","",N(L309)-N(M309))</f>
        <v/>
      </c>
      <c r="P309" s="24" t="n"/>
      <c r="Q309" s="23">
        <f>IF($C309="","",N(M309)+N(N309))</f>
        <v/>
      </c>
      <c r="R309" s="23">
        <f>IF($C309="","",N(J309)+N(Q309))</f>
        <v/>
      </c>
      <c r="S309" s="25">
        <f>IF(OR($C309="",N($G309)=0),"",R309/$G309)</f>
        <v/>
      </c>
      <c r="T309" s="23">
        <f>IF($C309="","",N($G309)-N(R309))</f>
        <v/>
      </c>
      <c r="U309" s="24" t="n"/>
      <c r="V309" s="22" t="n"/>
    </row>
    <row r="310">
      <c r="B310" s="13">
        <f>IF($C310="","",COUNTA($C$9:$C310))</f>
        <v/>
      </c>
      <c r="C310" s="21" t="n"/>
      <c r="D310" s="14" t="n"/>
      <c r="E310" s="14" t="n"/>
      <c r="F310" s="14" t="n"/>
      <c r="G310" s="22" t="n"/>
      <c r="H310" s="22" t="n"/>
      <c r="I310" s="22" t="n"/>
      <c r="J310" s="22" t="n"/>
      <c r="K310" s="22" t="n"/>
      <c r="L310" s="22" t="n"/>
      <c r="M310" s="22" t="n"/>
      <c r="N310" s="22" t="n"/>
      <c r="O310" s="23">
        <f>IF($C310="","",N(L310)-N(M310))</f>
        <v/>
      </c>
      <c r="P310" s="24" t="n"/>
      <c r="Q310" s="23">
        <f>IF($C310="","",N(M310)+N(N310))</f>
        <v/>
      </c>
      <c r="R310" s="23">
        <f>IF($C310="","",N(J310)+N(Q310))</f>
        <v/>
      </c>
      <c r="S310" s="25">
        <f>IF(OR($C310="",N($G310)=0),"",R310/$G310)</f>
        <v/>
      </c>
      <c r="T310" s="23">
        <f>IF($C310="","",N($G310)-N(R310))</f>
        <v/>
      </c>
      <c r="U310" s="24" t="n"/>
      <c r="V310" s="22" t="n"/>
    </row>
    <row r="311">
      <c r="B311" s="13">
        <f>IF($C311="","",COUNTA($C$9:$C311))</f>
        <v/>
      </c>
      <c r="C311" s="21" t="n"/>
      <c r="D311" s="14" t="n"/>
      <c r="E311" s="14" t="n"/>
      <c r="F311" s="14" t="n"/>
      <c r="G311" s="22" t="n"/>
      <c r="H311" s="22" t="n"/>
      <c r="I311" s="22" t="n"/>
      <c r="J311" s="22" t="n"/>
      <c r="K311" s="22" t="n"/>
      <c r="L311" s="22" t="n"/>
      <c r="M311" s="22" t="n"/>
      <c r="N311" s="22" t="n"/>
      <c r="O311" s="23">
        <f>IF($C311="","",N(L311)-N(M311))</f>
        <v/>
      </c>
      <c r="P311" s="24" t="n"/>
      <c r="Q311" s="23">
        <f>IF($C311="","",N(M311)+N(N311))</f>
        <v/>
      </c>
      <c r="R311" s="23">
        <f>IF($C311="","",N(J311)+N(Q311))</f>
        <v/>
      </c>
      <c r="S311" s="25">
        <f>IF(OR($C311="",N($G311)=0),"",R311/$G311)</f>
        <v/>
      </c>
      <c r="T311" s="23">
        <f>IF($C311="","",N($G311)-N(R311))</f>
        <v/>
      </c>
      <c r="U311" s="24" t="n"/>
      <c r="V311" s="22" t="n"/>
    </row>
    <row r="312">
      <c r="B312" s="13">
        <f>IF($C312="","",COUNTA($C$9:$C312))</f>
        <v/>
      </c>
      <c r="C312" s="21" t="n"/>
      <c r="D312" s="14" t="n"/>
      <c r="E312" s="14" t="n"/>
      <c r="F312" s="14" t="n"/>
      <c r="G312" s="22" t="n"/>
      <c r="H312" s="22" t="n"/>
      <c r="I312" s="22" t="n"/>
      <c r="J312" s="22" t="n"/>
      <c r="K312" s="22" t="n"/>
      <c r="L312" s="22" t="n"/>
      <c r="M312" s="22" t="n"/>
      <c r="N312" s="22" t="n"/>
      <c r="O312" s="23">
        <f>IF($C312="","",N(L312)-N(M312))</f>
        <v/>
      </c>
      <c r="P312" s="24" t="n"/>
      <c r="Q312" s="23">
        <f>IF($C312="","",N(M312)+N(N312))</f>
        <v/>
      </c>
      <c r="R312" s="23">
        <f>IF($C312="","",N(J312)+N(Q312))</f>
        <v/>
      </c>
      <c r="S312" s="25">
        <f>IF(OR($C312="",N($G312)=0),"",R312/$G312)</f>
        <v/>
      </c>
      <c r="T312" s="23">
        <f>IF($C312="","",N($G312)-N(R312))</f>
        <v/>
      </c>
      <c r="U312" s="24" t="n"/>
      <c r="V312" s="22" t="n"/>
    </row>
    <row r="313">
      <c r="B313" s="13">
        <f>IF($C313="","",COUNTA($C$9:$C313))</f>
        <v/>
      </c>
      <c r="C313" s="21" t="n"/>
      <c r="D313" s="14" t="n"/>
      <c r="E313" s="14" t="n"/>
      <c r="F313" s="14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3">
        <f>IF($C313="","",N(L313)-N(M313))</f>
        <v/>
      </c>
      <c r="P313" s="24" t="n"/>
      <c r="Q313" s="23">
        <f>IF($C313="","",N(M313)+N(N313))</f>
        <v/>
      </c>
      <c r="R313" s="23">
        <f>IF($C313="","",N(J313)+N(Q313))</f>
        <v/>
      </c>
      <c r="S313" s="25">
        <f>IF(OR($C313="",N($G313)=0),"",R313/$G313)</f>
        <v/>
      </c>
      <c r="T313" s="23">
        <f>IF($C313="","",N($G313)-N(R313))</f>
        <v/>
      </c>
      <c r="U313" s="24" t="n"/>
      <c r="V313" s="22" t="n"/>
    </row>
    <row r="314">
      <c r="B314" s="13">
        <f>IF($C314="","",COUNTA($C$9:$C314))</f>
        <v/>
      </c>
      <c r="C314" s="21" t="n"/>
      <c r="D314" s="14" t="n"/>
      <c r="E314" s="14" t="n"/>
      <c r="F314" s="14" t="n"/>
      <c r="G314" s="22" t="n"/>
      <c r="H314" s="22" t="n"/>
      <c r="I314" s="22" t="n"/>
      <c r="J314" s="22" t="n"/>
      <c r="K314" s="22" t="n"/>
      <c r="L314" s="22" t="n"/>
      <c r="M314" s="22" t="n"/>
      <c r="N314" s="22" t="n"/>
      <c r="O314" s="23">
        <f>IF($C314="","",N(L314)-N(M314))</f>
        <v/>
      </c>
      <c r="P314" s="24" t="n"/>
      <c r="Q314" s="23">
        <f>IF($C314="","",N(M314)+N(N314))</f>
        <v/>
      </c>
      <c r="R314" s="23">
        <f>IF($C314="","",N(J314)+N(Q314))</f>
        <v/>
      </c>
      <c r="S314" s="25">
        <f>IF(OR($C314="",N($G314)=0),"",R314/$G314)</f>
        <v/>
      </c>
      <c r="T314" s="23">
        <f>IF($C314="","",N($G314)-N(R314))</f>
        <v/>
      </c>
      <c r="U314" s="24" t="n"/>
      <c r="V314" s="22" t="n"/>
    </row>
    <row r="315">
      <c r="B315" s="13">
        <f>IF($C315="","",COUNTA($C$9:$C315))</f>
        <v/>
      </c>
      <c r="C315" s="21" t="n"/>
      <c r="D315" s="14" t="n"/>
      <c r="E315" s="14" t="n"/>
      <c r="F315" s="14" t="n"/>
      <c r="G315" s="22" t="n"/>
      <c r="H315" s="22" t="n"/>
      <c r="I315" s="22" t="n"/>
      <c r="J315" s="22" t="n"/>
      <c r="K315" s="22" t="n"/>
      <c r="L315" s="22" t="n"/>
      <c r="M315" s="22" t="n"/>
      <c r="N315" s="22" t="n"/>
      <c r="O315" s="23">
        <f>IF($C315="","",N(L315)-N(M315))</f>
        <v/>
      </c>
      <c r="P315" s="24" t="n"/>
      <c r="Q315" s="23">
        <f>IF($C315="","",N(M315)+N(N315))</f>
        <v/>
      </c>
      <c r="R315" s="23">
        <f>IF($C315="","",N(J315)+N(Q315))</f>
        <v/>
      </c>
      <c r="S315" s="25">
        <f>IF(OR($C315="",N($G315)=0),"",R315/$G315)</f>
        <v/>
      </c>
      <c r="T315" s="23">
        <f>IF($C315="","",N($G315)-N(R315))</f>
        <v/>
      </c>
      <c r="U315" s="24" t="n"/>
      <c r="V315" s="22" t="n"/>
    </row>
    <row r="316">
      <c r="B316" s="13">
        <f>IF($C316="","",COUNTA($C$9:$C316))</f>
        <v/>
      </c>
      <c r="C316" s="21" t="n"/>
      <c r="D316" s="14" t="n"/>
      <c r="E316" s="14" t="n"/>
      <c r="F316" s="14" t="n"/>
      <c r="G316" s="22" t="n"/>
      <c r="H316" s="22" t="n"/>
      <c r="I316" s="22" t="n"/>
      <c r="J316" s="22" t="n"/>
      <c r="K316" s="22" t="n"/>
      <c r="L316" s="22" t="n"/>
      <c r="M316" s="22" t="n"/>
      <c r="N316" s="22" t="n"/>
      <c r="O316" s="23">
        <f>IF($C316="","",N(L316)-N(M316))</f>
        <v/>
      </c>
      <c r="P316" s="24" t="n"/>
      <c r="Q316" s="23">
        <f>IF($C316="","",N(M316)+N(N316))</f>
        <v/>
      </c>
      <c r="R316" s="23">
        <f>IF($C316="","",N(J316)+N(Q316))</f>
        <v/>
      </c>
      <c r="S316" s="25">
        <f>IF(OR($C316="",N($G316)=0),"",R316/$G316)</f>
        <v/>
      </c>
      <c r="T316" s="23">
        <f>IF($C316="","",N($G316)-N(R316))</f>
        <v/>
      </c>
      <c r="U316" s="24" t="n"/>
      <c r="V316" s="22" t="n"/>
    </row>
    <row r="317">
      <c r="B317" s="13">
        <f>IF($C317="","",COUNTA($C$9:$C317))</f>
        <v/>
      </c>
      <c r="C317" s="21" t="n"/>
      <c r="D317" s="14" t="n"/>
      <c r="E317" s="14" t="n"/>
      <c r="F317" s="14" t="n"/>
      <c r="G317" s="22" t="n"/>
      <c r="H317" s="22" t="n"/>
      <c r="I317" s="22" t="n"/>
      <c r="J317" s="22" t="n"/>
      <c r="K317" s="22" t="n"/>
      <c r="L317" s="22" t="n"/>
      <c r="M317" s="22" t="n"/>
      <c r="N317" s="22" t="n"/>
      <c r="O317" s="23">
        <f>IF($C317="","",N(L317)-N(M317))</f>
        <v/>
      </c>
      <c r="P317" s="24" t="n"/>
      <c r="Q317" s="23">
        <f>IF($C317="","",N(M317)+N(N317))</f>
        <v/>
      </c>
      <c r="R317" s="23">
        <f>IF($C317="","",N(J317)+N(Q317))</f>
        <v/>
      </c>
      <c r="S317" s="25">
        <f>IF(OR($C317="",N($G317)=0),"",R317/$G317)</f>
        <v/>
      </c>
      <c r="T317" s="23">
        <f>IF($C317="","",N($G317)-N(R317))</f>
        <v/>
      </c>
      <c r="U317" s="24" t="n"/>
      <c r="V317" s="22" t="n"/>
    </row>
    <row r="318">
      <c r="B318" s="13">
        <f>IF($C318="","",COUNTA($C$9:$C318))</f>
        <v/>
      </c>
      <c r="C318" s="21" t="n"/>
      <c r="D318" s="14" t="n"/>
      <c r="E318" s="14" t="n"/>
      <c r="F318" s="14" t="n"/>
      <c r="G318" s="22" t="n"/>
      <c r="H318" s="22" t="n"/>
      <c r="I318" s="22" t="n"/>
      <c r="J318" s="22" t="n"/>
      <c r="K318" s="22" t="n"/>
      <c r="L318" s="22" t="n"/>
      <c r="M318" s="22" t="n"/>
      <c r="N318" s="22" t="n"/>
      <c r="O318" s="23">
        <f>IF($C318="","",N(L318)-N(M318))</f>
        <v/>
      </c>
      <c r="P318" s="24" t="n"/>
      <c r="Q318" s="23">
        <f>IF($C318="","",N(M318)+N(N318))</f>
        <v/>
      </c>
      <c r="R318" s="23">
        <f>IF($C318="","",N(J318)+N(Q318))</f>
        <v/>
      </c>
      <c r="S318" s="25">
        <f>IF(OR($C318="",N($G318)=0),"",R318/$G318)</f>
        <v/>
      </c>
      <c r="T318" s="23">
        <f>IF($C318="","",N($G318)-N(R318))</f>
        <v/>
      </c>
      <c r="U318" s="24" t="n"/>
      <c r="V318" s="22" t="n"/>
    </row>
    <row r="319">
      <c r="B319" s="13">
        <f>IF($C319="","",COUNTA($C$9:$C319))</f>
        <v/>
      </c>
      <c r="C319" s="21" t="n"/>
      <c r="D319" s="14" t="n"/>
      <c r="E319" s="14" t="n"/>
      <c r="F319" s="14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3">
        <f>IF($C319="","",N(L319)-N(M319))</f>
        <v/>
      </c>
      <c r="P319" s="24" t="n"/>
      <c r="Q319" s="23">
        <f>IF($C319="","",N(M319)+N(N319))</f>
        <v/>
      </c>
      <c r="R319" s="23">
        <f>IF($C319="","",N(J319)+N(Q319))</f>
        <v/>
      </c>
      <c r="S319" s="25">
        <f>IF(OR($C319="",N($G319)=0),"",R319/$G319)</f>
        <v/>
      </c>
      <c r="T319" s="23">
        <f>IF($C319="","",N($G319)-N(R319))</f>
        <v/>
      </c>
      <c r="U319" s="24" t="n"/>
      <c r="V319" s="22" t="n"/>
    </row>
    <row r="320">
      <c r="B320" s="13">
        <f>IF($C320="","",COUNTA($C$9:$C320))</f>
        <v/>
      </c>
      <c r="C320" s="21" t="n"/>
      <c r="D320" s="14" t="n"/>
      <c r="E320" s="14" t="n"/>
      <c r="F320" s="14" t="n"/>
      <c r="G320" s="22" t="n"/>
      <c r="H320" s="22" t="n"/>
      <c r="I320" s="22" t="n"/>
      <c r="J320" s="22" t="n"/>
      <c r="K320" s="22" t="n"/>
      <c r="L320" s="22" t="n"/>
      <c r="M320" s="22" t="n"/>
      <c r="N320" s="22" t="n"/>
      <c r="O320" s="23">
        <f>IF($C320="","",N(L320)-N(M320))</f>
        <v/>
      </c>
      <c r="P320" s="24" t="n"/>
      <c r="Q320" s="23">
        <f>IF($C320="","",N(M320)+N(N320))</f>
        <v/>
      </c>
      <c r="R320" s="23">
        <f>IF($C320="","",N(J320)+N(Q320))</f>
        <v/>
      </c>
      <c r="S320" s="25">
        <f>IF(OR($C320="",N($G320)=0),"",R320/$G320)</f>
        <v/>
      </c>
      <c r="T320" s="23">
        <f>IF($C320="","",N($G320)-N(R320))</f>
        <v/>
      </c>
      <c r="U320" s="24" t="n"/>
      <c r="V320" s="22" t="n"/>
    </row>
    <row r="321">
      <c r="B321" s="13">
        <f>IF($C321="","",COUNTA($C$9:$C321))</f>
        <v/>
      </c>
      <c r="C321" s="21" t="n"/>
      <c r="D321" s="14" t="n"/>
      <c r="E321" s="14" t="n"/>
      <c r="F321" s="14" t="n"/>
      <c r="G321" s="22" t="n"/>
      <c r="H321" s="22" t="n"/>
      <c r="I321" s="22" t="n"/>
      <c r="J321" s="22" t="n"/>
      <c r="K321" s="22" t="n"/>
      <c r="L321" s="22" t="n"/>
      <c r="M321" s="22" t="n"/>
      <c r="N321" s="22" t="n"/>
      <c r="O321" s="23">
        <f>IF($C321="","",N(L321)-N(M321))</f>
        <v/>
      </c>
      <c r="P321" s="24" t="n"/>
      <c r="Q321" s="23">
        <f>IF($C321="","",N(M321)+N(N321))</f>
        <v/>
      </c>
      <c r="R321" s="23">
        <f>IF($C321="","",N(J321)+N(Q321))</f>
        <v/>
      </c>
      <c r="S321" s="25">
        <f>IF(OR($C321="",N($G321)=0),"",R321/$G321)</f>
        <v/>
      </c>
      <c r="T321" s="23">
        <f>IF($C321="","",N($G321)-N(R321))</f>
        <v/>
      </c>
      <c r="U321" s="24" t="n"/>
      <c r="V321" s="22" t="n"/>
    </row>
    <row r="322">
      <c r="B322" s="13">
        <f>IF($C322="","",COUNTA($C$9:$C322))</f>
        <v/>
      </c>
      <c r="C322" s="21" t="n"/>
      <c r="D322" s="14" t="n"/>
      <c r="E322" s="14" t="n"/>
      <c r="F322" s="14" t="n"/>
      <c r="G322" s="22" t="n"/>
      <c r="H322" s="22" t="n"/>
      <c r="I322" s="22" t="n"/>
      <c r="J322" s="22" t="n"/>
      <c r="K322" s="22" t="n"/>
      <c r="L322" s="22" t="n"/>
      <c r="M322" s="22" t="n"/>
      <c r="N322" s="22" t="n"/>
      <c r="O322" s="23">
        <f>IF($C322="","",N(L322)-N(M322))</f>
        <v/>
      </c>
      <c r="P322" s="24" t="n"/>
      <c r="Q322" s="23">
        <f>IF($C322="","",N(M322)+N(N322))</f>
        <v/>
      </c>
      <c r="R322" s="23">
        <f>IF($C322="","",N(J322)+N(Q322))</f>
        <v/>
      </c>
      <c r="S322" s="25">
        <f>IF(OR($C322="",N($G322)=0),"",R322/$G322)</f>
        <v/>
      </c>
      <c r="T322" s="23">
        <f>IF($C322="","",N($G322)-N(R322))</f>
        <v/>
      </c>
      <c r="U322" s="24" t="n"/>
      <c r="V322" s="22" t="n"/>
    </row>
    <row r="323">
      <c r="B323" s="13">
        <f>IF($C323="","",COUNTA($C$9:$C323))</f>
        <v/>
      </c>
      <c r="C323" s="21" t="n"/>
      <c r="D323" s="14" t="n"/>
      <c r="E323" s="14" t="n"/>
      <c r="F323" s="14" t="n"/>
      <c r="G323" s="22" t="n"/>
      <c r="H323" s="22" t="n"/>
      <c r="I323" s="22" t="n"/>
      <c r="J323" s="22" t="n"/>
      <c r="K323" s="22" t="n"/>
      <c r="L323" s="22" t="n"/>
      <c r="M323" s="22" t="n"/>
      <c r="N323" s="22" t="n"/>
      <c r="O323" s="23">
        <f>IF($C323="","",N(L323)-N(M323))</f>
        <v/>
      </c>
      <c r="P323" s="24" t="n"/>
      <c r="Q323" s="23">
        <f>IF($C323="","",N(M323)+N(N323))</f>
        <v/>
      </c>
      <c r="R323" s="23">
        <f>IF($C323="","",N(J323)+N(Q323))</f>
        <v/>
      </c>
      <c r="S323" s="25">
        <f>IF(OR($C323="",N($G323)=0),"",R323/$G323)</f>
        <v/>
      </c>
      <c r="T323" s="23">
        <f>IF($C323="","",N($G323)-N(R323))</f>
        <v/>
      </c>
      <c r="U323" s="24" t="n"/>
      <c r="V323" s="22" t="n"/>
    </row>
    <row r="324">
      <c r="B324" s="13">
        <f>IF($C324="","",COUNTA($C$9:$C324))</f>
        <v/>
      </c>
      <c r="C324" s="21" t="n"/>
      <c r="D324" s="14" t="n"/>
      <c r="E324" s="14" t="n"/>
      <c r="F324" s="14" t="n"/>
      <c r="G324" s="22" t="n"/>
      <c r="H324" s="22" t="n"/>
      <c r="I324" s="22" t="n"/>
      <c r="J324" s="22" t="n"/>
      <c r="K324" s="22" t="n"/>
      <c r="L324" s="22" t="n"/>
      <c r="M324" s="22" t="n"/>
      <c r="N324" s="22" t="n"/>
      <c r="O324" s="23">
        <f>IF($C324="","",N(L324)-N(M324))</f>
        <v/>
      </c>
      <c r="P324" s="24" t="n"/>
      <c r="Q324" s="23">
        <f>IF($C324="","",N(M324)+N(N324))</f>
        <v/>
      </c>
      <c r="R324" s="23">
        <f>IF($C324="","",N(J324)+N(Q324))</f>
        <v/>
      </c>
      <c r="S324" s="25">
        <f>IF(OR($C324="",N($G324)=0),"",R324/$G324)</f>
        <v/>
      </c>
      <c r="T324" s="23">
        <f>IF($C324="","",N($G324)-N(R324))</f>
        <v/>
      </c>
      <c r="U324" s="24" t="n"/>
      <c r="V324" s="22" t="n"/>
    </row>
    <row r="325">
      <c r="B325" s="13">
        <f>IF($C325="","",COUNTA($C$9:$C325))</f>
        <v/>
      </c>
      <c r="C325" s="21" t="n"/>
      <c r="D325" s="14" t="n"/>
      <c r="E325" s="14" t="n"/>
      <c r="F325" s="14" t="n"/>
      <c r="G325" s="22" t="n"/>
      <c r="H325" s="22" t="n"/>
      <c r="I325" s="22" t="n"/>
      <c r="J325" s="22" t="n"/>
      <c r="K325" s="22" t="n"/>
      <c r="L325" s="22" t="n"/>
      <c r="M325" s="22" t="n"/>
      <c r="N325" s="22" t="n"/>
      <c r="O325" s="23">
        <f>IF($C325="","",N(L325)-N(M325))</f>
        <v/>
      </c>
      <c r="P325" s="24" t="n"/>
      <c r="Q325" s="23">
        <f>IF($C325="","",N(M325)+N(N325))</f>
        <v/>
      </c>
      <c r="R325" s="23">
        <f>IF($C325="","",N(J325)+N(Q325))</f>
        <v/>
      </c>
      <c r="S325" s="25">
        <f>IF(OR($C325="",N($G325)=0),"",R325/$G325)</f>
        <v/>
      </c>
      <c r="T325" s="23">
        <f>IF($C325="","",N($G325)-N(R325))</f>
        <v/>
      </c>
      <c r="U325" s="24" t="n"/>
      <c r="V325" s="22" t="n"/>
    </row>
    <row r="326">
      <c r="B326" s="13">
        <f>IF($C326="","",COUNTA($C$9:$C326))</f>
        <v/>
      </c>
      <c r="C326" s="21" t="n"/>
      <c r="D326" s="14" t="n"/>
      <c r="E326" s="14" t="n"/>
      <c r="F326" s="14" t="n"/>
      <c r="G326" s="22" t="n"/>
      <c r="H326" s="22" t="n"/>
      <c r="I326" s="22" t="n"/>
      <c r="J326" s="22" t="n"/>
      <c r="K326" s="22" t="n"/>
      <c r="L326" s="22" t="n"/>
      <c r="M326" s="22" t="n"/>
      <c r="N326" s="22" t="n"/>
      <c r="O326" s="23">
        <f>IF($C326="","",N(L326)-N(M326))</f>
        <v/>
      </c>
      <c r="P326" s="24" t="n"/>
      <c r="Q326" s="23">
        <f>IF($C326="","",N(M326)+N(N326))</f>
        <v/>
      </c>
      <c r="R326" s="23">
        <f>IF($C326="","",N(J326)+N(Q326))</f>
        <v/>
      </c>
      <c r="S326" s="25">
        <f>IF(OR($C326="",N($G326)=0),"",R326/$G326)</f>
        <v/>
      </c>
      <c r="T326" s="23">
        <f>IF($C326="","",N($G326)-N(R326))</f>
        <v/>
      </c>
      <c r="U326" s="24" t="n"/>
      <c r="V326" s="22" t="n"/>
    </row>
    <row r="327">
      <c r="B327" s="13">
        <f>IF($C327="","",COUNTA($C$9:$C327))</f>
        <v/>
      </c>
      <c r="C327" s="21" t="n"/>
      <c r="D327" s="14" t="n"/>
      <c r="E327" s="14" t="n"/>
      <c r="F327" s="14" t="n"/>
      <c r="G327" s="22" t="n"/>
      <c r="H327" s="22" t="n"/>
      <c r="I327" s="22" t="n"/>
      <c r="J327" s="22" t="n"/>
      <c r="K327" s="22" t="n"/>
      <c r="L327" s="22" t="n"/>
      <c r="M327" s="22" t="n"/>
      <c r="N327" s="22" t="n"/>
      <c r="O327" s="23">
        <f>IF($C327="","",N(L327)-N(M327))</f>
        <v/>
      </c>
      <c r="P327" s="24" t="n"/>
      <c r="Q327" s="23">
        <f>IF($C327="","",N(M327)+N(N327))</f>
        <v/>
      </c>
      <c r="R327" s="23">
        <f>IF($C327="","",N(J327)+N(Q327))</f>
        <v/>
      </c>
      <c r="S327" s="25">
        <f>IF(OR($C327="",N($G327)=0),"",R327/$G327)</f>
        <v/>
      </c>
      <c r="T327" s="23">
        <f>IF($C327="","",N($G327)-N(R327))</f>
        <v/>
      </c>
      <c r="U327" s="24" t="n"/>
      <c r="V327" s="22" t="n"/>
    </row>
    <row r="328">
      <c r="B328" s="13">
        <f>IF($C328="","",COUNTA($C$9:$C328))</f>
        <v/>
      </c>
      <c r="C328" s="21" t="n"/>
      <c r="D328" s="14" t="n"/>
      <c r="E328" s="14" t="n"/>
      <c r="F328" s="14" t="n"/>
      <c r="G328" s="22" t="n"/>
      <c r="H328" s="22" t="n"/>
      <c r="I328" s="22" t="n"/>
      <c r="J328" s="22" t="n"/>
      <c r="K328" s="22" t="n"/>
      <c r="L328" s="22" t="n"/>
      <c r="M328" s="22" t="n"/>
      <c r="N328" s="22" t="n"/>
      <c r="O328" s="23">
        <f>IF($C328="","",N(L328)-N(M328))</f>
        <v/>
      </c>
      <c r="P328" s="24" t="n"/>
      <c r="Q328" s="23">
        <f>IF($C328="","",N(M328)+N(N328))</f>
        <v/>
      </c>
      <c r="R328" s="23">
        <f>IF($C328="","",N(J328)+N(Q328))</f>
        <v/>
      </c>
      <c r="S328" s="25">
        <f>IF(OR($C328="",N($G328)=0),"",R328/$G328)</f>
        <v/>
      </c>
      <c r="T328" s="23">
        <f>IF($C328="","",N($G328)-N(R328))</f>
        <v/>
      </c>
      <c r="U328" s="24" t="n"/>
      <c r="V328" s="22" t="n"/>
    </row>
    <row r="329">
      <c r="B329" s="13">
        <f>IF($C329="","",COUNTA($C$9:$C329))</f>
        <v/>
      </c>
      <c r="C329" s="21" t="n"/>
      <c r="D329" s="14" t="n"/>
      <c r="E329" s="14" t="n"/>
      <c r="F329" s="14" t="n"/>
      <c r="G329" s="22" t="n"/>
      <c r="H329" s="22" t="n"/>
      <c r="I329" s="22" t="n"/>
      <c r="J329" s="22" t="n"/>
      <c r="K329" s="22" t="n"/>
      <c r="L329" s="22" t="n"/>
      <c r="M329" s="22" t="n"/>
      <c r="N329" s="22" t="n"/>
      <c r="O329" s="23">
        <f>IF($C329="","",N(L329)-N(M329))</f>
        <v/>
      </c>
      <c r="P329" s="24" t="n"/>
      <c r="Q329" s="23">
        <f>IF($C329="","",N(M329)+N(N329))</f>
        <v/>
      </c>
      <c r="R329" s="23">
        <f>IF($C329="","",N(J329)+N(Q329))</f>
        <v/>
      </c>
      <c r="S329" s="25">
        <f>IF(OR($C329="",N($G329)=0),"",R329/$G329)</f>
        <v/>
      </c>
      <c r="T329" s="23">
        <f>IF($C329="","",N($G329)-N(R329))</f>
        <v/>
      </c>
      <c r="U329" s="24" t="n"/>
      <c r="V329" s="22" t="n"/>
    </row>
    <row r="330">
      <c r="B330" s="13">
        <f>IF($C330="","",COUNTA($C$9:$C330))</f>
        <v/>
      </c>
      <c r="C330" s="21" t="n"/>
      <c r="D330" s="14" t="n"/>
      <c r="E330" s="14" t="n"/>
      <c r="F330" s="14" t="n"/>
      <c r="G330" s="22" t="n"/>
      <c r="H330" s="22" t="n"/>
      <c r="I330" s="22" t="n"/>
      <c r="J330" s="22" t="n"/>
      <c r="K330" s="22" t="n"/>
      <c r="L330" s="22" t="n"/>
      <c r="M330" s="22" t="n"/>
      <c r="N330" s="22" t="n"/>
      <c r="O330" s="23">
        <f>IF($C330="","",N(L330)-N(M330))</f>
        <v/>
      </c>
      <c r="P330" s="24" t="n"/>
      <c r="Q330" s="23">
        <f>IF($C330="","",N(M330)+N(N330))</f>
        <v/>
      </c>
      <c r="R330" s="23">
        <f>IF($C330="","",N(J330)+N(Q330))</f>
        <v/>
      </c>
      <c r="S330" s="25">
        <f>IF(OR($C330="",N($G330)=0),"",R330/$G330)</f>
        <v/>
      </c>
      <c r="T330" s="23">
        <f>IF($C330="","",N($G330)-N(R330))</f>
        <v/>
      </c>
      <c r="U330" s="24" t="n"/>
      <c r="V330" s="22" t="n"/>
    </row>
    <row r="331">
      <c r="B331" s="13">
        <f>IF($C331="","",COUNTA($C$9:$C331))</f>
        <v/>
      </c>
      <c r="C331" s="21" t="n"/>
      <c r="D331" s="14" t="n"/>
      <c r="E331" s="14" t="n"/>
      <c r="F331" s="14" t="n"/>
      <c r="G331" s="22" t="n"/>
      <c r="H331" s="22" t="n"/>
      <c r="I331" s="22" t="n"/>
      <c r="J331" s="22" t="n"/>
      <c r="K331" s="22" t="n"/>
      <c r="L331" s="22" t="n"/>
      <c r="M331" s="22" t="n"/>
      <c r="N331" s="22" t="n"/>
      <c r="O331" s="23">
        <f>IF($C331="","",N(L331)-N(M331))</f>
        <v/>
      </c>
      <c r="P331" s="24" t="n"/>
      <c r="Q331" s="23">
        <f>IF($C331="","",N(M331)+N(N331))</f>
        <v/>
      </c>
      <c r="R331" s="23">
        <f>IF($C331="","",N(J331)+N(Q331))</f>
        <v/>
      </c>
      <c r="S331" s="25">
        <f>IF(OR($C331="",N($G331)=0),"",R331/$G331)</f>
        <v/>
      </c>
      <c r="T331" s="23">
        <f>IF($C331="","",N($G331)-N(R331))</f>
        <v/>
      </c>
      <c r="U331" s="24" t="n"/>
      <c r="V331" s="22" t="n"/>
    </row>
    <row r="332">
      <c r="B332" s="13">
        <f>IF($C332="","",COUNTA($C$9:$C332))</f>
        <v/>
      </c>
      <c r="C332" s="21" t="n"/>
      <c r="D332" s="14" t="n"/>
      <c r="E332" s="14" t="n"/>
      <c r="F332" s="14" t="n"/>
      <c r="G332" s="22" t="n"/>
      <c r="H332" s="22" t="n"/>
      <c r="I332" s="22" t="n"/>
      <c r="J332" s="22" t="n"/>
      <c r="K332" s="22" t="n"/>
      <c r="L332" s="22" t="n"/>
      <c r="M332" s="22" t="n"/>
      <c r="N332" s="22" t="n"/>
      <c r="O332" s="23">
        <f>IF($C332="","",N(L332)-N(M332))</f>
        <v/>
      </c>
      <c r="P332" s="24" t="n"/>
      <c r="Q332" s="23">
        <f>IF($C332="","",N(M332)+N(N332))</f>
        <v/>
      </c>
      <c r="R332" s="23">
        <f>IF($C332="","",N(J332)+N(Q332))</f>
        <v/>
      </c>
      <c r="S332" s="25">
        <f>IF(OR($C332="",N($G332)=0),"",R332/$G332)</f>
        <v/>
      </c>
      <c r="T332" s="23">
        <f>IF($C332="","",N($G332)-N(R332))</f>
        <v/>
      </c>
      <c r="U332" s="24" t="n"/>
      <c r="V332" s="22" t="n"/>
    </row>
    <row r="333">
      <c r="B333" s="13">
        <f>IF($C333="","",COUNTA($C$9:$C333))</f>
        <v/>
      </c>
      <c r="C333" s="21" t="n"/>
      <c r="D333" s="14" t="n"/>
      <c r="E333" s="14" t="n"/>
      <c r="F333" s="14" t="n"/>
      <c r="G333" s="22" t="n"/>
      <c r="H333" s="22" t="n"/>
      <c r="I333" s="22" t="n"/>
      <c r="J333" s="22" t="n"/>
      <c r="K333" s="22" t="n"/>
      <c r="L333" s="22" t="n"/>
      <c r="M333" s="22" t="n"/>
      <c r="N333" s="22" t="n"/>
      <c r="O333" s="23">
        <f>IF($C333="","",N(L333)-N(M333))</f>
        <v/>
      </c>
      <c r="P333" s="24" t="n"/>
      <c r="Q333" s="23">
        <f>IF($C333="","",N(M333)+N(N333))</f>
        <v/>
      </c>
      <c r="R333" s="23">
        <f>IF($C333="","",N(J333)+N(Q333))</f>
        <v/>
      </c>
      <c r="S333" s="25">
        <f>IF(OR($C333="",N($G333)=0),"",R333/$G333)</f>
        <v/>
      </c>
      <c r="T333" s="23">
        <f>IF($C333="","",N($G333)-N(R333))</f>
        <v/>
      </c>
      <c r="U333" s="24" t="n"/>
      <c r="V333" s="22" t="n"/>
    </row>
    <row r="334">
      <c r="B334" s="13">
        <f>IF($C334="","",COUNTA($C$9:$C334))</f>
        <v/>
      </c>
      <c r="C334" s="21" t="n"/>
      <c r="D334" s="14" t="n"/>
      <c r="E334" s="14" t="n"/>
      <c r="F334" s="14" t="n"/>
      <c r="G334" s="22" t="n"/>
      <c r="H334" s="22" t="n"/>
      <c r="I334" s="22" t="n"/>
      <c r="J334" s="22" t="n"/>
      <c r="K334" s="22" t="n"/>
      <c r="L334" s="22" t="n"/>
      <c r="M334" s="22" t="n"/>
      <c r="N334" s="22" t="n"/>
      <c r="O334" s="23">
        <f>IF($C334="","",N(L334)-N(M334))</f>
        <v/>
      </c>
      <c r="P334" s="24" t="n"/>
      <c r="Q334" s="23">
        <f>IF($C334="","",N(M334)+N(N334))</f>
        <v/>
      </c>
      <c r="R334" s="23">
        <f>IF($C334="","",N(J334)+N(Q334))</f>
        <v/>
      </c>
      <c r="S334" s="25">
        <f>IF(OR($C334="",N($G334)=0),"",R334/$G334)</f>
        <v/>
      </c>
      <c r="T334" s="23">
        <f>IF($C334="","",N($G334)-N(R334))</f>
        <v/>
      </c>
      <c r="U334" s="24" t="n"/>
      <c r="V334" s="22" t="n"/>
    </row>
    <row r="335">
      <c r="B335" s="13">
        <f>IF($C335="","",COUNTA($C$9:$C335))</f>
        <v/>
      </c>
      <c r="C335" s="21" t="n"/>
      <c r="D335" s="14" t="n"/>
      <c r="E335" s="14" t="n"/>
      <c r="F335" s="14" t="n"/>
      <c r="G335" s="22" t="n"/>
      <c r="H335" s="22" t="n"/>
      <c r="I335" s="22" t="n"/>
      <c r="J335" s="22" t="n"/>
      <c r="K335" s="22" t="n"/>
      <c r="L335" s="22" t="n"/>
      <c r="M335" s="22" t="n"/>
      <c r="N335" s="22" t="n"/>
      <c r="O335" s="23">
        <f>IF($C335="","",N(L335)-N(M335))</f>
        <v/>
      </c>
      <c r="P335" s="24" t="n"/>
      <c r="Q335" s="23">
        <f>IF($C335="","",N(M335)+N(N335))</f>
        <v/>
      </c>
      <c r="R335" s="23">
        <f>IF($C335="","",N(J335)+N(Q335))</f>
        <v/>
      </c>
      <c r="S335" s="25">
        <f>IF(OR($C335="",N($G335)=0),"",R335/$G335)</f>
        <v/>
      </c>
      <c r="T335" s="23">
        <f>IF($C335="","",N($G335)-N(R335))</f>
        <v/>
      </c>
      <c r="U335" s="24" t="n"/>
      <c r="V335" s="22" t="n"/>
    </row>
    <row r="336">
      <c r="B336" s="13">
        <f>IF($C336="","",COUNTA($C$9:$C336))</f>
        <v/>
      </c>
      <c r="C336" s="21" t="n"/>
      <c r="D336" s="14" t="n"/>
      <c r="E336" s="14" t="n"/>
      <c r="F336" s="14" t="n"/>
      <c r="G336" s="22" t="n"/>
      <c r="H336" s="22" t="n"/>
      <c r="I336" s="22" t="n"/>
      <c r="J336" s="22" t="n"/>
      <c r="K336" s="22" t="n"/>
      <c r="L336" s="22" t="n"/>
      <c r="M336" s="22" t="n"/>
      <c r="N336" s="22" t="n"/>
      <c r="O336" s="23">
        <f>IF($C336="","",N(L336)-N(M336))</f>
        <v/>
      </c>
      <c r="P336" s="24" t="n"/>
      <c r="Q336" s="23">
        <f>IF($C336="","",N(M336)+N(N336))</f>
        <v/>
      </c>
      <c r="R336" s="23">
        <f>IF($C336="","",N(J336)+N(Q336))</f>
        <v/>
      </c>
      <c r="S336" s="25">
        <f>IF(OR($C336="",N($G336)=0),"",R336/$G336)</f>
        <v/>
      </c>
      <c r="T336" s="23">
        <f>IF($C336="","",N($G336)-N(R336))</f>
        <v/>
      </c>
      <c r="U336" s="24" t="n"/>
      <c r="V336" s="22" t="n"/>
    </row>
    <row r="337">
      <c r="B337" s="13">
        <f>IF($C337="","",COUNTA($C$9:$C337))</f>
        <v/>
      </c>
      <c r="C337" s="21" t="n"/>
      <c r="D337" s="14" t="n"/>
      <c r="E337" s="14" t="n"/>
      <c r="F337" s="14" t="n"/>
      <c r="G337" s="22" t="n"/>
      <c r="H337" s="22" t="n"/>
      <c r="I337" s="22" t="n"/>
      <c r="J337" s="22" t="n"/>
      <c r="K337" s="22" t="n"/>
      <c r="L337" s="22" t="n"/>
      <c r="M337" s="22" t="n"/>
      <c r="N337" s="22" t="n"/>
      <c r="O337" s="23">
        <f>IF($C337="","",N(L337)-N(M337))</f>
        <v/>
      </c>
      <c r="P337" s="24" t="n"/>
      <c r="Q337" s="23">
        <f>IF($C337="","",N(M337)+N(N337))</f>
        <v/>
      </c>
      <c r="R337" s="23">
        <f>IF($C337="","",N(J337)+N(Q337))</f>
        <v/>
      </c>
      <c r="S337" s="25">
        <f>IF(OR($C337="",N($G337)=0),"",R337/$G337)</f>
        <v/>
      </c>
      <c r="T337" s="23">
        <f>IF($C337="","",N($G337)-N(R337))</f>
        <v/>
      </c>
      <c r="U337" s="24" t="n"/>
      <c r="V337" s="22" t="n"/>
    </row>
    <row r="338">
      <c r="B338" s="13">
        <f>IF($C338="","",COUNTA($C$9:$C338))</f>
        <v/>
      </c>
      <c r="C338" s="21" t="n"/>
      <c r="D338" s="14" t="n"/>
      <c r="E338" s="14" t="n"/>
      <c r="F338" s="14" t="n"/>
      <c r="G338" s="22" t="n"/>
      <c r="H338" s="22" t="n"/>
      <c r="I338" s="22" t="n"/>
      <c r="J338" s="22" t="n"/>
      <c r="K338" s="22" t="n"/>
      <c r="L338" s="22" t="n"/>
      <c r="M338" s="22" t="n"/>
      <c r="N338" s="22" t="n"/>
      <c r="O338" s="23">
        <f>IF($C338="","",N(L338)-N(M338))</f>
        <v/>
      </c>
      <c r="P338" s="24" t="n"/>
      <c r="Q338" s="23">
        <f>IF($C338="","",N(M338)+N(N338))</f>
        <v/>
      </c>
      <c r="R338" s="23">
        <f>IF($C338="","",N(J338)+N(Q338))</f>
        <v/>
      </c>
      <c r="S338" s="25">
        <f>IF(OR($C338="",N($G338)=0),"",R338/$G338)</f>
        <v/>
      </c>
      <c r="T338" s="23">
        <f>IF($C338="","",N($G338)-N(R338))</f>
        <v/>
      </c>
      <c r="U338" s="24" t="n"/>
      <c r="V338" s="22" t="n"/>
    </row>
    <row r="339">
      <c r="B339" s="13">
        <f>IF($C339="","",COUNTA($C$9:$C339))</f>
        <v/>
      </c>
      <c r="C339" s="21" t="n"/>
      <c r="D339" s="14" t="n"/>
      <c r="E339" s="14" t="n"/>
      <c r="F339" s="14" t="n"/>
      <c r="G339" s="22" t="n"/>
      <c r="H339" s="22" t="n"/>
      <c r="I339" s="22" t="n"/>
      <c r="J339" s="22" t="n"/>
      <c r="K339" s="22" t="n"/>
      <c r="L339" s="22" t="n"/>
      <c r="M339" s="22" t="n"/>
      <c r="N339" s="22" t="n"/>
      <c r="O339" s="23">
        <f>IF($C339="","",N(L339)-N(M339))</f>
        <v/>
      </c>
      <c r="P339" s="24" t="n"/>
      <c r="Q339" s="23">
        <f>IF($C339="","",N(M339)+N(N339))</f>
        <v/>
      </c>
      <c r="R339" s="23">
        <f>IF($C339="","",N(J339)+N(Q339))</f>
        <v/>
      </c>
      <c r="S339" s="25">
        <f>IF(OR($C339="",N($G339)=0),"",R339/$G339)</f>
        <v/>
      </c>
      <c r="T339" s="23">
        <f>IF($C339="","",N($G339)-N(R339))</f>
        <v/>
      </c>
      <c r="U339" s="24" t="n"/>
      <c r="V339" s="22" t="n"/>
    </row>
    <row r="340">
      <c r="B340" s="13">
        <f>IF($C340="","",COUNTA($C$9:$C340))</f>
        <v/>
      </c>
      <c r="C340" s="21" t="n"/>
      <c r="D340" s="14" t="n"/>
      <c r="E340" s="14" t="n"/>
      <c r="F340" s="14" t="n"/>
      <c r="G340" s="22" t="n"/>
      <c r="H340" s="22" t="n"/>
      <c r="I340" s="22" t="n"/>
      <c r="J340" s="22" t="n"/>
      <c r="K340" s="22" t="n"/>
      <c r="L340" s="22" t="n"/>
      <c r="M340" s="22" t="n"/>
      <c r="N340" s="22" t="n"/>
      <c r="O340" s="23">
        <f>IF($C340="","",N(L340)-N(M340))</f>
        <v/>
      </c>
      <c r="P340" s="24" t="n"/>
      <c r="Q340" s="23">
        <f>IF($C340="","",N(M340)+N(N340))</f>
        <v/>
      </c>
      <c r="R340" s="23">
        <f>IF($C340="","",N(J340)+N(Q340))</f>
        <v/>
      </c>
      <c r="S340" s="25">
        <f>IF(OR($C340="",N($G340)=0),"",R340/$G340)</f>
        <v/>
      </c>
      <c r="T340" s="23">
        <f>IF($C340="","",N($G340)-N(R340))</f>
        <v/>
      </c>
      <c r="U340" s="24" t="n"/>
      <c r="V340" s="22" t="n"/>
    </row>
    <row r="341">
      <c r="B341" s="13">
        <f>IF($C341="","",COUNTA($C$9:$C341))</f>
        <v/>
      </c>
      <c r="C341" s="21" t="n"/>
      <c r="D341" s="14" t="n"/>
      <c r="E341" s="14" t="n"/>
      <c r="F341" s="14" t="n"/>
      <c r="G341" s="22" t="n"/>
      <c r="H341" s="22" t="n"/>
      <c r="I341" s="22" t="n"/>
      <c r="J341" s="22" t="n"/>
      <c r="K341" s="22" t="n"/>
      <c r="L341" s="22" t="n"/>
      <c r="M341" s="22" t="n"/>
      <c r="N341" s="22" t="n"/>
      <c r="O341" s="23">
        <f>IF($C341="","",N(L341)-N(M341))</f>
        <v/>
      </c>
      <c r="P341" s="24" t="n"/>
      <c r="Q341" s="23">
        <f>IF($C341="","",N(M341)+N(N341))</f>
        <v/>
      </c>
      <c r="R341" s="23">
        <f>IF($C341="","",N(J341)+N(Q341))</f>
        <v/>
      </c>
      <c r="S341" s="25">
        <f>IF(OR($C341="",N($G341)=0),"",R341/$G341)</f>
        <v/>
      </c>
      <c r="T341" s="23">
        <f>IF($C341="","",N($G341)-N(R341))</f>
        <v/>
      </c>
      <c r="U341" s="24" t="n"/>
      <c r="V341" s="22" t="n"/>
    </row>
    <row r="342">
      <c r="B342" s="13">
        <f>IF($C342="","",COUNTA($C$9:$C342))</f>
        <v/>
      </c>
      <c r="C342" s="21" t="n"/>
      <c r="D342" s="14" t="n"/>
      <c r="E342" s="14" t="n"/>
      <c r="F342" s="14" t="n"/>
      <c r="G342" s="22" t="n"/>
      <c r="H342" s="22" t="n"/>
      <c r="I342" s="22" t="n"/>
      <c r="J342" s="22" t="n"/>
      <c r="K342" s="22" t="n"/>
      <c r="L342" s="22" t="n"/>
      <c r="M342" s="22" t="n"/>
      <c r="N342" s="22" t="n"/>
      <c r="O342" s="23">
        <f>IF($C342="","",N(L342)-N(M342))</f>
        <v/>
      </c>
      <c r="P342" s="24" t="n"/>
      <c r="Q342" s="23">
        <f>IF($C342="","",N(M342)+N(N342))</f>
        <v/>
      </c>
      <c r="R342" s="23">
        <f>IF($C342="","",N(J342)+N(Q342))</f>
        <v/>
      </c>
      <c r="S342" s="25">
        <f>IF(OR($C342="",N($G342)=0),"",R342/$G342)</f>
        <v/>
      </c>
      <c r="T342" s="23">
        <f>IF($C342="","",N($G342)-N(R342))</f>
        <v/>
      </c>
      <c r="U342" s="24" t="n"/>
      <c r="V342" s="22" t="n"/>
    </row>
    <row r="343">
      <c r="B343" s="13">
        <f>IF($C343="","",COUNTA($C$9:$C343))</f>
        <v/>
      </c>
      <c r="C343" s="21" t="n"/>
      <c r="D343" s="14" t="n"/>
      <c r="E343" s="14" t="n"/>
      <c r="F343" s="14" t="n"/>
      <c r="G343" s="22" t="n"/>
      <c r="H343" s="22" t="n"/>
      <c r="I343" s="22" t="n"/>
      <c r="J343" s="22" t="n"/>
      <c r="K343" s="22" t="n"/>
      <c r="L343" s="22" t="n"/>
      <c r="M343" s="22" t="n"/>
      <c r="N343" s="22" t="n"/>
      <c r="O343" s="23">
        <f>IF($C343="","",N(L343)-N(M343))</f>
        <v/>
      </c>
      <c r="P343" s="24" t="n"/>
      <c r="Q343" s="23">
        <f>IF($C343="","",N(M343)+N(N343))</f>
        <v/>
      </c>
      <c r="R343" s="23">
        <f>IF($C343="","",N(J343)+N(Q343))</f>
        <v/>
      </c>
      <c r="S343" s="25">
        <f>IF(OR($C343="",N($G343)=0),"",R343/$G343)</f>
        <v/>
      </c>
      <c r="T343" s="23">
        <f>IF($C343="","",N($G343)-N(R343))</f>
        <v/>
      </c>
      <c r="U343" s="24" t="n"/>
      <c r="V343" s="22" t="n"/>
    </row>
    <row r="344">
      <c r="B344" s="13">
        <f>IF($C344="","",COUNTA($C$9:$C344))</f>
        <v/>
      </c>
      <c r="C344" s="21" t="n"/>
      <c r="D344" s="14" t="n"/>
      <c r="E344" s="14" t="n"/>
      <c r="F344" s="14" t="n"/>
      <c r="G344" s="22" t="n"/>
      <c r="H344" s="22" t="n"/>
      <c r="I344" s="22" t="n"/>
      <c r="J344" s="22" t="n"/>
      <c r="K344" s="22" t="n"/>
      <c r="L344" s="22" t="n"/>
      <c r="M344" s="22" t="n"/>
      <c r="N344" s="22" t="n"/>
      <c r="O344" s="23">
        <f>IF($C344="","",N(L344)-N(M344))</f>
        <v/>
      </c>
      <c r="P344" s="24" t="n"/>
      <c r="Q344" s="23">
        <f>IF($C344="","",N(M344)+N(N344))</f>
        <v/>
      </c>
      <c r="R344" s="23">
        <f>IF($C344="","",N(J344)+N(Q344))</f>
        <v/>
      </c>
      <c r="S344" s="25">
        <f>IF(OR($C344="",N($G344)=0),"",R344/$G344)</f>
        <v/>
      </c>
      <c r="T344" s="23">
        <f>IF($C344="","",N($G344)-N(R344))</f>
        <v/>
      </c>
      <c r="U344" s="24" t="n"/>
      <c r="V344" s="22" t="n"/>
    </row>
    <row r="345">
      <c r="B345" s="13">
        <f>IF($C345="","",COUNTA($C$9:$C345))</f>
        <v/>
      </c>
      <c r="C345" s="21" t="n"/>
      <c r="D345" s="14" t="n"/>
      <c r="E345" s="14" t="n"/>
      <c r="F345" s="14" t="n"/>
      <c r="G345" s="22" t="n"/>
      <c r="H345" s="22" t="n"/>
      <c r="I345" s="22" t="n"/>
      <c r="J345" s="22" t="n"/>
      <c r="K345" s="22" t="n"/>
      <c r="L345" s="22" t="n"/>
      <c r="M345" s="22" t="n"/>
      <c r="N345" s="22" t="n"/>
      <c r="O345" s="23">
        <f>IF($C345="","",N(L345)-N(M345))</f>
        <v/>
      </c>
      <c r="P345" s="24" t="n"/>
      <c r="Q345" s="23">
        <f>IF($C345="","",N(M345)+N(N345))</f>
        <v/>
      </c>
      <c r="R345" s="23">
        <f>IF($C345="","",N(J345)+N(Q345))</f>
        <v/>
      </c>
      <c r="S345" s="25">
        <f>IF(OR($C345="",N($G345)=0),"",R345/$G345)</f>
        <v/>
      </c>
      <c r="T345" s="23">
        <f>IF($C345="","",N($G345)-N(R345))</f>
        <v/>
      </c>
      <c r="U345" s="24" t="n"/>
      <c r="V345" s="22" t="n"/>
    </row>
    <row r="346">
      <c r="B346" s="13">
        <f>IF($C346="","",COUNTA($C$9:$C346))</f>
        <v/>
      </c>
      <c r="C346" s="21" t="n"/>
      <c r="D346" s="14" t="n"/>
      <c r="E346" s="14" t="n"/>
      <c r="F346" s="14" t="n"/>
      <c r="G346" s="22" t="n"/>
      <c r="H346" s="22" t="n"/>
      <c r="I346" s="22" t="n"/>
      <c r="J346" s="22" t="n"/>
      <c r="K346" s="22" t="n"/>
      <c r="L346" s="22" t="n"/>
      <c r="M346" s="22" t="n"/>
      <c r="N346" s="22" t="n"/>
      <c r="O346" s="23">
        <f>IF($C346="","",N(L346)-N(M346))</f>
        <v/>
      </c>
      <c r="P346" s="24" t="n"/>
      <c r="Q346" s="23">
        <f>IF($C346="","",N(M346)+N(N346))</f>
        <v/>
      </c>
      <c r="R346" s="23">
        <f>IF($C346="","",N(J346)+N(Q346))</f>
        <v/>
      </c>
      <c r="S346" s="25">
        <f>IF(OR($C346="",N($G346)=0),"",R346/$G346)</f>
        <v/>
      </c>
      <c r="T346" s="23">
        <f>IF($C346="","",N($G346)-N(R346))</f>
        <v/>
      </c>
      <c r="U346" s="24" t="n"/>
      <c r="V346" s="22" t="n"/>
    </row>
    <row r="347">
      <c r="B347" s="13">
        <f>IF($C347="","",COUNTA($C$9:$C347))</f>
        <v/>
      </c>
      <c r="C347" s="21" t="n"/>
      <c r="D347" s="14" t="n"/>
      <c r="E347" s="14" t="n"/>
      <c r="F347" s="14" t="n"/>
      <c r="G347" s="22" t="n"/>
      <c r="H347" s="22" t="n"/>
      <c r="I347" s="22" t="n"/>
      <c r="J347" s="22" t="n"/>
      <c r="K347" s="22" t="n"/>
      <c r="L347" s="22" t="n"/>
      <c r="M347" s="22" t="n"/>
      <c r="N347" s="22" t="n"/>
      <c r="O347" s="23">
        <f>IF($C347="","",N(L347)-N(M347))</f>
        <v/>
      </c>
      <c r="P347" s="24" t="n"/>
      <c r="Q347" s="23">
        <f>IF($C347="","",N(M347)+N(N347))</f>
        <v/>
      </c>
      <c r="R347" s="23">
        <f>IF($C347="","",N(J347)+N(Q347))</f>
        <v/>
      </c>
      <c r="S347" s="25">
        <f>IF(OR($C347="",N($G347)=0),"",R347/$G347)</f>
        <v/>
      </c>
      <c r="T347" s="23">
        <f>IF($C347="","",N($G347)-N(R347))</f>
        <v/>
      </c>
      <c r="U347" s="24" t="n"/>
      <c r="V347" s="22" t="n"/>
    </row>
    <row r="348">
      <c r="B348" s="13">
        <f>IF($C348="","",COUNTA($C$9:$C348))</f>
        <v/>
      </c>
      <c r="C348" s="21" t="n"/>
      <c r="D348" s="14" t="n"/>
      <c r="E348" s="14" t="n"/>
      <c r="F348" s="14" t="n"/>
      <c r="G348" s="22" t="n"/>
      <c r="H348" s="22" t="n"/>
      <c r="I348" s="22" t="n"/>
      <c r="J348" s="22" t="n"/>
      <c r="K348" s="22" t="n"/>
      <c r="L348" s="22" t="n"/>
      <c r="M348" s="22" t="n"/>
      <c r="N348" s="22" t="n"/>
      <c r="O348" s="23">
        <f>IF($C348="","",N(L348)-N(M348))</f>
        <v/>
      </c>
      <c r="P348" s="24" t="n"/>
      <c r="Q348" s="23">
        <f>IF($C348="","",N(M348)+N(N348))</f>
        <v/>
      </c>
      <c r="R348" s="23">
        <f>IF($C348="","",N(J348)+N(Q348))</f>
        <v/>
      </c>
      <c r="S348" s="25">
        <f>IF(OR($C348="",N($G348)=0),"",R348/$G348)</f>
        <v/>
      </c>
      <c r="T348" s="23">
        <f>IF($C348="","",N($G348)-N(R348))</f>
        <v/>
      </c>
      <c r="U348" s="24" t="n"/>
      <c r="V348" s="22" t="n"/>
    </row>
    <row r="349">
      <c r="B349" s="13">
        <f>IF($C349="","",COUNTA($C$9:$C349))</f>
        <v/>
      </c>
      <c r="C349" s="21" t="n"/>
      <c r="D349" s="14" t="n"/>
      <c r="E349" s="14" t="n"/>
      <c r="F349" s="14" t="n"/>
      <c r="G349" s="22" t="n"/>
      <c r="H349" s="22" t="n"/>
      <c r="I349" s="22" t="n"/>
      <c r="J349" s="22" t="n"/>
      <c r="K349" s="22" t="n"/>
      <c r="L349" s="22" t="n"/>
      <c r="M349" s="22" t="n"/>
      <c r="N349" s="22" t="n"/>
      <c r="O349" s="23">
        <f>IF($C349="","",N(L349)-N(M349))</f>
        <v/>
      </c>
      <c r="P349" s="24" t="n"/>
      <c r="Q349" s="23">
        <f>IF($C349="","",N(M349)+N(N349))</f>
        <v/>
      </c>
      <c r="R349" s="23">
        <f>IF($C349="","",N(J349)+N(Q349))</f>
        <v/>
      </c>
      <c r="S349" s="25">
        <f>IF(OR($C349="",N($G349)=0),"",R349/$G349)</f>
        <v/>
      </c>
      <c r="T349" s="23">
        <f>IF($C349="","",N($G349)-N(R349))</f>
        <v/>
      </c>
      <c r="U349" s="24" t="n"/>
      <c r="V349" s="22" t="n"/>
    </row>
    <row r="350">
      <c r="B350" s="13">
        <f>IF($C350="","",COUNTA($C$9:$C350))</f>
        <v/>
      </c>
      <c r="C350" s="21" t="n"/>
      <c r="D350" s="14" t="n"/>
      <c r="E350" s="14" t="n"/>
      <c r="F350" s="14" t="n"/>
      <c r="G350" s="22" t="n"/>
      <c r="H350" s="22" t="n"/>
      <c r="I350" s="22" t="n"/>
      <c r="J350" s="22" t="n"/>
      <c r="K350" s="22" t="n"/>
      <c r="L350" s="22" t="n"/>
      <c r="M350" s="22" t="n"/>
      <c r="N350" s="22" t="n"/>
      <c r="O350" s="23">
        <f>IF($C350="","",N(L350)-N(M350))</f>
        <v/>
      </c>
      <c r="P350" s="24" t="n"/>
      <c r="Q350" s="23">
        <f>IF($C350="","",N(M350)+N(N350))</f>
        <v/>
      </c>
      <c r="R350" s="23">
        <f>IF($C350="","",N(J350)+N(Q350))</f>
        <v/>
      </c>
      <c r="S350" s="25">
        <f>IF(OR($C350="",N($G350)=0),"",R350/$G350)</f>
        <v/>
      </c>
      <c r="T350" s="23">
        <f>IF($C350="","",N($G350)-N(R350))</f>
        <v/>
      </c>
      <c r="U350" s="24" t="n"/>
      <c r="V350" s="22" t="n"/>
    </row>
    <row r="351">
      <c r="B351" s="13">
        <f>IF($C351="","",COUNTA($C$9:$C351))</f>
        <v/>
      </c>
      <c r="C351" s="21" t="n"/>
      <c r="D351" s="14" t="n"/>
      <c r="E351" s="14" t="n"/>
      <c r="F351" s="14" t="n"/>
      <c r="G351" s="22" t="n"/>
      <c r="H351" s="22" t="n"/>
      <c r="I351" s="22" t="n"/>
      <c r="J351" s="22" t="n"/>
      <c r="K351" s="22" t="n"/>
      <c r="L351" s="22" t="n"/>
      <c r="M351" s="22" t="n"/>
      <c r="N351" s="22" t="n"/>
      <c r="O351" s="23">
        <f>IF($C351="","",N(L351)-N(M351))</f>
        <v/>
      </c>
      <c r="P351" s="24" t="n"/>
      <c r="Q351" s="23">
        <f>IF($C351="","",N(M351)+N(N351))</f>
        <v/>
      </c>
      <c r="R351" s="23">
        <f>IF($C351="","",N(J351)+N(Q351))</f>
        <v/>
      </c>
      <c r="S351" s="25">
        <f>IF(OR($C351="",N($G351)=0),"",R351/$G351)</f>
        <v/>
      </c>
      <c r="T351" s="23">
        <f>IF($C351="","",N($G351)-N(R351))</f>
        <v/>
      </c>
      <c r="U351" s="24" t="n"/>
      <c r="V351" s="22" t="n"/>
    </row>
    <row r="352">
      <c r="B352" s="13">
        <f>IF($C352="","",COUNTA($C$9:$C352))</f>
        <v/>
      </c>
      <c r="C352" s="21" t="n"/>
      <c r="D352" s="14" t="n"/>
      <c r="E352" s="14" t="n"/>
      <c r="F352" s="14" t="n"/>
      <c r="G352" s="22" t="n"/>
      <c r="H352" s="22" t="n"/>
      <c r="I352" s="22" t="n"/>
      <c r="J352" s="22" t="n"/>
      <c r="K352" s="22" t="n"/>
      <c r="L352" s="22" t="n"/>
      <c r="M352" s="22" t="n"/>
      <c r="N352" s="22" t="n"/>
      <c r="O352" s="23">
        <f>IF($C352="","",N(L352)-N(M352))</f>
        <v/>
      </c>
      <c r="P352" s="24" t="n"/>
      <c r="Q352" s="23">
        <f>IF($C352="","",N(M352)+N(N352))</f>
        <v/>
      </c>
      <c r="R352" s="23">
        <f>IF($C352="","",N(J352)+N(Q352))</f>
        <v/>
      </c>
      <c r="S352" s="25">
        <f>IF(OR($C352="",N($G352)=0),"",R352/$G352)</f>
        <v/>
      </c>
      <c r="T352" s="23">
        <f>IF($C352="","",N($G352)-N(R352))</f>
        <v/>
      </c>
      <c r="U352" s="24" t="n"/>
      <c r="V352" s="22" t="n"/>
    </row>
    <row r="353">
      <c r="B353" s="13">
        <f>IF($C353="","",COUNTA($C$9:$C353))</f>
        <v/>
      </c>
      <c r="C353" s="21" t="n"/>
      <c r="D353" s="14" t="n"/>
      <c r="E353" s="14" t="n"/>
      <c r="F353" s="14" t="n"/>
      <c r="G353" s="22" t="n"/>
      <c r="H353" s="22" t="n"/>
      <c r="I353" s="22" t="n"/>
      <c r="J353" s="22" t="n"/>
      <c r="K353" s="22" t="n"/>
      <c r="L353" s="22" t="n"/>
      <c r="M353" s="22" t="n"/>
      <c r="N353" s="22" t="n"/>
      <c r="O353" s="23">
        <f>IF($C353="","",N(L353)-N(M353))</f>
        <v/>
      </c>
      <c r="P353" s="24" t="n"/>
      <c r="Q353" s="23">
        <f>IF($C353="","",N(M353)+N(N353))</f>
        <v/>
      </c>
      <c r="R353" s="23">
        <f>IF($C353="","",N(J353)+N(Q353))</f>
        <v/>
      </c>
      <c r="S353" s="25">
        <f>IF(OR($C353="",N($G353)=0),"",R353/$G353)</f>
        <v/>
      </c>
      <c r="T353" s="23">
        <f>IF($C353="","",N($G353)-N(R353))</f>
        <v/>
      </c>
      <c r="U353" s="24" t="n"/>
      <c r="V353" s="22" t="n"/>
    </row>
    <row r="354">
      <c r="B354" s="13">
        <f>IF($C354="","",COUNTA($C$9:$C354))</f>
        <v/>
      </c>
      <c r="C354" s="21" t="n"/>
      <c r="D354" s="14" t="n"/>
      <c r="E354" s="14" t="n"/>
      <c r="F354" s="14" t="n"/>
      <c r="G354" s="22" t="n"/>
      <c r="H354" s="22" t="n"/>
      <c r="I354" s="22" t="n"/>
      <c r="J354" s="22" t="n"/>
      <c r="K354" s="22" t="n"/>
      <c r="L354" s="22" t="n"/>
      <c r="M354" s="22" t="n"/>
      <c r="N354" s="22" t="n"/>
      <c r="O354" s="23">
        <f>IF($C354="","",N(L354)-N(M354))</f>
        <v/>
      </c>
      <c r="P354" s="24" t="n"/>
      <c r="Q354" s="23">
        <f>IF($C354="","",N(M354)+N(N354))</f>
        <v/>
      </c>
      <c r="R354" s="23">
        <f>IF($C354="","",N(J354)+N(Q354))</f>
        <v/>
      </c>
      <c r="S354" s="25">
        <f>IF(OR($C354="",N($G354)=0),"",R354/$G354)</f>
        <v/>
      </c>
      <c r="T354" s="23">
        <f>IF($C354="","",N($G354)-N(R354))</f>
        <v/>
      </c>
      <c r="U354" s="24" t="n"/>
      <c r="V354" s="22" t="n"/>
    </row>
    <row r="355">
      <c r="B355" s="13">
        <f>IF($C355="","",COUNTA($C$9:$C355))</f>
        <v/>
      </c>
      <c r="C355" s="21" t="n"/>
      <c r="D355" s="14" t="n"/>
      <c r="E355" s="14" t="n"/>
      <c r="F355" s="14" t="n"/>
      <c r="G355" s="22" t="n"/>
      <c r="H355" s="22" t="n"/>
      <c r="I355" s="22" t="n"/>
      <c r="J355" s="22" t="n"/>
      <c r="K355" s="22" t="n"/>
      <c r="L355" s="22" t="n"/>
      <c r="M355" s="22" t="n"/>
      <c r="N355" s="22" t="n"/>
      <c r="O355" s="23">
        <f>IF($C355="","",N(L355)-N(M355))</f>
        <v/>
      </c>
      <c r="P355" s="24" t="n"/>
      <c r="Q355" s="23">
        <f>IF($C355="","",N(M355)+N(N355))</f>
        <v/>
      </c>
      <c r="R355" s="23">
        <f>IF($C355="","",N(J355)+N(Q355))</f>
        <v/>
      </c>
      <c r="S355" s="25">
        <f>IF(OR($C355="",N($G355)=0),"",R355/$G355)</f>
        <v/>
      </c>
      <c r="T355" s="23">
        <f>IF($C355="","",N($G355)-N(R355))</f>
        <v/>
      </c>
      <c r="U355" s="24" t="n"/>
      <c r="V355" s="22" t="n"/>
    </row>
    <row r="356">
      <c r="B356" s="13">
        <f>IF($C356="","",COUNTA($C$9:$C356))</f>
        <v/>
      </c>
      <c r="C356" s="21" t="n"/>
      <c r="D356" s="14" t="n"/>
      <c r="E356" s="14" t="n"/>
      <c r="F356" s="14" t="n"/>
      <c r="G356" s="22" t="n"/>
      <c r="H356" s="22" t="n"/>
      <c r="I356" s="22" t="n"/>
      <c r="J356" s="22" t="n"/>
      <c r="K356" s="22" t="n"/>
      <c r="L356" s="22" t="n"/>
      <c r="M356" s="22" t="n"/>
      <c r="N356" s="22" t="n"/>
      <c r="O356" s="23">
        <f>IF($C356="","",N(L356)-N(M356))</f>
        <v/>
      </c>
      <c r="P356" s="24" t="n"/>
      <c r="Q356" s="23">
        <f>IF($C356="","",N(M356)+N(N356))</f>
        <v/>
      </c>
      <c r="R356" s="23">
        <f>IF($C356="","",N(J356)+N(Q356))</f>
        <v/>
      </c>
      <c r="S356" s="25">
        <f>IF(OR($C356="",N($G356)=0),"",R356/$G356)</f>
        <v/>
      </c>
      <c r="T356" s="23">
        <f>IF($C356="","",N($G356)-N(R356))</f>
        <v/>
      </c>
      <c r="U356" s="24" t="n"/>
      <c r="V356" s="22" t="n"/>
    </row>
    <row r="357">
      <c r="B357" s="13">
        <f>IF($C357="","",COUNTA($C$9:$C357))</f>
        <v/>
      </c>
      <c r="C357" s="21" t="n"/>
      <c r="D357" s="14" t="n"/>
      <c r="E357" s="14" t="n"/>
      <c r="F357" s="14" t="n"/>
      <c r="G357" s="22" t="n"/>
      <c r="H357" s="22" t="n"/>
      <c r="I357" s="22" t="n"/>
      <c r="J357" s="22" t="n"/>
      <c r="K357" s="22" t="n"/>
      <c r="L357" s="22" t="n"/>
      <c r="M357" s="22" t="n"/>
      <c r="N357" s="22" t="n"/>
      <c r="O357" s="23">
        <f>IF($C357="","",N(L357)-N(M357))</f>
        <v/>
      </c>
      <c r="P357" s="24" t="n"/>
      <c r="Q357" s="23">
        <f>IF($C357="","",N(M357)+N(N357))</f>
        <v/>
      </c>
      <c r="R357" s="23">
        <f>IF($C357="","",N(J357)+N(Q357))</f>
        <v/>
      </c>
      <c r="S357" s="25">
        <f>IF(OR($C357="",N($G357)=0),"",R357/$G357)</f>
        <v/>
      </c>
      <c r="T357" s="23">
        <f>IF($C357="","",N($G357)-N(R357))</f>
        <v/>
      </c>
      <c r="U357" s="24" t="n"/>
      <c r="V357" s="22" t="n"/>
    </row>
    <row r="358">
      <c r="B358" s="13">
        <f>IF($C358="","",COUNTA($C$9:$C358))</f>
        <v/>
      </c>
      <c r="C358" s="21" t="n"/>
      <c r="D358" s="14" t="n"/>
      <c r="E358" s="14" t="n"/>
      <c r="F358" s="14" t="n"/>
      <c r="G358" s="22" t="n"/>
      <c r="H358" s="22" t="n"/>
      <c r="I358" s="22" t="n"/>
      <c r="J358" s="22" t="n"/>
      <c r="K358" s="22" t="n"/>
      <c r="L358" s="22" t="n"/>
      <c r="M358" s="22" t="n"/>
      <c r="N358" s="22" t="n"/>
      <c r="O358" s="23">
        <f>IF($C358="","",N(L358)-N(M358))</f>
        <v/>
      </c>
      <c r="P358" s="24" t="n"/>
      <c r="Q358" s="23">
        <f>IF($C358="","",N(M358)+N(N358))</f>
        <v/>
      </c>
      <c r="R358" s="23">
        <f>IF($C358="","",N(J358)+N(Q358))</f>
        <v/>
      </c>
      <c r="S358" s="25">
        <f>IF(OR($C358="",N($G358)=0),"",R358/$G358)</f>
        <v/>
      </c>
      <c r="T358" s="23">
        <f>IF($C358="","",N($G358)-N(R358))</f>
        <v/>
      </c>
      <c r="U358" s="24" t="n"/>
      <c r="V358" s="22" t="n"/>
    </row>
    <row r="359">
      <c r="B359" s="13">
        <f>IF($C359="","",COUNTA($C$9:$C359))</f>
        <v/>
      </c>
      <c r="C359" s="21" t="n"/>
      <c r="D359" s="14" t="n"/>
      <c r="E359" s="14" t="n"/>
      <c r="F359" s="14" t="n"/>
      <c r="G359" s="22" t="n"/>
      <c r="H359" s="22" t="n"/>
      <c r="I359" s="22" t="n"/>
      <c r="J359" s="22" t="n"/>
      <c r="K359" s="22" t="n"/>
      <c r="L359" s="22" t="n"/>
      <c r="M359" s="22" t="n"/>
      <c r="N359" s="22" t="n"/>
      <c r="O359" s="23">
        <f>IF($C359="","",N(L359)-N(M359))</f>
        <v/>
      </c>
      <c r="P359" s="24" t="n"/>
      <c r="Q359" s="23">
        <f>IF($C359="","",N(M359)+N(N359))</f>
        <v/>
      </c>
      <c r="R359" s="23">
        <f>IF($C359="","",N(J359)+N(Q359))</f>
        <v/>
      </c>
      <c r="S359" s="25">
        <f>IF(OR($C359="",N($G359)=0),"",R359/$G359)</f>
        <v/>
      </c>
      <c r="T359" s="23">
        <f>IF($C359="","",N($G359)-N(R359))</f>
        <v/>
      </c>
      <c r="U359" s="24" t="n"/>
      <c r="V359" s="22" t="n"/>
    </row>
    <row r="360">
      <c r="B360" s="13">
        <f>IF($C360="","",COUNTA($C$9:$C360))</f>
        <v/>
      </c>
      <c r="C360" s="21" t="n"/>
      <c r="D360" s="14" t="n"/>
      <c r="E360" s="14" t="n"/>
      <c r="F360" s="14" t="n"/>
      <c r="G360" s="22" t="n"/>
      <c r="H360" s="22" t="n"/>
      <c r="I360" s="22" t="n"/>
      <c r="J360" s="22" t="n"/>
      <c r="K360" s="22" t="n"/>
      <c r="L360" s="22" t="n"/>
      <c r="M360" s="22" t="n"/>
      <c r="N360" s="22" t="n"/>
      <c r="O360" s="23">
        <f>IF($C360="","",N(L360)-N(M360))</f>
        <v/>
      </c>
      <c r="P360" s="24" t="n"/>
      <c r="Q360" s="23">
        <f>IF($C360="","",N(M360)+N(N360))</f>
        <v/>
      </c>
      <c r="R360" s="23">
        <f>IF($C360="","",N(J360)+N(Q360))</f>
        <v/>
      </c>
      <c r="S360" s="25">
        <f>IF(OR($C360="",N($G360)=0),"",R360/$G360)</f>
        <v/>
      </c>
      <c r="T360" s="23">
        <f>IF($C360="","",N($G360)-N(R360))</f>
        <v/>
      </c>
      <c r="U360" s="24" t="n"/>
      <c r="V360" s="22" t="n"/>
    </row>
    <row r="361">
      <c r="B361" s="13">
        <f>IF($C361="","",COUNTA($C$9:$C361))</f>
        <v/>
      </c>
      <c r="C361" s="21" t="n"/>
      <c r="D361" s="14" t="n"/>
      <c r="E361" s="14" t="n"/>
      <c r="F361" s="14" t="n"/>
      <c r="G361" s="22" t="n"/>
      <c r="H361" s="22" t="n"/>
      <c r="I361" s="22" t="n"/>
      <c r="J361" s="22" t="n"/>
      <c r="K361" s="22" t="n"/>
      <c r="L361" s="22" t="n"/>
      <c r="M361" s="22" t="n"/>
      <c r="N361" s="22" t="n"/>
      <c r="O361" s="23">
        <f>IF($C361="","",N(L361)-N(M361))</f>
        <v/>
      </c>
      <c r="P361" s="24" t="n"/>
      <c r="Q361" s="23">
        <f>IF($C361="","",N(M361)+N(N361))</f>
        <v/>
      </c>
      <c r="R361" s="23">
        <f>IF($C361="","",N(J361)+N(Q361))</f>
        <v/>
      </c>
      <c r="S361" s="25">
        <f>IF(OR($C361="",N($G361)=0),"",R361/$G361)</f>
        <v/>
      </c>
      <c r="T361" s="23">
        <f>IF($C361="","",N($G361)-N(R361))</f>
        <v/>
      </c>
      <c r="U361" s="24" t="n"/>
      <c r="V361" s="22" t="n"/>
    </row>
    <row r="362">
      <c r="B362" s="13">
        <f>IF($C362="","",COUNTA($C$9:$C362))</f>
        <v/>
      </c>
      <c r="C362" s="21" t="n"/>
      <c r="D362" s="14" t="n"/>
      <c r="E362" s="14" t="n"/>
      <c r="F362" s="14" t="n"/>
      <c r="G362" s="22" t="n"/>
      <c r="H362" s="22" t="n"/>
      <c r="I362" s="22" t="n"/>
      <c r="J362" s="22" t="n"/>
      <c r="K362" s="22" t="n"/>
      <c r="L362" s="22" t="n"/>
      <c r="M362" s="22" t="n"/>
      <c r="N362" s="22" t="n"/>
      <c r="O362" s="23">
        <f>IF($C362="","",N(L362)-N(M362))</f>
        <v/>
      </c>
      <c r="P362" s="24" t="n"/>
      <c r="Q362" s="23">
        <f>IF($C362="","",N(M362)+N(N362))</f>
        <v/>
      </c>
      <c r="R362" s="23">
        <f>IF($C362="","",N(J362)+N(Q362))</f>
        <v/>
      </c>
      <c r="S362" s="25">
        <f>IF(OR($C362="",N($G362)=0),"",R362/$G362)</f>
        <v/>
      </c>
      <c r="T362" s="23">
        <f>IF($C362="","",N($G362)-N(R362))</f>
        <v/>
      </c>
      <c r="U362" s="24" t="n"/>
      <c r="V362" s="22" t="n"/>
    </row>
    <row r="363">
      <c r="B363" s="13">
        <f>IF($C363="","",COUNTA($C$9:$C363))</f>
        <v/>
      </c>
      <c r="C363" s="21" t="n"/>
      <c r="D363" s="14" t="n"/>
      <c r="E363" s="14" t="n"/>
      <c r="F363" s="14" t="n"/>
      <c r="G363" s="22" t="n"/>
      <c r="H363" s="22" t="n"/>
      <c r="I363" s="22" t="n"/>
      <c r="J363" s="22" t="n"/>
      <c r="K363" s="22" t="n"/>
      <c r="L363" s="22" t="n"/>
      <c r="M363" s="22" t="n"/>
      <c r="N363" s="22" t="n"/>
      <c r="O363" s="23">
        <f>IF($C363="","",N(L363)-N(M363))</f>
        <v/>
      </c>
      <c r="P363" s="24" t="n"/>
      <c r="Q363" s="23">
        <f>IF($C363="","",N(M363)+N(N363))</f>
        <v/>
      </c>
      <c r="R363" s="23">
        <f>IF($C363="","",N(J363)+N(Q363))</f>
        <v/>
      </c>
      <c r="S363" s="25">
        <f>IF(OR($C363="",N($G363)=0),"",R363/$G363)</f>
        <v/>
      </c>
      <c r="T363" s="23">
        <f>IF($C363="","",N($G363)-N(R363))</f>
        <v/>
      </c>
      <c r="U363" s="24" t="n"/>
      <c r="V363" s="22" t="n"/>
    </row>
    <row r="364">
      <c r="B364" s="13">
        <f>IF($C364="","",COUNTA($C$9:$C364))</f>
        <v/>
      </c>
      <c r="C364" s="21" t="n"/>
      <c r="D364" s="14" t="n"/>
      <c r="E364" s="14" t="n"/>
      <c r="F364" s="14" t="n"/>
      <c r="G364" s="22" t="n"/>
      <c r="H364" s="22" t="n"/>
      <c r="I364" s="22" t="n"/>
      <c r="J364" s="22" t="n"/>
      <c r="K364" s="22" t="n"/>
      <c r="L364" s="22" t="n"/>
      <c r="M364" s="22" t="n"/>
      <c r="N364" s="22" t="n"/>
      <c r="O364" s="23">
        <f>IF($C364="","",N(L364)-N(M364))</f>
        <v/>
      </c>
      <c r="P364" s="24" t="n"/>
      <c r="Q364" s="23">
        <f>IF($C364="","",N(M364)+N(N364))</f>
        <v/>
      </c>
      <c r="R364" s="23">
        <f>IF($C364="","",N(J364)+N(Q364))</f>
        <v/>
      </c>
      <c r="S364" s="25">
        <f>IF(OR($C364="",N($G364)=0),"",R364/$G364)</f>
        <v/>
      </c>
      <c r="T364" s="23">
        <f>IF($C364="","",N($G364)-N(R364))</f>
        <v/>
      </c>
      <c r="U364" s="24" t="n"/>
      <c r="V364" s="22" t="n"/>
    </row>
    <row r="365">
      <c r="B365" s="13">
        <f>IF($C365="","",COUNTA($C$9:$C365))</f>
        <v/>
      </c>
      <c r="C365" s="21" t="n"/>
      <c r="D365" s="14" t="n"/>
      <c r="E365" s="14" t="n"/>
      <c r="F365" s="14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3">
        <f>IF($C365="","",N(L365)-N(M365))</f>
        <v/>
      </c>
      <c r="P365" s="24" t="n"/>
      <c r="Q365" s="23">
        <f>IF($C365="","",N(M365)+N(N365))</f>
        <v/>
      </c>
      <c r="R365" s="23">
        <f>IF($C365="","",N(J365)+N(Q365))</f>
        <v/>
      </c>
      <c r="S365" s="25">
        <f>IF(OR($C365="",N($G365)=0),"",R365/$G365)</f>
        <v/>
      </c>
      <c r="T365" s="23">
        <f>IF($C365="","",N($G365)-N(R365))</f>
        <v/>
      </c>
      <c r="U365" s="24" t="n"/>
      <c r="V365" s="22" t="n"/>
    </row>
    <row r="366">
      <c r="B366" s="13">
        <f>IF($C366="","",COUNTA($C$9:$C366))</f>
        <v/>
      </c>
      <c r="C366" s="21" t="n"/>
      <c r="D366" s="14" t="n"/>
      <c r="E366" s="14" t="n"/>
      <c r="F366" s="14" t="n"/>
      <c r="G366" s="22" t="n"/>
      <c r="H366" s="22" t="n"/>
      <c r="I366" s="22" t="n"/>
      <c r="J366" s="22" t="n"/>
      <c r="K366" s="22" t="n"/>
      <c r="L366" s="22" t="n"/>
      <c r="M366" s="22" t="n"/>
      <c r="N366" s="22" t="n"/>
      <c r="O366" s="23">
        <f>IF($C366="","",N(L366)-N(M366))</f>
        <v/>
      </c>
      <c r="P366" s="24" t="n"/>
      <c r="Q366" s="23">
        <f>IF($C366="","",N(M366)+N(N366))</f>
        <v/>
      </c>
      <c r="R366" s="23">
        <f>IF($C366="","",N(J366)+N(Q366))</f>
        <v/>
      </c>
      <c r="S366" s="25">
        <f>IF(OR($C366="",N($G366)=0),"",R366/$G366)</f>
        <v/>
      </c>
      <c r="T366" s="23">
        <f>IF($C366="","",N($G366)-N(R366))</f>
        <v/>
      </c>
      <c r="U366" s="24" t="n"/>
      <c r="V366" s="22" t="n"/>
    </row>
    <row r="367">
      <c r="B367" s="13">
        <f>IF($C367="","",COUNTA($C$9:$C367))</f>
        <v/>
      </c>
      <c r="C367" s="21" t="n"/>
      <c r="D367" s="14" t="n"/>
      <c r="E367" s="14" t="n"/>
      <c r="F367" s="14" t="n"/>
      <c r="G367" s="22" t="n"/>
      <c r="H367" s="22" t="n"/>
      <c r="I367" s="22" t="n"/>
      <c r="J367" s="22" t="n"/>
      <c r="K367" s="22" t="n"/>
      <c r="L367" s="22" t="n"/>
      <c r="M367" s="22" t="n"/>
      <c r="N367" s="22" t="n"/>
      <c r="O367" s="23">
        <f>IF($C367="","",N(L367)-N(M367))</f>
        <v/>
      </c>
      <c r="P367" s="24" t="n"/>
      <c r="Q367" s="23">
        <f>IF($C367="","",N(M367)+N(N367))</f>
        <v/>
      </c>
      <c r="R367" s="23">
        <f>IF($C367="","",N(J367)+N(Q367))</f>
        <v/>
      </c>
      <c r="S367" s="25">
        <f>IF(OR($C367="",N($G367)=0),"",R367/$G367)</f>
        <v/>
      </c>
      <c r="T367" s="23">
        <f>IF($C367="","",N($G367)-N(R367))</f>
        <v/>
      </c>
      <c r="U367" s="24" t="n"/>
      <c r="V367" s="22" t="n"/>
    </row>
    <row r="368">
      <c r="B368" s="13">
        <f>IF($C368="","",COUNTA($C$9:$C368))</f>
        <v/>
      </c>
      <c r="C368" s="21" t="n"/>
      <c r="D368" s="14" t="n"/>
      <c r="E368" s="14" t="n"/>
      <c r="F368" s="14" t="n"/>
      <c r="G368" s="22" t="n"/>
      <c r="H368" s="22" t="n"/>
      <c r="I368" s="22" t="n"/>
      <c r="J368" s="22" t="n"/>
      <c r="K368" s="22" t="n"/>
      <c r="L368" s="22" t="n"/>
      <c r="M368" s="22" t="n"/>
      <c r="N368" s="22" t="n"/>
      <c r="O368" s="23">
        <f>IF($C368="","",N(L368)-N(M368))</f>
        <v/>
      </c>
      <c r="P368" s="24" t="n"/>
      <c r="Q368" s="23">
        <f>IF($C368="","",N(M368)+N(N368))</f>
        <v/>
      </c>
      <c r="R368" s="23">
        <f>IF($C368="","",N(J368)+N(Q368))</f>
        <v/>
      </c>
      <c r="S368" s="25">
        <f>IF(OR($C368="",N($G368)=0),"",R368/$G368)</f>
        <v/>
      </c>
      <c r="T368" s="23">
        <f>IF($C368="","",N($G368)-N(R368))</f>
        <v/>
      </c>
      <c r="U368" s="24" t="n"/>
      <c r="V368" s="22" t="n"/>
    </row>
    <row r="369">
      <c r="B369" s="13">
        <f>IF($C369="","",COUNTA($C$9:$C369))</f>
        <v/>
      </c>
      <c r="C369" s="21" t="n"/>
      <c r="D369" s="14" t="n"/>
      <c r="E369" s="14" t="n"/>
      <c r="F369" s="14" t="n"/>
      <c r="G369" s="22" t="n"/>
      <c r="H369" s="22" t="n"/>
      <c r="I369" s="22" t="n"/>
      <c r="J369" s="22" t="n"/>
      <c r="K369" s="22" t="n"/>
      <c r="L369" s="22" t="n"/>
      <c r="M369" s="22" t="n"/>
      <c r="N369" s="22" t="n"/>
      <c r="O369" s="23">
        <f>IF($C369="","",N(L369)-N(M369))</f>
        <v/>
      </c>
      <c r="P369" s="24" t="n"/>
      <c r="Q369" s="23">
        <f>IF($C369="","",N(M369)+N(N369))</f>
        <v/>
      </c>
      <c r="R369" s="23">
        <f>IF($C369="","",N(J369)+N(Q369))</f>
        <v/>
      </c>
      <c r="S369" s="25">
        <f>IF(OR($C369="",N($G369)=0),"",R369/$G369)</f>
        <v/>
      </c>
      <c r="T369" s="23">
        <f>IF($C369="","",N($G369)-N(R369))</f>
        <v/>
      </c>
      <c r="U369" s="24" t="n"/>
      <c r="V369" s="22" t="n"/>
    </row>
    <row r="370">
      <c r="B370" s="13">
        <f>IF($C370="","",COUNTA($C$9:$C370))</f>
        <v/>
      </c>
      <c r="C370" s="21" t="n"/>
      <c r="D370" s="14" t="n"/>
      <c r="E370" s="14" t="n"/>
      <c r="F370" s="14" t="n"/>
      <c r="G370" s="22" t="n"/>
      <c r="H370" s="22" t="n"/>
      <c r="I370" s="22" t="n"/>
      <c r="J370" s="22" t="n"/>
      <c r="K370" s="22" t="n"/>
      <c r="L370" s="22" t="n"/>
      <c r="M370" s="22" t="n"/>
      <c r="N370" s="22" t="n"/>
      <c r="O370" s="23">
        <f>IF($C370="","",N(L370)-N(M370))</f>
        <v/>
      </c>
      <c r="P370" s="24" t="n"/>
      <c r="Q370" s="23">
        <f>IF($C370="","",N(M370)+N(N370))</f>
        <v/>
      </c>
      <c r="R370" s="23">
        <f>IF($C370="","",N(J370)+N(Q370))</f>
        <v/>
      </c>
      <c r="S370" s="25">
        <f>IF(OR($C370="",N($G370)=0),"",R370/$G370)</f>
        <v/>
      </c>
      <c r="T370" s="23">
        <f>IF($C370="","",N($G370)-N(R370))</f>
        <v/>
      </c>
      <c r="U370" s="24" t="n"/>
      <c r="V370" s="22" t="n"/>
    </row>
    <row r="371">
      <c r="B371" s="13">
        <f>IF($C371="","",COUNTA($C$9:$C371))</f>
        <v/>
      </c>
      <c r="C371" s="21" t="n"/>
      <c r="D371" s="14" t="n"/>
      <c r="E371" s="14" t="n"/>
      <c r="F371" s="14" t="n"/>
      <c r="G371" s="22" t="n"/>
      <c r="H371" s="22" t="n"/>
      <c r="I371" s="22" t="n"/>
      <c r="J371" s="22" t="n"/>
      <c r="K371" s="22" t="n"/>
      <c r="L371" s="22" t="n"/>
      <c r="M371" s="22" t="n"/>
      <c r="N371" s="22" t="n"/>
      <c r="O371" s="23">
        <f>IF($C371="","",N(L371)-N(M371))</f>
        <v/>
      </c>
      <c r="P371" s="24" t="n"/>
      <c r="Q371" s="23">
        <f>IF($C371="","",N(M371)+N(N371))</f>
        <v/>
      </c>
      <c r="R371" s="23">
        <f>IF($C371="","",N(J371)+N(Q371))</f>
        <v/>
      </c>
      <c r="S371" s="25">
        <f>IF(OR($C371="",N($G371)=0),"",R371/$G371)</f>
        <v/>
      </c>
      <c r="T371" s="23">
        <f>IF($C371="","",N($G371)-N(R371))</f>
        <v/>
      </c>
      <c r="U371" s="24" t="n"/>
      <c r="V371" s="22" t="n"/>
    </row>
    <row r="372">
      <c r="B372" s="13">
        <f>IF($C372="","",COUNTA($C$9:$C372))</f>
        <v/>
      </c>
      <c r="C372" s="21" t="n"/>
      <c r="D372" s="14" t="n"/>
      <c r="E372" s="14" t="n"/>
      <c r="F372" s="14" t="n"/>
      <c r="G372" s="22" t="n"/>
      <c r="H372" s="22" t="n"/>
      <c r="I372" s="22" t="n"/>
      <c r="J372" s="22" t="n"/>
      <c r="K372" s="22" t="n"/>
      <c r="L372" s="22" t="n"/>
      <c r="M372" s="22" t="n"/>
      <c r="N372" s="22" t="n"/>
      <c r="O372" s="23">
        <f>IF($C372="","",N(L372)-N(M372))</f>
        <v/>
      </c>
      <c r="P372" s="24" t="n"/>
      <c r="Q372" s="23">
        <f>IF($C372="","",N(M372)+N(N372))</f>
        <v/>
      </c>
      <c r="R372" s="23">
        <f>IF($C372="","",N(J372)+N(Q372))</f>
        <v/>
      </c>
      <c r="S372" s="25">
        <f>IF(OR($C372="",N($G372)=0),"",R372/$G372)</f>
        <v/>
      </c>
      <c r="T372" s="23">
        <f>IF($C372="","",N($G372)-N(R372))</f>
        <v/>
      </c>
      <c r="U372" s="24" t="n"/>
      <c r="V372" s="22" t="n"/>
    </row>
    <row r="373">
      <c r="B373" s="13">
        <f>IF($C373="","",COUNTA($C$9:$C373))</f>
        <v/>
      </c>
      <c r="C373" s="21" t="n"/>
      <c r="D373" s="14" t="n"/>
      <c r="E373" s="14" t="n"/>
      <c r="F373" s="14" t="n"/>
      <c r="G373" s="22" t="n"/>
      <c r="H373" s="22" t="n"/>
      <c r="I373" s="22" t="n"/>
      <c r="J373" s="22" t="n"/>
      <c r="K373" s="22" t="n"/>
      <c r="L373" s="22" t="n"/>
      <c r="M373" s="22" t="n"/>
      <c r="N373" s="22" t="n"/>
      <c r="O373" s="23">
        <f>IF($C373="","",N(L373)-N(M373))</f>
        <v/>
      </c>
      <c r="P373" s="24" t="n"/>
      <c r="Q373" s="23">
        <f>IF($C373="","",N(M373)+N(N373))</f>
        <v/>
      </c>
      <c r="R373" s="23">
        <f>IF($C373="","",N(J373)+N(Q373))</f>
        <v/>
      </c>
      <c r="S373" s="25">
        <f>IF(OR($C373="",N($G373)=0),"",R373/$G373)</f>
        <v/>
      </c>
      <c r="T373" s="23">
        <f>IF($C373="","",N($G373)-N(R373))</f>
        <v/>
      </c>
      <c r="U373" s="24" t="n"/>
      <c r="V373" s="22" t="n"/>
    </row>
    <row r="374">
      <c r="B374" s="13">
        <f>IF($C374="","",COUNTA($C$9:$C374))</f>
        <v/>
      </c>
      <c r="C374" s="21" t="n"/>
      <c r="D374" s="14" t="n"/>
      <c r="E374" s="14" t="n"/>
      <c r="F374" s="14" t="n"/>
      <c r="G374" s="22" t="n"/>
      <c r="H374" s="22" t="n"/>
      <c r="I374" s="22" t="n"/>
      <c r="J374" s="22" t="n"/>
      <c r="K374" s="22" t="n"/>
      <c r="L374" s="22" t="n"/>
      <c r="M374" s="22" t="n"/>
      <c r="N374" s="22" t="n"/>
      <c r="O374" s="23">
        <f>IF($C374="","",N(L374)-N(M374))</f>
        <v/>
      </c>
      <c r="P374" s="24" t="n"/>
      <c r="Q374" s="23">
        <f>IF($C374="","",N(M374)+N(N374))</f>
        <v/>
      </c>
      <c r="R374" s="23">
        <f>IF($C374="","",N(J374)+N(Q374))</f>
        <v/>
      </c>
      <c r="S374" s="25">
        <f>IF(OR($C374="",N($G374)=0),"",R374/$G374)</f>
        <v/>
      </c>
      <c r="T374" s="23">
        <f>IF($C374="","",N($G374)-N(R374))</f>
        <v/>
      </c>
      <c r="U374" s="24" t="n"/>
      <c r="V374" s="22" t="n"/>
    </row>
    <row r="375">
      <c r="B375" s="13">
        <f>IF($C375="","",COUNTA($C$9:$C375))</f>
        <v/>
      </c>
      <c r="C375" s="21" t="n"/>
      <c r="D375" s="14" t="n"/>
      <c r="E375" s="14" t="n"/>
      <c r="F375" s="14" t="n"/>
      <c r="G375" s="22" t="n"/>
      <c r="H375" s="22" t="n"/>
      <c r="I375" s="22" t="n"/>
      <c r="J375" s="22" t="n"/>
      <c r="K375" s="22" t="n"/>
      <c r="L375" s="22" t="n"/>
      <c r="M375" s="22" t="n"/>
      <c r="N375" s="22" t="n"/>
      <c r="O375" s="23">
        <f>IF($C375="","",N(L375)-N(M375))</f>
        <v/>
      </c>
      <c r="P375" s="24" t="n"/>
      <c r="Q375" s="23">
        <f>IF($C375="","",N(M375)+N(N375))</f>
        <v/>
      </c>
      <c r="R375" s="23">
        <f>IF($C375="","",N(J375)+N(Q375))</f>
        <v/>
      </c>
      <c r="S375" s="25">
        <f>IF(OR($C375="",N($G375)=0),"",R375/$G375)</f>
        <v/>
      </c>
      <c r="T375" s="23">
        <f>IF($C375="","",N($G375)-N(R375))</f>
        <v/>
      </c>
      <c r="U375" s="24" t="n"/>
      <c r="V375" s="22" t="n"/>
    </row>
    <row r="376">
      <c r="B376" s="13">
        <f>IF($C376="","",COUNTA($C$9:$C376))</f>
        <v/>
      </c>
      <c r="C376" s="21" t="n"/>
      <c r="D376" s="14" t="n"/>
      <c r="E376" s="14" t="n"/>
      <c r="F376" s="14" t="n"/>
      <c r="G376" s="22" t="n"/>
      <c r="H376" s="22" t="n"/>
      <c r="I376" s="22" t="n"/>
      <c r="J376" s="22" t="n"/>
      <c r="K376" s="22" t="n"/>
      <c r="L376" s="22" t="n"/>
      <c r="M376" s="22" t="n"/>
      <c r="N376" s="22" t="n"/>
      <c r="O376" s="23">
        <f>IF($C376="","",N(L376)-N(M376))</f>
        <v/>
      </c>
      <c r="P376" s="24" t="n"/>
      <c r="Q376" s="23">
        <f>IF($C376="","",N(M376)+N(N376))</f>
        <v/>
      </c>
      <c r="R376" s="23">
        <f>IF($C376="","",N(J376)+N(Q376))</f>
        <v/>
      </c>
      <c r="S376" s="25">
        <f>IF(OR($C376="",N($G376)=0),"",R376/$G376)</f>
        <v/>
      </c>
      <c r="T376" s="23">
        <f>IF($C376="","",N($G376)-N(R376))</f>
        <v/>
      </c>
      <c r="U376" s="24" t="n"/>
      <c r="V376" s="22" t="n"/>
    </row>
    <row r="377">
      <c r="B377" s="13">
        <f>IF($C377="","",COUNTA($C$9:$C377))</f>
        <v/>
      </c>
      <c r="C377" s="21" t="n"/>
      <c r="D377" s="14" t="n"/>
      <c r="E377" s="14" t="n"/>
      <c r="F377" s="14" t="n"/>
      <c r="G377" s="22" t="n"/>
      <c r="H377" s="22" t="n"/>
      <c r="I377" s="22" t="n"/>
      <c r="J377" s="22" t="n"/>
      <c r="K377" s="22" t="n"/>
      <c r="L377" s="22" t="n"/>
      <c r="M377" s="22" t="n"/>
      <c r="N377" s="22" t="n"/>
      <c r="O377" s="23">
        <f>IF($C377="","",N(L377)-N(M377))</f>
        <v/>
      </c>
      <c r="P377" s="24" t="n"/>
      <c r="Q377" s="23">
        <f>IF($C377="","",N(M377)+N(N377))</f>
        <v/>
      </c>
      <c r="R377" s="23">
        <f>IF($C377="","",N(J377)+N(Q377))</f>
        <v/>
      </c>
      <c r="S377" s="25">
        <f>IF(OR($C377="",N($G377)=0),"",R377/$G377)</f>
        <v/>
      </c>
      <c r="T377" s="23">
        <f>IF($C377="","",N($G377)-N(R377))</f>
        <v/>
      </c>
      <c r="U377" s="24" t="n"/>
      <c r="V377" s="22" t="n"/>
    </row>
    <row r="378">
      <c r="B378" s="13">
        <f>IF($C378="","",COUNTA($C$9:$C378))</f>
        <v/>
      </c>
      <c r="C378" s="21" t="n"/>
      <c r="D378" s="14" t="n"/>
      <c r="E378" s="14" t="n"/>
      <c r="F378" s="14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3">
        <f>IF($C378="","",N(L378)-N(M378))</f>
        <v/>
      </c>
      <c r="P378" s="24" t="n"/>
      <c r="Q378" s="23">
        <f>IF($C378="","",N(M378)+N(N378))</f>
        <v/>
      </c>
      <c r="R378" s="23">
        <f>IF($C378="","",N(J378)+N(Q378))</f>
        <v/>
      </c>
      <c r="S378" s="25">
        <f>IF(OR($C378="",N($G378)=0),"",R378/$G378)</f>
        <v/>
      </c>
      <c r="T378" s="23">
        <f>IF($C378="","",N($G378)-N(R378))</f>
        <v/>
      </c>
      <c r="U378" s="24" t="n"/>
      <c r="V378" s="22" t="n"/>
    </row>
    <row r="379">
      <c r="B379" s="13">
        <f>IF($C379="","",COUNTA($C$9:$C379))</f>
        <v/>
      </c>
      <c r="C379" s="21" t="n"/>
      <c r="D379" s="14" t="n"/>
      <c r="E379" s="14" t="n"/>
      <c r="F379" s="14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3">
        <f>IF($C379="","",N(L379)-N(M379))</f>
        <v/>
      </c>
      <c r="P379" s="24" t="n"/>
      <c r="Q379" s="23">
        <f>IF($C379="","",N(M379)+N(N379))</f>
        <v/>
      </c>
      <c r="R379" s="23">
        <f>IF($C379="","",N(J379)+N(Q379))</f>
        <v/>
      </c>
      <c r="S379" s="25">
        <f>IF(OR($C379="",N($G379)=0),"",R379/$G379)</f>
        <v/>
      </c>
      <c r="T379" s="23">
        <f>IF($C379="","",N($G379)-N(R379))</f>
        <v/>
      </c>
      <c r="U379" s="24" t="n"/>
      <c r="V379" s="22" t="n"/>
    </row>
    <row r="380">
      <c r="B380" s="13">
        <f>IF($C380="","",COUNTA($C$9:$C380))</f>
        <v/>
      </c>
      <c r="C380" s="21" t="n"/>
      <c r="D380" s="14" t="n"/>
      <c r="E380" s="14" t="n"/>
      <c r="F380" s="14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3">
        <f>IF($C380="","",N(L380)-N(M380))</f>
        <v/>
      </c>
      <c r="P380" s="24" t="n"/>
      <c r="Q380" s="23">
        <f>IF($C380="","",N(M380)+N(N380))</f>
        <v/>
      </c>
      <c r="R380" s="23">
        <f>IF($C380="","",N(J380)+N(Q380))</f>
        <v/>
      </c>
      <c r="S380" s="25">
        <f>IF(OR($C380="",N($G380)=0),"",R380/$G380)</f>
        <v/>
      </c>
      <c r="T380" s="23">
        <f>IF($C380="","",N($G380)-N(R380))</f>
        <v/>
      </c>
      <c r="U380" s="24" t="n"/>
      <c r="V380" s="22" t="n"/>
    </row>
    <row r="381">
      <c r="B381" s="13">
        <f>IF($C381="","",COUNTA($C$9:$C381))</f>
        <v/>
      </c>
      <c r="C381" s="21" t="n"/>
      <c r="D381" s="14" t="n"/>
      <c r="E381" s="14" t="n"/>
      <c r="F381" s="14" t="n"/>
      <c r="G381" s="22" t="n"/>
      <c r="H381" s="22" t="n"/>
      <c r="I381" s="22" t="n"/>
      <c r="J381" s="22" t="n"/>
      <c r="K381" s="22" t="n"/>
      <c r="L381" s="22" t="n"/>
      <c r="M381" s="22" t="n"/>
      <c r="N381" s="22" t="n"/>
      <c r="O381" s="23">
        <f>IF($C381="","",N(L381)-N(M381))</f>
        <v/>
      </c>
      <c r="P381" s="24" t="n"/>
      <c r="Q381" s="23">
        <f>IF($C381="","",N(M381)+N(N381))</f>
        <v/>
      </c>
      <c r="R381" s="23">
        <f>IF($C381="","",N(J381)+N(Q381))</f>
        <v/>
      </c>
      <c r="S381" s="25">
        <f>IF(OR($C381="",N($G381)=0),"",R381/$G381)</f>
        <v/>
      </c>
      <c r="T381" s="23">
        <f>IF($C381="","",N($G381)-N(R381))</f>
        <v/>
      </c>
      <c r="U381" s="24" t="n"/>
      <c r="V381" s="22" t="n"/>
    </row>
    <row r="382">
      <c r="B382" s="13">
        <f>IF($C382="","",COUNTA($C$9:$C382))</f>
        <v/>
      </c>
      <c r="C382" s="21" t="n"/>
      <c r="D382" s="14" t="n"/>
      <c r="E382" s="14" t="n"/>
      <c r="F382" s="14" t="n"/>
      <c r="G382" s="22" t="n"/>
      <c r="H382" s="22" t="n"/>
      <c r="I382" s="22" t="n"/>
      <c r="J382" s="22" t="n"/>
      <c r="K382" s="22" t="n"/>
      <c r="L382" s="22" t="n"/>
      <c r="M382" s="22" t="n"/>
      <c r="N382" s="22" t="n"/>
      <c r="O382" s="23">
        <f>IF($C382="","",N(L382)-N(M382))</f>
        <v/>
      </c>
      <c r="P382" s="24" t="n"/>
      <c r="Q382" s="23">
        <f>IF($C382="","",N(M382)+N(N382))</f>
        <v/>
      </c>
      <c r="R382" s="23">
        <f>IF($C382="","",N(J382)+N(Q382))</f>
        <v/>
      </c>
      <c r="S382" s="25">
        <f>IF(OR($C382="",N($G382)=0),"",R382/$G382)</f>
        <v/>
      </c>
      <c r="T382" s="23">
        <f>IF($C382="","",N($G382)-N(R382))</f>
        <v/>
      </c>
      <c r="U382" s="24" t="n"/>
      <c r="V382" s="22" t="n"/>
    </row>
    <row r="383">
      <c r="B383" s="13">
        <f>IF($C383="","",COUNTA($C$9:$C383))</f>
        <v/>
      </c>
      <c r="C383" s="21" t="n"/>
      <c r="D383" s="14" t="n"/>
      <c r="E383" s="14" t="n"/>
      <c r="F383" s="14" t="n"/>
      <c r="G383" s="22" t="n"/>
      <c r="H383" s="22" t="n"/>
      <c r="I383" s="22" t="n"/>
      <c r="J383" s="22" t="n"/>
      <c r="K383" s="22" t="n"/>
      <c r="L383" s="22" t="n"/>
      <c r="M383" s="22" t="n"/>
      <c r="N383" s="22" t="n"/>
      <c r="O383" s="23">
        <f>IF($C383="","",N(L383)-N(M383))</f>
        <v/>
      </c>
      <c r="P383" s="24" t="n"/>
      <c r="Q383" s="23">
        <f>IF($C383="","",N(M383)+N(N383))</f>
        <v/>
      </c>
      <c r="R383" s="23">
        <f>IF($C383="","",N(J383)+N(Q383))</f>
        <v/>
      </c>
      <c r="S383" s="25">
        <f>IF(OR($C383="",N($G383)=0),"",R383/$G383)</f>
        <v/>
      </c>
      <c r="T383" s="23">
        <f>IF($C383="","",N($G383)-N(R383))</f>
        <v/>
      </c>
      <c r="U383" s="24" t="n"/>
      <c r="V383" s="22" t="n"/>
    </row>
    <row r="384">
      <c r="B384" s="13">
        <f>IF($C384="","",COUNTA($C$9:$C384))</f>
        <v/>
      </c>
      <c r="C384" s="21" t="n"/>
      <c r="D384" s="14" t="n"/>
      <c r="E384" s="14" t="n"/>
      <c r="F384" s="14" t="n"/>
      <c r="G384" s="22" t="n"/>
      <c r="H384" s="22" t="n"/>
      <c r="I384" s="22" t="n"/>
      <c r="J384" s="22" t="n"/>
      <c r="K384" s="22" t="n"/>
      <c r="L384" s="22" t="n"/>
      <c r="M384" s="22" t="n"/>
      <c r="N384" s="22" t="n"/>
      <c r="O384" s="23">
        <f>IF($C384="","",N(L384)-N(M384))</f>
        <v/>
      </c>
      <c r="P384" s="24" t="n"/>
      <c r="Q384" s="23">
        <f>IF($C384="","",N(M384)+N(N384))</f>
        <v/>
      </c>
      <c r="R384" s="23">
        <f>IF($C384="","",N(J384)+N(Q384))</f>
        <v/>
      </c>
      <c r="S384" s="25">
        <f>IF(OR($C384="",N($G384)=0),"",R384/$G384)</f>
        <v/>
      </c>
      <c r="T384" s="23">
        <f>IF($C384="","",N($G384)-N(R384))</f>
        <v/>
      </c>
      <c r="U384" s="24" t="n"/>
      <c r="V384" s="22" t="n"/>
    </row>
    <row r="385">
      <c r="B385" s="13">
        <f>IF($C385="","",COUNTA($C$9:$C385))</f>
        <v/>
      </c>
      <c r="C385" s="21" t="n"/>
      <c r="D385" s="14" t="n"/>
      <c r="E385" s="14" t="n"/>
      <c r="F385" s="14" t="n"/>
      <c r="G385" s="22" t="n"/>
      <c r="H385" s="22" t="n"/>
      <c r="I385" s="22" t="n"/>
      <c r="J385" s="22" t="n"/>
      <c r="K385" s="22" t="n"/>
      <c r="L385" s="22" t="n"/>
      <c r="M385" s="22" t="n"/>
      <c r="N385" s="22" t="n"/>
      <c r="O385" s="23">
        <f>IF($C385="","",N(L385)-N(M385))</f>
        <v/>
      </c>
      <c r="P385" s="24" t="n"/>
      <c r="Q385" s="23">
        <f>IF($C385="","",N(M385)+N(N385))</f>
        <v/>
      </c>
      <c r="R385" s="23">
        <f>IF($C385="","",N(J385)+N(Q385))</f>
        <v/>
      </c>
      <c r="S385" s="25">
        <f>IF(OR($C385="",N($G385)=0),"",R385/$G385)</f>
        <v/>
      </c>
      <c r="T385" s="23">
        <f>IF($C385="","",N($G385)-N(R385))</f>
        <v/>
      </c>
      <c r="U385" s="24" t="n"/>
      <c r="V385" s="22" t="n"/>
    </row>
    <row r="386">
      <c r="B386" s="13">
        <f>IF($C386="","",COUNTA($C$9:$C386))</f>
        <v/>
      </c>
      <c r="C386" s="21" t="n"/>
      <c r="D386" s="14" t="n"/>
      <c r="E386" s="14" t="n"/>
      <c r="F386" s="14" t="n"/>
      <c r="G386" s="22" t="n"/>
      <c r="H386" s="22" t="n"/>
      <c r="I386" s="22" t="n"/>
      <c r="J386" s="22" t="n"/>
      <c r="K386" s="22" t="n"/>
      <c r="L386" s="22" t="n"/>
      <c r="M386" s="22" t="n"/>
      <c r="N386" s="22" t="n"/>
      <c r="O386" s="23">
        <f>IF($C386="","",N(L386)-N(M386))</f>
        <v/>
      </c>
      <c r="P386" s="24" t="n"/>
      <c r="Q386" s="23">
        <f>IF($C386="","",N(M386)+N(N386))</f>
        <v/>
      </c>
      <c r="R386" s="23">
        <f>IF($C386="","",N(J386)+N(Q386))</f>
        <v/>
      </c>
      <c r="S386" s="25">
        <f>IF(OR($C386="",N($G386)=0),"",R386/$G386)</f>
        <v/>
      </c>
      <c r="T386" s="23">
        <f>IF($C386="","",N($G386)-N(R386))</f>
        <v/>
      </c>
      <c r="U386" s="24" t="n"/>
      <c r="V386" s="22" t="n"/>
    </row>
    <row r="387">
      <c r="B387" s="13">
        <f>IF($C387="","",COUNTA($C$9:$C387))</f>
        <v/>
      </c>
      <c r="C387" s="21" t="n"/>
      <c r="D387" s="14" t="n"/>
      <c r="E387" s="14" t="n"/>
      <c r="F387" s="14" t="n"/>
      <c r="G387" s="22" t="n"/>
      <c r="H387" s="22" t="n"/>
      <c r="I387" s="22" t="n"/>
      <c r="J387" s="22" t="n"/>
      <c r="K387" s="22" t="n"/>
      <c r="L387" s="22" t="n"/>
      <c r="M387" s="22" t="n"/>
      <c r="N387" s="22" t="n"/>
      <c r="O387" s="23">
        <f>IF($C387="","",N(L387)-N(M387))</f>
        <v/>
      </c>
      <c r="P387" s="24" t="n"/>
      <c r="Q387" s="23">
        <f>IF($C387="","",N(M387)+N(N387))</f>
        <v/>
      </c>
      <c r="R387" s="23">
        <f>IF($C387="","",N(J387)+N(Q387))</f>
        <v/>
      </c>
      <c r="S387" s="25">
        <f>IF(OR($C387="",N($G387)=0),"",R387/$G387)</f>
        <v/>
      </c>
      <c r="T387" s="23">
        <f>IF($C387="","",N($G387)-N(R387))</f>
        <v/>
      </c>
      <c r="U387" s="24" t="n"/>
      <c r="V387" s="22" t="n"/>
    </row>
    <row r="388">
      <c r="B388" s="13">
        <f>IF($C388="","",COUNTA($C$9:$C388))</f>
        <v/>
      </c>
      <c r="C388" s="21" t="n"/>
      <c r="D388" s="14" t="n"/>
      <c r="E388" s="14" t="n"/>
      <c r="F388" s="14" t="n"/>
      <c r="G388" s="22" t="n"/>
      <c r="H388" s="22" t="n"/>
      <c r="I388" s="22" t="n"/>
      <c r="J388" s="22" t="n"/>
      <c r="K388" s="22" t="n"/>
      <c r="L388" s="22" t="n"/>
      <c r="M388" s="22" t="n"/>
      <c r="N388" s="22" t="n"/>
      <c r="O388" s="23">
        <f>IF($C388="","",N(L388)-N(M388))</f>
        <v/>
      </c>
      <c r="P388" s="24" t="n"/>
      <c r="Q388" s="23">
        <f>IF($C388="","",N(M388)+N(N388))</f>
        <v/>
      </c>
      <c r="R388" s="23">
        <f>IF($C388="","",N(J388)+N(Q388))</f>
        <v/>
      </c>
      <c r="S388" s="25">
        <f>IF(OR($C388="",N($G388)=0),"",R388/$G388)</f>
        <v/>
      </c>
      <c r="T388" s="23">
        <f>IF($C388="","",N($G388)-N(R388))</f>
        <v/>
      </c>
      <c r="U388" s="24" t="n"/>
      <c r="V388" s="22" t="n"/>
    </row>
    <row r="389">
      <c r="B389" s="13">
        <f>IF($C389="","",COUNTA($C$9:$C389))</f>
        <v/>
      </c>
      <c r="C389" s="21" t="n"/>
      <c r="D389" s="14" t="n"/>
      <c r="E389" s="14" t="n"/>
      <c r="F389" s="14" t="n"/>
      <c r="G389" s="22" t="n"/>
      <c r="H389" s="22" t="n"/>
      <c r="I389" s="22" t="n"/>
      <c r="J389" s="22" t="n"/>
      <c r="K389" s="22" t="n"/>
      <c r="L389" s="22" t="n"/>
      <c r="M389" s="22" t="n"/>
      <c r="N389" s="22" t="n"/>
      <c r="O389" s="23">
        <f>IF($C389="","",N(L389)-N(M389))</f>
        <v/>
      </c>
      <c r="P389" s="24" t="n"/>
      <c r="Q389" s="23">
        <f>IF($C389="","",N(M389)+N(N389))</f>
        <v/>
      </c>
      <c r="R389" s="23">
        <f>IF($C389="","",N(J389)+N(Q389))</f>
        <v/>
      </c>
      <c r="S389" s="25">
        <f>IF(OR($C389="",N($G389)=0),"",R389/$G389)</f>
        <v/>
      </c>
      <c r="T389" s="23">
        <f>IF($C389="","",N($G389)-N(R389))</f>
        <v/>
      </c>
      <c r="U389" s="24" t="n"/>
      <c r="V389" s="22" t="n"/>
    </row>
    <row r="390">
      <c r="B390" s="13">
        <f>IF($C390="","",COUNTA($C$9:$C390))</f>
        <v/>
      </c>
      <c r="C390" s="21" t="n"/>
      <c r="D390" s="14" t="n"/>
      <c r="E390" s="14" t="n"/>
      <c r="F390" s="14" t="n"/>
      <c r="G390" s="22" t="n"/>
      <c r="H390" s="22" t="n"/>
      <c r="I390" s="22" t="n"/>
      <c r="J390" s="22" t="n"/>
      <c r="K390" s="22" t="n"/>
      <c r="L390" s="22" t="n"/>
      <c r="M390" s="22" t="n"/>
      <c r="N390" s="22" t="n"/>
      <c r="O390" s="23">
        <f>IF($C390="","",N(L390)-N(M390))</f>
        <v/>
      </c>
      <c r="P390" s="24" t="n"/>
      <c r="Q390" s="23">
        <f>IF($C390="","",N(M390)+N(N390))</f>
        <v/>
      </c>
      <c r="R390" s="23">
        <f>IF($C390="","",N(J390)+N(Q390))</f>
        <v/>
      </c>
      <c r="S390" s="25">
        <f>IF(OR($C390="",N($G390)=0),"",R390/$G390)</f>
        <v/>
      </c>
      <c r="T390" s="23">
        <f>IF($C390="","",N($G390)-N(R390))</f>
        <v/>
      </c>
      <c r="U390" s="24" t="n"/>
      <c r="V390" s="22" t="n"/>
    </row>
    <row r="391">
      <c r="B391" s="13">
        <f>IF($C391="","",COUNTA($C$9:$C391))</f>
        <v/>
      </c>
      <c r="C391" s="21" t="n"/>
      <c r="D391" s="14" t="n"/>
      <c r="E391" s="14" t="n"/>
      <c r="F391" s="14" t="n"/>
      <c r="G391" s="22" t="n"/>
      <c r="H391" s="22" t="n"/>
      <c r="I391" s="22" t="n"/>
      <c r="J391" s="22" t="n"/>
      <c r="K391" s="22" t="n"/>
      <c r="L391" s="22" t="n"/>
      <c r="M391" s="22" t="n"/>
      <c r="N391" s="22" t="n"/>
      <c r="O391" s="23">
        <f>IF($C391="","",N(L391)-N(M391))</f>
        <v/>
      </c>
      <c r="P391" s="24" t="n"/>
      <c r="Q391" s="23">
        <f>IF($C391="","",N(M391)+N(N391))</f>
        <v/>
      </c>
      <c r="R391" s="23">
        <f>IF($C391="","",N(J391)+N(Q391))</f>
        <v/>
      </c>
      <c r="S391" s="25">
        <f>IF(OR($C391="",N($G391)=0),"",R391/$G391)</f>
        <v/>
      </c>
      <c r="T391" s="23">
        <f>IF($C391="","",N($G391)-N(R391))</f>
        <v/>
      </c>
      <c r="U391" s="24" t="n"/>
      <c r="V391" s="22" t="n"/>
    </row>
    <row r="392">
      <c r="B392" s="13">
        <f>IF($C392="","",COUNTA($C$9:$C392))</f>
        <v/>
      </c>
      <c r="C392" s="21" t="n"/>
      <c r="D392" s="14" t="n"/>
      <c r="E392" s="14" t="n"/>
      <c r="F392" s="14" t="n"/>
      <c r="G392" s="22" t="n"/>
      <c r="H392" s="22" t="n"/>
      <c r="I392" s="22" t="n"/>
      <c r="J392" s="22" t="n"/>
      <c r="K392" s="22" t="n"/>
      <c r="L392" s="22" t="n"/>
      <c r="M392" s="22" t="n"/>
      <c r="N392" s="22" t="n"/>
      <c r="O392" s="23">
        <f>IF($C392="","",N(L392)-N(M392))</f>
        <v/>
      </c>
      <c r="P392" s="24" t="n"/>
      <c r="Q392" s="23">
        <f>IF($C392="","",N(M392)+N(N392))</f>
        <v/>
      </c>
      <c r="R392" s="23">
        <f>IF($C392="","",N(J392)+N(Q392))</f>
        <v/>
      </c>
      <c r="S392" s="25">
        <f>IF(OR($C392="",N($G392)=0),"",R392/$G392)</f>
        <v/>
      </c>
      <c r="T392" s="23">
        <f>IF($C392="","",N($G392)-N(R392))</f>
        <v/>
      </c>
      <c r="U392" s="24" t="n"/>
      <c r="V392" s="22" t="n"/>
    </row>
    <row r="393">
      <c r="B393" s="13">
        <f>IF($C393="","",COUNTA($C$9:$C393))</f>
        <v/>
      </c>
      <c r="C393" s="21" t="n"/>
      <c r="D393" s="14" t="n"/>
      <c r="E393" s="14" t="n"/>
      <c r="F393" s="14" t="n"/>
      <c r="G393" s="22" t="n"/>
      <c r="H393" s="22" t="n"/>
      <c r="I393" s="22" t="n"/>
      <c r="J393" s="22" t="n"/>
      <c r="K393" s="22" t="n"/>
      <c r="L393" s="22" t="n"/>
      <c r="M393" s="22" t="n"/>
      <c r="N393" s="22" t="n"/>
      <c r="O393" s="23">
        <f>IF($C393="","",N(L393)-N(M393))</f>
        <v/>
      </c>
      <c r="P393" s="24" t="n"/>
      <c r="Q393" s="23">
        <f>IF($C393="","",N(M393)+N(N393))</f>
        <v/>
      </c>
      <c r="R393" s="23">
        <f>IF($C393="","",N(J393)+N(Q393))</f>
        <v/>
      </c>
      <c r="S393" s="25">
        <f>IF(OR($C393="",N($G393)=0),"",R393/$G393)</f>
        <v/>
      </c>
      <c r="T393" s="23">
        <f>IF($C393="","",N($G393)-N(R393))</f>
        <v/>
      </c>
      <c r="U393" s="24" t="n"/>
      <c r="V393" s="22" t="n"/>
    </row>
    <row r="394">
      <c r="B394" s="13">
        <f>IF($C394="","",COUNTA($C$9:$C394))</f>
        <v/>
      </c>
      <c r="C394" s="21" t="n"/>
      <c r="D394" s="14" t="n"/>
      <c r="E394" s="14" t="n"/>
      <c r="F394" s="14" t="n"/>
      <c r="G394" s="22" t="n"/>
      <c r="H394" s="22" t="n"/>
      <c r="I394" s="22" t="n"/>
      <c r="J394" s="22" t="n"/>
      <c r="K394" s="22" t="n"/>
      <c r="L394" s="22" t="n"/>
      <c r="M394" s="22" t="n"/>
      <c r="N394" s="22" t="n"/>
      <c r="O394" s="23">
        <f>IF($C394="","",N(L394)-N(M394))</f>
        <v/>
      </c>
      <c r="P394" s="24" t="n"/>
      <c r="Q394" s="23">
        <f>IF($C394="","",N(M394)+N(N394))</f>
        <v/>
      </c>
      <c r="R394" s="23">
        <f>IF($C394="","",N(J394)+N(Q394))</f>
        <v/>
      </c>
      <c r="S394" s="25">
        <f>IF(OR($C394="",N($G394)=0),"",R394/$G394)</f>
        <v/>
      </c>
      <c r="T394" s="23">
        <f>IF($C394="","",N($G394)-N(R394))</f>
        <v/>
      </c>
      <c r="U394" s="24" t="n"/>
      <c r="V394" s="22" t="n"/>
    </row>
    <row r="395">
      <c r="B395" s="13">
        <f>IF($C395="","",COUNTA($C$9:$C395))</f>
        <v/>
      </c>
      <c r="C395" s="21" t="n"/>
      <c r="D395" s="14" t="n"/>
      <c r="E395" s="14" t="n"/>
      <c r="F395" s="14" t="n"/>
      <c r="G395" s="22" t="n"/>
      <c r="H395" s="22" t="n"/>
      <c r="I395" s="22" t="n"/>
      <c r="J395" s="22" t="n"/>
      <c r="K395" s="22" t="n"/>
      <c r="L395" s="22" t="n"/>
      <c r="M395" s="22" t="n"/>
      <c r="N395" s="22" t="n"/>
      <c r="O395" s="23">
        <f>IF($C395="","",N(L395)-N(M395))</f>
        <v/>
      </c>
      <c r="P395" s="24" t="n"/>
      <c r="Q395" s="23">
        <f>IF($C395="","",N(M395)+N(N395))</f>
        <v/>
      </c>
      <c r="R395" s="23">
        <f>IF($C395="","",N(J395)+N(Q395))</f>
        <v/>
      </c>
      <c r="S395" s="25">
        <f>IF(OR($C395="",N($G395)=0),"",R395/$G395)</f>
        <v/>
      </c>
      <c r="T395" s="23">
        <f>IF($C395="","",N($G395)-N(R395))</f>
        <v/>
      </c>
      <c r="U395" s="24" t="n"/>
      <c r="V395" s="22" t="n"/>
    </row>
    <row r="396">
      <c r="B396" s="13">
        <f>IF($C396="","",COUNTA($C$9:$C396))</f>
        <v/>
      </c>
      <c r="C396" s="21" t="n"/>
      <c r="D396" s="14" t="n"/>
      <c r="E396" s="14" t="n"/>
      <c r="F396" s="14" t="n"/>
      <c r="G396" s="22" t="n"/>
      <c r="H396" s="22" t="n"/>
      <c r="I396" s="22" t="n"/>
      <c r="J396" s="22" t="n"/>
      <c r="K396" s="22" t="n"/>
      <c r="L396" s="22" t="n"/>
      <c r="M396" s="22" t="n"/>
      <c r="N396" s="22" t="n"/>
      <c r="O396" s="23">
        <f>IF($C396="","",N(L396)-N(M396))</f>
        <v/>
      </c>
      <c r="P396" s="24" t="n"/>
      <c r="Q396" s="23">
        <f>IF($C396="","",N(M396)+N(N396))</f>
        <v/>
      </c>
      <c r="R396" s="23">
        <f>IF($C396="","",N(J396)+N(Q396))</f>
        <v/>
      </c>
      <c r="S396" s="25">
        <f>IF(OR($C396="",N($G396)=0),"",R396/$G396)</f>
        <v/>
      </c>
      <c r="T396" s="23">
        <f>IF($C396="","",N($G396)-N(R396))</f>
        <v/>
      </c>
      <c r="U396" s="24" t="n"/>
      <c r="V396" s="22" t="n"/>
    </row>
    <row r="397">
      <c r="B397" s="13">
        <f>IF($C397="","",COUNTA($C$9:$C397))</f>
        <v/>
      </c>
      <c r="C397" s="21" t="n"/>
      <c r="D397" s="14" t="n"/>
      <c r="E397" s="14" t="n"/>
      <c r="F397" s="14" t="n"/>
      <c r="G397" s="22" t="n"/>
      <c r="H397" s="22" t="n"/>
      <c r="I397" s="22" t="n"/>
      <c r="J397" s="22" t="n"/>
      <c r="K397" s="22" t="n"/>
      <c r="L397" s="22" t="n"/>
      <c r="M397" s="22" t="n"/>
      <c r="N397" s="22" t="n"/>
      <c r="O397" s="23">
        <f>IF($C397="","",N(L397)-N(M397))</f>
        <v/>
      </c>
      <c r="P397" s="24" t="n"/>
      <c r="Q397" s="23">
        <f>IF($C397="","",N(M397)+N(N397))</f>
        <v/>
      </c>
      <c r="R397" s="23">
        <f>IF($C397="","",N(J397)+N(Q397))</f>
        <v/>
      </c>
      <c r="S397" s="25">
        <f>IF(OR($C397="",N($G397)=0),"",R397/$G397)</f>
        <v/>
      </c>
      <c r="T397" s="23">
        <f>IF($C397="","",N($G397)-N(R397))</f>
        <v/>
      </c>
      <c r="U397" s="24" t="n"/>
      <c r="V397" s="22" t="n"/>
    </row>
    <row r="398">
      <c r="B398" s="13">
        <f>IF($C398="","",COUNTA($C$9:$C398))</f>
        <v/>
      </c>
      <c r="C398" s="21" t="n"/>
      <c r="D398" s="14" t="n"/>
      <c r="E398" s="14" t="n"/>
      <c r="F398" s="14" t="n"/>
      <c r="G398" s="22" t="n"/>
      <c r="H398" s="22" t="n"/>
      <c r="I398" s="22" t="n"/>
      <c r="J398" s="22" t="n"/>
      <c r="K398" s="22" t="n"/>
      <c r="L398" s="22" t="n"/>
      <c r="M398" s="22" t="n"/>
      <c r="N398" s="22" t="n"/>
      <c r="O398" s="23">
        <f>IF($C398="","",N(L398)-N(M398))</f>
        <v/>
      </c>
      <c r="P398" s="24" t="n"/>
      <c r="Q398" s="23">
        <f>IF($C398="","",N(M398)+N(N398))</f>
        <v/>
      </c>
      <c r="R398" s="23">
        <f>IF($C398="","",N(J398)+N(Q398))</f>
        <v/>
      </c>
      <c r="S398" s="25">
        <f>IF(OR($C398="",N($G398)=0),"",R398/$G398)</f>
        <v/>
      </c>
      <c r="T398" s="23">
        <f>IF($C398="","",N($G398)-N(R398))</f>
        <v/>
      </c>
      <c r="U398" s="24" t="n"/>
      <c r="V398" s="22" t="n"/>
    </row>
    <row r="399">
      <c r="B399" s="13">
        <f>IF($C399="","",COUNTA($C$9:$C399))</f>
        <v/>
      </c>
      <c r="C399" s="21" t="n"/>
      <c r="D399" s="14" t="n"/>
      <c r="E399" s="14" t="n"/>
      <c r="F399" s="14" t="n"/>
      <c r="G399" s="22" t="n"/>
      <c r="H399" s="22" t="n"/>
      <c r="I399" s="22" t="n"/>
      <c r="J399" s="22" t="n"/>
      <c r="K399" s="22" t="n"/>
      <c r="L399" s="22" t="n"/>
      <c r="M399" s="22" t="n"/>
      <c r="N399" s="22" t="n"/>
      <c r="O399" s="23">
        <f>IF($C399="","",N(L399)-N(M399))</f>
        <v/>
      </c>
      <c r="P399" s="24" t="n"/>
      <c r="Q399" s="23">
        <f>IF($C399="","",N(M399)+N(N399))</f>
        <v/>
      </c>
      <c r="R399" s="23">
        <f>IF($C399="","",N(J399)+N(Q399))</f>
        <v/>
      </c>
      <c r="S399" s="25">
        <f>IF(OR($C399="",N($G399)=0),"",R399/$G399)</f>
        <v/>
      </c>
      <c r="T399" s="23">
        <f>IF($C399="","",N($G399)-N(R399))</f>
        <v/>
      </c>
      <c r="U399" s="24" t="n"/>
      <c r="V399" s="22" t="n"/>
    </row>
    <row r="400">
      <c r="B400" s="13">
        <f>IF($C400="","",COUNTA($C$9:$C400))</f>
        <v/>
      </c>
      <c r="C400" s="21" t="n"/>
      <c r="D400" s="14" t="n"/>
      <c r="E400" s="14" t="n"/>
      <c r="F400" s="14" t="n"/>
      <c r="G400" s="22" t="n"/>
      <c r="H400" s="22" t="n"/>
      <c r="I400" s="22" t="n"/>
      <c r="J400" s="22" t="n"/>
      <c r="K400" s="22" t="n"/>
      <c r="L400" s="22" t="n"/>
      <c r="M400" s="22" t="n"/>
      <c r="N400" s="22" t="n"/>
      <c r="O400" s="23">
        <f>IF($C400="","",N(L400)-N(M400))</f>
        <v/>
      </c>
      <c r="P400" s="24" t="n"/>
      <c r="Q400" s="23">
        <f>IF($C400="","",N(M400)+N(N400))</f>
        <v/>
      </c>
      <c r="R400" s="23">
        <f>IF($C400="","",N(J400)+N(Q400))</f>
        <v/>
      </c>
      <c r="S400" s="25">
        <f>IF(OR($C400="",N($G400)=0),"",R400/$G400)</f>
        <v/>
      </c>
      <c r="T400" s="23">
        <f>IF($C400="","",N($G400)-N(R400))</f>
        <v/>
      </c>
      <c r="U400" s="24" t="n"/>
      <c r="V400" s="22" t="n"/>
    </row>
    <row r="401">
      <c r="B401" s="13">
        <f>IF($C401="","",COUNTA($C$9:$C401))</f>
        <v/>
      </c>
      <c r="C401" s="21" t="n"/>
      <c r="D401" s="14" t="n"/>
      <c r="E401" s="14" t="n"/>
      <c r="F401" s="14" t="n"/>
      <c r="G401" s="22" t="n"/>
      <c r="H401" s="22" t="n"/>
      <c r="I401" s="22" t="n"/>
      <c r="J401" s="22" t="n"/>
      <c r="K401" s="22" t="n"/>
      <c r="L401" s="22" t="n"/>
      <c r="M401" s="22" t="n"/>
      <c r="N401" s="22" t="n"/>
      <c r="O401" s="23">
        <f>IF($C401="","",N(L401)-N(M401))</f>
        <v/>
      </c>
      <c r="P401" s="24" t="n"/>
      <c r="Q401" s="23">
        <f>IF($C401="","",N(M401)+N(N401))</f>
        <v/>
      </c>
      <c r="R401" s="23">
        <f>IF($C401="","",N(J401)+N(Q401))</f>
        <v/>
      </c>
      <c r="S401" s="25">
        <f>IF(OR($C401="",N($G401)=0),"",R401/$G401)</f>
        <v/>
      </c>
      <c r="T401" s="23">
        <f>IF($C401="","",N($G401)-N(R401))</f>
        <v/>
      </c>
      <c r="U401" s="24" t="n"/>
      <c r="V401" s="22" t="n"/>
    </row>
    <row r="402">
      <c r="B402" s="13">
        <f>IF($C402="","",COUNTA($C$9:$C402))</f>
        <v/>
      </c>
      <c r="C402" s="21" t="n"/>
      <c r="D402" s="14" t="n"/>
      <c r="E402" s="14" t="n"/>
      <c r="F402" s="14" t="n"/>
      <c r="G402" s="22" t="n"/>
      <c r="H402" s="22" t="n"/>
      <c r="I402" s="22" t="n"/>
      <c r="J402" s="22" t="n"/>
      <c r="K402" s="22" t="n"/>
      <c r="L402" s="22" t="n"/>
      <c r="M402" s="22" t="n"/>
      <c r="N402" s="22" t="n"/>
      <c r="O402" s="23">
        <f>IF($C402="","",N(L402)-N(M402))</f>
        <v/>
      </c>
      <c r="P402" s="24" t="n"/>
      <c r="Q402" s="23">
        <f>IF($C402="","",N(M402)+N(N402))</f>
        <v/>
      </c>
      <c r="R402" s="23">
        <f>IF($C402="","",N(J402)+N(Q402))</f>
        <v/>
      </c>
      <c r="S402" s="25">
        <f>IF(OR($C402="",N($G402)=0),"",R402/$G402)</f>
        <v/>
      </c>
      <c r="T402" s="23">
        <f>IF($C402="","",N($G402)-N(R402))</f>
        <v/>
      </c>
      <c r="U402" s="24" t="n"/>
      <c r="V402" s="22" t="n"/>
    </row>
    <row r="403">
      <c r="B403" s="13">
        <f>IF($C403="","",COUNTA($C$9:$C403))</f>
        <v/>
      </c>
      <c r="C403" s="21" t="n"/>
      <c r="D403" s="14" t="n"/>
      <c r="E403" s="14" t="n"/>
      <c r="F403" s="14" t="n"/>
      <c r="G403" s="22" t="n"/>
      <c r="H403" s="22" t="n"/>
      <c r="I403" s="22" t="n"/>
      <c r="J403" s="22" t="n"/>
      <c r="K403" s="22" t="n"/>
      <c r="L403" s="22" t="n"/>
      <c r="M403" s="22" t="n"/>
      <c r="N403" s="22" t="n"/>
      <c r="O403" s="23">
        <f>IF($C403="","",N(L403)-N(M403))</f>
        <v/>
      </c>
      <c r="P403" s="24" t="n"/>
      <c r="Q403" s="23">
        <f>IF($C403="","",N(M403)+N(N403))</f>
        <v/>
      </c>
      <c r="R403" s="23">
        <f>IF($C403="","",N(J403)+N(Q403))</f>
        <v/>
      </c>
      <c r="S403" s="25">
        <f>IF(OR($C403="",N($G403)=0),"",R403/$G403)</f>
        <v/>
      </c>
      <c r="T403" s="23">
        <f>IF($C403="","",N($G403)-N(R403))</f>
        <v/>
      </c>
      <c r="U403" s="24" t="n"/>
      <c r="V403" s="22" t="n"/>
    </row>
    <row r="404">
      <c r="B404" s="13">
        <f>IF($C404="","",COUNTA($C$9:$C404))</f>
        <v/>
      </c>
      <c r="C404" s="21" t="n"/>
      <c r="D404" s="14" t="n"/>
      <c r="E404" s="14" t="n"/>
      <c r="F404" s="14" t="n"/>
      <c r="G404" s="22" t="n"/>
      <c r="H404" s="22" t="n"/>
      <c r="I404" s="22" t="n"/>
      <c r="J404" s="22" t="n"/>
      <c r="K404" s="22" t="n"/>
      <c r="L404" s="22" t="n"/>
      <c r="M404" s="22" t="n"/>
      <c r="N404" s="22" t="n"/>
      <c r="O404" s="23">
        <f>IF($C404="","",N(L404)-N(M404))</f>
        <v/>
      </c>
      <c r="P404" s="24" t="n"/>
      <c r="Q404" s="23">
        <f>IF($C404="","",N(M404)+N(N404))</f>
        <v/>
      </c>
      <c r="R404" s="23">
        <f>IF($C404="","",N(J404)+N(Q404))</f>
        <v/>
      </c>
      <c r="S404" s="25">
        <f>IF(OR($C404="",N($G404)=0),"",R404/$G404)</f>
        <v/>
      </c>
      <c r="T404" s="23">
        <f>IF($C404="","",N($G404)-N(R404))</f>
        <v/>
      </c>
      <c r="U404" s="24" t="n"/>
      <c r="V404" s="22" t="n"/>
    </row>
    <row r="405">
      <c r="B405" s="13">
        <f>IF($C405="","",COUNTA($C$9:$C405))</f>
        <v/>
      </c>
      <c r="C405" s="21" t="n"/>
      <c r="D405" s="14" t="n"/>
      <c r="E405" s="14" t="n"/>
      <c r="F405" s="14" t="n"/>
      <c r="G405" s="22" t="n"/>
      <c r="H405" s="22" t="n"/>
      <c r="I405" s="22" t="n"/>
      <c r="J405" s="22" t="n"/>
      <c r="K405" s="22" t="n"/>
      <c r="L405" s="22" t="n"/>
      <c r="M405" s="22" t="n"/>
      <c r="N405" s="22" t="n"/>
      <c r="O405" s="23">
        <f>IF($C405="","",N(L405)-N(M405))</f>
        <v/>
      </c>
      <c r="P405" s="24" t="n"/>
      <c r="Q405" s="23">
        <f>IF($C405="","",N(M405)+N(N405))</f>
        <v/>
      </c>
      <c r="R405" s="23">
        <f>IF($C405="","",N(J405)+N(Q405))</f>
        <v/>
      </c>
      <c r="S405" s="25">
        <f>IF(OR($C405="",N($G405)=0),"",R405/$G405)</f>
        <v/>
      </c>
      <c r="T405" s="23">
        <f>IF($C405="","",N($G405)-N(R405))</f>
        <v/>
      </c>
      <c r="U405" s="24" t="n"/>
      <c r="V405" s="22" t="n"/>
    </row>
    <row r="406">
      <c r="B406" s="13">
        <f>IF($C406="","",COUNTA($C$9:$C406))</f>
        <v/>
      </c>
      <c r="C406" s="21" t="n"/>
      <c r="D406" s="14" t="n"/>
      <c r="E406" s="14" t="n"/>
      <c r="F406" s="14" t="n"/>
      <c r="G406" s="22" t="n"/>
      <c r="H406" s="22" t="n"/>
      <c r="I406" s="22" t="n"/>
      <c r="J406" s="22" t="n"/>
      <c r="K406" s="22" t="n"/>
      <c r="L406" s="22" t="n"/>
      <c r="M406" s="22" t="n"/>
      <c r="N406" s="22" t="n"/>
      <c r="O406" s="23">
        <f>IF($C406="","",N(L406)-N(M406))</f>
        <v/>
      </c>
      <c r="P406" s="24" t="n"/>
      <c r="Q406" s="23">
        <f>IF($C406="","",N(M406)+N(N406))</f>
        <v/>
      </c>
      <c r="R406" s="23">
        <f>IF($C406="","",N(J406)+N(Q406))</f>
        <v/>
      </c>
      <c r="S406" s="25">
        <f>IF(OR($C406="",N($G406)=0),"",R406/$G406)</f>
        <v/>
      </c>
      <c r="T406" s="23">
        <f>IF($C406="","",N($G406)-N(R406))</f>
        <v/>
      </c>
      <c r="U406" s="24" t="n"/>
      <c r="V406" s="22" t="n"/>
    </row>
    <row r="407">
      <c r="B407" s="13">
        <f>IF($C407="","",COUNTA($C$9:$C407))</f>
        <v/>
      </c>
      <c r="C407" s="21" t="n"/>
      <c r="D407" s="14" t="n"/>
      <c r="E407" s="14" t="n"/>
      <c r="F407" s="14" t="n"/>
      <c r="G407" s="22" t="n"/>
      <c r="H407" s="22" t="n"/>
      <c r="I407" s="22" t="n"/>
      <c r="J407" s="22" t="n"/>
      <c r="K407" s="22" t="n"/>
      <c r="L407" s="22" t="n"/>
      <c r="M407" s="22" t="n"/>
      <c r="N407" s="22" t="n"/>
      <c r="O407" s="23">
        <f>IF($C407="","",N(L407)-N(M407))</f>
        <v/>
      </c>
      <c r="P407" s="24" t="n"/>
      <c r="Q407" s="23">
        <f>IF($C407="","",N(M407)+N(N407))</f>
        <v/>
      </c>
      <c r="R407" s="23">
        <f>IF($C407="","",N(J407)+N(Q407))</f>
        <v/>
      </c>
      <c r="S407" s="25">
        <f>IF(OR($C407="",N($G407)=0),"",R407/$G407)</f>
        <v/>
      </c>
      <c r="T407" s="23">
        <f>IF($C407="","",N($G407)-N(R407))</f>
        <v/>
      </c>
      <c r="U407" s="24" t="n"/>
      <c r="V407" s="22" t="n"/>
    </row>
    <row r="408">
      <c r="B408" s="13">
        <f>IF($C408="","",COUNTA($C$9:$C408))</f>
        <v/>
      </c>
      <c r="C408" s="21" t="n"/>
      <c r="D408" s="14" t="n"/>
      <c r="E408" s="14" t="n"/>
      <c r="F408" s="14" t="n"/>
      <c r="G408" s="22" t="n"/>
      <c r="H408" s="22" t="n"/>
      <c r="I408" s="22" t="n"/>
      <c r="J408" s="22" t="n"/>
      <c r="K408" s="22" t="n"/>
      <c r="L408" s="22" t="n"/>
      <c r="M408" s="22" t="n"/>
      <c r="N408" s="22" t="n"/>
      <c r="O408" s="23">
        <f>IF($C408="","",N(L408)-N(M408))</f>
        <v/>
      </c>
      <c r="P408" s="24" t="n"/>
      <c r="Q408" s="23">
        <f>IF($C408="","",N(M408)+N(N408))</f>
        <v/>
      </c>
      <c r="R408" s="23">
        <f>IF($C408="","",N(J408)+N(Q408))</f>
        <v/>
      </c>
      <c r="S408" s="25">
        <f>IF(OR($C408="",N($G408)=0),"",R408/$G408)</f>
        <v/>
      </c>
      <c r="T408" s="23">
        <f>IF($C408="","",N($G408)-N(R408))</f>
        <v/>
      </c>
      <c r="U408" s="24" t="n"/>
      <c r="V408" s="22" t="n"/>
    </row>
  </sheetData>
  <autoFilter ref="B7:V408"/>
  <mergeCells count="2">
    <mergeCell ref="C4:V4"/>
    <mergeCell ref="C3:V3"/>
  </mergeCells>
  <conditionalFormatting sqref="O9:O408">
    <cfRule type="cellIs" priority="1" operator="greaterThan" dxfId="0">
      <formula>0</formula>
    </cfRule>
  </conditionalFormatting>
  <conditionalFormatting sqref="S9:S408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dataValidations count="3">
    <dataValidation sqref="D9:D408" showDropDown="0" showInputMessage="0" showErrorMessage="0" allowBlank="1" type="list">
      <formula1>=Areas</formula1>
    </dataValidation>
    <dataValidation sqref="E9:E408" showDropDown="0" showInputMessage="0" showErrorMessage="0" allowBlank="1" type="list">
      <formula1>=Activities</formula1>
    </dataValidation>
    <dataValidation sqref="F9:F408" showDropDown="0" showInputMessage="0" showErrorMessage="0" allowBlank="1" type="list">
      <formula1>=Agencies</formula1>
    </dataValidation>
  </dataValidations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tabColor rgb="007030A0"/>
    <outlinePr summaryBelow="1" summaryRight="1"/>
    <pageSetUpPr/>
  </sheetPr>
  <dimension ref="B1:I308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6" customWidth="1" min="2" max="2"/>
    <col width="24" customWidth="1" min="3" max="3"/>
    <col width="26" customWidth="1" min="4" max="4"/>
    <col width="22" customWidth="1" min="5" max="5"/>
    <col width="13" customWidth="1" min="6" max="6"/>
    <col width="15" customWidth="1" min="7" max="7"/>
    <col width="12" customWidth="1" min="8" max="8"/>
    <col width="30" customWidth="1" min="9" max="9"/>
  </cols>
  <sheetData>
    <row r="1" ht="15" customHeight="1"/>
    <row r="2" ht="15" customHeight="1">
      <c r="B2" s="5" t="inlineStr">
        <is>
          <t>JSW</t>
        </is>
      </c>
    </row>
    <row r="3" ht="15" customHeight="1">
      <c r="C3" s="18" t="inlineStr">
        <is>
          <t>Manpower Deployment  —  Backup Sheet</t>
        </is>
      </c>
    </row>
    <row r="4" ht="15" customHeight="1">
      <c r="C4" s="19">
        <f>Config!$C$4</f>
        <v/>
      </c>
    </row>
    <row r="5" ht="15" customHeight="1">
      <c r="F5" s="8" t="inlineStr">
        <is>
          <t>Data date:</t>
        </is>
      </c>
      <c r="G5" s="9">
        <f>Config!$C$6</f>
        <v/>
      </c>
    </row>
    <row r="6" ht="15" customHeight="1">
      <c r="F6" s="8" t="inlineStr">
        <is>
          <t>Reporting date:</t>
        </is>
      </c>
      <c r="G6" s="9">
        <f>Config!$C$7</f>
        <v/>
      </c>
    </row>
    <row r="7" ht="34" customHeight="1">
      <c r="B7" s="20" t="inlineStr">
        <is>
          <t>SL.</t>
        </is>
      </c>
      <c r="C7" s="20" t="inlineStr">
        <is>
          <t>Area</t>
        </is>
      </c>
      <c r="D7" s="20" t="inlineStr">
        <is>
          <t>Agency / Contractor</t>
        </is>
      </c>
      <c r="E7" s="20" t="inlineStr">
        <is>
          <t>Category</t>
        </is>
      </c>
      <c r="F7" s="20" t="inlineStr">
        <is>
          <t>Planned (Nos)</t>
        </is>
      </c>
      <c r="G7" s="20" t="inlineStr">
        <is>
          <t>Actual / Available (Nos)</t>
        </is>
      </c>
      <c r="H7" s="20" t="inlineStr">
        <is>
          <t>Variance</t>
        </is>
      </c>
      <c r="I7" s="20" t="inlineStr">
        <is>
          <t>Remarks</t>
        </is>
      </c>
    </row>
    <row r="8" ht="15" customHeight="1">
      <c r="B8" s="12" t="inlineStr">
        <is>
          <t>a</t>
        </is>
      </c>
      <c r="C8" s="12" t="inlineStr">
        <is>
          <t>b</t>
        </is>
      </c>
      <c r="D8" s="12" t="inlineStr">
        <is>
          <t>c</t>
        </is>
      </c>
      <c r="E8" s="12" t="inlineStr">
        <is>
          <t>d</t>
        </is>
      </c>
      <c r="F8" s="12" t="inlineStr">
        <is>
          <t>e</t>
        </is>
      </c>
      <c r="G8" s="12" t="inlineStr">
        <is>
          <t>f</t>
        </is>
      </c>
      <c r="H8" s="12" t="inlineStr">
        <is>
          <t>g = f-e</t>
        </is>
      </c>
      <c r="I8" s="12" t="inlineStr">
        <is>
          <t>h</t>
        </is>
      </c>
    </row>
    <row r="9">
      <c r="B9" s="26">
        <f>IF($C9="","",COUNTA($C$9:$C9))</f>
        <v/>
      </c>
      <c r="C9" s="27" t="n"/>
      <c r="D9" s="27" t="n"/>
      <c r="E9" s="27" t="n"/>
      <c r="F9" s="28" t="n"/>
      <c r="G9" s="28" t="n"/>
      <c r="H9" s="26">
        <f>IF($C9="","",N(F9)-N(E9))</f>
        <v/>
      </c>
      <c r="I9" s="27" t="n"/>
    </row>
    <row r="10">
      <c r="B10" s="26">
        <f>IF($C10="","",COUNTA($C$9:$C10))</f>
        <v/>
      </c>
      <c r="C10" s="27" t="n"/>
      <c r="D10" s="27" t="n"/>
      <c r="E10" s="27" t="n"/>
      <c r="F10" s="28" t="n"/>
      <c r="G10" s="28" t="n"/>
      <c r="H10" s="26">
        <f>IF($C10="","",N(F10)-N(E10))</f>
        <v/>
      </c>
      <c r="I10" s="27" t="n"/>
    </row>
    <row r="11">
      <c r="B11" s="26">
        <f>IF($C11="","",COUNTA($C$9:$C11))</f>
        <v/>
      </c>
      <c r="C11" s="27" t="n"/>
      <c r="D11" s="27" t="n"/>
      <c r="E11" s="27" t="n"/>
      <c r="F11" s="28" t="n"/>
      <c r="G11" s="28" t="n"/>
      <c r="H11" s="26">
        <f>IF($C11="","",N(F11)-N(E11))</f>
        <v/>
      </c>
      <c r="I11" s="27" t="n"/>
    </row>
    <row r="12">
      <c r="B12" s="26">
        <f>IF($C12="","",COUNTA($C$9:$C12))</f>
        <v/>
      </c>
      <c r="C12" s="27" t="n"/>
      <c r="D12" s="27" t="n"/>
      <c r="E12" s="27" t="n"/>
      <c r="F12" s="28" t="n"/>
      <c r="G12" s="28" t="n"/>
      <c r="H12" s="26">
        <f>IF($C12="","",N(F12)-N(E12))</f>
        <v/>
      </c>
      <c r="I12" s="27" t="n"/>
    </row>
    <row r="13">
      <c r="B13" s="26">
        <f>IF($C13="","",COUNTA($C$9:$C13))</f>
        <v/>
      </c>
      <c r="C13" s="27" t="n"/>
      <c r="D13" s="27" t="n"/>
      <c r="E13" s="27" t="n"/>
      <c r="F13" s="28" t="n"/>
      <c r="G13" s="28" t="n"/>
      <c r="H13" s="26">
        <f>IF($C13="","",N(F13)-N(E13))</f>
        <v/>
      </c>
      <c r="I13" s="27" t="n"/>
    </row>
    <row r="14">
      <c r="B14" s="26">
        <f>IF($C14="","",COUNTA($C$9:$C14))</f>
        <v/>
      </c>
      <c r="C14" s="27" t="n"/>
      <c r="D14" s="27" t="n"/>
      <c r="E14" s="27" t="n"/>
      <c r="F14" s="28" t="n"/>
      <c r="G14" s="28" t="n"/>
      <c r="H14" s="26">
        <f>IF($C14="","",N(F14)-N(E14))</f>
        <v/>
      </c>
      <c r="I14" s="27" t="n"/>
    </row>
    <row r="15">
      <c r="B15" s="26">
        <f>IF($C15="","",COUNTA($C$9:$C15))</f>
        <v/>
      </c>
      <c r="C15" s="27" t="n"/>
      <c r="D15" s="27" t="n"/>
      <c r="E15" s="27" t="n"/>
      <c r="F15" s="28" t="n"/>
      <c r="G15" s="28" t="n"/>
      <c r="H15" s="26">
        <f>IF($C15="","",N(F15)-N(E15))</f>
        <v/>
      </c>
      <c r="I15" s="27" t="n"/>
    </row>
    <row r="16">
      <c r="B16" s="26">
        <f>IF($C16="","",COUNTA($C$9:$C16))</f>
        <v/>
      </c>
      <c r="C16" s="27" t="n"/>
      <c r="D16" s="27" t="n"/>
      <c r="E16" s="27" t="n"/>
      <c r="F16" s="28" t="n"/>
      <c r="G16" s="28" t="n"/>
      <c r="H16" s="26">
        <f>IF($C16="","",N(F16)-N(E16))</f>
        <v/>
      </c>
      <c r="I16" s="27" t="n"/>
    </row>
    <row r="17">
      <c r="B17" s="26">
        <f>IF($C17="","",COUNTA($C$9:$C17))</f>
        <v/>
      </c>
      <c r="C17" s="27" t="n"/>
      <c r="D17" s="27" t="n"/>
      <c r="E17" s="27" t="n"/>
      <c r="F17" s="28" t="n"/>
      <c r="G17" s="28" t="n"/>
      <c r="H17" s="26">
        <f>IF($C17="","",N(F17)-N(E17))</f>
        <v/>
      </c>
      <c r="I17" s="27" t="n"/>
    </row>
    <row r="18">
      <c r="B18" s="26">
        <f>IF($C18="","",COUNTA($C$9:$C18))</f>
        <v/>
      </c>
      <c r="C18" s="27" t="n"/>
      <c r="D18" s="27" t="n"/>
      <c r="E18" s="27" t="n"/>
      <c r="F18" s="28" t="n"/>
      <c r="G18" s="28" t="n"/>
      <c r="H18" s="26">
        <f>IF($C18="","",N(F18)-N(E18))</f>
        <v/>
      </c>
      <c r="I18" s="27" t="n"/>
    </row>
    <row r="19">
      <c r="B19" s="26">
        <f>IF($C19="","",COUNTA($C$9:$C19))</f>
        <v/>
      </c>
      <c r="C19" s="27" t="n"/>
      <c r="D19" s="27" t="n"/>
      <c r="E19" s="27" t="n"/>
      <c r="F19" s="28" t="n"/>
      <c r="G19" s="28" t="n"/>
      <c r="H19" s="26">
        <f>IF($C19="","",N(F19)-N(E19))</f>
        <v/>
      </c>
      <c r="I19" s="27" t="n"/>
    </row>
    <row r="20">
      <c r="B20" s="26">
        <f>IF($C20="","",COUNTA($C$9:$C20))</f>
        <v/>
      </c>
      <c r="C20" s="27" t="n"/>
      <c r="D20" s="27" t="n"/>
      <c r="E20" s="27" t="n"/>
      <c r="F20" s="28" t="n"/>
      <c r="G20" s="28" t="n"/>
      <c r="H20" s="26">
        <f>IF($C20="","",N(F20)-N(E20))</f>
        <v/>
      </c>
      <c r="I20" s="27" t="n"/>
    </row>
    <row r="21">
      <c r="B21" s="26">
        <f>IF($C21="","",COUNTA($C$9:$C21))</f>
        <v/>
      </c>
      <c r="C21" s="27" t="n"/>
      <c r="D21" s="27" t="n"/>
      <c r="E21" s="27" t="n"/>
      <c r="F21" s="28" t="n"/>
      <c r="G21" s="28" t="n"/>
      <c r="H21" s="26">
        <f>IF($C21="","",N(F21)-N(E21))</f>
        <v/>
      </c>
      <c r="I21" s="27" t="n"/>
    </row>
    <row r="22">
      <c r="B22" s="26">
        <f>IF($C22="","",COUNTA($C$9:$C22))</f>
        <v/>
      </c>
      <c r="C22" s="27" t="n"/>
      <c r="D22" s="27" t="n"/>
      <c r="E22" s="27" t="n"/>
      <c r="F22" s="28" t="n"/>
      <c r="G22" s="28" t="n"/>
      <c r="H22" s="26">
        <f>IF($C22="","",N(F22)-N(E22))</f>
        <v/>
      </c>
      <c r="I22" s="27" t="n"/>
    </row>
    <row r="23">
      <c r="B23" s="26">
        <f>IF($C23="","",COUNTA($C$9:$C23))</f>
        <v/>
      </c>
      <c r="C23" s="27" t="n"/>
      <c r="D23" s="27" t="n"/>
      <c r="E23" s="27" t="n"/>
      <c r="F23" s="28" t="n"/>
      <c r="G23" s="28" t="n"/>
      <c r="H23" s="26">
        <f>IF($C23="","",N(F23)-N(E23))</f>
        <v/>
      </c>
      <c r="I23" s="27" t="n"/>
    </row>
    <row r="24">
      <c r="B24" s="26">
        <f>IF($C24="","",COUNTA($C$9:$C24))</f>
        <v/>
      </c>
      <c r="C24" s="27" t="n"/>
      <c r="D24" s="27" t="n"/>
      <c r="E24" s="27" t="n"/>
      <c r="F24" s="28" t="n"/>
      <c r="G24" s="28" t="n"/>
      <c r="H24" s="26">
        <f>IF($C24="","",N(F24)-N(E24))</f>
        <v/>
      </c>
      <c r="I24" s="27" t="n"/>
    </row>
    <row r="25">
      <c r="B25" s="26">
        <f>IF($C25="","",COUNTA($C$9:$C25))</f>
        <v/>
      </c>
      <c r="C25" s="27" t="n"/>
      <c r="D25" s="27" t="n"/>
      <c r="E25" s="27" t="n"/>
      <c r="F25" s="28" t="n"/>
      <c r="G25" s="28" t="n"/>
      <c r="H25" s="26">
        <f>IF($C25="","",N(F25)-N(E25))</f>
        <v/>
      </c>
      <c r="I25" s="27" t="n"/>
    </row>
    <row r="26">
      <c r="B26" s="26">
        <f>IF($C26="","",COUNTA($C$9:$C26))</f>
        <v/>
      </c>
      <c r="C26" s="27" t="n"/>
      <c r="D26" s="27" t="n"/>
      <c r="E26" s="27" t="n"/>
      <c r="F26" s="28" t="n"/>
      <c r="G26" s="28" t="n"/>
      <c r="H26" s="26">
        <f>IF($C26="","",N(F26)-N(E26))</f>
        <v/>
      </c>
      <c r="I26" s="27" t="n"/>
    </row>
    <row r="27">
      <c r="B27" s="26">
        <f>IF($C27="","",COUNTA($C$9:$C27))</f>
        <v/>
      </c>
      <c r="C27" s="27" t="n"/>
      <c r="D27" s="27" t="n"/>
      <c r="E27" s="27" t="n"/>
      <c r="F27" s="28" t="n"/>
      <c r="G27" s="28" t="n"/>
      <c r="H27" s="26">
        <f>IF($C27="","",N(F27)-N(E27))</f>
        <v/>
      </c>
      <c r="I27" s="27" t="n"/>
    </row>
    <row r="28">
      <c r="B28" s="26">
        <f>IF($C28="","",COUNTA($C$9:$C28))</f>
        <v/>
      </c>
      <c r="C28" s="27" t="n"/>
      <c r="D28" s="27" t="n"/>
      <c r="E28" s="27" t="n"/>
      <c r="F28" s="28" t="n"/>
      <c r="G28" s="28" t="n"/>
      <c r="H28" s="26">
        <f>IF($C28="","",N(F28)-N(E28))</f>
        <v/>
      </c>
      <c r="I28" s="27" t="n"/>
    </row>
    <row r="29">
      <c r="B29" s="26">
        <f>IF($C29="","",COUNTA($C$9:$C29))</f>
        <v/>
      </c>
      <c r="C29" s="27" t="n"/>
      <c r="D29" s="27" t="n"/>
      <c r="E29" s="27" t="n"/>
      <c r="F29" s="28" t="n"/>
      <c r="G29" s="28" t="n"/>
      <c r="H29" s="26">
        <f>IF($C29="","",N(F29)-N(E29))</f>
        <v/>
      </c>
      <c r="I29" s="27" t="n"/>
    </row>
    <row r="30">
      <c r="B30" s="26">
        <f>IF($C30="","",COUNTA($C$9:$C30))</f>
        <v/>
      </c>
      <c r="C30" s="27" t="n"/>
      <c r="D30" s="27" t="n"/>
      <c r="E30" s="27" t="n"/>
      <c r="F30" s="28" t="n"/>
      <c r="G30" s="28" t="n"/>
      <c r="H30" s="26">
        <f>IF($C30="","",N(F30)-N(E30))</f>
        <v/>
      </c>
      <c r="I30" s="27" t="n"/>
    </row>
    <row r="31">
      <c r="B31" s="26">
        <f>IF($C31="","",COUNTA($C$9:$C31))</f>
        <v/>
      </c>
      <c r="C31" s="27" t="n"/>
      <c r="D31" s="27" t="n"/>
      <c r="E31" s="27" t="n"/>
      <c r="F31" s="28" t="n"/>
      <c r="G31" s="28" t="n"/>
      <c r="H31" s="26">
        <f>IF($C31="","",N(F31)-N(E31))</f>
        <v/>
      </c>
      <c r="I31" s="27" t="n"/>
    </row>
    <row r="32">
      <c r="B32" s="26">
        <f>IF($C32="","",COUNTA($C$9:$C32))</f>
        <v/>
      </c>
      <c r="C32" s="27" t="n"/>
      <c r="D32" s="27" t="n"/>
      <c r="E32" s="27" t="n"/>
      <c r="F32" s="28" t="n"/>
      <c r="G32" s="28" t="n"/>
      <c r="H32" s="26">
        <f>IF($C32="","",N(F32)-N(E32))</f>
        <v/>
      </c>
      <c r="I32" s="27" t="n"/>
    </row>
    <row r="33">
      <c r="B33" s="26">
        <f>IF($C33="","",COUNTA($C$9:$C33))</f>
        <v/>
      </c>
      <c r="C33" s="27" t="n"/>
      <c r="D33" s="27" t="n"/>
      <c r="E33" s="27" t="n"/>
      <c r="F33" s="28" t="n"/>
      <c r="G33" s="28" t="n"/>
      <c r="H33" s="26">
        <f>IF($C33="","",N(F33)-N(E33))</f>
        <v/>
      </c>
      <c r="I33" s="27" t="n"/>
    </row>
    <row r="34">
      <c r="B34" s="26">
        <f>IF($C34="","",COUNTA($C$9:$C34))</f>
        <v/>
      </c>
      <c r="C34" s="27" t="n"/>
      <c r="D34" s="27" t="n"/>
      <c r="E34" s="27" t="n"/>
      <c r="F34" s="28" t="n"/>
      <c r="G34" s="28" t="n"/>
      <c r="H34" s="26">
        <f>IF($C34="","",N(F34)-N(E34))</f>
        <v/>
      </c>
      <c r="I34" s="27" t="n"/>
    </row>
    <row r="35">
      <c r="B35" s="26">
        <f>IF($C35="","",COUNTA($C$9:$C35))</f>
        <v/>
      </c>
      <c r="C35" s="27" t="n"/>
      <c r="D35" s="27" t="n"/>
      <c r="E35" s="27" t="n"/>
      <c r="F35" s="28" t="n"/>
      <c r="G35" s="28" t="n"/>
      <c r="H35" s="26">
        <f>IF($C35="","",N(F35)-N(E35))</f>
        <v/>
      </c>
      <c r="I35" s="27" t="n"/>
    </row>
    <row r="36">
      <c r="B36" s="26">
        <f>IF($C36="","",COUNTA($C$9:$C36))</f>
        <v/>
      </c>
      <c r="C36" s="27" t="n"/>
      <c r="D36" s="27" t="n"/>
      <c r="E36" s="27" t="n"/>
      <c r="F36" s="28" t="n"/>
      <c r="G36" s="28" t="n"/>
      <c r="H36" s="26">
        <f>IF($C36="","",N(F36)-N(E36))</f>
        <v/>
      </c>
      <c r="I36" s="27" t="n"/>
    </row>
    <row r="37">
      <c r="B37" s="26">
        <f>IF($C37="","",COUNTA($C$9:$C37))</f>
        <v/>
      </c>
      <c r="C37" s="27" t="n"/>
      <c r="D37" s="27" t="n"/>
      <c r="E37" s="27" t="n"/>
      <c r="F37" s="28" t="n"/>
      <c r="G37" s="28" t="n"/>
      <c r="H37" s="26">
        <f>IF($C37="","",N(F37)-N(E37))</f>
        <v/>
      </c>
      <c r="I37" s="27" t="n"/>
    </row>
    <row r="38">
      <c r="B38" s="26">
        <f>IF($C38="","",COUNTA($C$9:$C38))</f>
        <v/>
      </c>
      <c r="C38" s="27" t="n"/>
      <c r="D38" s="27" t="n"/>
      <c r="E38" s="27" t="n"/>
      <c r="F38" s="28" t="n"/>
      <c r="G38" s="28" t="n"/>
      <c r="H38" s="26">
        <f>IF($C38="","",N(F38)-N(E38))</f>
        <v/>
      </c>
      <c r="I38" s="27" t="n"/>
    </row>
    <row r="39">
      <c r="B39" s="26">
        <f>IF($C39="","",COUNTA($C$9:$C39))</f>
        <v/>
      </c>
      <c r="C39" s="27" t="n"/>
      <c r="D39" s="27" t="n"/>
      <c r="E39" s="27" t="n"/>
      <c r="F39" s="28" t="n"/>
      <c r="G39" s="28" t="n"/>
      <c r="H39" s="26">
        <f>IF($C39="","",N(F39)-N(E39))</f>
        <v/>
      </c>
      <c r="I39" s="27" t="n"/>
    </row>
    <row r="40">
      <c r="B40" s="26">
        <f>IF($C40="","",COUNTA($C$9:$C40))</f>
        <v/>
      </c>
      <c r="C40" s="27" t="n"/>
      <c r="D40" s="27" t="n"/>
      <c r="E40" s="27" t="n"/>
      <c r="F40" s="28" t="n"/>
      <c r="G40" s="28" t="n"/>
      <c r="H40" s="26">
        <f>IF($C40="","",N(F40)-N(E40))</f>
        <v/>
      </c>
      <c r="I40" s="27" t="n"/>
    </row>
    <row r="41">
      <c r="B41" s="26">
        <f>IF($C41="","",COUNTA($C$9:$C41))</f>
        <v/>
      </c>
      <c r="C41" s="27" t="n"/>
      <c r="D41" s="27" t="n"/>
      <c r="E41" s="27" t="n"/>
      <c r="F41" s="28" t="n"/>
      <c r="G41" s="28" t="n"/>
      <c r="H41" s="26">
        <f>IF($C41="","",N(F41)-N(E41))</f>
        <v/>
      </c>
      <c r="I41" s="27" t="n"/>
    </row>
    <row r="42">
      <c r="B42" s="26">
        <f>IF($C42="","",COUNTA($C$9:$C42))</f>
        <v/>
      </c>
      <c r="C42" s="27" t="n"/>
      <c r="D42" s="27" t="n"/>
      <c r="E42" s="27" t="n"/>
      <c r="F42" s="28" t="n"/>
      <c r="G42" s="28" t="n"/>
      <c r="H42" s="26">
        <f>IF($C42="","",N(F42)-N(E42))</f>
        <v/>
      </c>
      <c r="I42" s="27" t="n"/>
    </row>
    <row r="43">
      <c r="B43" s="26">
        <f>IF($C43="","",COUNTA($C$9:$C43))</f>
        <v/>
      </c>
      <c r="C43" s="27" t="n"/>
      <c r="D43" s="27" t="n"/>
      <c r="E43" s="27" t="n"/>
      <c r="F43" s="28" t="n"/>
      <c r="G43" s="28" t="n"/>
      <c r="H43" s="26">
        <f>IF($C43="","",N(F43)-N(E43))</f>
        <v/>
      </c>
      <c r="I43" s="27" t="n"/>
    </row>
    <row r="44">
      <c r="B44" s="26">
        <f>IF($C44="","",COUNTA($C$9:$C44))</f>
        <v/>
      </c>
      <c r="C44" s="27" t="n"/>
      <c r="D44" s="27" t="n"/>
      <c r="E44" s="27" t="n"/>
      <c r="F44" s="28" t="n"/>
      <c r="G44" s="28" t="n"/>
      <c r="H44" s="26">
        <f>IF($C44="","",N(F44)-N(E44))</f>
        <v/>
      </c>
      <c r="I44" s="27" t="n"/>
    </row>
    <row r="45">
      <c r="B45" s="26">
        <f>IF($C45="","",COUNTA($C$9:$C45))</f>
        <v/>
      </c>
      <c r="C45" s="27" t="n"/>
      <c r="D45" s="27" t="n"/>
      <c r="E45" s="27" t="n"/>
      <c r="F45" s="28" t="n"/>
      <c r="G45" s="28" t="n"/>
      <c r="H45" s="26">
        <f>IF($C45="","",N(F45)-N(E45))</f>
        <v/>
      </c>
      <c r="I45" s="27" t="n"/>
    </row>
    <row r="46">
      <c r="B46" s="26">
        <f>IF($C46="","",COUNTA($C$9:$C46))</f>
        <v/>
      </c>
      <c r="C46" s="27" t="n"/>
      <c r="D46" s="27" t="n"/>
      <c r="E46" s="27" t="n"/>
      <c r="F46" s="28" t="n"/>
      <c r="G46" s="28" t="n"/>
      <c r="H46" s="26">
        <f>IF($C46="","",N(F46)-N(E46))</f>
        <v/>
      </c>
      <c r="I46" s="27" t="n"/>
    </row>
    <row r="47">
      <c r="B47" s="26">
        <f>IF($C47="","",COUNTA($C$9:$C47))</f>
        <v/>
      </c>
      <c r="C47" s="27" t="n"/>
      <c r="D47" s="27" t="n"/>
      <c r="E47" s="27" t="n"/>
      <c r="F47" s="28" t="n"/>
      <c r="G47" s="28" t="n"/>
      <c r="H47" s="26">
        <f>IF($C47="","",N(F47)-N(E47))</f>
        <v/>
      </c>
      <c r="I47" s="27" t="n"/>
    </row>
    <row r="48">
      <c r="B48" s="26">
        <f>IF($C48="","",COUNTA($C$9:$C48))</f>
        <v/>
      </c>
      <c r="C48" s="27" t="n"/>
      <c r="D48" s="27" t="n"/>
      <c r="E48" s="27" t="n"/>
      <c r="F48" s="28" t="n"/>
      <c r="G48" s="28" t="n"/>
      <c r="H48" s="26">
        <f>IF($C48="","",N(F48)-N(E48))</f>
        <v/>
      </c>
      <c r="I48" s="27" t="n"/>
    </row>
    <row r="49">
      <c r="B49" s="26">
        <f>IF($C49="","",COUNTA($C$9:$C49))</f>
        <v/>
      </c>
      <c r="C49" s="27" t="n"/>
      <c r="D49" s="27" t="n"/>
      <c r="E49" s="27" t="n"/>
      <c r="F49" s="28" t="n"/>
      <c r="G49" s="28" t="n"/>
      <c r="H49" s="26">
        <f>IF($C49="","",N(F49)-N(E49))</f>
        <v/>
      </c>
      <c r="I49" s="27" t="n"/>
    </row>
    <row r="50">
      <c r="B50" s="26">
        <f>IF($C50="","",COUNTA($C$9:$C50))</f>
        <v/>
      </c>
      <c r="C50" s="27" t="n"/>
      <c r="D50" s="27" t="n"/>
      <c r="E50" s="27" t="n"/>
      <c r="F50" s="28" t="n"/>
      <c r="G50" s="28" t="n"/>
      <c r="H50" s="26">
        <f>IF($C50="","",N(F50)-N(E50))</f>
        <v/>
      </c>
      <c r="I50" s="27" t="n"/>
    </row>
    <row r="51">
      <c r="B51" s="26">
        <f>IF($C51="","",COUNTA($C$9:$C51))</f>
        <v/>
      </c>
      <c r="C51" s="27" t="n"/>
      <c r="D51" s="27" t="n"/>
      <c r="E51" s="27" t="n"/>
      <c r="F51" s="28" t="n"/>
      <c r="G51" s="28" t="n"/>
      <c r="H51" s="26">
        <f>IF($C51="","",N(F51)-N(E51))</f>
        <v/>
      </c>
      <c r="I51" s="27" t="n"/>
    </row>
    <row r="52">
      <c r="B52" s="26">
        <f>IF($C52="","",COUNTA($C$9:$C52))</f>
        <v/>
      </c>
      <c r="C52" s="27" t="n"/>
      <c r="D52" s="27" t="n"/>
      <c r="E52" s="27" t="n"/>
      <c r="F52" s="28" t="n"/>
      <c r="G52" s="28" t="n"/>
      <c r="H52" s="26">
        <f>IF($C52="","",N(F52)-N(E52))</f>
        <v/>
      </c>
      <c r="I52" s="27" t="n"/>
    </row>
    <row r="53">
      <c r="B53" s="26">
        <f>IF($C53="","",COUNTA($C$9:$C53))</f>
        <v/>
      </c>
      <c r="C53" s="27" t="n"/>
      <c r="D53" s="27" t="n"/>
      <c r="E53" s="27" t="n"/>
      <c r="F53" s="28" t="n"/>
      <c r="G53" s="28" t="n"/>
      <c r="H53" s="26">
        <f>IF($C53="","",N(F53)-N(E53))</f>
        <v/>
      </c>
      <c r="I53" s="27" t="n"/>
    </row>
    <row r="54">
      <c r="B54" s="26">
        <f>IF($C54="","",COUNTA($C$9:$C54))</f>
        <v/>
      </c>
      <c r="C54" s="27" t="n"/>
      <c r="D54" s="27" t="n"/>
      <c r="E54" s="27" t="n"/>
      <c r="F54" s="28" t="n"/>
      <c r="G54" s="28" t="n"/>
      <c r="H54" s="26">
        <f>IF($C54="","",N(F54)-N(E54))</f>
        <v/>
      </c>
      <c r="I54" s="27" t="n"/>
    </row>
    <row r="55">
      <c r="B55" s="26">
        <f>IF($C55="","",COUNTA($C$9:$C55))</f>
        <v/>
      </c>
      <c r="C55" s="27" t="n"/>
      <c r="D55" s="27" t="n"/>
      <c r="E55" s="27" t="n"/>
      <c r="F55" s="28" t="n"/>
      <c r="G55" s="28" t="n"/>
      <c r="H55" s="26">
        <f>IF($C55="","",N(F55)-N(E55))</f>
        <v/>
      </c>
      <c r="I55" s="27" t="n"/>
    </row>
    <row r="56">
      <c r="B56" s="26">
        <f>IF($C56="","",COUNTA($C$9:$C56))</f>
        <v/>
      </c>
      <c r="C56" s="27" t="n"/>
      <c r="D56" s="27" t="n"/>
      <c r="E56" s="27" t="n"/>
      <c r="F56" s="28" t="n"/>
      <c r="G56" s="28" t="n"/>
      <c r="H56" s="26">
        <f>IF($C56="","",N(F56)-N(E56))</f>
        <v/>
      </c>
      <c r="I56" s="27" t="n"/>
    </row>
    <row r="57">
      <c r="B57" s="26">
        <f>IF($C57="","",COUNTA($C$9:$C57))</f>
        <v/>
      </c>
      <c r="C57" s="27" t="n"/>
      <c r="D57" s="27" t="n"/>
      <c r="E57" s="27" t="n"/>
      <c r="F57" s="28" t="n"/>
      <c r="G57" s="28" t="n"/>
      <c r="H57" s="26">
        <f>IF($C57="","",N(F57)-N(E57))</f>
        <v/>
      </c>
      <c r="I57" s="27" t="n"/>
    </row>
    <row r="58">
      <c r="B58" s="26">
        <f>IF($C58="","",COUNTA($C$9:$C58))</f>
        <v/>
      </c>
      <c r="C58" s="27" t="n"/>
      <c r="D58" s="27" t="n"/>
      <c r="E58" s="27" t="n"/>
      <c r="F58" s="28" t="n"/>
      <c r="G58" s="28" t="n"/>
      <c r="H58" s="26">
        <f>IF($C58="","",N(F58)-N(E58))</f>
        <v/>
      </c>
      <c r="I58" s="27" t="n"/>
    </row>
    <row r="59">
      <c r="B59" s="26">
        <f>IF($C59="","",COUNTA($C$9:$C59))</f>
        <v/>
      </c>
      <c r="C59" s="27" t="n"/>
      <c r="D59" s="27" t="n"/>
      <c r="E59" s="27" t="n"/>
      <c r="F59" s="28" t="n"/>
      <c r="G59" s="28" t="n"/>
      <c r="H59" s="26">
        <f>IF($C59="","",N(F59)-N(E59))</f>
        <v/>
      </c>
      <c r="I59" s="27" t="n"/>
    </row>
    <row r="60">
      <c r="B60" s="26">
        <f>IF($C60="","",COUNTA($C$9:$C60))</f>
        <v/>
      </c>
      <c r="C60" s="27" t="n"/>
      <c r="D60" s="27" t="n"/>
      <c r="E60" s="27" t="n"/>
      <c r="F60" s="28" t="n"/>
      <c r="G60" s="28" t="n"/>
      <c r="H60" s="26">
        <f>IF($C60="","",N(F60)-N(E60))</f>
        <v/>
      </c>
      <c r="I60" s="27" t="n"/>
    </row>
    <row r="61">
      <c r="B61" s="26">
        <f>IF($C61="","",COUNTA($C$9:$C61))</f>
        <v/>
      </c>
      <c r="C61" s="27" t="n"/>
      <c r="D61" s="27" t="n"/>
      <c r="E61" s="27" t="n"/>
      <c r="F61" s="28" t="n"/>
      <c r="G61" s="28" t="n"/>
      <c r="H61" s="26">
        <f>IF($C61="","",N(F61)-N(E61))</f>
        <v/>
      </c>
      <c r="I61" s="27" t="n"/>
    </row>
    <row r="62">
      <c r="B62" s="26">
        <f>IF($C62="","",COUNTA($C$9:$C62))</f>
        <v/>
      </c>
      <c r="C62" s="27" t="n"/>
      <c r="D62" s="27" t="n"/>
      <c r="E62" s="27" t="n"/>
      <c r="F62" s="28" t="n"/>
      <c r="G62" s="28" t="n"/>
      <c r="H62" s="26">
        <f>IF($C62="","",N(F62)-N(E62))</f>
        <v/>
      </c>
      <c r="I62" s="27" t="n"/>
    </row>
    <row r="63">
      <c r="B63" s="26">
        <f>IF($C63="","",COUNTA($C$9:$C63))</f>
        <v/>
      </c>
      <c r="C63" s="27" t="n"/>
      <c r="D63" s="27" t="n"/>
      <c r="E63" s="27" t="n"/>
      <c r="F63" s="28" t="n"/>
      <c r="G63" s="28" t="n"/>
      <c r="H63" s="26">
        <f>IF($C63="","",N(F63)-N(E63))</f>
        <v/>
      </c>
      <c r="I63" s="27" t="n"/>
    </row>
    <row r="64">
      <c r="B64" s="26">
        <f>IF($C64="","",COUNTA($C$9:$C64))</f>
        <v/>
      </c>
      <c r="C64" s="27" t="n"/>
      <c r="D64" s="27" t="n"/>
      <c r="E64" s="27" t="n"/>
      <c r="F64" s="28" t="n"/>
      <c r="G64" s="28" t="n"/>
      <c r="H64" s="26">
        <f>IF($C64="","",N(F64)-N(E64))</f>
        <v/>
      </c>
      <c r="I64" s="27" t="n"/>
    </row>
    <row r="65">
      <c r="B65" s="26">
        <f>IF($C65="","",COUNTA($C$9:$C65))</f>
        <v/>
      </c>
      <c r="C65" s="27" t="n"/>
      <c r="D65" s="27" t="n"/>
      <c r="E65" s="27" t="n"/>
      <c r="F65" s="28" t="n"/>
      <c r="G65" s="28" t="n"/>
      <c r="H65" s="26">
        <f>IF($C65="","",N(F65)-N(E65))</f>
        <v/>
      </c>
      <c r="I65" s="27" t="n"/>
    </row>
    <row r="66">
      <c r="B66" s="26">
        <f>IF($C66="","",COUNTA($C$9:$C66))</f>
        <v/>
      </c>
      <c r="C66" s="27" t="n"/>
      <c r="D66" s="27" t="n"/>
      <c r="E66" s="27" t="n"/>
      <c r="F66" s="28" t="n"/>
      <c r="G66" s="28" t="n"/>
      <c r="H66" s="26">
        <f>IF($C66="","",N(F66)-N(E66))</f>
        <v/>
      </c>
      <c r="I66" s="27" t="n"/>
    </row>
    <row r="67">
      <c r="B67" s="26">
        <f>IF($C67="","",COUNTA($C$9:$C67))</f>
        <v/>
      </c>
      <c r="C67" s="27" t="n"/>
      <c r="D67" s="27" t="n"/>
      <c r="E67" s="27" t="n"/>
      <c r="F67" s="28" t="n"/>
      <c r="G67" s="28" t="n"/>
      <c r="H67" s="26">
        <f>IF($C67="","",N(F67)-N(E67))</f>
        <v/>
      </c>
      <c r="I67" s="27" t="n"/>
    </row>
    <row r="68">
      <c r="B68" s="26">
        <f>IF($C68="","",COUNTA($C$9:$C68))</f>
        <v/>
      </c>
      <c r="C68" s="27" t="n"/>
      <c r="D68" s="27" t="n"/>
      <c r="E68" s="27" t="n"/>
      <c r="F68" s="28" t="n"/>
      <c r="G68" s="28" t="n"/>
      <c r="H68" s="26">
        <f>IF($C68="","",N(F68)-N(E68))</f>
        <v/>
      </c>
      <c r="I68" s="27" t="n"/>
    </row>
    <row r="69">
      <c r="B69" s="26">
        <f>IF($C69="","",COUNTA($C$9:$C69))</f>
        <v/>
      </c>
      <c r="C69" s="27" t="n"/>
      <c r="D69" s="27" t="n"/>
      <c r="E69" s="27" t="n"/>
      <c r="F69" s="28" t="n"/>
      <c r="G69" s="28" t="n"/>
      <c r="H69" s="26">
        <f>IF($C69="","",N(F69)-N(E69))</f>
        <v/>
      </c>
      <c r="I69" s="27" t="n"/>
    </row>
    <row r="70">
      <c r="B70" s="26">
        <f>IF($C70="","",COUNTA($C$9:$C70))</f>
        <v/>
      </c>
      <c r="C70" s="27" t="n"/>
      <c r="D70" s="27" t="n"/>
      <c r="E70" s="27" t="n"/>
      <c r="F70" s="28" t="n"/>
      <c r="G70" s="28" t="n"/>
      <c r="H70" s="26">
        <f>IF($C70="","",N(F70)-N(E70))</f>
        <v/>
      </c>
      <c r="I70" s="27" t="n"/>
    </row>
    <row r="71">
      <c r="B71" s="26">
        <f>IF($C71="","",COUNTA($C$9:$C71))</f>
        <v/>
      </c>
      <c r="C71" s="27" t="n"/>
      <c r="D71" s="27" t="n"/>
      <c r="E71" s="27" t="n"/>
      <c r="F71" s="28" t="n"/>
      <c r="G71" s="28" t="n"/>
      <c r="H71" s="26">
        <f>IF($C71="","",N(F71)-N(E71))</f>
        <v/>
      </c>
      <c r="I71" s="27" t="n"/>
    </row>
    <row r="72">
      <c r="B72" s="26">
        <f>IF($C72="","",COUNTA($C$9:$C72))</f>
        <v/>
      </c>
      <c r="C72" s="27" t="n"/>
      <c r="D72" s="27" t="n"/>
      <c r="E72" s="27" t="n"/>
      <c r="F72" s="28" t="n"/>
      <c r="G72" s="28" t="n"/>
      <c r="H72" s="26">
        <f>IF($C72="","",N(F72)-N(E72))</f>
        <v/>
      </c>
      <c r="I72" s="27" t="n"/>
    </row>
    <row r="73">
      <c r="B73" s="26">
        <f>IF($C73="","",COUNTA($C$9:$C73))</f>
        <v/>
      </c>
      <c r="C73" s="27" t="n"/>
      <c r="D73" s="27" t="n"/>
      <c r="E73" s="27" t="n"/>
      <c r="F73" s="28" t="n"/>
      <c r="G73" s="28" t="n"/>
      <c r="H73" s="26">
        <f>IF($C73="","",N(F73)-N(E73))</f>
        <v/>
      </c>
      <c r="I73" s="27" t="n"/>
    </row>
    <row r="74">
      <c r="B74" s="26">
        <f>IF($C74="","",COUNTA($C$9:$C74))</f>
        <v/>
      </c>
      <c r="C74" s="27" t="n"/>
      <c r="D74" s="27" t="n"/>
      <c r="E74" s="27" t="n"/>
      <c r="F74" s="28" t="n"/>
      <c r="G74" s="28" t="n"/>
      <c r="H74" s="26">
        <f>IF($C74="","",N(F74)-N(E74))</f>
        <v/>
      </c>
      <c r="I74" s="27" t="n"/>
    </row>
    <row r="75">
      <c r="B75" s="26">
        <f>IF($C75="","",COUNTA($C$9:$C75))</f>
        <v/>
      </c>
      <c r="C75" s="27" t="n"/>
      <c r="D75" s="27" t="n"/>
      <c r="E75" s="27" t="n"/>
      <c r="F75" s="28" t="n"/>
      <c r="G75" s="28" t="n"/>
      <c r="H75" s="26">
        <f>IF($C75="","",N(F75)-N(E75))</f>
        <v/>
      </c>
      <c r="I75" s="27" t="n"/>
    </row>
    <row r="76">
      <c r="B76" s="26">
        <f>IF($C76="","",COUNTA($C$9:$C76))</f>
        <v/>
      </c>
      <c r="C76" s="27" t="n"/>
      <c r="D76" s="27" t="n"/>
      <c r="E76" s="27" t="n"/>
      <c r="F76" s="28" t="n"/>
      <c r="G76" s="28" t="n"/>
      <c r="H76" s="26">
        <f>IF($C76="","",N(F76)-N(E76))</f>
        <v/>
      </c>
      <c r="I76" s="27" t="n"/>
    </row>
    <row r="77">
      <c r="B77" s="26">
        <f>IF($C77="","",COUNTA($C$9:$C77))</f>
        <v/>
      </c>
      <c r="C77" s="27" t="n"/>
      <c r="D77" s="27" t="n"/>
      <c r="E77" s="27" t="n"/>
      <c r="F77" s="28" t="n"/>
      <c r="G77" s="28" t="n"/>
      <c r="H77" s="26">
        <f>IF($C77="","",N(F77)-N(E77))</f>
        <v/>
      </c>
      <c r="I77" s="27" t="n"/>
    </row>
    <row r="78">
      <c r="B78" s="26">
        <f>IF($C78="","",COUNTA($C$9:$C78))</f>
        <v/>
      </c>
      <c r="C78" s="27" t="n"/>
      <c r="D78" s="27" t="n"/>
      <c r="E78" s="27" t="n"/>
      <c r="F78" s="28" t="n"/>
      <c r="G78" s="28" t="n"/>
      <c r="H78" s="26">
        <f>IF($C78="","",N(F78)-N(E78))</f>
        <v/>
      </c>
      <c r="I78" s="27" t="n"/>
    </row>
    <row r="79">
      <c r="B79" s="26">
        <f>IF($C79="","",COUNTA($C$9:$C79))</f>
        <v/>
      </c>
      <c r="C79" s="27" t="n"/>
      <c r="D79" s="27" t="n"/>
      <c r="E79" s="27" t="n"/>
      <c r="F79" s="28" t="n"/>
      <c r="G79" s="28" t="n"/>
      <c r="H79" s="26">
        <f>IF($C79="","",N(F79)-N(E79))</f>
        <v/>
      </c>
      <c r="I79" s="27" t="n"/>
    </row>
    <row r="80">
      <c r="B80" s="26">
        <f>IF($C80="","",COUNTA($C$9:$C80))</f>
        <v/>
      </c>
      <c r="C80" s="27" t="n"/>
      <c r="D80" s="27" t="n"/>
      <c r="E80" s="27" t="n"/>
      <c r="F80" s="28" t="n"/>
      <c r="G80" s="28" t="n"/>
      <c r="H80" s="26">
        <f>IF($C80="","",N(F80)-N(E80))</f>
        <v/>
      </c>
      <c r="I80" s="27" t="n"/>
    </row>
    <row r="81">
      <c r="B81" s="26">
        <f>IF($C81="","",COUNTA($C$9:$C81))</f>
        <v/>
      </c>
      <c r="C81" s="27" t="n"/>
      <c r="D81" s="27" t="n"/>
      <c r="E81" s="27" t="n"/>
      <c r="F81" s="28" t="n"/>
      <c r="G81" s="28" t="n"/>
      <c r="H81" s="26">
        <f>IF($C81="","",N(F81)-N(E81))</f>
        <v/>
      </c>
      <c r="I81" s="27" t="n"/>
    </row>
    <row r="82">
      <c r="B82" s="26">
        <f>IF($C82="","",COUNTA($C$9:$C82))</f>
        <v/>
      </c>
      <c r="C82" s="27" t="n"/>
      <c r="D82" s="27" t="n"/>
      <c r="E82" s="27" t="n"/>
      <c r="F82" s="28" t="n"/>
      <c r="G82" s="28" t="n"/>
      <c r="H82" s="26">
        <f>IF($C82="","",N(F82)-N(E82))</f>
        <v/>
      </c>
      <c r="I82" s="27" t="n"/>
    </row>
    <row r="83">
      <c r="B83" s="26">
        <f>IF($C83="","",COUNTA($C$9:$C83))</f>
        <v/>
      </c>
      <c r="C83" s="27" t="n"/>
      <c r="D83" s="27" t="n"/>
      <c r="E83" s="27" t="n"/>
      <c r="F83" s="28" t="n"/>
      <c r="G83" s="28" t="n"/>
      <c r="H83" s="26">
        <f>IF($C83="","",N(F83)-N(E83))</f>
        <v/>
      </c>
      <c r="I83" s="27" t="n"/>
    </row>
    <row r="84">
      <c r="B84" s="26">
        <f>IF($C84="","",COUNTA($C$9:$C84))</f>
        <v/>
      </c>
      <c r="C84" s="27" t="n"/>
      <c r="D84" s="27" t="n"/>
      <c r="E84" s="27" t="n"/>
      <c r="F84" s="28" t="n"/>
      <c r="G84" s="28" t="n"/>
      <c r="H84" s="26">
        <f>IF($C84="","",N(F84)-N(E84))</f>
        <v/>
      </c>
      <c r="I84" s="27" t="n"/>
    </row>
    <row r="85">
      <c r="B85" s="26">
        <f>IF($C85="","",COUNTA($C$9:$C85))</f>
        <v/>
      </c>
      <c r="C85" s="27" t="n"/>
      <c r="D85" s="27" t="n"/>
      <c r="E85" s="27" t="n"/>
      <c r="F85" s="28" t="n"/>
      <c r="G85" s="28" t="n"/>
      <c r="H85" s="26">
        <f>IF($C85="","",N(F85)-N(E85))</f>
        <v/>
      </c>
      <c r="I85" s="27" t="n"/>
    </row>
    <row r="86">
      <c r="B86" s="26">
        <f>IF($C86="","",COUNTA($C$9:$C86))</f>
        <v/>
      </c>
      <c r="C86" s="27" t="n"/>
      <c r="D86" s="27" t="n"/>
      <c r="E86" s="27" t="n"/>
      <c r="F86" s="28" t="n"/>
      <c r="G86" s="28" t="n"/>
      <c r="H86" s="26">
        <f>IF($C86="","",N(F86)-N(E86))</f>
        <v/>
      </c>
      <c r="I86" s="27" t="n"/>
    </row>
    <row r="87">
      <c r="B87" s="26">
        <f>IF($C87="","",COUNTA($C$9:$C87))</f>
        <v/>
      </c>
      <c r="C87" s="27" t="n"/>
      <c r="D87" s="27" t="n"/>
      <c r="E87" s="27" t="n"/>
      <c r="F87" s="28" t="n"/>
      <c r="G87" s="28" t="n"/>
      <c r="H87" s="26">
        <f>IF($C87="","",N(F87)-N(E87))</f>
        <v/>
      </c>
      <c r="I87" s="27" t="n"/>
    </row>
    <row r="88">
      <c r="B88" s="26">
        <f>IF($C88="","",COUNTA($C$9:$C88))</f>
        <v/>
      </c>
      <c r="C88" s="27" t="n"/>
      <c r="D88" s="27" t="n"/>
      <c r="E88" s="27" t="n"/>
      <c r="F88" s="28" t="n"/>
      <c r="G88" s="28" t="n"/>
      <c r="H88" s="26">
        <f>IF($C88="","",N(F88)-N(E88))</f>
        <v/>
      </c>
      <c r="I88" s="27" t="n"/>
    </row>
    <row r="89">
      <c r="B89" s="26">
        <f>IF($C89="","",COUNTA($C$9:$C89))</f>
        <v/>
      </c>
      <c r="C89" s="27" t="n"/>
      <c r="D89" s="27" t="n"/>
      <c r="E89" s="27" t="n"/>
      <c r="F89" s="28" t="n"/>
      <c r="G89" s="28" t="n"/>
      <c r="H89" s="26">
        <f>IF($C89="","",N(F89)-N(E89))</f>
        <v/>
      </c>
      <c r="I89" s="27" t="n"/>
    </row>
    <row r="90">
      <c r="B90" s="26">
        <f>IF($C90="","",COUNTA($C$9:$C90))</f>
        <v/>
      </c>
      <c r="C90" s="27" t="n"/>
      <c r="D90" s="27" t="n"/>
      <c r="E90" s="27" t="n"/>
      <c r="F90" s="28" t="n"/>
      <c r="G90" s="28" t="n"/>
      <c r="H90" s="26">
        <f>IF($C90="","",N(F90)-N(E90))</f>
        <v/>
      </c>
      <c r="I90" s="27" t="n"/>
    </row>
    <row r="91">
      <c r="B91" s="26">
        <f>IF($C91="","",COUNTA($C$9:$C91))</f>
        <v/>
      </c>
      <c r="C91" s="27" t="n"/>
      <c r="D91" s="27" t="n"/>
      <c r="E91" s="27" t="n"/>
      <c r="F91" s="28" t="n"/>
      <c r="G91" s="28" t="n"/>
      <c r="H91" s="26">
        <f>IF($C91="","",N(F91)-N(E91))</f>
        <v/>
      </c>
      <c r="I91" s="27" t="n"/>
    </row>
    <row r="92">
      <c r="B92" s="26">
        <f>IF($C92="","",COUNTA($C$9:$C92))</f>
        <v/>
      </c>
      <c r="C92" s="27" t="n"/>
      <c r="D92" s="27" t="n"/>
      <c r="E92" s="27" t="n"/>
      <c r="F92" s="28" t="n"/>
      <c r="G92" s="28" t="n"/>
      <c r="H92" s="26">
        <f>IF($C92="","",N(F92)-N(E92))</f>
        <v/>
      </c>
      <c r="I92" s="27" t="n"/>
    </row>
    <row r="93">
      <c r="B93" s="26">
        <f>IF($C93="","",COUNTA($C$9:$C93))</f>
        <v/>
      </c>
      <c r="C93" s="27" t="n"/>
      <c r="D93" s="27" t="n"/>
      <c r="E93" s="27" t="n"/>
      <c r="F93" s="28" t="n"/>
      <c r="G93" s="28" t="n"/>
      <c r="H93" s="26">
        <f>IF($C93="","",N(F93)-N(E93))</f>
        <v/>
      </c>
      <c r="I93" s="27" t="n"/>
    </row>
    <row r="94">
      <c r="B94" s="26">
        <f>IF($C94="","",COUNTA($C$9:$C94))</f>
        <v/>
      </c>
      <c r="C94" s="27" t="n"/>
      <c r="D94" s="27" t="n"/>
      <c r="E94" s="27" t="n"/>
      <c r="F94" s="28" t="n"/>
      <c r="G94" s="28" t="n"/>
      <c r="H94" s="26">
        <f>IF($C94="","",N(F94)-N(E94))</f>
        <v/>
      </c>
      <c r="I94" s="27" t="n"/>
    </row>
    <row r="95">
      <c r="B95" s="26">
        <f>IF($C95="","",COUNTA($C$9:$C95))</f>
        <v/>
      </c>
      <c r="C95" s="27" t="n"/>
      <c r="D95" s="27" t="n"/>
      <c r="E95" s="27" t="n"/>
      <c r="F95" s="28" t="n"/>
      <c r="G95" s="28" t="n"/>
      <c r="H95" s="26">
        <f>IF($C95="","",N(F95)-N(E95))</f>
        <v/>
      </c>
      <c r="I95" s="27" t="n"/>
    </row>
    <row r="96">
      <c r="B96" s="26">
        <f>IF($C96="","",COUNTA($C$9:$C96))</f>
        <v/>
      </c>
      <c r="C96" s="27" t="n"/>
      <c r="D96" s="27" t="n"/>
      <c r="E96" s="27" t="n"/>
      <c r="F96" s="28" t="n"/>
      <c r="G96" s="28" t="n"/>
      <c r="H96" s="26">
        <f>IF($C96="","",N(F96)-N(E96))</f>
        <v/>
      </c>
      <c r="I96" s="27" t="n"/>
    </row>
    <row r="97">
      <c r="B97" s="26">
        <f>IF($C97="","",COUNTA($C$9:$C97))</f>
        <v/>
      </c>
      <c r="C97" s="27" t="n"/>
      <c r="D97" s="27" t="n"/>
      <c r="E97" s="27" t="n"/>
      <c r="F97" s="28" t="n"/>
      <c r="G97" s="28" t="n"/>
      <c r="H97" s="26">
        <f>IF($C97="","",N(F97)-N(E97))</f>
        <v/>
      </c>
      <c r="I97" s="27" t="n"/>
    </row>
    <row r="98">
      <c r="B98" s="26">
        <f>IF($C98="","",COUNTA($C$9:$C98))</f>
        <v/>
      </c>
      <c r="C98" s="27" t="n"/>
      <c r="D98" s="27" t="n"/>
      <c r="E98" s="27" t="n"/>
      <c r="F98" s="28" t="n"/>
      <c r="G98" s="28" t="n"/>
      <c r="H98" s="26">
        <f>IF($C98="","",N(F98)-N(E98))</f>
        <v/>
      </c>
      <c r="I98" s="27" t="n"/>
    </row>
    <row r="99">
      <c r="B99" s="26">
        <f>IF($C99="","",COUNTA($C$9:$C99))</f>
        <v/>
      </c>
      <c r="C99" s="27" t="n"/>
      <c r="D99" s="27" t="n"/>
      <c r="E99" s="27" t="n"/>
      <c r="F99" s="28" t="n"/>
      <c r="G99" s="28" t="n"/>
      <c r="H99" s="26">
        <f>IF($C99="","",N(F99)-N(E99))</f>
        <v/>
      </c>
      <c r="I99" s="27" t="n"/>
    </row>
    <row r="100">
      <c r="B100" s="26">
        <f>IF($C100="","",COUNTA($C$9:$C100))</f>
        <v/>
      </c>
      <c r="C100" s="27" t="n"/>
      <c r="D100" s="27" t="n"/>
      <c r="E100" s="27" t="n"/>
      <c r="F100" s="28" t="n"/>
      <c r="G100" s="28" t="n"/>
      <c r="H100" s="26">
        <f>IF($C100="","",N(F100)-N(E100))</f>
        <v/>
      </c>
      <c r="I100" s="27" t="n"/>
    </row>
    <row r="101">
      <c r="B101" s="26">
        <f>IF($C101="","",COUNTA($C$9:$C101))</f>
        <v/>
      </c>
      <c r="C101" s="27" t="n"/>
      <c r="D101" s="27" t="n"/>
      <c r="E101" s="27" t="n"/>
      <c r="F101" s="28" t="n"/>
      <c r="G101" s="28" t="n"/>
      <c r="H101" s="26">
        <f>IF($C101="","",N(F101)-N(E101))</f>
        <v/>
      </c>
      <c r="I101" s="27" t="n"/>
    </row>
    <row r="102">
      <c r="B102" s="26">
        <f>IF($C102="","",COUNTA($C$9:$C102))</f>
        <v/>
      </c>
      <c r="C102" s="27" t="n"/>
      <c r="D102" s="27" t="n"/>
      <c r="E102" s="27" t="n"/>
      <c r="F102" s="28" t="n"/>
      <c r="G102" s="28" t="n"/>
      <c r="H102" s="26">
        <f>IF($C102="","",N(F102)-N(E102))</f>
        <v/>
      </c>
      <c r="I102" s="27" t="n"/>
    </row>
    <row r="103">
      <c r="B103" s="26">
        <f>IF($C103="","",COUNTA($C$9:$C103))</f>
        <v/>
      </c>
      <c r="C103" s="27" t="n"/>
      <c r="D103" s="27" t="n"/>
      <c r="E103" s="27" t="n"/>
      <c r="F103" s="28" t="n"/>
      <c r="G103" s="28" t="n"/>
      <c r="H103" s="26">
        <f>IF($C103="","",N(F103)-N(E103))</f>
        <v/>
      </c>
      <c r="I103" s="27" t="n"/>
    </row>
    <row r="104">
      <c r="B104" s="26">
        <f>IF($C104="","",COUNTA($C$9:$C104))</f>
        <v/>
      </c>
      <c r="C104" s="27" t="n"/>
      <c r="D104" s="27" t="n"/>
      <c r="E104" s="27" t="n"/>
      <c r="F104" s="28" t="n"/>
      <c r="G104" s="28" t="n"/>
      <c r="H104" s="26">
        <f>IF($C104="","",N(F104)-N(E104))</f>
        <v/>
      </c>
      <c r="I104" s="27" t="n"/>
    </row>
    <row r="105">
      <c r="B105" s="26">
        <f>IF($C105="","",COUNTA($C$9:$C105))</f>
        <v/>
      </c>
      <c r="C105" s="27" t="n"/>
      <c r="D105" s="27" t="n"/>
      <c r="E105" s="27" t="n"/>
      <c r="F105" s="28" t="n"/>
      <c r="G105" s="28" t="n"/>
      <c r="H105" s="26">
        <f>IF($C105="","",N(F105)-N(E105))</f>
        <v/>
      </c>
      <c r="I105" s="27" t="n"/>
    </row>
    <row r="106">
      <c r="B106" s="26">
        <f>IF($C106="","",COUNTA($C$9:$C106))</f>
        <v/>
      </c>
      <c r="C106" s="27" t="n"/>
      <c r="D106" s="27" t="n"/>
      <c r="E106" s="27" t="n"/>
      <c r="F106" s="28" t="n"/>
      <c r="G106" s="28" t="n"/>
      <c r="H106" s="26">
        <f>IF($C106="","",N(F106)-N(E106))</f>
        <v/>
      </c>
      <c r="I106" s="27" t="n"/>
    </row>
    <row r="107">
      <c r="B107" s="26">
        <f>IF($C107="","",COUNTA($C$9:$C107))</f>
        <v/>
      </c>
      <c r="C107" s="27" t="n"/>
      <c r="D107" s="27" t="n"/>
      <c r="E107" s="27" t="n"/>
      <c r="F107" s="28" t="n"/>
      <c r="G107" s="28" t="n"/>
      <c r="H107" s="26">
        <f>IF($C107="","",N(F107)-N(E107))</f>
        <v/>
      </c>
      <c r="I107" s="27" t="n"/>
    </row>
    <row r="108">
      <c r="B108" s="26">
        <f>IF($C108="","",COUNTA($C$9:$C108))</f>
        <v/>
      </c>
      <c r="C108" s="27" t="n"/>
      <c r="D108" s="27" t="n"/>
      <c r="E108" s="27" t="n"/>
      <c r="F108" s="28" t="n"/>
      <c r="G108" s="28" t="n"/>
      <c r="H108" s="26">
        <f>IF($C108="","",N(F108)-N(E108))</f>
        <v/>
      </c>
      <c r="I108" s="27" t="n"/>
    </row>
    <row r="109">
      <c r="B109" s="26">
        <f>IF($C109="","",COUNTA($C$9:$C109))</f>
        <v/>
      </c>
      <c r="C109" s="27" t="n"/>
      <c r="D109" s="27" t="n"/>
      <c r="E109" s="27" t="n"/>
      <c r="F109" s="28" t="n"/>
      <c r="G109" s="28" t="n"/>
      <c r="H109" s="26">
        <f>IF($C109="","",N(F109)-N(E109))</f>
        <v/>
      </c>
      <c r="I109" s="27" t="n"/>
    </row>
    <row r="110">
      <c r="B110" s="26">
        <f>IF($C110="","",COUNTA($C$9:$C110))</f>
        <v/>
      </c>
      <c r="C110" s="27" t="n"/>
      <c r="D110" s="27" t="n"/>
      <c r="E110" s="27" t="n"/>
      <c r="F110" s="28" t="n"/>
      <c r="G110" s="28" t="n"/>
      <c r="H110" s="26">
        <f>IF($C110="","",N(F110)-N(E110))</f>
        <v/>
      </c>
      <c r="I110" s="27" t="n"/>
    </row>
    <row r="111">
      <c r="B111" s="26">
        <f>IF($C111="","",COUNTA($C$9:$C111))</f>
        <v/>
      </c>
      <c r="C111" s="27" t="n"/>
      <c r="D111" s="27" t="n"/>
      <c r="E111" s="27" t="n"/>
      <c r="F111" s="28" t="n"/>
      <c r="G111" s="28" t="n"/>
      <c r="H111" s="26">
        <f>IF($C111="","",N(F111)-N(E111))</f>
        <v/>
      </c>
      <c r="I111" s="27" t="n"/>
    </row>
    <row r="112">
      <c r="B112" s="26">
        <f>IF($C112="","",COUNTA($C$9:$C112))</f>
        <v/>
      </c>
      <c r="C112" s="27" t="n"/>
      <c r="D112" s="27" t="n"/>
      <c r="E112" s="27" t="n"/>
      <c r="F112" s="28" t="n"/>
      <c r="G112" s="28" t="n"/>
      <c r="H112" s="26">
        <f>IF($C112="","",N(F112)-N(E112))</f>
        <v/>
      </c>
      <c r="I112" s="27" t="n"/>
    </row>
    <row r="113">
      <c r="B113" s="26">
        <f>IF($C113="","",COUNTA($C$9:$C113))</f>
        <v/>
      </c>
      <c r="C113" s="27" t="n"/>
      <c r="D113" s="27" t="n"/>
      <c r="E113" s="27" t="n"/>
      <c r="F113" s="28" t="n"/>
      <c r="G113" s="28" t="n"/>
      <c r="H113" s="26">
        <f>IF($C113="","",N(F113)-N(E113))</f>
        <v/>
      </c>
      <c r="I113" s="27" t="n"/>
    </row>
    <row r="114">
      <c r="B114" s="26">
        <f>IF($C114="","",COUNTA($C$9:$C114))</f>
        <v/>
      </c>
      <c r="C114" s="27" t="n"/>
      <c r="D114" s="27" t="n"/>
      <c r="E114" s="27" t="n"/>
      <c r="F114" s="28" t="n"/>
      <c r="G114" s="28" t="n"/>
      <c r="H114" s="26">
        <f>IF($C114="","",N(F114)-N(E114))</f>
        <v/>
      </c>
      <c r="I114" s="27" t="n"/>
    </row>
    <row r="115">
      <c r="B115" s="26">
        <f>IF($C115="","",COUNTA($C$9:$C115))</f>
        <v/>
      </c>
      <c r="C115" s="27" t="n"/>
      <c r="D115" s="27" t="n"/>
      <c r="E115" s="27" t="n"/>
      <c r="F115" s="28" t="n"/>
      <c r="G115" s="28" t="n"/>
      <c r="H115" s="26">
        <f>IF($C115="","",N(F115)-N(E115))</f>
        <v/>
      </c>
      <c r="I115" s="27" t="n"/>
    </row>
    <row r="116">
      <c r="B116" s="26">
        <f>IF($C116="","",COUNTA($C$9:$C116))</f>
        <v/>
      </c>
      <c r="C116" s="27" t="n"/>
      <c r="D116" s="27" t="n"/>
      <c r="E116" s="27" t="n"/>
      <c r="F116" s="28" t="n"/>
      <c r="G116" s="28" t="n"/>
      <c r="H116" s="26">
        <f>IF($C116="","",N(F116)-N(E116))</f>
        <v/>
      </c>
      <c r="I116" s="27" t="n"/>
    </row>
    <row r="117">
      <c r="B117" s="26">
        <f>IF($C117="","",COUNTA($C$9:$C117))</f>
        <v/>
      </c>
      <c r="C117" s="27" t="n"/>
      <c r="D117" s="27" t="n"/>
      <c r="E117" s="27" t="n"/>
      <c r="F117" s="28" t="n"/>
      <c r="G117" s="28" t="n"/>
      <c r="H117" s="26">
        <f>IF($C117="","",N(F117)-N(E117))</f>
        <v/>
      </c>
      <c r="I117" s="27" t="n"/>
    </row>
    <row r="118">
      <c r="B118" s="26">
        <f>IF($C118="","",COUNTA($C$9:$C118))</f>
        <v/>
      </c>
      <c r="C118" s="27" t="n"/>
      <c r="D118" s="27" t="n"/>
      <c r="E118" s="27" t="n"/>
      <c r="F118" s="28" t="n"/>
      <c r="G118" s="28" t="n"/>
      <c r="H118" s="26">
        <f>IF($C118="","",N(F118)-N(E118))</f>
        <v/>
      </c>
      <c r="I118" s="27" t="n"/>
    </row>
    <row r="119">
      <c r="B119" s="26">
        <f>IF($C119="","",COUNTA($C$9:$C119))</f>
        <v/>
      </c>
      <c r="C119" s="27" t="n"/>
      <c r="D119" s="27" t="n"/>
      <c r="E119" s="27" t="n"/>
      <c r="F119" s="28" t="n"/>
      <c r="G119" s="28" t="n"/>
      <c r="H119" s="26">
        <f>IF($C119="","",N(F119)-N(E119))</f>
        <v/>
      </c>
      <c r="I119" s="27" t="n"/>
    </row>
    <row r="120">
      <c r="B120" s="26">
        <f>IF($C120="","",COUNTA($C$9:$C120))</f>
        <v/>
      </c>
      <c r="C120" s="27" t="n"/>
      <c r="D120" s="27" t="n"/>
      <c r="E120" s="27" t="n"/>
      <c r="F120" s="28" t="n"/>
      <c r="G120" s="28" t="n"/>
      <c r="H120" s="26">
        <f>IF($C120="","",N(F120)-N(E120))</f>
        <v/>
      </c>
      <c r="I120" s="27" t="n"/>
    </row>
    <row r="121">
      <c r="B121" s="26">
        <f>IF($C121="","",COUNTA($C$9:$C121))</f>
        <v/>
      </c>
      <c r="C121" s="27" t="n"/>
      <c r="D121" s="27" t="n"/>
      <c r="E121" s="27" t="n"/>
      <c r="F121" s="28" t="n"/>
      <c r="G121" s="28" t="n"/>
      <c r="H121" s="26">
        <f>IF($C121="","",N(F121)-N(E121))</f>
        <v/>
      </c>
      <c r="I121" s="27" t="n"/>
    </row>
    <row r="122">
      <c r="B122" s="26">
        <f>IF($C122="","",COUNTA($C$9:$C122))</f>
        <v/>
      </c>
      <c r="C122" s="27" t="n"/>
      <c r="D122" s="27" t="n"/>
      <c r="E122" s="27" t="n"/>
      <c r="F122" s="28" t="n"/>
      <c r="G122" s="28" t="n"/>
      <c r="H122" s="26">
        <f>IF($C122="","",N(F122)-N(E122))</f>
        <v/>
      </c>
      <c r="I122" s="27" t="n"/>
    </row>
    <row r="123">
      <c r="B123" s="26">
        <f>IF($C123="","",COUNTA($C$9:$C123))</f>
        <v/>
      </c>
      <c r="C123" s="27" t="n"/>
      <c r="D123" s="27" t="n"/>
      <c r="E123" s="27" t="n"/>
      <c r="F123" s="28" t="n"/>
      <c r="G123" s="28" t="n"/>
      <c r="H123" s="26">
        <f>IF($C123="","",N(F123)-N(E123))</f>
        <v/>
      </c>
      <c r="I123" s="27" t="n"/>
    </row>
    <row r="124">
      <c r="B124" s="26">
        <f>IF($C124="","",COUNTA($C$9:$C124))</f>
        <v/>
      </c>
      <c r="C124" s="27" t="n"/>
      <c r="D124" s="27" t="n"/>
      <c r="E124" s="27" t="n"/>
      <c r="F124" s="28" t="n"/>
      <c r="G124" s="28" t="n"/>
      <c r="H124" s="26">
        <f>IF($C124="","",N(F124)-N(E124))</f>
        <v/>
      </c>
      <c r="I124" s="27" t="n"/>
    </row>
    <row r="125">
      <c r="B125" s="26">
        <f>IF($C125="","",COUNTA($C$9:$C125))</f>
        <v/>
      </c>
      <c r="C125" s="27" t="n"/>
      <c r="D125" s="27" t="n"/>
      <c r="E125" s="27" t="n"/>
      <c r="F125" s="28" t="n"/>
      <c r="G125" s="28" t="n"/>
      <c r="H125" s="26">
        <f>IF($C125="","",N(F125)-N(E125))</f>
        <v/>
      </c>
      <c r="I125" s="27" t="n"/>
    </row>
    <row r="126">
      <c r="B126" s="26">
        <f>IF($C126="","",COUNTA($C$9:$C126))</f>
        <v/>
      </c>
      <c r="C126" s="27" t="n"/>
      <c r="D126" s="27" t="n"/>
      <c r="E126" s="27" t="n"/>
      <c r="F126" s="28" t="n"/>
      <c r="G126" s="28" t="n"/>
      <c r="H126" s="26">
        <f>IF($C126="","",N(F126)-N(E126))</f>
        <v/>
      </c>
      <c r="I126" s="27" t="n"/>
    </row>
    <row r="127">
      <c r="B127" s="26">
        <f>IF($C127="","",COUNTA($C$9:$C127))</f>
        <v/>
      </c>
      <c r="C127" s="27" t="n"/>
      <c r="D127" s="27" t="n"/>
      <c r="E127" s="27" t="n"/>
      <c r="F127" s="28" t="n"/>
      <c r="G127" s="28" t="n"/>
      <c r="H127" s="26">
        <f>IF($C127="","",N(F127)-N(E127))</f>
        <v/>
      </c>
      <c r="I127" s="27" t="n"/>
    </row>
    <row r="128">
      <c r="B128" s="26">
        <f>IF($C128="","",COUNTA($C$9:$C128))</f>
        <v/>
      </c>
      <c r="C128" s="27" t="n"/>
      <c r="D128" s="27" t="n"/>
      <c r="E128" s="27" t="n"/>
      <c r="F128" s="28" t="n"/>
      <c r="G128" s="28" t="n"/>
      <c r="H128" s="26">
        <f>IF($C128="","",N(F128)-N(E128))</f>
        <v/>
      </c>
      <c r="I128" s="27" t="n"/>
    </row>
    <row r="129">
      <c r="B129" s="26">
        <f>IF($C129="","",COUNTA($C$9:$C129))</f>
        <v/>
      </c>
      <c r="C129" s="27" t="n"/>
      <c r="D129" s="27" t="n"/>
      <c r="E129" s="27" t="n"/>
      <c r="F129" s="28" t="n"/>
      <c r="G129" s="28" t="n"/>
      <c r="H129" s="26">
        <f>IF($C129="","",N(F129)-N(E129))</f>
        <v/>
      </c>
      <c r="I129" s="27" t="n"/>
    </row>
    <row r="130">
      <c r="B130" s="26">
        <f>IF($C130="","",COUNTA($C$9:$C130))</f>
        <v/>
      </c>
      <c r="C130" s="27" t="n"/>
      <c r="D130" s="27" t="n"/>
      <c r="E130" s="27" t="n"/>
      <c r="F130" s="28" t="n"/>
      <c r="G130" s="28" t="n"/>
      <c r="H130" s="26">
        <f>IF($C130="","",N(F130)-N(E130))</f>
        <v/>
      </c>
      <c r="I130" s="27" t="n"/>
    </row>
    <row r="131">
      <c r="B131" s="26">
        <f>IF($C131="","",COUNTA($C$9:$C131))</f>
        <v/>
      </c>
      <c r="C131" s="27" t="n"/>
      <c r="D131" s="27" t="n"/>
      <c r="E131" s="27" t="n"/>
      <c r="F131" s="28" t="n"/>
      <c r="G131" s="28" t="n"/>
      <c r="H131" s="26">
        <f>IF($C131="","",N(F131)-N(E131))</f>
        <v/>
      </c>
      <c r="I131" s="27" t="n"/>
    </row>
    <row r="132">
      <c r="B132" s="26">
        <f>IF($C132="","",COUNTA($C$9:$C132))</f>
        <v/>
      </c>
      <c r="C132" s="27" t="n"/>
      <c r="D132" s="27" t="n"/>
      <c r="E132" s="27" t="n"/>
      <c r="F132" s="28" t="n"/>
      <c r="G132" s="28" t="n"/>
      <c r="H132" s="26">
        <f>IF($C132="","",N(F132)-N(E132))</f>
        <v/>
      </c>
      <c r="I132" s="27" t="n"/>
    </row>
    <row r="133">
      <c r="B133" s="26">
        <f>IF($C133="","",COUNTA($C$9:$C133))</f>
        <v/>
      </c>
      <c r="C133" s="27" t="n"/>
      <c r="D133" s="27" t="n"/>
      <c r="E133" s="27" t="n"/>
      <c r="F133" s="28" t="n"/>
      <c r="G133" s="28" t="n"/>
      <c r="H133" s="26">
        <f>IF($C133="","",N(F133)-N(E133))</f>
        <v/>
      </c>
      <c r="I133" s="27" t="n"/>
    </row>
    <row r="134">
      <c r="B134" s="26">
        <f>IF($C134="","",COUNTA($C$9:$C134))</f>
        <v/>
      </c>
      <c r="C134" s="27" t="n"/>
      <c r="D134" s="27" t="n"/>
      <c r="E134" s="27" t="n"/>
      <c r="F134" s="28" t="n"/>
      <c r="G134" s="28" t="n"/>
      <c r="H134" s="26">
        <f>IF($C134="","",N(F134)-N(E134))</f>
        <v/>
      </c>
      <c r="I134" s="27" t="n"/>
    </row>
    <row r="135">
      <c r="B135" s="26">
        <f>IF($C135="","",COUNTA($C$9:$C135))</f>
        <v/>
      </c>
      <c r="C135" s="27" t="n"/>
      <c r="D135" s="27" t="n"/>
      <c r="E135" s="27" t="n"/>
      <c r="F135" s="28" t="n"/>
      <c r="G135" s="28" t="n"/>
      <c r="H135" s="26">
        <f>IF($C135="","",N(F135)-N(E135))</f>
        <v/>
      </c>
      <c r="I135" s="27" t="n"/>
    </row>
    <row r="136">
      <c r="B136" s="26">
        <f>IF($C136="","",COUNTA($C$9:$C136))</f>
        <v/>
      </c>
      <c r="C136" s="27" t="n"/>
      <c r="D136" s="27" t="n"/>
      <c r="E136" s="27" t="n"/>
      <c r="F136" s="28" t="n"/>
      <c r="G136" s="28" t="n"/>
      <c r="H136" s="26">
        <f>IF($C136="","",N(F136)-N(E136))</f>
        <v/>
      </c>
      <c r="I136" s="27" t="n"/>
    </row>
    <row r="137">
      <c r="B137" s="26">
        <f>IF($C137="","",COUNTA($C$9:$C137))</f>
        <v/>
      </c>
      <c r="C137" s="27" t="n"/>
      <c r="D137" s="27" t="n"/>
      <c r="E137" s="27" t="n"/>
      <c r="F137" s="28" t="n"/>
      <c r="G137" s="28" t="n"/>
      <c r="H137" s="26">
        <f>IF($C137="","",N(F137)-N(E137))</f>
        <v/>
      </c>
      <c r="I137" s="27" t="n"/>
    </row>
    <row r="138">
      <c r="B138" s="26">
        <f>IF($C138="","",COUNTA($C$9:$C138))</f>
        <v/>
      </c>
      <c r="C138" s="27" t="n"/>
      <c r="D138" s="27" t="n"/>
      <c r="E138" s="27" t="n"/>
      <c r="F138" s="28" t="n"/>
      <c r="G138" s="28" t="n"/>
      <c r="H138" s="26">
        <f>IF($C138="","",N(F138)-N(E138))</f>
        <v/>
      </c>
      <c r="I138" s="27" t="n"/>
    </row>
    <row r="139">
      <c r="B139" s="26">
        <f>IF($C139="","",COUNTA($C$9:$C139))</f>
        <v/>
      </c>
      <c r="C139" s="27" t="n"/>
      <c r="D139" s="27" t="n"/>
      <c r="E139" s="27" t="n"/>
      <c r="F139" s="28" t="n"/>
      <c r="G139" s="28" t="n"/>
      <c r="H139" s="26">
        <f>IF($C139="","",N(F139)-N(E139))</f>
        <v/>
      </c>
      <c r="I139" s="27" t="n"/>
    </row>
    <row r="140">
      <c r="B140" s="26">
        <f>IF($C140="","",COUNTA($C$9:$C140))</f>
        <v/>
      </c>
      <c r="C140" s="27" t="n"/>
      <c r="D140" s="27" t="n"/>
      <c r="E140" s="27" t="n"/>
      <c r="F140" s="28" t="n"/>
      <c r="G140" s="28" t="n"/>
      <c r="H140" s="26">
        <f>IF($C140="","",N(F140)-N(E140))</f>
        <v/>
      </c>
      <c r="I140" s="27" t="n"/>
    </row>
    <row r="141">
      <c r="B141" s="26">
        <f>IF($C141="","",COUNTA($C$9:$C141))</f>
        <v/>
      </c>
      <c r="C141" s="27" t="n"/>
      <c r="D141" s="27" t="n"/>
      <c r="E141" s="27" t="n"/>
      <c r="F141" s="28" t="n"/>
      <c r="G141" s="28" t="n"/>
      <c r="H141" s="26">
        <f>IF($C141="","",N(F141)-N(E141))</f>
        <v/>
      </c>
      <c r="I141" s="27" t="n"/>
    </row>
    <row r="142">
      <c r="B142" s="26">
        <f>IF($C142="","",COUNTA($C$9:$C142))</f>
        <v/>
      </c>
      <c r="C142" s="27" t="n"/>
      <c r="D142" s="27" t="n"/>
      <c r="E142" s="27" t="n"/>
      <c r="F142" s="28" t="n"/>
      <c r="G142" s="28" t="n"/>
      <c r="H142" s="26">
        <f>IF($C142="","",N(F142)-N(E142))</f>
        <v/>
      </c>
      <c r="I142" s="27" t="n"/>
    </row>
    <row r="143">
      <c r="B143" s="26">
        <f>IF($C143="","",COUNTA($C$9:$C143))</f>
        <v/>
      </c>
      <c r="C143" s="27" t="n"/>
      <c r="D143" s="27" t="n"/>
      <c r="E143" s="27" t="n"/>
      <c r="F143" s="28" t="n"/>
      <c r="G143" s="28" t="n"/>
      <c r="H143" s="26">
        <f>IF($C143="","",N(F143)-N(E143))</f>
        <v/>
      </c>
      <c r="I143" s="27" t="n"/>
    </row>
    <row r="144">
      <c r="B144" s="26">
        <f>IF($C144="","",COUNTA($C$9:$C144))</f>
        <v/>
      </c>
      <c r="C144" s="27" t="n"/>
      <c r="D144" s="27" t="n"/>
      <c r="E144" s="27" t="n"/>
      <c r="F144" s="28" t="n"/>
      <c r="G144" s="28" t="n"/>
      <c r="H144" s="26">
        <f>IF($C144="","",N(F144)-N(E144))</f>
        <v/>
      </c>
      <c r="I144" s="27" t="n"/>
    </row>
    <row r="145">
      <c r="B145" s="26">
        <f>IF($C145="","",COUNTA($C$9:$C145))</f>
        <v/>
      </c>
      <c r="C145" s="27" t="n"/>
      <c r="D145" s="27" t="n"/>
      <c r="E145" s="27" t="n"/>
      <c r="F145" s="28" t="n"/>
      <c r="G145" s="28" t="n"/>
      <c r="H145" s="26">
        <f>IF($C145="","",N(F145)-N(E145))</f>
        <v/>
      </c>
      <c r="I145" s="27" t="n"/>
    </row>
    <row r="146">
      <c r="B146" s="26">
        <f>IF($C146="","",COUNTA($C$9:$C146))</f>
        <v/>
      </c>
      <c r="C146" s="27" t="n"/>
      <c r="D146" s="27" t="n"/>
      <c r="E146" s="27" t="n"/>
      <c r="F146" s="28" t="n"/>
      <c r="G146" s="28" t="n"/>
      <c r="H146" s="26">
        <f>IF($C146="","",N(F146)-N(E146))</f>
        <v/>
      </c>
      <c r="I146" s="27" t="n"/>
    </row>
    <row r="147">
      <c r="B147" s="26">
        <f>IF($C147="","",COUNTA($C$9:$C147))</f>
        <v/>
      </c>
      <c r="C147" s="27" t="n"/>
      <c r="D147" s="27" t="n"/>
      <c r="E147" s="27" t="n"/>
      <c r="F147" s="28" t="n"/>
      <c r="G147" s="28" t="n"/>
      <c r="H147" s="26">
        <f>IF($C147="","",N(F147)-N(E147))</f>
        <v/>
      </c>
      <c r="I147" s="27" t="n"/>
    </row>
    <row r="148">
      <c r="B148" s="26">
        <f>IF($C148="","",COUNTA($C$9:$C148))</f>
        <v/>
      </c>
      <c r="C148" s="27" t="n"/>
      <c r="D148" s="27" t="n"/>
      <c r="E148" s="27" t="n"/>
      <c r="F148" s="28" t="n"/>
      <c r="G148" s="28" t="n"/>
      <c r="H148" s="26">
        <f>IF($C148="","",N(F148)-N(E148))</f>
        <v/>
      </c>
      <c r="I148" s="27" t="n"/>
    </row>
    <row r="149">
      <c r="B149" s="26">
        <f>IF($C149="","",COUNTA($C$9:$C149))</f>
        <v/>
      </c>
      <c r="C149" s="27" t="n"/>
      <c r="D149" s="27" t="n"/>
      <c r="E149" s="27" t="n"/>
      <c r="F149" s="28" t="n"/>
      <c r="G149" s="28" t="n"/>
      <c r="H149" s="26">
        <f>IF($C149="","",N(F149)-N(E149))</f>
        <v/>
      </c>
      <c r="I149" s="27" t="n"/>
    </row>
    <row r="150">
      <c r="B150" s="26">
        <f>IF($C150="","",COUNTA($C$9:$C150))</f>
        <v/>
      </c>
      <c r="C150" s="27" t="n"/>
      <c r="D150" s="27" t="n"/>
      <c r="E150" s="27" t="n"/>
      <c r="F150" s="28" t="n"/>
      <c r="G150" s="28" t="n"/>
      <c r="H150" s="26">
        <f>IF($C150="","",N(F150)-N(E150))</f>
        <v/>
      </c>
      <c r="I150" s="27" t="n"/>
    </row>
    <row r="151">
      <c r="B151" s="26">
        <f>IF($C151="","",COUNTA($C$9:$C151))</f>
        <v/>
      </c>
      <c r="C151" s="27" t="n"/>
      <c r="D151" s="27" t="n"/>
      <c r="E151" s="27" t="n"/>
      <c r="F151" s="28" t="n"/>
      <c r="G151" s="28" t="n"/>
      <c r="H151" s="26">
        <f>IF($C151="","",N(F151)-N(E151))</f>
        <v/>
      </c>
      <c r="I151" s="27" t="n"/>
    </row>
    <row r="152">
      <c r="B152" s="26">
        <f>IF($C152="","",COUNTA($C$9:$C152))</f>
        <v/>
      </c>
      <c r="C152" s="27" t="n"/>
      <c r="D152" s="27" t="n"/>
      <c r="E152" s="27" t="n"/>
      <c r="F152" s="28" t="n"/>
      <c r="G152" s="28" t="n"/>
      <c r="H152" s="26">
        <f>IF($C152="","",N(F152)-N(E152))</f>
        <v/>
      </c>
      <c r="I152" s="27" t="n"/>
    </row>
    <row r="153">
      <c r="B153" s="26">
        <f>IF($C153="","",COUNTA($C$9:$C153))</f>
        <v/>
      </c>
      <c r="C153" s="27" t="n"/>
      <c r="D153" s="27" t="n"/>
      <c r="E153" s="27" t="n"/>
      <c r="F153" s="28" t="n"/>
      <c r="G153" s="28" t="n"/>
      <c r="H153" s="26">
        <f>IF($C153="","",N(F153)-N(E153))</f>
        <v/>
      </c>
      <c r="I153" s="27" t="n"/>
    </row>
    <row r="154">
      <c r="B154" s="26">
        <f>IF($C154="","",COUNTA($C$9:$C154))</f>
        <v/>
      </c>
      <c r="C154" s="27" t="n"/>
      <c r="D154" s="27" t="n"/>
      <c r="E154" s="27" t="n"/>
      <c r="F154" s="28" t="n"/>
      <c r="G154" s="28" t="n"/>
      <c r="H154" s="26">
        <f>IF($C154="","",N(F154)-N(E154))</f>
        <v/>
      </c>
      <c r="I154" s="27" t="n"/>
    </row>
    <row r="155">
      <c r="B155" s="26">
        <f>IF($C155="","",COUNTA($C$9:$C155))</f>
        <v/>
      </c>
      <c r="C155" s="27" t="n"/>
      <c r="D155" s="27" t="n"/>
      <c r="E155" s="27" t="n"/>
      <c r="F155" s="28" t="n"/>
      <c r="G155" s="28" t="n"/>
      <c r="H155" s="26">
        <f>IF($C155="","",N(F155)-N(E155))</f>
        <v/>
      </c>
      <c r="I155" s="27" t="n"/>
    </row>
    <row r="156">
      <c r="B156" s="26">
        <f>IF($C156="","",COUNTA($C$9:$C156))</f>
        <v/>
      </c>
      <c r="C156" s="27" t="n"/>
      <c r="D156" s="27" t="n"/>
      <c r="E156" s="27" t="n"/>
      <c r="F156" s="28" t="n"/>
      <c r="G156" s="28" t="n"/>
      <c r="H156" s="26">
        <f>IF($C156="","",N(F156)-N(E156))</f>
        <v/>
      </c>
      <c r="I156" s="27" t="n"/>
    </row>
    <row r="157">
      <c r="B157" s="26">
        <f>IF($C157="","",COUNTA($C$9:$C157))</f>
        <v/>
      </c>
      <c r="C157" s="27" t="n"/>
      <c r="D157" s="27" t="n"/>
      <c r="E157" s="27" t="n"/>
      <c r="F157" s="28" t="n"/>
      <c r="G157" s="28" t="n"/>
      <c r="H157" s="26">
        <f>IF($C157="","",N(F157)-N(E157))</f>
        <v/>
      </c>
      <c r="I157" s="27" t="n"/>
    </row>
    <row r="158">
      <c r="B158" s="26">
        <f>IF($C158="","",COUNTA($C$9:$C158))</f>
        <v/>
      </c>
      <c r="C158" s="27" t="n"/>
      <c r="D158" s="27" t="n"/>
      <c r="E158" s="27" t="n"/>
      <c r="F158" s="28" t="n"/>
      <c r="G158" s="28" t="n"/>
      <c r="H158" s="26">
        <f>IF($C158="","",N(F158)-N(E158))</f>
        <v/>
      </c>
      <c r="I158" s="27" t="n"/>
    </row>
    <row r="159">
      <c r="B159" s="26">
        <f>IF($C159="","",COUNTA($C$9:$C159))</f>
        <v/>
      </c>
      <c r="C159" s="27" t="n"/>
      <c r="D159" s="27" t="n"/>
      <c r="E159" s="27" t="n"/>
      <c r="F159" s="28" t="n"/>
      <c r="G159" s="28" t="n"/>
      <c r="H159" s="26">
        <f>IF($C159="","",N(F159)-N(E159))</f>
        <v/>
      </c>
      <c r="I159" s="27" t="n"/>
    </row>
    <row r="160">
      <c r="B160" s="26">
        <f>IF($C160="","",COUNTA($C$9:$C160))</f>
        <v/>
      </c>
      <c r="C160" s="27" t="n"/>
      <c r="D160" s="27" t="n"/>
      <c r="E160" s="27" t="n"/>
      <c r="F160" s="28" t="n"/>
      <c r="G160" s="28" t="n"/>
      <c r="H160" s="26">
        <f>IF($C160="","",N(F160)-N(E160))</f>
        <v/>
      </c>
      <c r="I160" s="27" t="n"/>
    </row>
    <row r="161">
      <c r="B161" s="26">
        <f>IF($C161="","",COUNTA($C$9:$C161))</f>
        <v/>
      </c>
      <c r="C161" s="27" t="n"/>
      <c r="D161" s="27" t="n"/>
      <c r="E161" s="27" t="n"/>
      <c r="F161" s="28" t="n"/>
      <c r="G161" s="28" t="n"/>
      <c r="H161" s="26">
        <f>IF($C161="","",N(F161)-N(E161))</f>
        <v/>
      </c>
      <c r="I161" s="27" t="n"/>
    </row>
    <row r="162">
      <c r="B162" s="26">
        <f>IF($C162="","",COUNTA($C$9:$C162))</f>
        <v/>
      </c>
      <c r="C162" s="27" t="n"/>
      <c r="D162" s="27" t="n"/>
      <c r="E162" s="27" t="n"/>
      <c r="F162" s="28" t="n"/>
      <c r="G162" s="28" t="n"/>
      <c r="H162" s="26">
        <f>IF($C162="","",N(F162)-N(E162))</f>
        <v/>
      </c>
      <c r="I162" s="27" t="n"/>
    </row>
    <row r="163">
      <c r="B163" s="26">
        <f>IF($C163="","",COUNTA($C$9:$C163))</f>
        <v/>
      </c>
      <c r="C163" s="27" t="n"/>
      <c r="D163" s="27" t="n"/>
      <c r="E163" s="27" t="n"/>
      <c r="F163" s="28" t="n"/>
      <c r="G163" s="28" t="n"/>
      <c r="H163" s="26">
        <f>IF($C163="","",N(F163)-N(E163))</f>
        <v/>
      </c>
      <c r="I163" s="27" t="n"/>
    </row>
    <row r="164">
      <c r="B164" s="26">
        <f>IF($C164="","",COUNTA($C$9:$C164))</f>
        <v/>
      </c>
      <c r="C164" s="27" t="n"/>
      <c r="D164" s="27" t="n"/>
      <c r="E164" s="27" t="n"/>
      <c r="F164" s="28" t="n"/>
      <c r="G164" s="28" t="n"/>
      <c r="H164" s="26">
        <f>IF($C164="","",N(F164)-N(E164))</f>
        <v/>
      </c>
      <c r="I164" s="27" t="n"/>
    </row>
    <row r="165">
      <c r="B165" s="26">
        <f>IF($C165="","",COUNTA($C$9:$C165))</f>
        <v/>
      </c>
      <c r="C165" s="27" t="n"/>
      <c r="D165" s="27" t="n"/>
      <c r="E165" s="27" t="n"/>
      <c r="F165" s="28" t="n"/>
      <c r="G165" s="28" t="n"/>
      <c r="H165" s="26">
        <f>IF($C165="","",N(F165)-N(E165))</f>
        <v/>
      </c>
      <c r="I165" s="27" t="n"/>
    </row>
    <row r="166">
      <c r="B166" s="26">
        <f>IF($C166="","",COUNTA($C$9:$C166))</f>
        <v/>
      </c>
      <c r="C166" s="27" t="n"/>
      <c r="D166" s="27" t="n"/>
      <c r="E166" s="27" t="n"/>
      <c r="F166" s="28" t="n"/>
      <c r="G166" s="28" t="n"/>
      <c r="H166" s="26">
        <f>IF($C166="","",N(F166)-N(E166))</f>
        <v/>
      </c>
      <c r="I166" s="27" t="n"/>
    </row>
    <row r="167">
      <c r="B167" s="26">
        <f>IF($C167="","",COUNTA($C$9:$C167))</f>
        <v/>
      </c>
      <c r="C167" s="27" t="n"/>
      <c r="D167" s="27" t="n"/>
      <c r="E167" s="27" t="n"/>
      <c r="F167" s="28" t="n"/>
      <c r="G167" s="28" t="n"/>
      <c r="H167" s="26">
        <f>IF($C167="","",N(F167)-N(E167))</f>
        <v/>
      </c>
      <c r="I167" s="27" t="n"/>
    </row>
    <row r="168">
      <c r="B168" s="26">
        <f>IF($C168="","",COUNTA($C$9:$C168))</f>
        <v/>
      </c>
      <c r="C168" s="27" t="n"/>
      <c r="D168" s="27" t="n"/>
      <c r="E168" s="27" t="n"/>
      <c r="F168" s="28" t="n"/>
      <c r="G168" s="28" t="n"/>
      <c r="H168" s="26">
        <f>IF($C168="","",N(F168)-N(E168))</f>
        <v/>
      </c>
      <c r="I168" s="27" t="n"/>
    </row>
    <row r="169">
      <c r="B169" s="26">
        <f>IF($C169="","",COUNTA($C$9:$C169))</f>
        <v/>
      </c>
      <c r="C169" s="27" t="n"/>
      <c r="D169" s="27" t="n"/>
      <c r="E169" s="27" t="n"/>
      <c r="F169" s="28" t="n"/>
      <c r="G169" s="28" t="n"/>
      <c r="H169" s="26">
        <f>IF($C169="","",N(F169)-N(E169))</f>
        <v/>
      </c>
      <c r="I169" s="27" t="n"/>
    </row>
    <row r="170">
      <c r="B170" s="26">
        <f>IF($C170="","",COUNTA($C$9:$C170))</f>
        <v/>
      </c>
      <c r="C170" s="27" t="n"/>
      <c r="D170" s="27" t="n"/>
      <c r="E170" s="27" t="n"/>
      <c r="F170" s="28" t="n"/>
      <c r="G170" s="28" t="n"/>
      <c r="H170" s="26">
        <f>IF($C170="","",N(F170)-N(E170))</f>
        <v/>
      </c>
      <c r="I170" s="27" t="n"/>
    </row>
    <row r="171">
      <c r="B171" s="26">
        <f>IF($C171="","",COUNTA($C$9:$C171))</f>
        <v/>
      </c>
      <c r="C171" s="27" t="n"/>
      <c r="D171" s="27" t="n"/>
      <c r="E171" s="27" t="n"/>
      <c r="F171" s="28" t="n"/>
      <c r="G171" s="28" t="n"/>
      <c r="H171" s="26">
        <f>IF($C171="","",N(F171)-N(E171))</f>
        <v/>
      </c>
      <c r="I171" s="27" t="n"/>
    </row>
    <row r="172">
      <c r="B172" s="26">
        <f>IF($C172="","",COUNTA($C$9:$C172))</f>
        <v/>
      </c>
      <c r="C172" s="27" t="n"/>
      <c r="D172" s="27" t="n"/>
      <c r="E172" s="27" t="n"/>
      <c r="F172" s="28" t="n"/>
      <c r="G172" s="28" t="n"/>
      <c r="H172" s="26">
        <f>IF($C172="","",N(F172)-N(E172))</f>
        <v/>
      </c>
      <c r="I172" s="27" t="n"/>
    </row>
    <row r="173">
      <c r="B173" s="26">
        <f>IF($C173="","",COUNTA($C$9:$C173))</f>
        <v/>
      </c>
      <c r="C173" s="27" t="n"/>
      <c r="D173" s="27" t="n"/>
      <c r="E173" s="27" t="n"/>
      <c r="F173" s="28" t="n"/>
      <c r="G173" s="28" t="n"/>
      <c r="H173" s="26">
        <f>IF($C173="","",N(F173)-N(E173))</f>
        <v/>
      </c>
      <c r="I173" s="27" t="n"/>
    </row>
    <row r="174">
      <c r="B174" s="26">
        <f>IF($C174="","",COUNTA($C$9:$C174))</f>
        <v/>
      </c>
      <c r="C174" s="27" t="n"/>
      <c r="D174" s="27" t="n"/>
      <c r="E174" s="27" t="n"/>
      <c r="F174" s="28" t="n"/>
      <c r="G174" s="28" t="n"/>
      <c r="H174" s="26">
        <f>IF($C174="","",N(F174)-N(E174))</f>
        <v/>
      </c>
      <c r="I174" s="27" t="n"/>
    </row>
    <row r="175">
      <c r="B175" s="26">
        <f>IF($C175="","",COUNTA($C$9:$C175))</f>
        <v/>
      </c>
      <c r="C175" s="27" t="n"/>
      <c r="D175" s="27" t="n"/>
      <c r="E175" s="27" t="n"/>
      <c r="F175" s="28" t="n"/>
      <c r="G175" s="28" t="n"/>
      <c r="H175" s="26">
        <f>IF($C175="","",N(F175)-N(E175))</f>
        <v/>
      </c>
      <c r="I175" s="27" t="n"/>
    </row>
    <row r="176">
      <c r="B176" s="26">
        <f>IF($C176="","",COUNTA($C$9:$C176))</f>
        <v/>
      </c>
      <c r="C176" s="27" t="n"/>
      <c r="D176" s="27" t="n"/>
      <c r="E176" s="27" t="n"/>
      <c r="F176" s="28" t="n"/>
      <c r="G176" s="28" t="n"/>
      <c r="H176" s="26">
        <f>IF($C176="","",N(F176)-N(E176))</f>
        <v/>
      </c>
      <c r="I176" s="27" t="n"/>
    </row>
    <row r="177">
      <c r="B177" s="26">
        <f>IF($C177="","",COUNTA($C$9:$C177))</f>
        <v/>
      </c>
      <c r="C177" s="27" t="n"/>
      <c r="D177" s="27" t="n"/>
      <c r="E177" s="27" t="n"/>
      <c r="F177" s="28" t="n"/>
      <c r="G177" s="28" t="n"/>
      <c r="H177" s="26">
        <f>IF($C177="","",N(F177)-N(E177))</f>
        <v/>
      </c>
      <c r="I177" s="27" t="n"/>
    </row>
    <row r="178">
      <c r="B178" s="26">
        <f>IF($C178="","",COUNTA($C$9:$C178))</f>
        <v/>
      </c>
      <c r="C178" s="27" t="n"/>
      <c r="D178" s="27" t="n"/>
      <c r="E178" s="27" t="n"/>
      <c r="F178" s="28" t="n"/>
      <c r="G178" s="28" t="n"/>
      <c r="H178" s="26">
        <f>IF($C178="","",N(F178)-N(E178))</f>
        <v/>
      </c>
      <c r="I178" s="27" t="n"/>
    </row>
    <row r="179">
      <c r="B179" s="26">
        <f>IF($C179="","",COUNTA($C$9:$C179))</f>
        <v/>
      </c>
      <c r="C179" s="27" t="n"/>
      <c r="D179" s="27" t="n"/>
      <c r="E179" s="27" t="n"/>
      <c r="F179" s="28" t="n"/>
      <c r="G179" s="28" t="n"/>
      <c r="H179" s="26">
        <f>IF($C179="","",N(F179)-N(E179))</f>
        <v/>
      </c>
      <c r="I179" s="27" t="n"/>
    </row>
    <row r="180">
      <c r="B180" s="26">
        <f>IF($C180="","",COUNTA($C$9:$C180))</f>
        <v/>
      </c>
      <c r="C180" s="27" t="n"/>
      <c r="D180" s="27" t="n"/>
      <c r="E180" s="27" t="n"/>
      <c r="F180" s="28" t="n"/>
      <c r="G180" s="28" t="n"/>
      <c r="H180" s="26">
        <f>IF($C180="","",N(F180)-N(E180))</f>
        <v/>
      </c>
      <c r="I180" s="27" t="n"/>
    </row>
    <row r="181">
      <c r="B181" s="26">
        <f>IF($C181="","",COUNTA($C$9:$C181))</f>
        <v/>
      </c>
      <c r="C181" s="27" t="n"/>
      <c r="D181" s="27" t="n"/>
      <c r="E181" s="27" t="n"/>
      <c r="F181" s="28" t="n"/>
      <c r="G181" s="28" t="n"/>
      <c r="H181" s="26">
        <f>IF($C181="","",N(F181)-N(E181))</f>
        <v/>
      </c>
      <c r="I181" s="27" t="n"/>
    </row>
    <row r="182">
      <c r="B182" s="26">
        <f>IF($C182="","",COUNTA($C$9:$C182))</f>
        <v/>
      </c>
      <c r="C182" s="27" t="n"/>
      <c r="D182" s="27" t="n"/>
      <c r="E182" s="27" t="n"/>
      <c r="F182" s="28" t="n"/>
      <c r="G182" s="28" t="n"/>
      <c r="H182" s="26">
        <f>IF($C182="","",N(F182)-N(E182))</f>
        <v/>
      </c>
      <c r="I182" s="27" t="n"/>
    </row>
    <row r="183">
      <c r="B183" s="26">
        <f>IF($C183="","",COUNTA($C$9:$C183))</f>
        <v/>
      </c>
      <c r="C183" s="27" t="n"/>
      <c r="D183" s="27" t="n"/>
      <c r="E183" s="27" t="n"/>
      <c r="F183" s="28" t="n"/>
      <c r="G183" s="28" t="n"/>
      <c r="H183" s="26">
        <f>IF($C183="","",N(F183)-N(E183))</f>
        <v/>
      </c>
      <c r="I183" s="27" t="n"/>
    </row>
    <row r="184">
      <c r="B184" s="26">
        <f>IF($C184="","",COUNTA($C$9:$C184))</f>
        <v/>
      </c>
      <c r="C184" s="27" t="n"/>
      <c r="D184" s="27" t="n"/>
      <c r="E184" s="27" t="n"/>
      <c r="F184" s="28" t="n"/>
      <c r="G184" s="28" t="n"/>
      <c r="H184" s="26">
        <f>IF($C184="","",N(F184)-N(E184))</f>
        <v/>
      </c>
      <c r="I184" s="27" t="n"/>
    </row>
    <row r="185">
      <c r="B185" s="26">
        <f>IF($C185="","",COUNTA($C$9:$C185))</f>
        <v/>
      </c>
      <c r="C185" s="27" t="n"/>
      <c r="D185" s="27" t="n"/>
      <c r="E185" s="27" t="n"/>
      <c r="F185" s="28" t="n"/>
      <c r="G185" s="28" t="n"/>
      <c r="H185" s="26">
        <f>IF($C185="","",N(F185)-N(E185))</f>
        <v/>
      </c>
      <c r="I185" s="27" t="n"/>
    </row>
    <row r="186">
      <c r="B186" s="26">
        <f>IF($C186="","",COUNTA($C$9:$C186))</f>
        <v/>
      </c>
      <c r="C186" s="27" t="n"/>
      <c r="D186" s="27" t="n"/>
      <c r="E186" s="27" t="n"/>
      <c r="F186" s="28" t="n"/>
      <c r="G186" s="28" t="n"/>
      <c r="H186" s="26">
        <f>IF($C186="","",N(F186)-N(E186))</f>
        <v/>
      </c>
      <c r="I186" s="27" t="n"/>
    </row>
    <row r="187">
      <c r="B187" s="26">
        <f>IF($C187="","",COUNTA($C$9:$C187))</f>
        <v/>
      </c>
      <c r="C187" s="27" t="n"/>
      <c r="D187" s="27" t="n"/>
      <c r="E187" s="27" t="n"/>
      <c r="F187" s="28" t="n"/>
      <c r="G187" s="28" t="n"/>
      <c r="H187" s="26">
        <f>IF($C187="","",N(F187)-N(E187))</f>
        <v/>
      </c>
      <c r="I187" s="27" t="n"/>
    </row>
    <row r="188">
      <c r="B188" s="26">
        <f>IF($C188="","",COUNTA($C$9:$C188))</f>
        <v/>
      </c>
      <c r="C188" s="27" t="n"/>
      <c r="D188" s="27" t="n"/>
      <c r="E188" s="27" t="n"/>
      <c r="F188" s="28" t="n"/>
      <c r="G188" s="28" t="n"/>
      <c r="H188" s="26">
        <f>IF($C188="","",N(F188)-N(E188))</f>
        <v/>
      </c>
      <c r="I188" s="27" t="n"/>
    </row>
    <row r="189">
      <c r="B189" s="26">
        <f>IF($C189="","",COUNTA($C$9:$C189))</f>
        <v/>
      </c>
      <c r="C189" s="27" t="n"/>
      <c r="D189" s="27" t="n"/>
      <c r="E189" s="27" t="n"/>
      <c r="F189" s="28" t="n"/>
      <c r="G189" s="28" t="n"/>
      <c r="H189" s="26">
        <f>IF($C189="","",N(F189)-N(E189))</f>
        <v/>
      </c>
      <c r="I189" s="27" t="n"/>
    </row>
    <row r="190">
      <c r="B190" s="26">
        <f>IF($C190="","",COUNTA($C$9:$C190))</f>
        <v/>
      </c>
      <c r="C190" s="27" t="n"/>
      <c r="D190" s="27" t="n"/>
      <c r="E190" s="27" t="n"/>
      <c r="F190" s="28" t="n"/>
      <c r="G190" s="28" t="n"/>
      <c r="H190" s="26">
        <f>IF($C190="","",N(F190)-N(E190))</f>
        <v/>
      </c>
      <c r="I190" s="27" t="n"/>
    </row>
    <row r="191">
      <c r="B191" s="26">
        <f>IF($C191="","",COUNTA($C$9:$C191))</f>
        <v/>
      </c>
      <c r="C191" s="27" t="n"/>
      <c r="D191" s="27" t="n"/>
      <c r="E191" s="27" t="n"/>
      <c r="F191" s="28" t="n"/>
      <c r="G191" s="28" t="n"/>
      <c r="H191" s="26">
        <f>IF($C191="","",N(F191)-N(E191))</f>
        <v/>
      </c>
      <c r="I191" s="27" t="n"/>
    </row>
    <row r="192">
      <c r="B192" s="26">
        <f>IF($C192="","",COUNTA($C$9:$C192))</f>
        <v/>
      </c>
      <c r="C192" s="27" t="n"/>
      <c r="D192" s="27" t="n"/>
      <c r="E192" s="27" t="n"/>
      <c r="F192" s="28" t="n"/>
      <c r="G192" s="28" t="n"/>
      <c r="H192" s="26">
        <f>IF($C192="","",N(F192)-N(E192))</f>
        <v/>
      </c>
      <c r="I192" s="27" t="n"/>
    </row>
    <row r="193">
      <c r="B193" s="26">
        <f>IF($C193="","",COUNTA($C$9:$C193))</f>
        <v/>
      </c>
      <c r="C193" s="27" t="n"/>
      <c r="D193" s="27" t="n"/>
      <c r="E193" s="27" t="n"/>
      <c r="F193" s="28" t="n"/>
      <c r="G193" s="28" t="n"/>
      <c r="H193" s="26">
        <f>IF($C193="","",N(F193)-N(E193))</f>
        <v/>
      </c>
      <c r="I193" s="27" t="n"/>
    </row>
    <row r="194">
      <c r="B194" s="26">
        <f>IF($C194="","",COUNTA($C$9:$C194))</f>
        <v/>
      </c>
      <c r="C194" s="27" t="n"/>
      <c r="D194" s="27" t="n"/>
      <c r="E194" s="27" t="n"/>
      <c r="F194" s="28" t="n"/>
      <c r="G194" s="28" t="n"/>
      <c r="H194" s="26">
        <f>IF($C194="","",N(F194)-N(E194))</f>
        <v/>
      </c>
      <c r="I194" s="27" t="n"/>
    </row>
    <row r="195">
      <c r="B195" s="26">
        <f>IF($C195="","",COUNTA($C$9:$C195))</f>
        <v/>
      </c>
      <c r="C195" s="27" t="n"/>
      <c r="D195" s="27" t="n"/>
      <c r="E195" s="27" t="n"/>
      <c r="F195" s="28" t="n"/>
      <c r="G195" s="28" t="n"/>
      <c r="H195" s="26">
        <f>IF($C195="","",N(F195)-N(E195))</f>
        <v/>
      </c>
      <c r="I195" s="27" t="n"/>
    </row>
    <row r="196">
      <c r="B196" s="26">
        <f>IF($C196="","",COUNTA($C$9:$C196))</f>
        <v/>
      </c>
      <c r="C196" s="27" t="n"/>
      <c r="D196" s="27" t="n"/>
      <c r="E196" s="27" t="n"/>
      <c r="F196" s="28" t="n"/>
      <c r="G196" s="28" t="n"/>
      <c r="H196" s="26">
        <f>IF($C196="","",N(F196)-N(E196))</f>
        <v/>
      </c>
      <c r="I196" s="27" t="n"/>
    </row>
    <row r="197">
      <c r="B197" s="26">
        <f>IF($C197="","",COUNTA($C$9:$C197))</f>
        <v/>
      </c>
      <c r="C197" s="27" t="n"/>
      <c r="D197" s="27" t="n"/>
      <c r="E197" s="27" t="n"/>
      <c r="F197" s="28" t="n"/>
      <c r="G197" s="28" t="n"/>
      <c r="H197" s="26">
        <f>IF($C197="","",N(F197)-N(E197))</f>
        <v/>
      </c>
      <c r="I197" s="27" t="n"/>
    </row>
    <row r="198">
      <c r="B198" s="26">
        <f>IF($C198="","",COUNTA($C$9:$C198))</f>
        <v/>
      </c>
      <c r="C198" s="27" t="n"/>
      <c r="D198" s="27" t="n"/>
      <c r="E198" s="27" t="n"/>
      <c r="F198" s="28" t="n"/>
      <c r="G198" s="28" t="n"/>
      <c r="H198" s="26">
        <f>IF($C198="","",N(F198)-N(E198))</f>
        <v/>
      </c>
      <c r="I198" s="27" t="n"/>
    </row>
    <row r="199">
      <c r="B199" s="26">
        <f>IF($C199="","",COUNTA($C$9:$C199))</f>
        <v/>
      </c>
      <c r="C199" s="27" t="n"/>
      <c r="D199" s="27" t="n"/>
      <c r="E199" s="27" t="n"/>
      <c r="F199" s="28" t="n"/>
      <c r="G199" s="28" t="n"/>
      <c r="H199" s="26">
        <f>IF($C199="","",N(F199)-N(E199))</f>
        <v/>
      </c>
      <c r="I199" s="27" t="n"/>
    </row>
    <row r="200">
      <c r="B200" s="26">
        <f>IF($C200="","",COUNTA($C$9:$C200))</f>
        <v/>
      </c>
      <c r="C200" s="27" t="n"/>
      <c r="D200" s="27" t="n"/>
      <c r="E200" s="27" t="n"/>
      <c r="F200" s="28" t="n"/>
      <c r="G200" s="28" t="n"/>
      <c r="H200" s="26">
        <f>IF($C200="","",N(F200)-N(E200))</f>
        <v/>
      </c>
      <c r="I200" s="27" t="n"/>
    </row>
    <row r="201">
      <c r="B201" s="26">
        <f>IF($C201="","",COUNTA($C$9:$C201))</f>
        <v/>
      </c>
      <c r="C201" s="27" t="n"/>
      <c r="D201" s="27" t="n"/>
      <c r="E201" s="27" t="n"/>
      <c r="F201" s="28" t="n"/>
      <c r="G201" s="28" t="n"/>
      <c r="H201" s="26">
        <f>IF($C201="","",N(F201)-N(E201))</f>
        <v/>
      </c>
      <c r="I201" s="27" t="n"/>
    </row>
    <row r="202">
      <c r="B202" s="26">
        <f>IF($C202="","",COUNTA($C$9:$C202))</f>
        <v/>
      </c>
      <c r="C202" s="27" t="n"/>
      <c r="D202" s="27" t="n"/>
      <c r="E202" s="27" t="n"/>
      <c r="F202" s="28" t="n"/>
      <c r="G202" s="28" t="n"/>
      <c r="H202" s="26">
        <f>IF($C202="","",N(F202)-N(E202))</f>
        <v/>
      </c>
      <c r="I202" s="27" t="n"/>
    </row>
    <row r="203">
      <c r="B203" s="26">
        <f>IF($C203="","",COUNTA($C$9:$C203))</f>
        <v/>
      </c>
      <c r="C203" s="27" t="n"/>
      <c r="D203" s="27" t="n"/>
      <c r="E203" s="27" t="n"/>
      <c r="F203" s="28" t="n"/>
      <c r="G203" s="28" t="n"/>
      <c r="H203" s="26">
        <f>IF($C203="","",N(F203)-N(E203))</f>
        <v/>
      </c>
      <c r="I203" s="27" t="n"/>
    </row>
    <row r="204">
      <c r="B204" s="26">
        <f>IF($C204="","",COUNTA($C$9:$C204))</f>
        <v/>
      </c>
      <c r="C204" s="27" t="n"/>
      <c r="D204" s="27" t="n"/>
      <c r="E204" s="27" t="n"/>
      <c r="F204" s="28" t="n"/>
      <c r="G204" s="28" t="n"/>
      <c r="H204" s="26">
        <f>IF($C204="","",N(F204)-N(E204))</f>
        <v/>
      </c>
      <c r="I204" s="27" t="n"/>
    </row>
    <row r="205">
      <c r="B205" s="26">
        <f>IF($C205="","",COUNTA($C$9:$C205))</f>
        <v/>
      </c>
      <c r="C205" s="27" t="n"/>
      <c r="D205" s="27" t="n"/>
      <c r="E205" s="27" t="n"/>
      <c r="F205" s="28" t="n"/>
      <c r="G205" s="28" t="n"/>
      <c r="H205" s="26">
        <f>IF($C205="","",N(F205)-N(E205))</f>
        <v/>
      </c>
      <c r="I205" s="27" t="n"/>
    </row>
    <row r="206">
      <c r="B206" s="26">
        <f>IF($C206="","",COUNTA($C$9:$C206))</f>
        <v/>
      </c>
      <c r="C206" s="27" t="n"/>
      <c r="D206" s="27" t="n"/>
      <c r="E206" s="27" t="n"/>
      <c r="F206" s="28" t="n"/>
      <c r="G206" s="28" t="n"/>
      <c r="H206" s="26">
        <f>IF($C206="","",N(F206)-N(E206))</f>
        <v/>
      </c>
      <c r="I206" s="27" t="n"/>
    </row>
    <row r="207">
      <c r="B207" s="26">
        <f>IF($C207="","",COUNTA($C$9:$C207))</f>
        <v/>
      </c>
      <c r="C207" s="27" t="n"/>
      <c r="D207" s="27" t="n"/>
      <c r="E207" s="27" t="n"/>
      <c r="F207" s="28" t="n"/>
      <c r="G207" s="28" t="n"/>
      <c r="H207" s="26">
        <f>IF($C207="","",N(F207)-N(E207))</f>
        <v/>
      </c>
      <c r="I207" s="27" t="n"/>
    </row>
    <row r="208">
      <c r="B208" s="26">
        <f>IF($C208="","",COUNTA($C$9:$C208))</f>
        <v/>
      </c>
      <c r="C208" s="27" t="n"/>
      <c r="D208" s="27" t="n"/>
      <c r="E208" s="27" t="n"/>
      <c r="F208" s="28" t="n"/>
      <c r="G208" s="28" t="n"/>
      <c r="H208" s="26">
        <f>IF($C208="","",N(F208)-N(E208))</f>
        <v/>
      </c>
      <c r="I208" s="27" t="n"/>
    </row>
    <row r="209">
      <c r="B209" s="26">
        <f>IF($C209="","",COUNTA($C$9:$C209))</f>
        <v/>
      </c>
      <c r="C209" s="27" t="n"/>
      <c r="D209" s="27" t="n"/>
      <c r="E209" s="27" t="n"/>
      <c r="F209" s="28" t="n"/>
      <c r="G209" s="28" t="n"/>
      <c r="H209" s="26">
        <f>IF($C209="","",N(F209)-N(E209))</f>
        <v/>
      </c>
      <c r="I209" s="27" t="n"/>
    </row>
    <row r="210">
      <c r="B210" s="26">
        <f>IF($C210="","",COUNTA($C$9:$C210))</f>
        <v/>
      </c>
      <c r="C210" s="27" t="n"/>
      <c r="D210" s="27" t="n"/>
      <c r="E210" s="27" t="n"/>
      <c r="F210" s="28" t="n"/>
      <c r="G210" s="28" t="n"/>
      <c r="H210" s="26">
        <f>IF($C210="","",N(F210)-N(E210))</f>
        <v/>
      </c>
      <c r="I210" s="27" t="n"/>
    </row>
    <row r="211">
      <c r="B211" s="26">
        <f>IF($C211="","",COUNTA($C$9:$C211))</f>
        <v/>
      </c>
      <c r="C211" s="27" t="n"/>
      <c r="D211" s="27" t="n"/>
      <c r="E211" s="27" t="n"/>
      <c r="F211" s="28" t="n"/>
      <c r="G211" s="28" t="n"/>
      <c r="H211" s="26">
        <f>IF($C211="","",N(F211)-N(E211))</f>
        <v/>
      </c>
      <c r="I211" s="27" t="n"/>
    </row>
    <row r="212">
      <c r="B212" s="26">
        <f>IF($C212="","",COUNTA($C$9:$C212))</f>
        <v/>
      </c>
      <c r="C212" s="27" t="n"/>
      <c r="D212" s="27" t="n"/>
      <c r="E212" s="27" t="n"/>
      <c r="F212" s="28" t="n"/>
      <c r="G212" s="28" t="n"/>
      <c r="H212" s="26">
        <f>IF($C212="","",N(F212)-N(E212))</f>
        <v/>
      </c>
      <c r="I212" s="27" t="n"/>
    </row>
    <row r="213">
      <c r="B213" s="26">
        <f>IF($C213="","",COUNTA($C$9:$C213))</f>
        <v/>
      </c>
      <c r="C213" s="27" t="n"/>
      <c r="D213" s="27" t="n"/>
      <c r="E213" s="27" t="n"/>
      <c r="F213" s="28" t="n"/>
      <c r="G213" s="28" t="n"/>
      <c r="H213" s="26">
        <f>IF($C213="","",N(F213)-N(E213))</f>
        <v/>
      </c>
      <c r="I213" s="27" t="n"/>
    </row>
    <row r="214">
      <c r="B214" s="26">
        <f>IF($C214="","",COUNTA($C$9:$C214))</f>
        <v/>
      </c>
      <c r="C214" s="27" t="n"/>
      <c r="D214" s="27" t="n"/>
      <c r="E214" s="27" t="n"/>
      <c r="F214" s="28" t="n"/>
      <c r="G214" s="28" t="n"/>
      <c r="H214" s="26">
        <f>IF($C214="","",N(F214)-N(E214))</f>
        <v/>
      </c>
      <c r="I214" s="27" t="n"/>
    </row>
    <row r="215">
      <c r="B215" s="26">
        <f>IF($C215="","",COUNTA($C$9:$C215))</f>
        <v/>
      </c>
      <c r="C215" s="27" t="n"/>
      <c r="D215" s="27" t="n"/>
      <c r="E215" s="27" t="n"/>
      <c r="F215" s="28" t="n"/>
      <c r="G215" s="28" t="n"/>
      <c r="H215" s="26">
        <f>IF($C215="","",N(F215)-N(E215))</f>
        <v/>
      </c>
      <c r="I215" s="27" t="n"/>
    </row>
    <row r="216">
      <c r="B216" s="26">
        <f>IF($C216="","",COUNTA($C$9:$C216))</f>
        <v/>
      </c>
      <c r="C216" s="27" t="n"/>
      <c r="D216" s="27" t="n"/>
      <c r="E216" s="27" t="n"/>
      <c r="F216" s="28" t="n"/>
      <c r="G216" s="28" t="n"/>
      <c r="H216" s="26">
        <f>IF($C216="","",N(F216)-N(E216))</f>
        <v/>
      </c>
      <c r="I216" s="27" t="n"/>
    </row>
    <row r="217">
      <c r="B217" s="26">
        <f>IF($C217="","",COUNTA($C$9:$C217))</f>
        <v/>
      </c>
      <c r="C217" s="27" t="n"/>
      <c r="D217" s="27" t="n"/>
      <c r="E217" s="27" t="n"/>
      <c r="F217" s="28" t="n"/>
      <c r="G217" s="28" t="n"/>
      <c r="H217" s="26">
        <f>IF($C217="","",N(F217)-N(E217))</f>
        <v/>
      </c>
      <c r="I217" s="27" t="n"/>
    </row>
    <row r="218">
      <c r="B218" s="26">
        <f>IF($C218="","",COUNTA($C$9:$C218))</f>
        <v/>
      </c>
      <c r="C218" s="27" t="n"/>
      <c r="D218" s="27" t="n"/>
      <c r="E218" s="27" t="n"/>
      <c r="F218" s="28" t="n"/>
      <c r="G218" s="28" t="n"/>
      <c r="H218" s="26">
        <f>IF($C218="","",N(F218)-N(E218))</f>
        <v/>
      </c>
      <c r="I218" s="27" t="n"/>
    </row>
    <row r="219">
      <c r="B219" s="26">
        <f>IF($C219="","",COUNTA($C$9:$C219))</f>
        <v/>
      </c>
      <c r="C219" s="27" t="n"/>
      <c r="D219" s="27" t="n"/>
      <c r="E219" s="27" t="n"/>
      <c r="F219" s="28" t="n"/>
      <c r="G219" s="28" t="n"/>
      <c r="H219" s="26">
        <f>IF($C219="","",N(F219)-N(E219))</f>
        <v/>
      </c>
      <c r="I219" s="27" t="n"/>
    </row>
    <row r="220">
      <c r="B220" s="26">
        <f>IF($C220="","",COUNTA($C$9:$C220))</f>
        <v/>
      </c>
      <c r="C220" s="27" t="n"/>
      <c r="D220" s="27" t="n"/>
      <c r="E220" s="27" t="n"/>
      <c r="F220" s="28" t="n"/>
      <c r="G220" s="28" t="n"/>
      <c r="H220" s="26">
        <f>IF($C220="","",N(F220)-N(E220))</f>
        <v/>
      </c>
      <c r="I220" s="27" t="n"/>
    </row>
    <row r="221">
      <c r="B221" s="26">
        <f>IF($C221="","",COUNTA($C$9:$C221))</f>
        <v/>
      </c>
      <c r="C221" s="27" t="n"/>
      <c r="D221" s="27" t="n"/>
      <c r="E221" s="27" t="n"/>
      <c r="F221" s="28" t="n"/>
      <c r="G221" s="28" t="n"/>
      <c r="H221" s="26">
        <f>IF($C221="","",N(F221)-N(E221))</f>
        <v/>
      </c>
      <c r="I221" s="27" t="n"/>
    </row>
    <row r="222">
      <c r="B222" s="26">
        <f>IF($C222="","",COUNTA($C$9:$C222))</f>
        <v/>
      </c>
      <c r="C222" s="27" t="n"/>
      <c r="D222" s="27" t="n"/>
      <c r="E222" s="27" t="n"/>
      <c r="F222" s="28" t="n"/>
      <c r="G222" s="28" t="n"/>
      <c r="H222" s="26">
        <f>IF($C222="","",N(F222)-N(E222))</f>
        <v/>
      </c>
      <c r="I222" s="27" t="n"/>
    </row>
    <row r="223">
      <c r="B223" s="26">
        <f>IF($C223="","",COUNTA($C$9:$C223))</f>
        <v/>
      </c>
      <c r="C223" s="27" t="n"/>
      <c r="D223" s="27" t="n"/>
      <c r="E223" s="27" t="n"/>
      <c r="F223" s="28" t="n"/>
      <c r="G223" s="28" t="n"/>
      <c r="H223" s="26">
        <f>IF($C223="","",N(F223)-N(E223))</f>
        <v/>
      </c>
      <c r="I223" s="27" t="n"/>
    </row>
    <row r="224">
      <c r="B224" s="26">
        <f>IF($C224="","",COUNTA($C$9:$C224))</f>
        <v/>
      </c>
      <c r="C224" s="27" t="n"/>
      <c r="D224" s="27" t="n"/>
      <c r="E224" s="27" t="n"/>
      <c r="F224" s="28" t="n"/>
      <c r="G224" s="28" t="n"/>
      <c r="H224" s="26">
        <f>IF($C224="","",N(F224)-N(E224))</f>
        <v/>
      </c>
      <c r="I224" s="27" t="n"/>
    </row>
    <row r="225">
      <c r="B225" s="26">
        <f>IF($C225="","",COUNTA($C$9:$C225))</f>
        <v/>
      </c>
      <c r="C225" s="27" t="n"/>
      <c r="D225" s="27" t="n"/>
      <c r="E225" s="27" t="n"/>
      <c r="F225" s="28" t="n"/>
      <c r="G225" s="28" t="n"/>
      <c r="H225" s="26">
        <f>IF($C225="","",N(F225)-N(E225))</f>
        <v/>
      </c>
      <c r="I225" s="27" t="n"/>
    </row>
    <row r="226">
      <c r="B226" s="26">
        <f>IF($C226="","",COUNTA($C$9:$C226))</f>
        <v/>
      </c>
      <c r="C226" s="27" t="n"/>
      <c r="D226" s="27" t="n"/>
      <c r="E226" s="27" t="n"/>
      <c r="F226" s="28" t="n"/>
      <c r="G226" s="28" t="n"/>
      <c r="H226" s="26">
        <f>IF($C226="","",N(F226)-N(E226))</f>
        <v/>
      </c>
      <c r="I226" s="27" t="n"/>
    </row>
    <row r="227">
      <c r="B227" s="26">
        <f>IF($C227="","",COUNTA($C$9:$C227))</f>
        <v/>
      </c>
      <c r="C227" s="27" t="n"/>
      <c r="D227" s="27" t="n"/>
      <c r="E227" s="27" t="n"/>
      <c r="F227" s="28" t="n"/>
      <c r="G227" s="28" t="n"/>
      <c r="H227" s="26">
        <f>IF($C227="","",N(F227)-N(E227))</f>
        <v/>
      </c>
      <c r="I227" s="27" t="n"/>
    </row>
    <row r="228">
      <c r="B228" s="26">
        <f>IF($C228="","",COUNTA($C$9:$C228))</f>
        <v/>
      </c>
      <c r="C228" s="27" t="n"/>
      <c r="D228" s="27" t="n"/>
      <c r="E228" s="27" t="n"/>
      <c r="F228" s="28" t="n"/>
      <c r="G228" s="28" t="n"/>
      <c r="H228" s="26">
        <f>IF($C228="","",N(F228)-N(E228))</f>
        <v/>
      </c>
      <c r="I228" s="27" t="n"/>
    </row>
    <row r="229">
      <c r="B229" s="26">
        <f>IF($C229="","",COUNTA($C$9:$C229))</f>
        <v/>
      </c>
      <c r="C229" s="27" t="n"/>
      <c r="D229" s="27" t="n"/>
      <c r="E229" s="27" t="n"/>
      <c r="F229" s="28" t="n"/>
      <c r="G229" s="28" t="n"/>
      <c r="H229" s="26">
        <f>IF($C229="","",N(F229)-N(E229))</f>
        <v/>
      </c>
      <c r="I229" s="27" t="n"/>
    </row>
    <row r="230">
      <c r="B230" s="26">
        <f>IF($C230="","",COUNTA($C$9:$C230))</f>
        <v/>
      </c>
      <c r="C230" s="27" t="n"/>
      <c r="D230" s="27" t="n"/>
      <c r="E230" s="27" t="n"/>
      <c r="F230" s="28" t="n"/>
      <c r="G230" s="28" t="n"/>
      <c r="H230" s="26">
        <f>IF($C230="","",N(F230)-N(E230))</f>
        <v/>
      </c>
      <c r="I230" s="27" t="n"/>
    </row>
    <row r="231">
      <c r="B231" s="26">
        <f>IF($C231="","",COUNTA($C$9:$C231))</f>
        <v/>
      </c>
      <c r="C231" s="27" t="n"/>
      <c r="D231" s="27" t="n"/>
      <c r="E231" s="27" t="n"/>
      <c r="F231" s="28" t="n"/>
      <c r="G231" s="28" t="n"/>
      <c r="H231" s="26">
        <f>IF($C231="","",N(F231)-N(E231))</f>
        <v/>
      </c>
      <c r="I231" s="27" t="n"/>
    </row>
    <row r="232">
      <c r="B232" s="26">
        <f>IF($C232="","",COUNTA($C$9:$C232))</f>
        <v/>
      </c>
      <c r="C232" s="27" t="n"/>
      <c r="D232" s="27" t="n"/>
      <c r="E232" s="27" t="n"/>
      <c r="F232" s="28" t="n"/>
      <c r="G232" s="28" t="n"/>
      <c r="H232" s="26">
        <f>IF($C232="","",N(F232)-N(E232))</f>
        <v/>
      </c>
      <c r="I232" s="27" t="n"/>
    </row>
    <row r="233">
      <c r="B233" s="26">
        <f>IF($C233="","",COUNTA($C$9:$C233))</f>
        <v/>
      </c>
      <c r="C233" s="27" t="n"/>
      <c r="D233" s="27" t="n"/>
      <c r="E233" s="27" t="n"/>
      <c r="F233" s="28" t="n"/>
      <c r="G233" s="28" t="n"/>
      <c r="H233" s="26">
        <f>IF($C233="","",N(F233)-N(E233))</f>
        <v/>
      </c>
      <c r="I233" s="27" t="n"/>
    </row>
    <row r="234">
      <c r="B234" s="26">
        <f>IF($C234="","",COUNTA($C$9:$C234))</f>
        <v/>
      </c>
      <c r="C234" s="27" t="n"/>
      <c r="D234" s="27" t="n"/>
      <c r="E234" s="27" t="n"/>
      <c r="F234" s="28" t="n"/>
      <c r="G234" s="28" t="n"/>
      <c r="H234" s="26">
        <f>IF($C234="","",N(F234)-N(E234))</f>
        <v/>
      </c>
      <c r="I234" s="27" t="n"/>
    </row>
    <row r="235">
      <c r="B235" s="26">
        <f>IF($C235="","",COUNTA($C$9:$C235))</f>
        <v/>
      </c>
      <c r="C235" s="27" t="n"/>
      <c r="D235" s="27" t="n"/>
      <c r="E235" s="27" t="n"/>
      <c r="F235" s="28" t="n"/>
      <c r="G235" s="28" t="n"/>
      <c r="H235" s="26">
        <f>IF($C235="","",N(F235)-N(E235))</f>
        <v/>
      </c>
      <c r="I235" s="27" t="n"/>
    </row>
    <row r="236">
      <c r="B236" s="26">
        <f>IF($C236="","",COUNTA($C$9:$C236))</f>
        <v/>
      </c>
      <c r="C236" s="27" t="n"/>
      <c r="D236" s="27" t="n"/>
      <c r="E236" s="27" t="n"/>
      <c r="F236" s="28" t="n"/>
      <c r="G236" s="28" t="n"/>
      <c r="H236" s="26">
        <f>IF($C236="","",N(F236)-N(E236))</f>
        <v/>
      </c>
      <c r="I236" s="27" t="n"/>
    </row>
    <row r="237">
      <c r="B237" s="26">
        <f>IF($C237="","",COUNTA($C$9:$C237))</f>
        <v/>
      </c>
      <c r="C237" s="27" t="n"/>
      <c r="D237" s="27" t="n"/>
      <c r="E237" s="27" t="n"/>
      <c r="F237" s="28" t="n"/>
      <c r="G237" s="28" t="n"/>
      <c r="H237" s="26">
        <f>IF($C237="","",N(F237)-N(E237))</f>
        <v/>
      </c>
      <c r="I237" s="27" t="n"/>
    </row>
    <row r="238">
      <c r="B238" s="26">
        <f>IF($C238="","",COUNTA($C$9:$C238))</f>
        <v/>
      </c>
      <c r="C238" s="27" t="n"/>
      <c r="D238" s="27" t="n"/>
      <c r="E238" s="27" t="n"/>
      <c r="F238" s="28" t="n"/>
      <c r="G238" s="28" t="n"/>
      <c r="H238" s="26">
        <f>IF($C238="","",N(F238)-N(E238))</f>
        <v/>
      </c>
      <c r="I238" s="27" t="n"/>
    </row>
    <row r="239">
      <c r="B239" s="26">
        <f>IF($C239="","",COUNTA($C$9:$C239))</f>
        <v/>
      </c>
      <c r="C239" s="27" t="n"/>
      <c r="D239" s="27" t="n"/>
      <c r="E239" s="27" t="n"/>
      <c r="F239" s="28" t="n"/>
      <c r="G239" s="28" t="n"/>
      <c r="H239" s="26">
        <f>IF($C239="","",N(F239)-N(E239))</f>
        <v/>
      </c>
      <c r="I239" s="27" t="n"/>
    </row>
    <row r="240">
      <c r="B240" s="26">
        <f>IF($C240="","",COUNTA($C$9:$C240))</f>
        <v/>
      </c>
      <c r="C240" s="27" t="n"/>
      <c r="D240" s="27" t="n"/>
      <c r="E240" s="27" t="n"/>
      <c r="F240" s="28" t="n"/>
      <c r="G240" s="28" t="n"/>
      <c r="H240" s="26">
        <f>IF($C240="","",N(F240)-N(E240))</f>
        <v/>
      </c>
      <c r="I240" s="27" t="n"/>
    </row>
    <row r="241">
      <c r="B241" s="26">
        <f>IF($C241="","",COUNTA($C$9:$C241))</f>
        <v/>
      </c>
      <c r="C241" s="27" t="n"/>
      <c r="D241" s="27" t="n"/>
      <c r="E241" s="27" t="n"/>
      <c r="F241" s="28" t="n"/>
      <c r="G241" s="28" t="n"/>
      <c r="H241" s="26">
        <f>IF($C241="","",N(F241)-N(E241))</f>
        <v/>
      </c>
      <c r="I241" s="27" t="n"/>
    </row>
    <row r="242">
      <c r="B242" s="26">
        <f>IF($C242="","",COUNTA($C$9:$C242))</f>
        <v/>
      </c>
      <c r="C242" s="27" t="n"/>
      <c r="D242" s="27" t="n"/>
      <c r="E242" s="27" t="n"/>
      <c r="F242" s="28" t="n"/>
      <c r="G242" s="28" t="n"/>
      <c r="H242" s="26">
        <f>IF($C242="","",N(F242)-N(E242))</f>
        <v/>
      </c>
      <c r="I242" s="27" t="n"/>
    </row>
    <row r="243">
      <c r="B243" s="26">
        <f>IF($C243="","",COUNTA($C$9:$C243))</f>
        <v/>
      </c>
      <c r="C243" s="27" t="n"/>
      <c r="D243" s="27" t="n"/>
      <c r="E243" s="27" t="n"/>
      <c r="F243" s="28" t="n"/>
      <c r="G243" s="28" t="n"/>
      <c r="H243" s="26">
        <f>IF($C243="","",N(F243)-N(E243))</f>
        <v/>
      </c>
      <c r="I243" s="27" t="n"/>
    </row>
    <row r="244">
      <c r="B244" s="26">
        <f>IF($C244="","",COUNTA($C$9:$C244))</f>
        <v/>
      </c>
      <c r="C244" s="27" t="n"/>
      <c r="D244" s="27" t="n"/>
      <c r="E244" s="27" t="n"/>
      <c r="F244" s="28" t="n"/>
      <c r="G244" s="28" t="n"/>
      <c r="H244" s="26">
        <f>IF($C244="","",N(F244)-N(E244))</f>
        <v/>
      </c>
      <c r="I244" s="27" t="n"/>
    </row>
    <row r="245">
      <c r="B245" s="26">
        <f>IF($C245="","",COUNTA($C$9:$C245))</f>
        <v/>
      </c>
      <c r="C245" s="27" t="n"/>
      <c r="D245" s="27" t="n"/>
      <c r="E245" s="27" t="n"/>
      <c r="F245" s="28" t="n"/>
      <c r="G245" s="28" t="n"/>
      <c r="H245" s="26">
        <f>IF($C245="","",N(F245)-N(E245))</f>
        <v/>
      </c>
      <c r="I245" s="27" t="n"/>
    </row>
    <row r="246">
      <c r="B246" s="26">
        <f>IF($C246="","",COUNTA($C$9:$C246))</f>
        <v/>
      </c>
      <c r="C246" s="27" t="n"/>
      <c r="D246" s="27" t="n"/>
      <c r="E246" s="27" t="n"/>
      <c r="F246" s="28" t="n"/>
      <c r="G246" s="28" t="n"/>
      <c r="H246" s="26">
        <f>IF($C246="","",N(F246)-N(E246))</f>
        <v/>
      </c>
      <c r="I246" s="27" t="n"/>
    </row>
    <row r="247">
      <c r="B247" s="26">
        <f>IF($C247="","",COUNTA($C$9:$C247))</f>
        <v/>
      </c>
      <c r="C247" s="27" t="n"/>
      <c r="D247" s="27" t="n"/>
      <c r="E247" s="27" t="n"/>
      <c r="F247" s="28" t="n"/>
      <c r="G247" s="28" t="n"/>
      <c r="H247" s="26">
        <f>IF($C247="","",N(F247)-N(E247))</f>
        <v/>
      </c>
      <c r="I247" s="27" t="n"/>
    </row>
    <row r="248">
      <c r="B248" s="26">
        <f>IF($C248="","",COUNTA($C$9:$C248))</f>
        <v/>
      </c>
      <c r="C248" s="27" t="n"/>
      <c r="D248" s="27" t="n"/>
      <c r="E248" s="27" t="n"/>
      <c r="F248" s="28" t="n"/>
      <c r="G248" s="28" t="n"/>
      <c r="H248" s="26">
        <f>IF($C248="","",N(F248)-N(E248))</f>
        <v/>
      </c>
      <c r="I248" s="27" t="n"/>
    </row>
    <row r="249">
      <c r="B249" s="26">
        <f>IF($C249="","",COUNTA($C$9:$C249))</f>
        <v/>
      </c>
      <c r="C249" s="27" t="n"/>
      <c r="D249" s="27" t="n"/>
      <c r="E249" s="27" t="n"/>
      <c r="F249" s="28" t="n"/>
      <c r="G249" s="28" t="n"/>
      <c r="H249" s="26">
        <f>IF($C249="","",N(F249)-N(E249))</f>
        <v/>
      </c>
      <c r="I249" s="27" t="n"/>
    </row>
    <row r="250">
      <c r="B250" s="26">
        <f>IF($C250="","",COUNTA($C$9:$C250))</f>
        <v/>
      </c>
      <c r="C250" s="27" t="n"/>
      <c r="D250" s="27" t="n"/>
      <c r="E250" s="27" t="n"/>
      <c r="F250" s="28" t="n"/>
      <c r="G250" s="28" t="n"/>
      <c r="H250" s="26">
        <f>IF($C250="","",N(F250)-N(E250))</f>
        <v/>
      </c>
      <c r="I250" s="27" t="n"/>
    </row>
    <row r="251">
      <c r="B251" s="26">
        <f>IF($C251="","",COUNTA($C$9:$C251))</f>
        <v/>
      </c>
      <c r="C251" s="27" t="n"/>
      <c r="D251" s="27" t="n"/>
      <c r="E251" s="27" t="n"/>
      <c r="F251" s="28" t="n"/>
      <c r="G251" s="28" t="n"/>
      <c r="H251" s="26">
        <f>IF($C251="","",N(F251)-N(E251))</f>
        <v/>
      </c>
      <c r="I251" s="27" t="n"/>
    </row>
    <row r="252">
      <c r="B252" s="26">
        <f>IF($C252="","",COUNTA($C$9:$C252))</f>
        <v/>
      </c>
      <c r="C252" s="27" t="n"/>
      <c r="D252" s="27" t="n"/>
      <c r="E252" s="27" t="n"/>
      <c r="F252" s="28" t="n"/>
      <c r="G252" s="28" t="n"/>
      <c r="H252" s="26">
        <f>IF($C252="","",N(F252)-N(E252))</f>
        <v/>
      </c>
      <c r="I252" s="27" t="n"/>
    </row>
    <row r="253">
      <c r="B253" s="26">
        <f>IF($C253="","",COUNTA($C$9:$C253))</f>
        <v/>
      </c>
      <c r="C253" s="27" t="n"/>
      <c r="D253" s="27" t="n"/>
      <c r="E253" s="27" t="n"/>
      <c r="F253" s="28" t="n"/>
      <c r="G253" s="28" t="n"/>
      <c r="H253" s="26">
        <f>IF($C253="","",N(F253)-N(E253))</f>
        <v/>
      </c>
      <c r="I253" s="27" t="n"/>
    </row>
    <row r="254">
      <c r="B254" s="26">
        <f>IF($C254="","",COUNTA($C$9:$C254))</f>
        <v/>
      </c>
      <c r="C254" s="27" t="n"/>
      <c r="D254" s="27" t="n"/>
      <c r="E254" s="27" t="n"/>
      <c r="F254" s="28" t="n"/>
      <c r="G254" s="28" t="n"/>
      <c r="H254" s="26">
        <f>IF($C254="","",N(F254)-N(E254))</f>
        <v/>
      </c>
      <c r="I254" s="27" t="n"/>
    </row>
    <row r="255">
      <c r="B255" s="26">
        <f>IF($C255="","",COUNTA($C$9:$C255))</f>
        <v/>
      </c>
      <c r="C255" s="27" t="n"/>
      <c r="D255" s="27" t="n"/>
      <c r="E255" s="27" t="n"/>
      <c r="F255" s="28" t="n"/>
      <c r="G255" s="28" t="n"/>
      <c r="H255" s="26">
        <f>IF($C255="","",N(F255)-N(E255))</f>
        <v/>
      </c>
      <c r="I255" s="27" t="n"/>
    </row>
    <row r="256">
      <c r="B256" s="26">
        <f>IF($C256="","",COUNTA($C$9:$C256))</f>
        <v/>
      </c>
      <c r="C256" s="27" t="n"/>
      <c r="D256" s="27" t="n"/>
      <c r="E256" s="27" t="n"/>
      <c r="F256" s="28" t="n"/>
      <c r="G256" s="28" t="n"/>
      <c r="H256" s="26">
        <f>IF($C256="","",N(F256)-N(E256))</f>
        <v/>
      </c>
      <c r="I256" s="27" t="n"/>
    </row>
    <row r="257">
      <c r="B257" s="26">
        <f>IF($C257="","",COUNTA($C$9:$C257))</f>
        <v/>
      </c>
      <c r="C257" s="27" t="n"/>
      <c r="D257" s="27" t="n"/>
      <c r="E257" s="27" t="n"/>
      <c r="F257" s="28" t="n"/>
      <c r="G257" s="28" t="n"/>
      <c r="H257" s="26">
        <f>IF($C257="","",N(F257)-N(E257))</f>
        <v/>
      </c>
      <c r="I257" s="27" t="n"/>
    </row>
    <row r="258">
      <c r="B258" s="26">
        <f>IF($C258="","",COUNTA($C$9:$C258))</f>
        <v/>
      </c>
      <c r="C258" s="27" t="n"/>
      <c r="D258" s="27" t="n"/>
      <c r="E258" s="27" t="n"/>
      <c r="F258" s="28" t="n"/>
      <c r="G258" s="28" t="n"/>
      <c r="H258" s="26">
        <f>IF($C258="","",N(F258)-N(E258))</f>
        <v/>
      </c>
      <c r="I258" s="27" t="n"/>
    </row>
    <row r="259">
      <c r="B259" s="26">
        <f>IF($C259="","",COUNTA($C$9:$C259))</f>
        <v/>
      </c>
      <c r="C259" s="27" t="n"/>
      <c r="D259" s="27" t="n"/>
      <c r="E259" s="27" t="n"/>
      <c r="F259" s="28" t="n"/>
      <c r="G259" s="28" t="n"/>
      <c r="H259" s="26">
        <f>IF($C259="","",N(F259)-N(E259))</f>
        <v/>
      </c>
      <c r="I259" s="27" t="n"/>
    </row>
    <row r="260">
      <c r="B260" s="26">
        <f>IF($C260="","",COUNTA($C$9:$C260))</f>
        <v/>
      </c>
      <c r="C260" s="27" t="n"/>
      <c r="D260" s="27" t="n"/>
      <c r="E260" s="27" t="n"/>
      <c r="F260" s="28" t="n"/>
      <c r="G260" s="28" t="n"/>
      <c r="H260" s="26">
        <f>IF($C260="","",N(F260)-N(E260))</f>
        <v/>
      </c>
      <c r="I260" s="27" t="n"/>
    </row>
    <row r="261">
      <c r="B261" s="26">
        <f>IF($C261="","",COUNTA($C$9:$C261))</f>
        <v/>
      </c>
      <c r="C261" s="27" t="n"/>
      <c r="D261" s="27" t="n"/>
      <c r="E261" s="27" t="n"/>
      <c r="F261" s="28" t="n"/>
      <c r="G261" s="28" t="n"/>
      <c r="H261" s="26">
        <f>IF($C261="","",N(F261)-N(E261))</f>
        <v/>
      </c>
      <c r="I261" s="27" t="n"/>
    </row>
    <row r="262">
      <c r="B262" s="26">
        <f>IF($C262="","",COUNTA($C$9:$C262))</f>
        <v/>
      </c>
      <c r="C262" s="27" t="n"/>
      <c r="D262" s="27" t="n"/>
      <c r="E262" s="27" t="n"/>
      <c r="F262" s="28" t="n"/>
      <c r="G262" s="28" t="n"/>
      <c r="H262" s="26">
        <f>IF($C262="","",N(F262)-N(E262))</f>
        <v/>
      </c>
      <c r="I262" s="27" t="n"/>
    </row>
    <row r="263">
      <c r="B263" s="26">
        <f>IF($C263="","",COUNTA($C$9:$C263))</f>
        <v/>
      </c>
      <c r="C263" s="27" t="n"/>
      <c r="D263" s="27" t="n"/>
      <c r="E263" s="27" t="n"/>
      <c r="F263" s="28" t="n"/>
      <c r="G263" s="28" t="n"/>
      <c r="H263" s="26">
        <f>IF($C263="","",N(F263)-N(E263))</f>
        <v/>
      </c>
      <c r="I263" s="27" t="n"/>
    </row>
    <row r="264">
      <c r="B264" s="26">
        <f>IF($C264="","",COUNTA($C$9:$C264))</f>
        <v/>
      </c>
      <c r="C264" s="27" t="n"/>
      <c r="D264" s="27" t="n"/>
      <c r="E264" s="27" t="n"/>
      <c r="F264" s="28" t="n"/>
      <c r="G264" s="28" t="n"/>
      <c r="H264" s="26">
        <f>IF($C264="","",N(F264)-N(E264))</f>
        <v/>
      </c>
      <c r="I264" s="27" t="n"/>
    </row>
    <row r="265">
      <c r="B265" s="26">
        <f>IF($C265="","",COUNTA($C$9:$C265))</f>
        <v/>
      </c>
      <c r="C265" s="27" t="n"/>
      <c r="D265" s="27" t="n"/>
      <c r="E265" s="27" t="n"/>
      <c r="F265" s="28" t="n"/>
      <c r="G265" s="28" t="n"/>
      <c r="H265" s="26">
        <f>IF($C265="","",N(F265)-N(E265))</f>
        <v/>
      </c>
      <c r="I265" s="27" t="n"/>
    </row>
    <row r="266">
      <c r="B266" s="26">
        <f>IF($C266="","",COUNTA($C$9:$C266))</f>
        <v/>
      </c>
      <c r="C266" s="27" t="n"/>
      <c r="D266" s="27" t="n"/>
      <c r="E266" s="27" t="n"/>
      <c r="F266" s="28" t="n"/>
      <c r="G266" s="28" t="n"/>
      <c r="H266" s="26">
        <f>IF($C266="","",N(F266)-N(E266))</f>
        <v/>
      </c>
      <c r="I266" s="27" t="n"/>
    </row>
    <row r="267">
      <c r="B267" s="26">
        <f>IF($C267="","",COUNTA($C$9:$C267))</f>
        <v/>
      </c>
      <c r="C267" s="27" t="n"/>
      <c r="D267" s="27" t="n"/>
      <c r="E267" s="27" t="n"/>
      <c r="F267" s="28" t="n"/>
      <c r="G267" s="28" t="n"/>
      <c r="H267" s="26">
        <f>IF($C267="","",N(F267)-N(E267))</f>
        <v/>
      </c>
      <c r="I267" s="27" t="n"/>
    </row>
    <row r="268">
      <c r="B268" s="26">
        <f>IF($C268="","",COUNTA($C$9:$C268))</f>
        <v/>
      </c>
      <c r="C268" s="27" t="n"/>
      <c r="D268" s="27" t="n"/>
      <c r="E268" s="27" t="n"/>
      <c r="F268" s="28" t="n"/>
      <c r="G268" s="28" t="n"/>
      <c r="H268" s="26">
        <f>IF($C268="","",N(F268)-N(E268))</f>
        <v/>
      </c>
      <c r="I268" s="27" t="n"/>
    </row>
    <row r="269">
      <c r="B269" s="26">
        <f>IF($C269="","",COUNTA($C$9:$C269))</f>
        <v/>
      </c>
      <c r="C269" s="27" t="n"/>
      <c r="D269" s="27" t="n"/>
      <c r="E269" s="27" t="n"/>
      <c r="F269" s="28" t="n"/>
      <c r="G269" s="28" t="n"/>
      <c r="H269" s="26">
        <f>IF($C269="","",N(F269)-N(E269))</f>
        <v/>
      </c>
      <c r="I269" s="27" t="n"/>
    </row>
    <row r="270">
      <c r="B270" s="26">
        <f>IF($C270="","",COUNTA($C$9:$C270))</f>
        <v/>
      </c>
      <c r="C270" s="27" t="n"/>
      <c r="D270" s="27" t="n"/>
      <c r="E270" s="27" t="n"/>
      <c r="F270" s="28" t="n"/>
      <c r="G270" s="28" t="n"/>
      <c r="H270" s="26">
        <f>IF($C270="","",N(F270)-N(E270))</f>
        <v/>
      </c>
      <c r="I270" s="27" t="n"/>
    </row>
    <row r="271">
      <c r="B271" s="26">
        <f>IF($C271="","",COUNTA($C$9:$C271))</f>
        <v/>
      </c>
      <c r="C271" s="27" t="n"/>
      <c r="D271" s="27" t="n"/>
      <c r="E271" s="27" t="n"/>
      <c r="F271" s="28" t="n"/>
      <c r="G271" s="28" t="n"/>
      <c r="H271" s="26">
        <f>IF($C271="","",N(F271)-N(E271))</f>
        <v/>
      </c>
      <c r="I271" s="27" t="n"/>
    </row>
    <row r="272">
      <c r="B272" s="26">
        <f>IF($C272="","",COUNTA($C$9:$C272))</f>
        <v/>
      </c>
      <c r="C272" s="27" t="n"/>
      <c r="D272" s="27" t="n"/>
      <c r="E272" s="27" t="n"/>
      <c r="F272" s="28" t="n"/>
      <c r="G272" s="28" t="n"/>
      <c r="H272" s="26">
        <f>IF($C272="","",N(F272)-N(E272))</f>
        <v/>
      </c>
      <c r="I272" s="27" t="n"/>
    </row>
    <row r="273">
      <c r="B273" s="26">
        <f>IF($C273="","",COUNTA($C$9:$C273))</f>
        <v/>
      </c>
      <c r="C273" s="27" t="n"/>
      <c r="D273" s="27" t="n"/>
      <c r="E273" s="27" t="n"/>
      <c r="F273" s="28" t="n"/>
      <c r="G273" s="28" t="n"/>
      <c r="H273" s="26">
        <f>IF($C273="","",N(F273)-N(E273))</f>
        <v/>
      </c>
      <c r="I273" s="27" t="n"/>
    </row>
    <row r="274">
      <c r="B274" s="26">
        <f>IF($C274="","",COUNTA($C$9:$C274))</f>
        <v/>
      </c>
      <c r="C274" s="27" t="n"/>
      <c r="D274" s="27" t="n"/>
      <c r="E274" s="27" t="n"/>
      <c r="F274" s="28" t="n"/>
      <c r="G274" s="28" t="n"/>
      <c r="H274" s="26">
        <f>IF($C274="","",N(F274)-N(E274))</f>
        <v/>
      </c>
      <c r="I274" s="27" t="n"/>
    </row>
    <row r="275">
      <c r="B275" s="26">
        <f>IF($C275="","",COUNTA($C$9:$C275))</f>
        <v/>
      </c>
      <c r="C275" s="27" t="n"/>
      <c r="D275" s="27" t="n"/>
      <c r="E275" s="27" t="n"/>
      <c r="F275" s="28" t="n"/>
      <c r="G275" s="28" t="n"/>
      <c r="H275" s="26">
        <f>IF($C275="","",N(F275)-N(E275))</f>
        <v/>
      </c>
      <c r="I275" s="27" t="n"/>
    </row>
    <row r="276">
      <c r="B276" s="26">
        <f>IF($C276="","",COUNTA($C$9:$C276))</f>
        <v/>
      </c>
      <c r="C276" s="27" t="n"/>
      <c r="D276" s="27" t="n"/>
      <c r="E276" s="27" t="n"/>
      <c r="F276" s="28" t="n"/>
      <c r="G276" s="28" t="n"/>
      <c r="H276" s="26">
        <f>IF($C276="","",N(F276)-N(E276))</f>
        <v/>
      </c>
      <c r="I276" s="27" t="n"/>
    </row>
    <row r="277">
      <c r="B277" s="26">
        <f>IF($C277="","",COUNTA($C$9:$C277))</f>
        <v/>
      </c>
      <c r="C277" s="27" t="n"/>
      <c r="D277" s="27" t="n"/>
      <c r="E277" s="27" t="n"/>
      <c r="F277" s="28" t="n"/>
      <c r="G277" s="28" t="n"/>
      <c r="H277" s="26">
        <f>IF($C277="","",N(F277)-N(E277))</f>
        <v/>
      </c>
      <c r="I277" s="27" t="n"/>
    </row>
    <row r="278">
      <c r="B278" s="26">
        <f>IF($C278="","",COUNTA($C$9:$C278))</f>
        <v/>
      </c>
      <c r="C278" s="27" t="n"/>
      <c r="D278" s="27" t="n"/>
      <c r="E278" s="27" t="n"/>
      <c r="F278" s="28" t="n"/>
      <c r="G278" s="28" t="n"/>
      <c r="H278" s="26">
        <f>IF($C278="","",N(F278)-N(E278))</f>
        <v/>
      </c>
      <c r="I278" s="27" t="n"/>
    </row>
    <row r="279">
      <c r="B279" s="26">
        <f>IF($C279="","",COUNTA($C$9:$C279))</f>
        <v/>
      </c>
      <c r="C279" s="27" t="n"/>
      <c r="D279" s="27" t="n"/>
      <c r="E279" s="27" t="n"/>
      <c r="F279" s="28" t="n"/>
      <c r="G279" s="28" t="n"/>
      <c r="H279" s="26">
        <f>IF($C279="","",N(F279)-N(E279))</f>
        <v/>
      </c>
      <c r="I279" s="27" t="n"/>
    </row>
    <row r="280">
      <c r="B280" s="26">
        <f>IF($C280="","",COUNTA($C$9:$C280))</f>
        <v/>
      </c>
      <c r="C280" s="27" t="n"/>
      <c r="D280" s="27" t="n"/>
      <c r="E280" s="27" t="n"/>
      <c r="F280" s="28" t="n"/>
      <c r="G280" s="28" t="n"/>
      <c r="H280" s="26">
        <f>IF($C280="","",N(F280)-N(E280))</f>
        <v/>
      </c>
      <c r="I280" s="27" t="n"/>
    </row>
    <row r="281">
      <c r="B281" s="26">
        <f>IF($C281="","",COUNTA($C$9:$C281))</f>
        <v/>
      </c>
      <c r="C281" s="27" t="n"/>
      <c r="D281" s="27" t="n"/>
      <c r="E281" s="27" t="n"/>
      <c r="F281" s="28" t="n"/>
      <c r="G281" s="28" t="n"/>
      <c r="H281" s="26">
        <f>IF($C281="","",N(F281)-N(E281))</f>
        <v/>
      </c>
      <c r="I281" s="27" t="n"/>
    </row>
    <row r="282">
      <c r="B282" s="26">
        <f>IF($C282="","",COUNTA($C$9:$C282))</f>
        <v/>
      </c>
      <c r="C282" s="27" t="n"/>
      <c r="D282" s="27" t="n"/>
      <c r="E282" s="27" t="n"/>
      <c r="F282" s="28" t="n"/>
      <c r="G282" s="28" t="n"/>
      <c r="H282" s="26">
        <f>IF($C282="","",N(F282)-N(E282))</f>
        <v/>
      </c>
      <c r="I282" s="27" t="n"/>
    </row>
    <row r="283">
      <c r="B283" s="26">
        <f>IF($C283="","",COUNTA($C$9:$C283))</f>
        <v/>
      </c>
      <c r="C283" s="27" t="n"/>
      <c r="D283" s="27" t="n"/>
      <c r="E283" s="27" t="n"/>
      <c r="F283" s="28" t="n"/>
      <c r="G283" s="28" t="n"/>
      <c r="H283" s="26">
        <f>IF($C283="","",N(F283)-N(E283))</f>
        <v/>
      </c>
      <c r="I283" s="27" t="n"/>
    </row>
    <row r="284">
      <c r="B284" s="26">
        <f>IF($C284="","",COUNTA($C$9:$C284))</f>
        <v/>
      </c>
      <c r="C284" s="27" t="n"/>
      <c r="D284" s="27" t="n"/>
      <c r="E284" s="27" t="n"/>
      <c r="F284" s="28" t="n"/>
      <c r="G284" s="28" t="n"/>
      <c r="H284" s="26">
        <f>IF($C284="","",N(F284)-N(E284))</f>
        <v/>
      </c>
      <c r="I284" s="27" t="n"/>
    </row>
    <row r="285">
      <c r="B285" s="26">
        <f>IF($C285="","",COUNTA($C$9:$C285))</f>
        <v/>
      </c>
      <c r="C285" s="27" t="n"/>
      <c r="D285" s="27" t="n"/>
      <c r="E285" s="27" t="n"/>
      <c r="F285" s="28" t="n"/>
      <c r="G285" s="28" t="n"/>
      <c r="H285" s="26">
        <f>IF($C285="","",N(F285)-N(E285))</f>
        <v/>
      </c>
      <c r="I285" s="27" t="n"/>
    </row>
    <row r="286">
      <c r="B286" s="26">
        <f>IF($C286="","",COUNTA($C$9:$C286))</f>
        <v/>
      </c>
      <c r="C286" s="27" t="n"/>
      <c r="D286" s="27" t="n"/>
      <c r="E286" s="27" t="n"/>
      <c r="F286" s="28" t="n"/>
      <c r="G286" s="28" t="n"/>
      <c r="H286" s="26">
        <f>IF($C286="","",N(F286)-N(E286))</f>
        <v/>
      </c>
      <c r="I286" s="27" t="n"/>
    </row>
    <row r="287">
      <c r="B287" s="26">
        <f>IF($C287="","",COUNTA($C$9:$C287))</f>
        <v/>
      </c>
      <c r="C287" s="27" t="n"/>
      <c r="D287" s="27" t="n"/>
      <c r="E287" s="27" t="n"/>
      <c r="F287" s="28" t="n"/>
      <c r="G287" s="28" t="n"/>
      <c r="H287" s="26">
        <f>IF($C287="","",N(F287)-N(E287))</f>
        <v/>
      </c>
      <c r="I287" s="27" t="n"/>
    </row>
    <row r="288">
      <c r="B288" s="26">
        <f>IF($C288="","",COUNTA($C$9:$C288))</f>
        <v/>
      </c>
      <c r="C288" s="27" t="n"/>
      <c r="D288" s="27" t="n"/>
      <c r="E288" s="27" t="n"/>
      <c r="F288" s="28" t="n"/>
      <c r="G288" s="28" t="n"/>
      <c r="H288" s="26">
        <f>IF($C288="","",N(F288)-N(E288))</f>
        <v/>
      </c>
      <c r="I288" s="27" t="n"/>
    </row>
    <row r="289">
      <c r="B289" s="26">
        <f>IF($C289="","",COUNTA($C$9:$C289))</f>
        <v/>
      </c>
      <c r="C289" s="27" t="n"/>
      <c r="D289" s="27" t="n"/>
      <c r="E289" s="27" t="n"/>
      <c r="F289" s="28" t="n"/>
      <c r="G289" s="28" t="n"/>
      <c r="H289" s="26">
        <f>IF($C289="","",N(F289)-N(E289))</f>
        <v/>
      </c>
      <c r="I289" s="27" t="n"/>
    </row>
    <row r="290">
      <c r="B290" s="26">
        <f>IF($C290="","",COUNTA($C$9:$C290))</f>
        <v/>
      </c>
      <c r="C290" s="27" t="n"/>
      <c r="D290" s="27" t="n"/>
      <c r="E290" s="27" t="n"/>
      <c r="F290" s="28" t="n"/>
      <c r="G290" s="28" t="n"/>
      <c r="H290" s="26">
        <f>IF($C290="","",N(F290)-N(E290))</f>
        <v/>
      </c>
      <c r="I290" s="27" t="n"/>
    </row>
    <row r="291">
      <c r="B291" s="26">
        <f>IF($C291="","",COUNTA($C$9:$C291))</f>
        <v/>
      </c>
      <c r="C291" s="27" t="n"/>
      <c r="D291" s="27" t="n"/>
      <c r="E291" s="27" t="n"/>
      <c r="F291" s="28" t="n"/>
      <c r="G291" s="28" t="n"/>
      <c r="H291" s="26">
        <f>IF($C291="","",N(F291)-N(E291))</f>
        <v/>
      </c>
      <c r="I291" s="27" t="n"/>
    </row>
    <row r="292">
      <c r="B292" s="26">
        <f>IF($C292="","",COUNTA($C$9:$C292))</f>
        <v/>
      </c>
      <c r="C292" s="27" t="n"/>
      <c r="D292" s="27" t="n"/>
      <c r="E292" s="27" t="n"/>
      <c r="F292" s="28" t="n"/>
      <c r="G292" s="28" t="n"/>
      <c r="H292" s="26">
        <f>IF($C292="","",N(F292)-N(E292))</f>
        <v/>
      </c>
      <c r="I292" s="27" t="n"/>
    </row>
    <row r="293">
      <c r="B293" s="26">
        <f>IF($C293="","",COUNTA($C$9:$C293))</f>
        <v/>
      </c>
      <c r="C293" s="27" t="n"/>
      <c r="D293" s="27" t="n"/>
      <c r="E293" s="27" t="n"/>
      <c r="F293" s="28" t="n"/>
      <c r="G293" s="28" t="n"/>
      <c r="H293" s="26">
        <f>IF($C293="","",N(F293)-N(E293))</f>
        <v/>
      </c>
      <c r="I293" s="27" t="n"/>
    </row>
    <row r="294">
      <c r="B294" s="26">
        <f>IF($C294="","",COUNTA($C$9:$C294))</f>
        <v/>
      </c>
      <c r="C294" s="27" t="n"/>
      <c r="D294" s="27" t="n"/>
      <c r="E294" s="27" t="n"/>
      <c r="F294" s="28" t="n"/>
      <c r="G294" s="28" t="n"/>
      <c r="H294" s="26">
        <f>IF($C294="","",N(F294)-N(E294))</f>
        <v/>
      </c>
      <c r="I294" s="27" t="n"/>
    </row>
    <row r="295">
      <c r="B295" s="26">
        <f>IF($C295="","",COUNTA($C$9:$C295))</f>
        <v/>
      </c>
      <c r="C295" s="27" t="n"/>
      <c r="D295" s="27" t="n"/>
      <c r="E295" s="27" t="n"/>
      <c r="F295" s="28" t="n"/>
      <c r="G295" s="28" t="n"/>
      <c r="H295" s="26">
        <f>IF($C295="","",N(F295)-N(E295))</f>
        <v/>
      </c>
      <c r="I295" s="27" t="n"/>
    </row>
    <row r="296">
      <c r="B296" s="26">
        <f>IF($C296="","",COUNTA($C$9:$C296))</f>
        <v/>
      </c>
      <c r="C296" s="27" t="n"/>
      <c r="D296" s="27" t="n"/>
      <c r="E296" s="27" t="n"/>
      <c r="F296" s="28" t="n"/>
      <c r="G296" s="28" t="n"/>
      <c r="H296" s="26">
        <f>IF($C296="","",N(F296)-N(E296))</f>
        <v/>
      </c>
      <c r="I296" s="27" t="n"/>
    </row>
    <row r="297">
      <c r="B297" s="26">
        <f>IF($C297="","",COUNTA($C$9:$C297))</f>
        <v/>
      </c>
      <c r="C297" s="27" t="n"/>
      <c r="D297" s="27" t="n"/>
      <c r="E297" s="27" t="n"/>
      <c r="F297" s="28" t="n"/>
      <c r="G297" s="28" t="n"/>
      <c r="H297" s="26">
        <f>IF($C297="","",N(F297)-N(E297))</f>
        <v/>
      </c>
      <c r="I297" s="27" t="n"/>
    </row>
    <row r="298">
      <c r="B298" s="26">
        <f>IF($C298="","",COUNTA($C$9:$C298))</f>
        <v/>
      </c>
      <c r="C298" s="27" t="n"/>
      <c r="D298" s="27" t="n"/>
      <c r="E298" s="27" t="n"/>
      <c r="F298" s="28" t="n"/>
      <c r="G298" s="28" t="n"/>
      <c r="H298" s="26">
        <f>IF($C298="","",N(F298)-N(E298))</f>
        <v/>
      </c>
      <c r="I298" s="27" t="n"/>
    </row>
    <row r="299">
      <c r="B299" s="26">
        <f>IF($C299="","",COUNTA($C$9:$C299))</f>
        <v/>
      </c>
      <c r="C299" s="27" t="n"/>
      <c r="D299" s="27" t="n"/>
      <c r="E299" s="27" t="n"/>
      <c r="F299" s="28" t="n"/>
      <c r="G299" s="28" t="n"/>
      <c r="H299" s="26">
        <f>IF($C299="","",N(F299)-N(E299))</f>
        <v/>
      </c>
      <c r="I299" s="27" t="n"/>
    </row>
    <row r="300">
      <c r="B300" s="26">
        <f>IF($C300="","",COUNTA($C$9:$C300))</f>
        <v/>
      </c>
      <c r="C300" s="27" t="n"/>
      <c r="D300" s="27" t="n"/>
      <c r="E300" s="27" t="n"/>
      <c r="F300" s="28" t="n"/>
      <c r="G300" s="28" t="n"/>
      <c r="H300" s="26">
        <f>IF($C300="","",N(F300)-N(E300))</f>
        <v/>
      </c>
      <c r="I300" s="27" t="n"/>
    </row>
    <row r="301">
      <c r="B301" s="26">
        <f>IF($C301="","",COUNTA($C$9:$C301))</f>
        <v/>
      </c>
      <c r="C301" s="27" t="n"/>
      <c r="D301" s="27" t="n"/>
      <c r="E301" s="27" t="n"/>
      <c r="F301" s="28" t="n"/>
      <c r="G301" s="28" t="n"/>
      <c r="H301" s="26">
        <f>IF($C301="","",N(F301)-N(E301))</f>
        <v/>
      </c>
      <c r="I301" s="27" t="n"/>
    </row>
    <row r="302">
      <c r="B302" s="26">
        <f>IF($C302="","",COUNTA($C$9:$C302))</f>
        <v/>
      </c>
      <c r="C302" s="27" t="n"/>
      <c r="D302" s="27" t="n"/>
      <c r="E302" s="27" t="n"/>
      <c r="F302" s="28" t="n"/>
      <c r="G302" s="28" t="n"/>
      <c r="H302" s="26">
        <f>IF($C302="","",N(F302)-N(E302))</f>
        <v/>
      </c>
      <c r="I302" s="27" t="n"/>
    </row>
    <row r="303">
      <c r="B303" s="26">
        <f>IF($C303="","",COUNTA($C$9:$C303))</f>
        <v/>
      </c>
      <c r="C303" s="27" t="n"/>
      <c r="D303" s="27" t="n"/>
      <c r="E303" s="27" t="n"/>
      <c r="F303" s="28" t="n"/>
      <c r="G303" s="28" t="n"/>
      <c r="H303" s="26">
        <f>IF($C303="","",N(F303)-N(E303))</f>
        <v/>
      </c>
      <c r="I303" s="27" t="n"/>
    </row>
    <row r="304">
      <c r="B304" s="26">
        <f>IF($C304="","",COUNTA($C$9:$C304))</f>
        <v/>
      </c>
      <c r="C304" s="27" t="n"/>
      <c r="D304" s="27" t="n"/>
      <c r="E304" s="27" t="n"/>
      <c r="F304" s="28" t="n"/>
      <c r="G304" s="28" t="n"/>
      <c r="H304" s="26">
        <f>IF($C304="","",N(F304)-N(E304))</f>
        <v/>
      </c>
      <c r="I304" s="27" t="n"/>
    </row>
    <row r="305">
      <c r="B305" s="26">
        <f>IF($C305="","",COUNTA($C$9:$C305))</f>
        <v/>
      </c>
      <c r="C305" s="27" t="n"/>
      <c r="D305" s="27" t="n"/>
      <c r="E305" s="27" t="n"/>
      <c r="F305" s="28" t="n"/>
      <c r="G305" s="28" t="n"/>
      <c r="H305" s="26">
        <f>IF($C305="","",N(F305)-N(E305))</f>
        <v/>
      </c>
      <c r="I305" s="27" t="n"/>
    </row>
    <row r="306">
      <c r="B306" s="26">
        <f>IF($C306="","",COUNTA($C$9:$C306))</f>
        <v/>
      </c>
      <c r="C306" s="27" t="n"/>
      <c r="D306" s="27" t="n"/>
      <c r="E306" s="27" t="n"/>
      <c r="F306" s="28" t="n"/>
      <c r="G306" s="28" t="n"/>
      <c r="H306" s="26">
        <f>IF($C306="","",N(F306)-N(E306))</f>
        <v/>
      </c>
      <c r="I306" s="27" t="n"/>
    </row>
    <row r="307">
      <c r="B307" s="26">
        <f>IF($C307="","",COUNTA($C$9:$C307))</f>
        <v/>
      </c>
      <c r="C307" s="27" t="n"/>
      <c r="D307" s="27" t="n"/>
      <c r="E307" s="27" t="n"/>
      <c r="F307" s="28" t="n"/>
      <c r="G307" s="28" t="n"/>
      <c r="H307" s="26">
        <f>IF($C307="","",N(F307)-N(E307))</f>
        <v/>
      </c>
      <c r="I307" s="27" t="n"/>
    </row>
    <row r="308">
      <c r="B308" s="26">
        <f>IF($C308="","",COUNTA($C$9:$C308))</f>
        <v/>
      </c>
      <c r="C308" s="27" t="n"/>
      <c r="D308" s="27" t="n"/>
      <c r="E308" s="27" t="n"/>
      <c r="F308" s="28" t="n"/>
      <c r="G308" s="28" t="n"/>
      <c r="H308" s="26">
        <f>IF($C308="","",N(F308)-N(E308))</f>
        <v/>
      </c>
      <c r="I308" s="27" t="n"/>
    </row>
  </sheetData>
  <autoFilter ref="B7:I308"/>
  <mergeCells count="2">
    <mergeCell ref="C3:I3"/>
    <mergeCell ref="C4:I4"/>
  </mergeCells>
  <dataValidations count="2">
    <dataValidation sqref="C9:C308" showDropDown="0" showInputMessage="0" showErrorMessage="0" allowBlank="1" type="list">
      <formula1>=Areas</formula1>
    </dataValidation>
    <dataValidation sqref="D9:D308" showDropDown="0" showInputMessage="0" showErrorMessage="0" allowBlank="1" type="list">
      <formula1>=Agencies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D7D31"/>
    <outlinePr summaryBelow="1" summaryRight="1"/>
    <pageSetUpPr/>
  </sheetPr>
  <dimension ref="B2:Q70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2">
      <c r="B2" s="29" t="inlineStr">
        <is>
          <t>VENDOR IMPORT  —  staging area</t>
        </is>
      </c>
    </row>
    <row r="3">
      <c r="B3" s="30" t="inlineStr">
        <is>
          <t>Paste the normalised rows exported by dpr_consolidator.html here (or paste vendor data and fix the 4 green key columns by hand). Then copy the block into the matching discipline sheet.</t>
        </is>
      </c>
    </row>
    <row r="5" ht="32" customHeight="1">
      <c r="B5" s="31" t="inlineStr">
        <is>
          <t>Discipline (sheet)</t>
        </is>
      </c>
      <c r="C5" s="31" t="inlineStr">
        <is>
          <t>Name of the Structures</t>
        </is>
      </c>
      <c r="D5" s="31" t="inlineStr">
        <is>
          <t>Area</t>
        </is>
      </c>
      <c r="E5" s="31" t="inlineStr">
        <is>
          <t>Activity</t>
        </is>
      </c>
      <c r="F5" s="31" t="inlineStr">
        <is>
          <t>Agency / Contractor</t>
        </is>
      </c>
      <c r="G5" s="31" t="inlineStr">
        <is>
          <t>Scope</t>
        </is>
      </c>
      <c r="H5" s="31" t="inlineStr">
        <is>
          <t>Drawing Released</t>
        </is>
      </c>
      <c r="I5" s="31" t="inlineStr">
        <is>
          <t>Cum Front Available</t>
        </is>
      </c>
      <c r="J5" s="31" t="inlineStr">
        <is>
          <t>Achieved till last month</t>
        </is>
      </c>
      <c r="K5" s="31" t="inlineStr">
        <is>
          <t>Plan FTM</t>
        </is>
      </c>
      <c r="L5" s="31" t="inlineStr">
        <is>
          <t>Plan FTD</t>
        </is>
      </c>
      <c r="M5" s="31" t="inlineStr">
        <is>
          <t>Achieved FTD</t>
        </is>
      </c>
      <c r="N5" s="31" t="inlineStr">
        <is>
          <t>Achieved FTM till previous date</t>
        </is>
      </c>
      <c r="O5" s="31" t="inlineStr">
        <is>
          <t>Reason(s) for Variance</t>
        </is>
      </c>
      <c r="P5" s="31" t="inlineStr">
        <is>
          <t>Remarks</t>
        </is>
      </c>
      <c r="Q5" s="31" t="inlineStr">
        <is>
          <t>Available Manpower</t>
        </is>
      </c>
    </row>
    <row r="6">
      <c r="B6" s="27" t="n"/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</row>
    <row r="7">
      <c r="B7" s="27" t="n"/>
      <c r="C7" s="27" t="n"/>
      <c r="D7" s="27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</row>
    <row r="8">
      <c r="B8" s="27" t="n"/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</row>
    <row r="9">
      <c r="B9" s="27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</row>
    <row r="10">
      <c r="B10" s="27" t="n"/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</row>
    <row r="11">
      <c r="B11" s="27" t="n"/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</row>
    <row r="12">
      <c r="B12" s="27" t="n"/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</row>
    <row r="13">
      <c r="B13" s="27" t="n"/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</row>
    <row r="14">
      <c r="B14" s="27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</row>
    <row r="15"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</row>
    <row r="16"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</row>
    <row r="17"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</row>
    <row r="18"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</row>
    <row r="19">
      <c r="B19" s="27" t="n"/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</row>
    <row r="20">
      <c r="B20" s="27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</row>
    <row r="21"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</row>
    <row r="22"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</row>
    <row r="23"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</row>
    <row r="24"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</row>
    <row r="25"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</row>
    <row r="26"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7" t="n"/>
      <c r="M26" s="27" t="n"/>
      <c r="N26" s="27" t="n"/>
      <c r="O26" s="27" t="n"/>
      <c r="P26" s="27" t="n"/>
      <c r="Q26" s="27" t="n"/>
    </row>
    <row r="27"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7" t="n"/>
      <c r="Q27" s="27" t="n"/>
    </row>
    <row r="28"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</row>
    <row r="29"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</row>
    <row r="30"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</row>
    <row r="31"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</row>
    <row r="32"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  <c r="M32" s="27" t="n"/>
      <c r="N32" s="27" t="n"/>
      <c r="O32" s="27" t="n"/>
      <c r="P32" s="27" t="n"/>
      <c r="Q32" s="27" t="n"/>
    </row>
    <row r="33"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</row>
    <row r="34"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</row>
    <row r="35"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</row>
    <row r="36"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</row>
    <row r="37"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</row>
    <row r="38"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</row>
    <row r="39"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</row>
    <row r="40"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</row>
    <row r="4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</row>
    <row r="42"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</row>
    <row r="43"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</row>
    <row r="44">
      <c r="B44" s="27" t="n"/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</row>
    <row r="45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</row>
    <row r="46">
      <c r="B46" s="27" t="n"/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</row>
    <row r="47">
      <c r="B47" s="27" t="n"/>
      <c r="C47" s="27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</row>
    <row r="48">
      <c r="B48" s="27" t="n"/>
      <c r="C48" s="27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</row>
    <row r="49">
      <c r="B49" s="27" t="n"/>
      <c r="C49" s="27" t="n"/>
      <c r="D49" s="27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</row>
    <row r="50">
      <c r="B50" s="27" t="n"/>
      <c r="C50" s="27" t="n"/>
      <c r="D50" s="27" t="n"/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</row>
    <row r="51">
      <c r="B51" s="27" t="n"/>
      <c r="C51" s="27" t="n"/>
      <c r="D51" s="27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</row>
    <row r="52">
      <c r="B52" s="27" t="n"/>
      <c r="C52" s="27" t="n"/>
      <c r="D52" s="27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</row>
    <row r="53"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</row>
    <row r="54">
      <c r="B54" s="27" t="n"/>
      <c r="C54" s="27" t="n"/>
      <c r="D54" s="27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</row>
    <row r="55">
      <c r="B55" s="27" t="n"/>
      <c r="C55" s="27" t="n"/>
      <c r="D55" s="27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</row>
    <row r="56">
      <c r="B56" s="27" t="n"/>
      <c r="C56" s="27" t="n"/>
      <c r="D56" s="27" t="n"/>
      <c r="E56" s="27" t="n"/>
      <c r="F56" s="27" t="n"/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27" t="n"/>
      <c r="Q56" s="27" t="n"/>
    </row>
    <row r="57">
      <c r="B57" s="27" t="n"/>
      <c r="C57" s="27" t="n"/>
      <c r="D57" s="27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</row>
    <row r="58">
      <c r="B58" s="27" t="n"/>
      <c r="C58" s="27" t="n"/>
      <c r="D58" s="27" t="n"/>
      <c r="E58" s="27" t="n"/>
      <c r="F58" s="27" t="n"/>
      <c r="G58" s="27" t="n"/>
      <c r="H58" s="27" t="n"/>
      <c r="I58" s="27" t="n"/>
      <c r="J58" s="27" t="n"/>
      <c r="K58" s="27" t="n"/>
      <c r="L58" s="27" t="n"/>
      <c r="M58" s="27" t="n"/>
      <c r="N58" s="27" t="n"/>
      <c r="O58" s="27" t="n"/>
      <c r="P58" s="27" t="n"/>
      <c r="Q58" s="27" t="n"/>
    </row>
    <row r="59">
      <c r="B59" s="27" t="n"/>
      <c r="C59" s="27" t="n"/>
      <c r="D59" s="27" t="n"/>
      <c r="E59" s="27" t="n"/>
      <c r="F59" s="27" t="n"/>
      <c r="G59" s="27" t="n"/>
      <c r="H59" s="27" t="n"/>
      <c r="I59" s="27" t="n"/>
      <c r="J59" s="27" t="n"/>
      <c r="K59" s="27" t="n"/>
      <c r="L59" s="27" t="n"/>
      <c r="M59" s="27" t="n"/>
      <c r="N59" s="27" t="n"/>
      <c r="O59" s="27" t="n"/>
      <c r="P59" s="27" t="n"/>
      <c r="Q59" s="27" t="n"/>
    </row>
    <row r="60">
      <c r="B60" s="27" t="n"/>
      <c r="C60" s="27" t="n"/>
      <c r="D60" s="27" t="n"/>
      <c r="E60" s="27" t="n"/>
      <c r="F60" s="27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</row>
    <row r="61">
      <c r="B61" s="27" t="n"/>
      <c r="C61" s="27" t="n"/>
      <c r="D61" s="27" t="n"/>
      <c r="E61" s="27" t="n"/>
      <c r="F61" s="27" t="n"/>
      <c r="G61" s="27" t="n"/>
      <c r="H61" s="27" t="n"/>
      <c r="I61" s="27" t="n"/>
      <c r="J61" s="27" t="n"/>
      <c r="K61" s="27" t="n"/>
      <c r="L61" s="27" t="n"/>
      <c r="M61" s="27" t="n"/>
      <c r="N61" s="27" t="n"/>
      <c r="O61" s="27" t="n"/>
      <c r="P61" s="27" t="n"/>
      <c r="Q61" s="27" t="n"/>
    </row>
    <row r="62">
      <c r="B62" s="27" t="n"/>
      <c r="C62" s="27" t="n"/>
      <c r="D62" s="27" t="n"/>
      <c r="E62" s="27" t="n"/>
      <c r="F62" s="27" t="n"/>
      <c r="G62" s="27" t="n"/>
      <c r="H62" s="27" t="n"/>
      <c r="I62" s="27" t="n"/>
      <c r="J62" s="27" t="n"/>
      <c r="K62" s="27" t="n"/>
      <c r="L62" s="27" t="n"/>
      <c r="M62" s="27" t="n"/>
      <c r="N62" s="27" t="n"/>
      <c r="O62" s="27" t="n"/>
      <c r="P62" s="27" t="n"/>
      <c r="Q62" s="27" t="n"/>
    </row>
    <row r="63">
      <c r="B63" s="27" t="n"/>
      <c r="C63" s="27" t="n"/>
      <c r="D63" s="27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</row>
    <row r="64">
      <c r="B64" s="27" t="n"/>
      <c r="C64" s="27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27" t="n"/>
      <c r="P64" s="27" t="n"/>
      <c r="Q64" s="27" t="n"/>
    </row>
    <row r="65">
      <c r="B65" s="27" t="n"/>
      <c r="C65" s="27" t="n"/>
      <c r="D65" s="27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</row>
    <row r="66">
      <c r="B66" s="27" t="n"/>
      <c r="C66" s="27" t="n"/>
      <c r="D66" s="27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</row>
    <row r="67">
      <c r="B67" s="27" t="n"/>
      <c r="C67" s="27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</row>
    <row r="68">
      <c r="B68" s="27" t="n"/>
      <c r="C68" s="27" t="n"/>
      <c r="D68" s="27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</row>
    <row r="69">
      <c r="B69" s="27" t="n"/>
      <c r="C69" s="27" t="n"/>
      <c r="D69" s="27" t="n"/>
      <c r="E69" s="27" t="n"/>
      <c r="F69" s="27" t="n"/>
      <c r="G69" s="27" t="n"/>
      <c r="H69" s="27" t="n"/>
      <c r="I69" s="27" t="n"/>
      <c r="J69" s="27" t="n"/>
      <c r="K69" s="27" t="n"/>
      <c r="L69" s="27" t="n"/>
      <c r="M69" s="27" t="n"/>
      <c r="N69" s="27" t="n"/>
      <c r="O69" s="27" t="n"/>
      <c r="P69" s="27" t="n"/>
      <c r="Q69" s="27" t="n"/>
    </row>
    <row r="70">
      <c r="B70" s="27" t="n"/>
      <c r="C70" s="27" t="n"/>
      <c r="D70" s="27" t="n"/>
      <c r="E70" s="27" t="n"/>
      <c r="F70" s="27" t="n"/>
      <c r="G70" s="27" t="n"/>
      <c r="H70" s="27" t="n"/>
      <c r="I70" s="27" t="n"/>
      <c r="J70" s="27" t="n"/>
      <c r="K70" s="27" t="n"/>
      <c r="L70" s="27" t="n"/>
      <c r="M70" s="27" t="n"/>
      <c r="N70" s="27" t="n"/>
      <c r="O70" s="27" t="n"/>
      <c r="P70" s="27" t="n"/>
      <c r="Q70" s="27" t="n"/>
    </row>
    <row r="71">
      <c r="B71" s="27" t="n"/>
      <c r="C71" s="27" t="n"/>
      <c r="D71" s="27" t="n"/>
      <c r="E71" s="27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n"/>
      <c r="O71" s="27" t="n"/>
      <c r="P71" s="27" t="n"/>
      <c r="Q71" s="27" t="n"/>
    </row>
    <row r="72">
      <c r="B72" s="27" t="n"/>
      <c r="C72" s="27" t="n"/>
      <c r="D72" s="27" t="n"/>
      <c r="E72" s="27" t="n"/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</row>
    <row r="73">
      <c r="B73" s="27" t="n"/>
      <c r="C73" s="27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</row>
    <row r="74">
      <c r="B74" s="27" t="n"/>
      <c r="C74" s="27" t="n"/>
      <c r="D74" s="27" t="n"/>
      <c r="E74" s="27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</row>
    <row r="75">
      <c r="B75" s="27" t="n"/>
      <c r="C75" s="27" t="n"/>
      <c r="D75" s="27" t="n"/>
      <c r="E75" s="27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</row>
    <row r="76">
      <c r="B76" s="27" t="n"/>
      <c r="C76" s="27" t="n"/>
      <c r="D76" s="27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</row>
    <row r="77">
      <c r="B77" s="27" t="n"/>
      <c r="C77" s="27" t="n"/>
      <c r="D77" s="27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</row>
    <row r="78">
      <c r="B78" s="27" t="n"/>
      <c r="C78" s="27" t="n"/>
      <c r="D78" s="27" t="n"/>
      <c r="E78" s="27" t="n"/>
      <c r="F78" s="27" t="n"/>
      <c r="G78" s="27" t="n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</row>
    <row r="79">
      <c r="B79" s="27" t="n"/>
      <c r="C79" s="27" t="n"/>
      <c r="D79" s="27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</row>
    <row r="80">
      <c r="B80" s="27" t="n"/>
      <c r="C80" s="27" t="n"/>
      <c r="D80" s="27" t="n"/>
      <c r="E80" s="27" t="n"/>
      <c r="F80" s="27" t="n"/>
      <c r="G80" s="27" t="n"/>
      <c r="H80" s="27" t="n"/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n"/>
    </row>
    <row r="81"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</row>
    <row r="82">
      <c r="B82" s="27" t="n"/>
      <c r="C82" s="27" t="n"/>
      <c r="D82" s="27" t="n"/>
      <c r="E82" s="27" t="n"/>
      <c r="F82" s="27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</row>
    <row r="83">
      <c r="B83" s="27" t="n"/>
      <c r="C83" s="27" t="n"/>
      <c r="D83" s="27" t="n"/>
      <c r="E83" s="27" t="n"/>
      <c r="F83" s="27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7" t="n"/>
      <c r="Q83" s="27" t="n"/>
    </row>
    <row r="84">
      <c r="B84" s="27" t="n"/>
      <c r="C84" s="27" t="n"/>
      <c r="D84" s="27" t="n"/>
      <c r="E84" s="27" t="n"/>
      <c r="F84" s="27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</row>
    <row r="85">
      <c r="B85" s="27" t="n"/>
      <c r="C85" s="27" t="n"/>
      <c r="D85" s="27" t="n"/>
      <c r="E85" s="27" t="n"/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</row>
    <row r="86">
      <c r="B86" s="27" t="n"/>
      <c r="C86" s="27" t="n"/>
      <c r="D86" s="27" t="n"/>
      <c r="E86" s="27" t="n"/>
      <c r="F86" s="27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</row>
    <row r="87">
      <c r="B87" s="27" t="n"/>
      <c r="C87" s="27" t="n"/>
      <c r="D87" s="27" t="n"/>
      <c r="E87" s="27" t="n"/>
      <c r="F87" s="27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</row>
    <row r="88">
      <c r="B88" s="27" t="n"/>
      <c r="C88" s="27" t="n"/>
      <c r="D88" s="27" t="n"/>
      <c r="E88" s="27" t="n"/>
      <c r="F88" s="27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</row>
    <row r="89">
      <c r="B89" s="27" t="n"/>
      <c r="C89" s="27" t="n"/>
      <c r="D89" s="27" t="n"/>
      <c r="E89" s="27" t="n"/>
      <c r="F89" s="27" t="n"/>
      <c r="G89" s="27" t="n"/>
      <c r="H89" s="27" t="n"/>
      <c r="I89" s="27" t="n"/>
      <c r="J89" s="27" t="n"/>
      <c r="K89" s="27" t="n"/>
      <c r="L89" s="27" t="n"/>
      <c r="M89" s="27" t="n"/>
      <c r="N89" s="27" t="n"/>
      <c r="O89" s="27" t="n"/>
      <c r="P89" s="27" t="n"/>
      <c r="Q89" s="27" t="n"/>
    </row>
    <row r="90">
      <c r="B90" s="27" t="n"/>
      <c r="C90" s="27" t="n"/>
      <c r="D90" s="27" t="n"/>
      <c r="E90" s="27" t="n"/>
      <c r="F90" s="27" t="n"/>
      <c r="G90" s="27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</row>
    <row r="91">
      <c r="B91" s="27" t="n"/>
      <c r="C91" s="27" t="n"/>
      <c r="D91" s="27" t="n"/>
      <c r="E91" s="27" t="n"/>
      <c r="F91" s="27" t="n"/>
      <c r="G91" s="27" t="n"/>
      <c r="H91" s="27" t="n"/>
      <c r="I91" s="27" t="n"/>
      <c r="J91" s="27" t="n"/>
      <c r="K91" s="27" t="n"/>
      <c r="L91" s="27" t="n"/>
      <c r="M91" s="27" t="n"/>
      <c r="N91" s="27" t="n"/>
      <c r="O91" s="27" t="n"/>
      <c r="P91" s="27" t="n"/>
      <c r="Q91" s="27" t="n"/>
    </row>
    <row r="92">
      <c r="B92" s="27" t="n"/>
      <c r="C92" s="27" t="n"/>
      <c r="D92" s="27" t="n"/>
      <c r="E92" s="27" t="n"/>
      <c r="F92" s="27" t="n"/>
      <c r="G92" s="27" t="n"/>
      <c r="H92" s="27" t="n"/>
      <c r="I92" s="27" t="n"/>
      <c r="J92" s="27" t="n"/>
      <c r="K92" s="27" t="n"/>
      <c r="L92" s="27" t="n"/>
      <c r="M92" s="27" t="n"/>
      <c r="N92" s="27" t="n"/>
      <c r="O92" s="27" t="n"/>
      <c r="P92" s="27" t="n"/>
      <c r="Q92" s="27" t="n"/>
    </row>
    <row r="93">
      <c r="B93" s="27" t="n"/>
      <c r="C93" s="27" t="n"/>
      <c r="D93" s="27" t="n"/>
      <c r="E93" s="27" t="n"/>
      <c r="F93" s="27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</row>
    <row r="94">
      <c r="B94" s="27" t="n"/>
      <c r="C94" s="27" t="n"/>
      <c r="D94" s="27" t="n"/>
      <c r="E94" s="27" t="n"/>
      <c r="F94" s="27" t="n"/>
      <c r="G94" s="27" t="n"/>
      <c r="H94" s="27" t="n"/>
      <c r="I94" s="27" t="n"/>
      <c r="J94" s="27" t="n"/>
      <c r="K94" s="27" t="n"/>
      <c r="L94" s="27" t="n"/>
      <c r="M94" s="27" t="n"/>
      <c r="N94" s="27" t="n"/>
      <c r="O94" s="27" t="n"/>
      <c r="P94" s="27" t="n"/>
      <c r="Q94" s="27" t="n"/>
    </row>
    <row r="95">
      <c r="B95" s="27" t="n"/>
      <c r="C95" s="27" t="n"/>
      <c r="D95" s="27" t="n"/>
      <c r="E95" s="27" t="n"/>
      <c r="F95" s="27" t="n"/>
      <c r="G95" s="27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</row>
    <row r="96">
      <c r="B96" s="27" t="n"/>
      <c r="C96" s="27" t="n"/>
      <c r="D96" s="27" t="n"/>
      <c r="E96" s="27" t="n"/>
      <c r="F96" s="27" t="n"/>
      <c r="G96" s="27" t="n"/>
      <c r="H96" s="27" t="n"/>
      <c r="I96" s="27" t="n"/>
      <c r="J96" s="27" t="n"/>
      <c r="K96" s="27" t="n"/>
      <c r="L96" s="27" t="n"/>
      <c r="M96" s="27" t="n"/>
      <c r="N96" s="27" t="n"/>
      <c r="O96" s="27" t="n"/>
      <c r="P96" s="27" t="n"/>
      <c r="Q96" s="27" t="n"/>
    </row>
    <row r="97">
      <c r="B97" s="27" t="n"/>
      <c r="C97" s="27" t="n"/>
      <c r="D97" s="27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</row>
    <row r="98">
      <c r="B98" s="27" t="n"/>
      <c r="C98" s="27" t="n"/>
      <c r="D98" s="27" t="n"/>
      <c r="E98" s="27" t="n"/>
      <c r="F98" s="27" t="n"/>
      <c r="G98" s="27" t="n"/>
      <c r="H98" s="27" t="n"/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</row>
    <row r="99">
      <c r="B99" s="27" t="n"/>
      <c r="C99" s="27" t="n"/>
      <c r="D99" s="27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</row>
    <row r="100"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27" t="n"/>
      <c r="K100" s="27" t="n"/>
      <c r="L100" s="27" t="n"/>
      <c r="M100" s="27" t="n"/>
      <c r="N100" s="27" t="n"/>
      <c r="O100" s="27" t="n"/>
      <c r="P100" s="27" t="n"/>
      <c r="Q100" s="27" t="n"/>
    </row>
    <row r="101"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</row>
    <row r="102"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27" t="n"/>
      <c r="K102" s="27" t="n"/>
      <c r="L102" s="27" t="n"/>
      <c r="M102" s="27" t="n"/>
      <c r="N102" s="27" t="n"/>
      <c r="O102" s="27" t="n"/>
      <c r="P102" s="27" t="n"/>
      <c r="Q102" s="27" t="n"/>
    </row>
    <row r="103"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27" t="n"/>
      <c r="K103" s="27" t="n"/>
      <c r="L103" s="27" t="n"/>
      <c r="M103" s="27" t="n"/>
      <c r="N103" s="27" t="n"/>
      <c r="O103" s="27" t="n"/>
      <c r="P103" s="27" t="n"/>
      <c r="Q103" s="27" t="n"/>
    </row>
    <row r="104"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</row>
    <row r="105"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</row>
    <row r="106"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</row>
    <row r="107"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27" t="n"/>
      <c r="K107" s="27" t="n"/>
      <c r="L107" s="27" t="n"/>
      <c r="M107" s="27" t="n"/>
      <c r="N107" s="27" t="n"/>
      <c r="O107" s="27" t="n"/>
      <c r="P107" s="27" t="n"/>
      <c r="Q107" s="27" t="n"/>
    </row>
    <row r="108">
      <c r="B108" s="27" t="n"/>
      <c r="C108" s="27" t="n"/>
      <c r="D108" s="27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</row>
    <row r="109"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</row>
    <row r="110"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</row>
    <row r="111"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n"/>
      <c r="O111" s="27" t="n"/>
      <c r="P111" s="27" t="n"/>
      <c r="Q111" s="27" t="n"/>
    </row>
    <row r="112"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</row>
    <row r="113"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27" t="n"/>
      <c r="K113" s="27" t="n"/>
      <c r="L113" s="27" t="n"/>
      <c r="M113" s="27" t="n"/>
      <c r="N113" s="27" t="n"/>
      <c r="O113" s="27" t="n"/>
      <c r="P113" s="27" t="n"/>
      <c r="Q113" s="27" t="n"/>
    </row>
    <row r="114"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27" t="n"/>
      <c r="K114" s="27" t="n"/>
      <c r="L114" s="27" t="n"/>
      <c r="M114" s="27" t="n"/>
      <c r="N114" s="27" t="n"/>
      <c r="O114" s="27" t="n"/>
      <c r="P114" s="27" t="n"/>
      <c r="Q114" s="27" t="n"/>
    </row>
    <row r="115"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</row>
    <row r="116"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</row>
    <row r="117"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</row>
    <row r="118"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27" t="n"/>
    </row>
    <row r="119"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</row>
    <row r="120"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</row>
    <row r="121"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</row>
    <row r="122"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7" t="n"/>
    </row>
    <row r="123">
      <c r="B123" s="27" t="n"/>
      <c r="C123" s="27" t="n"/>
      <c r="D123" s="27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</row>
    <row r="124"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27" t="n"/>
      <c r="K124" s="27" t="n"/>
      <c r="L124" s="27" t="n"/>
      <c r="M124" s="27" t="n"/>
      <c r="N124" s="27" t="n"/>
      <c r="O124" s="27" t="n"/>
      <c r="P124" s="27" t="n"/>
      <c r="Q124" s="27" t="n"/>
    </row>
    <row r="125"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27" t="n"/>
      <c r="K125" s="27" t="n"/>
      <c r="L125" s="27" t="n"/>
      <c r="M125" s="27" t="n"/>
      <c r="N125" s="27" t="n"/>
      <c r="O125" s="27" t="n"/>
      <c r="P125" s="27" t="n"/>
      <c r="Q125" s="27" t="n"/>
    </row>
    <row r="126">
      <c r="B126" s="27" t="n"/>
      <c r="C126" s="27" t="n"/>
      <c r="D126" s="27" t="n"/>
      <c r="E126" s="27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</row>
    <row r="127"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</row>
    <row r="128"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</row>
    <row r="129"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7" t="n"/>
      <c r="Q129" s="27" t="n"/>
    </row>
    <row r="130"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</row>
    <row r="131"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</row>
    <row r="132"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</row>
    <row r="133"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</row>
    <row r="134"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</row>
    <row r="135"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27" t="n"/>
      <c r="K135" s="27" t="n"/>
      <c r="L135" s="27" t="n"/>
      <c r="M135" s="27" t="n"/>
      <c r="N135" s="27" t="n"/>
      <c r="O135" s="27" t="n"/>
      <c r="P135" s="27" t="n"/>
      <c r="Q135" s="27" t="n"/>
    </row>
    <row r="136"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27" t="n"/>
      <c r="K136" s="27" t="n"/>
      <c r="L136" s="27" t="n"/>
      <c r="M136" s="27" t="n"/>
      <c r="N136" s="27" t="n"/>
      <c r="O136" s="27" t="n"/>
      <c r="P136" s="27" t="n"/>
      <c r="Q136" s="27" t="n"/>
    </row>
    <row r="137"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7" t="n"/>
      <c r="N137" s="27" t="n"/>
      <c r="O137" s="27" t="n"/>
      <c r="P137" s="27" t="n"/>
      <c r="Q137" s="27" t="n"/>
    </row>
    <row r="138">
      <c r="B138" s="27" t="n"/>
      <c r="C138" s="27" t="n"/>
      <c r="D138" s="27" t="n"/>
      <c r="E138" s="27" t="n"/>
      <c r="F138" s="27" t="n"/>
      <c r="G138" s="27" t="n"/>
      <c r="H138" s="27" t="n"/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</row>
    <row r="139">
      <c r="B139" s="27" t="n"/>
      <c r="C139" s="27" t="n"/>
      <c r="D139" s="27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</row>
    <row r="140">
      <c r="B140" s="27" t="n"/>
      <c r="C140" s="27" t="n"/>
      <c r="D140" s="27" t="n"/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7" t="n"/>
      <c r="Q140" s="27" t="n"/>
    </row>
    <row r="141">
      <c r="B141" s="27" t="n"/>
      <c r="C141" s="27" t="n"/>
      <c r="D141" s="27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</row>
    <row r="142">
      <c r="B142" s="27" t="n"/>
      <c r="C142" s="27" t="n"/>
      <c r="D142" s="27" t="n"/>
      <c r="E142" s="27" t="n"/>
      <c r="F142" s="27" t="n"/>
      <c r="G142" s="27" t="n"/>
      <c r="H142" s="27" t="n"/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</row>
    <row r="143">
      <c r="B143" s="27" t="n"/>
      <c r="C143" s="27" t="n"/>
      <c r="D143" s="27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</row>
    <row r="144">
      <c r="B144" s="27" t="n"/>
      <c r="C144" s="27" t="n"/>
      <c r="D144" s="27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</row>
    <row r="145">
      <c r="B145" s="27" t="n"/>
      <c r="C145" s="27" t="n"/>
      <c r="D145" s="27" t="n"/>
      <c r="E145" s="27" t="n"/>
      <c r="F145" s="27" t="n"/>
      <c r="G145" s="27" t="n"/>
      <c r="H145" s="27" t="n"/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</row>
    <row r="146">
      <c r="B146" s="27" t="n"/>
      <c r="C146" s="27" t="n"/>
      <c r="D146" s="27" t="n"/>
      <c r="E146" s="27" t="n"/>
      <c r="F146" s="27" t="n"/>
      <c r="G146" s="27" t="n"/>
      <c r="H146" s="27" t="n"/>
      <c r="I146" s="27" t="n"/>
      <c r="J146" s="27" t="n"/>
      <c r="K146" s="27" t="n"/>
      <c r="L146" s="27" t="n"/>
      <c r="M146" s="27" t="n"/>
      <c r="N146" s="27" t="n"/>
      <c r="O146" s="27" t="n"/>
      <c r="P146" s="27" t="n"/>
      <c r="Q146" s="27" t="n"/>
    </row>
    <row r="147">
      <c r="B147" s="27" t="n"/>
      <c r="C147" s="27" t="n"/>
      <c r="D147" s="27" t="n"/>
      <c r="E147" s="27" t="n"/>
      <c r="F147" s="27" t="n"/>
      <c r="G147" s="27" t="n"/>
      <c r="H147" s="27" t="n"/>
      <c r="I147" s="27" t="n"/>
      <c r="J147" s="27" t="n"/>
      <c r="K147" s="27" t="n"/>
      <c r="L147" s="27" t="n"/>
      <c r="M147" s="27" t="n"/>
      <c r="N147" s="27" t="n"/>
      <c r="O147" s="27" t="n"/>
      <c r="P147" s="27" t="n"/>
      <c r="Q147" s="27" t="n"/>
    </row>
    <row r="148">
      <c r="B148" s="27" t="n"/>
      <c r="C148" s="27" t="n"/>
      <c r="D148" s="27" t="n"/>
      <c r="E148" s="27" t="n"/>
      <c r="F148" s="27" t="n"/>
      <c r="G148" s="27" t="n"/>
      <c r="H148" s="27" t="n"/>
      <c r="I148" s="27" t="n"/>
      <c r="J148" s="27" t="n"/>
      <c r="K148" s="27" t="n"/>
      <c r="L148" s="27" t="n"/>
      <c r="M148" s="27" t="n"/>
      <c r="N148" s="27" t="n"/>
      <c r="O148" s="27" t="n"/>
      <c r="P148" s="27" t="n"/>
      <c r="Q148" s="27" t="n"/>
    </row>
    <row r="149">
      <c r="B149" s="27" t="n"/>
      <c r="C149" s="27" t="n"/>
      <c r="D149" s="27" t="n"/>
      <c r="E149" s="27" t="n"/>
      <c r="F149" s="27" t="n"/>
      <c r="G149" s="27" t="n"/>
      <c r="H149" s="27" t="n"/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</row>
    <row r="150">
      <c r="B150" s="27" t="n"/>
      <c r="C150" s="27" t="n"/>
      <c r="D150" s="27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</row>
    <row r="151">
      <c r="B151" s="27" t="n"/>
      <c r="C151" s="27" t="n"/>
      <c r="D151" s="27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</row>
    <row r="152">
      <c r="B152" s="27" t="n"/>
      <c r="C152" s="27" t="n"/>
      <c r="D152" s="27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</row>
    <row r="153">
      <c r="B153" s="27" t="n"/>
      <c r="C153" s="27" t="n"/>
      <c r="D153" s="27" t="n"/>
      <c r="E153" s="27" t="n"/>
      <c r="F153" s="27" t="n"/>
      <c r="G153" s="27" t="n"/>
      <c r="H153" s="27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</row>
    <row r="154">
      <c r="B154" s="27" t="n"/>
      <c r="C154" s="27" t="n"/>
      <c r="D154" s="27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</row>
    <row r="155">
      <c r="B155" s="27" t="n"/>
      <c r="C155" s="27" t="n"/>
      <c r="D155" s="27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</row>
    <row r="156">
      <c r="B156" s="27" t="n"/>
      <c r="C156" s="27" t="n"/>
      <c r="D156" s="27" t="n"/>
      <c r="E156" s="27" t="n"/>
      <c r="F156" s="27" t="n"/>
      <c r="G156" s="27" t="n"/>
      <c r="H156" s="27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</row>
    <row r="157">
      <c r="B157" s="27" t="n"/>
      <c r="C157" s="27" t="n"/>
      <c r="D157" s="27" t="n"/>
      <c r="E157" s="27" t="n"/>
      <c r="F157" s="27" t="n"/>
      <c r="G157" s="27" t="n"/>
      <c r="H157" s="27" t="n"/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n"/>
    </row>
    <row r="158">
      <c r="B158" s="27" t="n"/>
      <c r="C158" s="27" t="n"/>
      <c r="D158" s="27" t="n"/>
      <c r="E158" s="27" t="n"/>
      <c r="F158" s="27" t="n"/>
      <c r="G158" s="27" t="n"/>
      <c r="H158" s="27" t="n"/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n"/>
    </row>
    <row r="159">
      <c r="B159" s="27" t="n"/>
      <c r="C159" s="27" t="n"/>
      <c r="D159" s="27" t="n"/>
      <c r="E159" s="27" t="n"/>
      <c r="F159" s="27" t="n"/>
      <c r="G159" s="27" t="n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n"/>
    </row>
    <row r="160">
      <c r="B160" s="27" t="n"/>
      <c r="C160" s="27" t="n"/>
      <c r="D160" s="27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</row>
    <row r="161"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</row>
    <row r="162">
      <c r="B162" s="27" t="n"/>
      <c r="C162" s="27" t="n"/>
      <c r="D162" s="27" t="n"/>
      <c r="E162" s="27" t="n"/>
      <c r="F162" s="27" t="n"/>
      <c r="G162" s="27" t="n"/>
      <c r="H162" s="27" t="n"/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</row>
    <row r="163">
      <c r="B163" s="27" t="n"/>
      <c r="C163" s="27" t="n"/>
      <c r="D163" s="27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</row>
    <row r="164">
      <c r="B164" s="27" t="n"/>
      <c r="C164" s="27" t="n"/>
      <c r="D164" s="27" t="n"/>
      <c r="E164" s="27" t="n"/>
      <c r="F164" s="27" t="n"/>
      <c r="G164" s="27" t="n"/>
      <c r="H164" s="27" t="n"/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</row>
    <row r="165">
      <c r="B165" s="27" t="n"/>
      <c r="C165" s="27" t="n"/>
      <c r="D165" s="27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</row>
    <row r="166">
      <c r="B166" s="27" t="n"/>
      <c r="C166" s="27" t="n"/>
      <c r="D166" s="27" t="n"/>
      <c r="E166" s="27" t="n"/>
      <c r="F166" s="27" t="n"/>
      <c r="G166" s="27" t="n"/>
      <c r="H166" s="27" t="n"/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</row>
    <row r="167">
      <c r="B167" s="27" t="n"/>
      <c r="C167" s="27" t="n"/>
      <c r="D167" s="27" t="n"/>
      <c r="E167" s="27" t="n"/>
      <c r="F167" s="27" t="n"/>
      <c r="G167" s="27" t="n"/>
      <c r="H167" s="27" t="n"/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</row>
    <row r="168">
      <c r="B168" s="27" t="n"/>
      <c r="C168" s="27" t="n"/>
      <c r="D168" s="27" t="n"/>
      <c r="E168" s="27" t="n"/>
      <c r="F168" s="27" t="n"/>
      <c r="G168" s="27" t="n"/>
      <c r="H168" s="27" t="n"/>
      <c r="I168" s="27" t="n"/>
      <c r="J168" s="27" t="n"/>
      <c r="K168" s="27" t="n"/>
      <c r="L168" s="27" t="n"/>
      <c r="M168" s="27" t="n"/>
      <c r="N168" s="27" t="n"/>
      <c r="O168" s="27" t="n"/>
      <c r="P168" s="27" t="n"/>
      <c r="Q168" s="27" t="n"/>
    </row>
    <row r="169">
      <c r="B169" s="27" t="n"/>
      <c r="C169" s="27" t="n"/>
      <c r="D169" s="27" t="n"/>
      <c r="E169" s="27" t="n"/>
      <c r="F169" s="27" t="n"/>
      <c r="G169" s="27" t="n"/>
      <c r="H169" s="27" t="n"/>
      <c r="I169" s="27" t="n"/>
      <c r="J169" s="27" t="n"/>
      <c r="K169" s="27" t="n"/>
      <c r="L169" s="27" t="n"/>
      <c r="M169" s="27" t="n"/>
      <c r="N169" s="27" t="n"/>
      <c r="O169" s="27" t="n"/>
      <c r="P169" s="27" t="n"/>
      <c r="Q169" s="27" t="n"/>
    </row>
    <row r="170">
      <c r="B170" s="27" t="n"/>
      <c r="C170" s="27" t="n"/>
      <c r="D170" s="27" t="n"/>
      <c r="E170" s="27" t="n"/>
      <c r="F170" s="27" t="n"/>
      <c r="G170" s="27" t="n"/>
      <c r="H170" s="27" t="n"/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</row>
    <row r="171">
      <c r="B171" s="27" t="n"/>
      <c r="C171" s="27" t="n"/>
      <c r="D171" s="27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</row>
    <row r="172">
      <c r="B172" s="27" t="n"/>
      <c r="C172" s="27" t="n"/>
      <c r="D172" s="27" t="n"/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</row>
    <row r="173">
      <c r="B173" s="27" t="n"/>
      <c r="C173" s="27" t="n"/>
      <c r="D173" s="27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</row>
    <row r="174">
      <c r="B174" s="27" t="n"/>
      <c r="C174" s="27" t="n"/>
      <c r="D174" s="27" t="n"/>
      <c r="E174" s="27" t="n"/>
      <c r="F174" s="27" t="n"/>
      <c r="G174" s="27" t="n"/>
      <c r="H174" s="27" t="n"/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</row>
    <row r="175">
      <c r="B175" s="27" t="n"/>
      <c r="C175" s="27" t="n"/>
      <c r="D175" s="27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</row>
    <row r="176">
      <c r="B176" s="27" t="n"/>
      <c r="C176" s="27" t="n"/>
      <c r="D176" s="27" t="n"/>
      <c r="E176" s="27" t="n"/>
      <c r="F176" s="27" t="n"/>
      <c r="G176" s="27" t="n"/>
      <c r="H176" s="27" t="n"/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</row>
    <row r="177">
      <c r="B177" s="27" t="n"/>
      <c r="C177" s="27" t="n"/>
      <c r="D177" s="27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</row>
    <row r="178">
      <c r="B178" s="27" t="n"/>
      <c r="C178" s="27" t="n"/>
      <c r="D178" s="27" t="n"/>
      <c r="E178" s="27" t="n"/>
      <c r="F178" s="27" t="n"/>
      <c r="G178" s="27" t="n"/>
      <c r="H178" s="27" t="n"/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</row>
    <row r="179">
      <c r="B179" s="27" t="n"/>
      <c r="C179" s="27" t="n"/>
      <c r="D179" s="27" t="n"/>
      <c r="E179" s="27" t="n"/>
      <c r="F179" s="27" t="n"/>
      <c r="G179" s="27" t="n"/>
      <c r="H179" s="27" t="n"/>
      <c r="I179" s="27" t="n"/>
      <c r="J179" s="27" t="n"/>
      <c r="K179" s="27" t="n"/>
      <c r="L179" s="27" t="n"/>
      <c r="M179" s="27" t="n"/>
      <c r="N179" s="27" t="n"/>
      <c r="O179" s="27" t="n"/>
      <c r="P179" s="27" t="n"/>
      <c r="Q179" s="27" t="n"/>
    </row>
    <row r="180">
      <c r="B180" s="27" t="n"/>
      <c r="C180" s="27" t="n"/>
      <c r="D180" s="27" t="n"/>
      <c r="E180" s="27" t="n"/>
      <c r="F180" s="27" t="n"/>
      <c r="G180" s="27" t="n"/>
      <c r="H180" s="27" t="n"/>
      <c r="I180" s="27" t="n"/>
      <c r="J180" s="27" t="n"/>
      <c r="K180" s="27" t="n"/>
      <c r="L180" s="27" t="n"/>
      <c r="M180" s="27" t="n"/>
      <c r="N180" s="27" t="n"/>
      <c r="O180" s="27" t="n"/>
      <c r="P180" s="27" t="n"/>
      <c r="Q180" s="27" t="n"/>
    </row>
    <row r="181">
      <c r="B181" s="27" t="n"/>
      <c r="C181" s="27" t="n"/>
      <c r="D181" s="27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</row>
    <row r="182">
      <c r="B182" s="27" t="n"/>
      <c r="C182" s="27" t="n"/>
      <c r="D182" s="27" t="n"/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</row>
    <row r="183">
      <c r="B183" s="27" t="n"/>
      <c r="C183" s="27" t="n"/>
      <c r="D183" s="27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</row>
    <row r="184">
      <c r="B184" s="27" t="n"/>
      <c r="C184" s="27" t="n"/>
      <c r="D184" s="27" t="n"/>
      <c r="E184" s="27" t="n"/>
      <c r="F184" s="27" t="n"/>
      <c r="G184" s="27" t="n"/>
      <c r="H184" s="27" t="n"/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</row>
    <row r="185">
      <c r="B185" s="27" t="n"/>
      <c r="C185" s="27" t="n"/>
      <c r="D185" s="27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</row>
    <row r="186">
      <c r="B186" s="27" t="n"/>
      <c r="C186" s="27" t="n"/>
      <c r="D186" s="27" t="n"/>
      <c r="E186" s="27" t="n"/>
      <c r="F186" s="27" t="n"/>
      <c r="G186" s="27" t="n"/>
      <c r="H186" s="27" t="n"/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</row>
    <row r="187">
      <c r="B187" s="27" t="n"/>
      <c r="C187" s="27" t="n"/>
      <c r="D187" s="27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</row>
    <row r="188">
      <c r="B188" s="27" t="n"/>
      <c r="C188" s="27" t="n"/>
      <c r="D188" s="27" t="n"/>
      <c r="E188" s="27" t="n"/>
      <c r="F188" s="27" t="n"/>
      <c r="G188" s="27" t="n"/>
      <c r="H188" s="27" t="n"/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</row>
    <row r="189">
      <c r="B189" s="27" t="n"/>
      <c r="C189" s="27" t="n"/>
      <c r="D189" s="27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</row>
    <row r="190">
      <c r="B190" s="27" t="n"/>
      <c r="C190" s="27" t="n"/>
      <c r="D190" s="27" t="n"/>
      <c r="E190" s="27" t="n"/>
      <c r="F190" s="27" t="n"/>
      <c r="G190" s="27" t="n"/>
      <c r="H190" s="27" t="n"/>
      <c r="I190" s="27" t="n"/>
      <c r="J190" s="27" t="n"/>
      <c r="K190" s="27" t="n"/>
      <c r="L190" s="27" t="n"/>
      <c r="M190" s="27" t="n"/>
      <c r="N190" s="27" t="n"/>
      <c r="O190" s="27" t="n"/>
      <c r="P190" s="27" t="n"/>
      <c r="Q190" s="27" t="n"/>
    </row>
    <row r="191">
      <c r="B191" s="27" t="n"/>
      <c r="C191" s="27" t="n"/>
      <c r="D191" s="27" t="n"/>
      <c r="E191" s="27" t="n"/>
      <c r="F191" s="27" t="n"/>
      <c r="G191" s="27" t="n"/>
      <c r="H191" s="27" t="n"/>
      <c r="I191" s="27" t="n"/>
      <c r="J191" s="27" t="n"/>
      <c r="K191" s="27" t="n"/>
      <c r="L191" s="27" t="n"/>
      <c r="M191" s="27" t="n"/>
      <c r="N191" s="27" t="n"/>
      <c r="O191" s="27" t="n"/>
      <c r="P191" s="27" t="n"/>
      <c r="Q191" s="27" t="n"/>
    </row>
    <row r="192">
      <c r="B192" s="27" t="n"/>
      <c r="C192" s="27" t="n"/>
      <c r="D192" s="27" t="n"/>
      <c r="E192" s="27" t="n"/>
      <c r="F192" s="27" t="n"/>
      <c r="G192" s="27" t="n"/>
      <c r="H192" s="27" t="n"/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</row>
    <row r="193">
      <c r="B193" s="27" t="n"/>
      <c r="C193" s="27" t="n"/>
      <c r="D193" s="27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</row>
    <row r="194">
      <c r="B194" s="27" t="n"/>
      <c r="C194" s="27" t="n"/>
      <c r="D194" s="27" t="n"/>
      <c r="E194" s="27" t="n"/>
      <c r="F194" s="27" t="n"/>
      <c r="G194" s="27" t="n"/>
      <c r="H194" s="27" t="n"/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</row>
    <row r="195">
      <c r="B195" s="27" t="n"/>
      <c r="C195" s="27" t="n"/>
      <c r="D195" s="27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</row>
    <row r="196">
      <c r="B196" s="27" t="n"/>
      <c r="C196" s="27" t="n"/>
      <c r="D196" s="27" t="n"/>
      <c r="E196" s="27" t="n"/>
      <c r="F196" s="27" t="n"/>
      <c r="G196" s="27" t="n"/>
      <c r="H196" s="27" t="n"/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</row>
    <row r="197">
      <c r="B197" s="27" t="n"/>
      <c r="C197" s="27" t="n"/>
      <c r="D197" s="27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</row>
    <row r="198">
      <c r="B198" s="27" t="n"/>
      <c r="C198" s="27" t="n"/>
      <c r="D198" s="27" t="n"/>
      <c r="E198" s="27" t="n"/>
      <c r="F198" s="27" t="n"/>
      <c r="G198" s="27" t="n"/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</row>
    <row r="199">
      <c r="B199" s="27" t="n"/>
      <c r="C199" s="27" t="n"/>
      <c r="D199" s="27" t="n"/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</row>
    <row r="200">
      <c r="B200" s="27" t="n"/>
      <c r="C200" s="27" t="n"/>
      <c r="D200" s="27" t="n"/>
      <c r="E200" s="27" t="n"/>
      <c r="F200" s="27" t="n"/>
      <c r="G200" s="27" t="n"/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</row>
    <row r="201"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</row>
    <row r="202">
      <c r="B202" s="27" t="n"/>
      <c r="C202" s="27" t="n"/>
      <c r="D202" s="27" t="n"/>
      <c r="E202" s="27" t="n"/>
      <c r="F202" s="27" t="n"/>
      <c r="G202" s="27" t="n"/>
      <c r="H202" s="27" t="n"/>
      <c r="I202" s="27" t="n"/>
      <c r="J202" s="27" t="n"/>
      <c r="K202" s="27" t="n"/>
      <c r="L202" s="27" t="n"/>
      <c r="M202" s="27" t="n"/>
      <c r="N202" s="27" t="n"/>
      <c r="O202" s="27" t="n"/>
      <c r="P202" s="27" t="n"/>
      <c r="Q202" s="27" t="n"/>
    </row>
    <row r="203">
      <c r="B203" s="27" t="n"/>
      <c r="C203" s="27" t="n"/>
      <c r="D203" s="27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</row>
    <row r="204">
      <c r="B204" s="27" t="n"/>
      <c r="C204" s="27" t="n"/>
      <c r="D204" s="27" t="n"/>
      <c r="E204" s="27" t="n"/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</row>
    <row r="205">
      <c r="B205" s="27" t="n"/>
      <c r="C205" s="27" t="n"/>
      <c r="D205" s="27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</row>
    <row r="206">
      <c r="B206" s="27" t="n"/>
      <c r="C206" s="27" t="n"/>
      <c r="D206" s="27" t="n"/>
      <c r="E206" s="27" t="n"/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</row>
    <row r="207">
      <c r="B207" s="27" t="n"/>
      <c r="C207" s="27" t="n"/>
      <c r="D207" s="27" t="n"/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</row>
    <row r="208">
      <c r="B208" s="27" t="n"/>
      <c r="C208" s="27" t="n"/>
      <c r="D208" s="27" t="n"/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</row>
    <row r="209">
      <c r="B209" s="27" t="n"/>
      <c r="C209" s="27" t="n"/>
      <c r="D209" s="27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</row>
    <row r="210">
      <c r="B210" s="27" t="n"/>
      <c r="C210" s="27" t="n"/>
      <c r="D210" s="27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</row>
    <row r="211">
      <c r="B211" s="27" t="n"/>
      <c r="C211" s="27" t="n"/>
      <c r="D211" s="27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</row>
    <row r="212">
      <c r="B212" s="27" t="n"/>
      <c r="C212" s="27" t="n"/>
      <c r="D212" s="27" t="n"/>
      <c r="E212" s="27" t="n"/>
      <c r="F212" s="27" t="n"/>
      <c r="G212" s="27" t="n"/>
      <c r="H212" s="27" t="n"/>
      <c r="I212" s="27" t="n"/>
      <c r="J212" s="27" t="n"/>
      <c r="K212" s="27" t="n"/>
      <c r="L212" s="27" t="n"/>
      <c r="M212" s="27" t="n"/>
      <c r="N212" s="27" t="n"/>
      <c r="O212" s="27" t="n"/>
      <c r="P212" s="27" t="n"/>
      <c r="Q212" s="27" t="n"/>
    </row>
    <row r="213">
      <c r="B213" s="27" t="n"/>
      <c r="C213" s="27" t="n"/>
      <c r="D213" s="27" t="n"/>
      <c r="E213" s="27" t="n"/>
      <c r="F213" s="27" t="n"/>
      <c r="G213" s="27" t="n"/>
      <c r="H213" s="27" t="n"/>
      <c r="I213" s="27" t="n"/>
      <c r="J213" s="27" t="n"/>
      <c r="K213" s="27" t="n"/>
      <c r="L213" s="27" t="n"/>
      <c r="M213" s="27" t="n"/>
      <c r="N213" s="27" t="n"/>
      <c r="O213" s="27" t="n"/>
      <c r="P213" s="27" t="n"/>
      <c r="Q213" s="27" t="n"/>
    </row>
    <row r="214">
      <c r="B214" s="27" t="n"/>
      <c r="C214" s="27" t="n"/>
      <c r="D214" s="27" t="n"/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</row>
    <row r="215">
      <c r="B215" s="27" t="n"/>
      <c r="C215" s="27" t="n"/>
      <c r="D215" s="27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</row>
    <row r="216">
      <c r="B216" s="27" t="n"/>
      <c r="C216" s="27" t="n"/>
      <c r="D216" s="27" t="n"/>
      <c r="E216" s="27" t="n"/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</row>
    <row r="217">
      <c r="B217" s="27" t="n"/>
      <c r="C217" s="27" t="n"/>
      <c r="D217" s="27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</row>
    <row r="218">
      <c r="B218" s="27" t="n"/>
      <c r="C218" s="27" t="n"/>
      <c r="D218" s="27" t="n"/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</row>
    <row r="219">
      <c r="B219" s="27" t="n"/>
      <c r="C219" s="27" t="n"/>
      <c r="D219" s="27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</row>
    <row r="220">
      <c r="B220" s="27" t="n"/>
      <c r="C220" s="27" t="n"/>
      <c r="D220" s="27" t="n"/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</row>
    <row r="221">
      <c r="B221" s="27" t="n"/>
      <c r="C221" s="27" t="n"/>
      <c r="D221" s="27" t="n"/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</row>
    <row r="222">
      <c r="B222" s="27" t="n"/>
      <c r="C222" s="27" t="n"/>
      <c r="D222" s="27" t="n"/>
      <c r="E222" s="27" t="n"/>
      <c r="F222" s="27" t="n"/>
      <c r="G222" s="27" t="n"/>
      <c r="H222" s="27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</row>
    <row r="223">
      <c r="B223" s="27" t="n"/>
      <c r="C223" s="27" t="n"/>
      <c r="D223" s="27" t="n"/>
      <c r="E223" s="27" t="n"/>
      <c r="F223" s="27" t="n"/>
      <c r="G223" s="27" t="n"/>
      <c r="H223" s="27" t="n"/>
      <c r="I223" s="27" t="n"/>
      <c r="J223" s="27" t="n"/>
      <c r="K223" s="27" t="n"/>
      <c r="L223" s="27" t="n"/>
      <c r="M223" s="27" t="n"/>
      <c r="N223" s="27" t="n"/>
      <c r="O223" s="27" t="n"/>
      <c r="P223" s="27" t="n"/>
      <c r="Q223" s="27" t="n"/>
    </row>
    <row r="224">
      <c r="B224" s="27" t="n"/>
      <c r="C224" s="27" t="n"/>
      <c r="D224" s="27" t="n"/>
      <c r="E224" s="27" t="n"/>
      <c r="F224" s="27" t="n"/>
      <c r="G224" s="27" t="n"/>
      <c r="H224" s="27" t="n"/>
      <c r="I224" s="27" t="n"/>
      <c r="J224" s="27" t="n"/>
      <c r="K224" s="27" t="n"/>
      <c r="L224" s="27" t="n"/>
      <c r="M224" s="27" t="n"/>
      <c r="N224" s="27" t="n"/>
      <c r="O224" s="27" t="n"/>
      <c r="P224" s="27" t="n"/>
      <c r="Q224" s="27" t="n"/>
    </row>
    <row r="225">
      <c r="B225" s="27" t="n"/>
      <c r="C225" s="27" t="n"/>
      <c r="D225" s="27" t="n"/>
      <c r="E225" s="27" t="n"/>
      <c r="F225" s="27" t="n"/>
      <c r="G225" s="27" t="n"/>
      <c r="H225" s="27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</row>
    <row r="226">
      <c r="B226" s="27" t="n"/>
      <c r="C226" s="27" t="n"/>
      <c r="D226" s="27" t="n"/>
      <c r="E226" s="27" t="n"/>
      <c r="F226" s="27" t="n"/>
      <c r="G226" s="27" t="n"/>
      <c r="H226" s="27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</row>
    <row r="227">
      <c r="B227" s="27" t="n"/>
      <c r="C227" s="27" t="n"/>
      <c r="D227" s="27" t="n"/>
      <c r="E227" s="27" t="n"/>
      <c r="F227" s="27" t="n"/>
      <c r="G227" s="27" t="n"/>
      <c r="H227" s="27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</row>
    <row r="228">
      <c r="B228" s="27" t="n"/>
      <c r="C228" s="27" t="n"/>
      <c r="D228" s="27" t="n"/>
      <c r="E228" s="27" t="n"/>
      <c r="F228" s="27" t="n"/>
      <c r="G228" s="27" t="n"/>
      <c r="H228" s="27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</row>
    <row r="229">
      <c r="B229" s="27" t="n"/>
      <c r="C229" s="27" t="n"/>
      <c r="D229" s="27" t="n"/>
      <c r="E229" s="27" t="n"/>
      <c r="F229" s="27" t="n"/>
      <c r="G229" s="27" t="n"/>
      <c r="H229" s="27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</row>
    <row r="230">
      <c r="B230" s="27" t="n"/>
      <c r="C230" s="27" t="n"/>
      <c r="D230" s="27" t="n"/>
      <c r="E230" s="27" t="n"/>
      <c r="F230" s="27" t="n"/>
      <c r="G230" s="27" t="n"/>
      <c r="H230" s="27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</row>
    <row r="231">
      <c r="B231" s="27" t="n"/>
      <c r="C231" s="27" t="n"/>
      <c r="D231" s="27" t="n"/>
      <c r="E231" s="27" t="n"/>
      <c r="F231" s="27" t="n"/>
      <c r="G231" s="27" t="n"/>
      <c r="H231" s="27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</row>
    <row r="232">
      <c r="B232" s="27" t="n"/>
      <c r="C232" s="27" t="n"/>
      <c r="D232" s="27" t="n"/>
      <c r="E232" s="27" t="n"/>
      <c r="F232" s="27" t="n"/>
      <c r="G232" s="27" t="n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</row>
    <row r="233">
      <c r="B233" s="27" t="n"/>
      <c r="C233" s="27" t="n"/>
      <c r="D233" s="27" t="n"/>
      <c r="E233" s="27" t="n"/>
      <c r="F233" s="27" t="n"/>
      <c r="G233" s="27" t="n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</row>
    <row r="234">
      <c r="B234" s="27" t="n"/>
      <c r="C234" s="27" t="n"/>
      <c r="D234" s="27" t="n"/>
      <c r="E234" s="27" t="n"/>
      <c r="F234" s="27" t="n"/>
      <c r="G234" s="27" t="n"/>
      <c r="H234" s="27" t="n"/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n"/>
    </row>
    <row r="235">
      <c r="B235" s="27" t="n"/>
      <c r="C235" s="27" t="n"/>
      <c r="D235" s="27" t="n"/>
      <c r="E235" s="27" t="n"/>
      <c r="F235" s="27" t="n"/>
      <c r="G235" s="27" t="n"/>
      <c r="H235" s="27" t="n"/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n"/>
    </row>
    <row r="236">
      <c r="B236" s="27" t="n"/>
      <c r="C236" s="27" t="n"/>
      <c r="D236" s="27" t="n"/>
      <c r="E236" s="27" t="n"/>
      <c r="F236" s="27" t="n"/>
      <c r="G236" s="27" t="n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</row>
    <row r="237">
      <c r="B237" s="27" t="n"/>
      <c r="C237" s="27" t="n"/>
      <c r="D237" s="27" t="n"/>
      <c r="E237" s="27" t="n"/>
      <c r="F237" s="27" t="n"/>
      <c r="G237" s="27" t="n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</row>
    <row r="238">
      <c r="B238" s="27" t="n"/>
      <c r="C238" s="27" t="n"/>
      <c r="D238" s="27" t="n"/>
      <c r="E238" s="27" t="n"/>
      <c r="F238" s="27" t="n"/>
      <c r="G238" s="27" t="n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</row>
    <row r="239">
      <c r="B239" s="27" t="n"/>
      <c r="C239" s="27" t="n"/>
      <c r="D239" s="27" t="n"/>
      <c r="E239" s="27" t="n"/>
      <c r="F239" s="27" t="n"/>
      <c r="G239" s="27" t="n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</row>
    <row r="240">
      <c r="B240" s="27" t="n"/>
      <c r="C240" s="27" t="n"/>
      <c r="D240" s="27" t="n"/>
      <c r="E240" s="27" t="n"/>
      <c r="F240" s="27" t="n"/>
      <c r="G240" s="27" t="n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</row>
    <row r="241"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</row>
    <row r="242">
      <c r="B242" s="27" t="n"/>
      <c r="C242" s="27" t="n"/>
      <c r="D242" s="27" t="n"/>
      <c r="E242" s="27" t="n"/>
      <c r="F242" s="27" t="n"/>
      <c r="G242" s="27" t="n"/>
      <c r="H242" s="27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</row>
    <row r="243">
      <c r="B243" s="27" t="n"/>
      <c r="C243" s="27" t="n"/>
      <c r="D243" s="27" t="n"/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</row>
    <row r="244">
      <c r="B244" s="27" t="n"/>
      <c r="C244" s="27" t="n"/>
      <c r="D244" s="27" t="n"/>
      <c r="E244" s="27" t="n"/>
      <c r="F244" s="27" t="n"/>
      <c r="G244" s="27" t="n"/>
      <c r="H244" s="27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</row>
    <row r="245">
      <c r="B245" s="27" t="n"/>
      <c r="C245" s="27" t="n"/>
      <c r="D245" s="27" t="n"/>
      <c r="E245" s="27" t="n"/>
      <c r="F245" s="27" t="n"/>
      <c r="G245" s="27" t="n"/>
      <c r="H245" s="27" t="n"/>
      <c r="I245" s="27" t="n"/>
      <c r="J245" s="27" t="n"/>
      <c r="K245" s="27" t="n"/>
      <c r="L245" s="27" t="n"/>
      <c r="M245" s="27" t="n"/>
      <c r="N245" s="27" t="n"/>
      <c r="O245" s="27" t="n"/>
      <c r="P245" s="27" t="n"/>
      <c r="Q245" s="27" t="n"/>
    </row>
    <row r="246">
      <c r="B246" s="27" t="n"/>
      <c r="C246" s="27" t="n"/>
      <c r="D246" s="27" t="n"/>
      <c r="E246" s="27" t="n"/>
      <c r="F246" s="27" t="n"/>
      <c r="G246" s="27" t="n"/>
      <c r="H246" s="27" t="n"/>
      <c r="I246" s="27" t="n"/>
      <c r="J246" s="27" t="n"/>
      <c r="K246" s="27" t="n"/>
      <c r="L246" s="27" t="n"/>
      <c r="M246" s="27" t="n"/>
      <c r="N246" s="27" t="n"/>
      <c r="O246" s="27" t="n"/>
      <c r="P246" s="27" t="n"/>
      <c r="Q246" s="27" t="n"/>
    </row>
    <row r="247">
      <c r="B247" s="27" t="n"/>
      <c r="C247" s="27" t="n"/>
      <c r="D247" s="27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</row>
    <row r="248">
      <c r="B248" s="27" t="n"/>
      <c r="C248" s="27" t="n"/>
      <c r="D248" s="27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</row>
    <row r="249">
      <c r="B249" s="27" t="n"/>
      <c r="C249" s="27" t="n"/>
      <c r="D249" s="27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</row>
    <row r="250">
      <c r="B250" s="27" t="n"/>
      <c r="C250" s="27" t="n"/>
      <c r="D250" s="27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</row>
    <row r="251">
      <c r="B251" s="27" t="n"/>
      <c r="C251" s="27" t="n"/>
      <c r="D251" s="27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</row>
    <row r="252">
      <c r="B252" s="27" t="n"/>
      <c r="C252" s="27" t="n"/>
      <c r="D252" s="27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</row>
    <row r="253">
      <c r="B253" s="27" t="n"/>
      <c r="C253" s="27" t="n"/>
      <c r="D253" s="27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</row>
    <row r="254">
      <c r="B254" s="27" t="n"/>
      <c r="C254" s="27" t="n"/>
      <c r="D254" s="27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</row>
    <row r="255">
      <c r="B255" s="27" t="n"/>
      <c r="C255" s="27" t="n"/>
      <c r="D255" s="27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</row>
    <row r="256">
      <c r="B256" s="27" t="n"/>
      <c r="C256" s="27" t="n"/>
      <c r="D256" s="27" t="n"/>
      <c r="E256" s="27" t="n"/>
      <c r="F256" s="27" t="n"/>
      <c r="G256" s="27" t="n"/>
      <c r="H256" s="27" t="n"/>
      <c r="I256" s="27" t="n"/>
      <c r="J256" s="27" t="n"/>
      <c r="K256" s="27" t="n"/>
      <c r="L256" s="27" t="n"/>
      <c r="M256" s="27" t="n"/>
      <c r="N256" s="27" t="n"/>
      <c r="O256" s="27" t="n"/>
      <c r="P256" s="27" t="n"/>
      <c r="Q256" s="27" t="n"/>
    </row>
    <row r="257">
      <c r="B257" s="27" t="n"/>
      <c r="C257" s="27" t="n"/>
      <c r="D257" s="27" t="n"/>
      <c r="E257" s="27" t="n"/>
      <c r="F257" s="27" t="n"/>
      <c r="G257" s="27" t="n"/>
      <c r="H257" s="27" t="n"/>
      <c r="I257" s="27" t="n"/>
      <c r="J257" s="27" t="n"/>
      <c r="K257" s="27" t="n"/>
      <c r="L257" s="27" t="n"/>
      <c r="M257" s="27" t="n"/>
      <c r="N257" s="27" t="n"/>
      <c r="O257" s="27" t="n"/>
      <c r="P257" s="27" t="n"/>
      <c r="Q257" s="27" t="n"/>
    </row>
    <row r="258">
      <c r="B258" s="27" t="n"/>
      <c r="C258" s="27" t="n"/>
      <c r="D258" s="27" t="n"/>
      <c r="E258" s="27" t="n"/>
      <c r="F258" s="27" t="n"/>
      <c r="G258" s="27" t="n"/>
      <c r="H258" s="27" t="n"/>
      <c r="I258" s="27" t="n"/>
      <c r="J258" s="27" t="n"/>
      <c r="K258" s="27" t="n"/>
      <c r="L258" s="27" t="n"/>
      <c r="M258" s="27" t="n"/>
      <c r="N258" s="27" t="n"/>
      <c r="O258" s="27" t="n"/>
      <c r="P258" s="27" t="n"/>
      <c r="Q258" s="27" t="n"/>
    </row>
    <row r="259">
      <c r="B259" s="27" t="n"/>
      <c r="C259" s="27" t="n"/>
      <c r="D259" s="27" t="n"/>
      <c r="E259" s="27" t="n"/>
      <c r="F259" s="27" t="n"/>
      <c r="G259" s="27" t="n"/>
      <c r="H259" s="27" t="n"/>
      <c r="I259" s="27" t="n"/>
      <c r="J259" s="27" t="n"/>
      <c r="K259" s="27" t="n"/>
      <c r="L259" s="27" t="n"/>
      <c r="M259" s="27" t="n"/>
      <c r="N259" s="27" t="n"/>
      <c r="O259" s="27" t="n"/>
      <c r="P259" s="27" t="n"/>
      <c r="Q259" s="27" t="n"/>
    </row>
    <row r="260">
      <c r="B260" s="27" t="n"/>
      <c r="C260" s="27" t="n"/>
      <c r="D260" s="27" t="n"/>
      <c r="E260" s="27" t="n"/>
      <c r="F260" s="27" t="n"/>
      <c r="G260" s="27" t="n"/>
      <c r="H260" s="27" t="n"/>
      <c r="I260" s="27" t="n"/>
      <c r="J260" s="27" t="n"/>
      <c r="K260" s="27" t="n"/>
      <c r="L260" s="27" t="n"/>
      <c r="M260" s="27" t="n"/>
      <c r="N260" s="27" t="n"/>
      <c r="O260" s="27" t="n"/>
      <c r="P260" s="27" t="n"/>
      <c r="Q260" s="27" t="n"/>
    </row>
    <row r="261">
      <c r="B261" s="27" t="n"/>
      <c r="C261" s="27" t="n"/>
      <c r="D261" s="27" t="n"/>
      <c r="E261" s="27" t="n"/>
      <c r="F261" s="27" t="n"/>
      <c r="G261" s="27" t="n"/>
      <c r="H261" s="27" t="n"/>
      <c r="I261" s="27" t="n"/>
      <c r="J261" s="27" t="n"/>
      <c r="K261" s="27" t="n"/>
      <c r="L261" s="27" t="n"/>
      <c r="M261" s="27" t="n"/>
      <c r="N261" s="27" t="n"/>
      <c r="O261" s="27" t="n"/>
      <c r="P261" s="27" t="n"/>
      <c r="Q261" s="27" t="n"/>
    </row>
    <row r="262">
      <c r="B262" s="27" t="n"/>
      <c r="C262" s="27" t="n"/>
      <c r="D262" s="27" t="n"/>
      <c r="E262" s="27" t="n"/>
      <c r="F262" s="27" t="n"/>
      <c r="G262" s="27" t="n"/>
      <c r="H262" s="27" t="n"/>
      <c r="I262" s="27" t="n"/>
      <c r="J262" s="27" t="n"/>
      <c r="K262" s="27" t="n"/>
      <c r="L262" s="27" t="n"/>
      <c r="M262" s="27" t="n"/>
      <c r="N262" s="27" t="n"/>
      <c r="O262" s="27" t="n"/>
      <c r="P262" s="27" t="n"/>
      <c r="Q262" s="27" t="n"/>
    </row>
    <row r="263">
      <c r="B263" s="27" t="n"/>
      <c r="C263" s="27" t="n"/>
      <c r="D263" s="27" t="n"/>
      <c r="E263" s="27" t="n"/>
      <c r="F263" s="27" t="n"/>
      <c r="G263" s="27" t="n"/>
      <c r="H263" s="27" t="n"/>
      <c r="I263" s="27" t="n"/>
      <c r="J263" s="27" t="n"/>
      <c r="K263" s="27" t="n"/>
      <c r="L263" s="27" t="n"/>
      <c r="M263" s="27" t="n"/>
      <c r="N263" s="27" t="n"/>
      <c r="O263" s="27" t="n"/>
      <c r="P263" s="27" t="n"/>
      <c r="Q263" s="27" t="n"/>
    </row>
    <row r="264">
      <c r="B264" s="27" t="n"/>
      <c r="C264" s="27" t="n"/>
      <c r="D264" s="27" t="n"/>
      <c r="E264" s="27" t="n"/>
      <c r="F264" s="27" t="n"/>
      <c r="G264" s="27" t="n"/>
      <c r="H264" s="27" t="n"/>
      <c r="I264" s="27" t="n"/>
      <c r="J264" s="27" t="n"/>
      <c r="K264" s="27" t="n"/>
      <c r="L264" s="27" t="n"/>
      <c r="M264" s="27" t="n"/>
      <c r="N264" s="27" t="n"/>
      <c r="O264" s="27" t="n"/>
      <c r="P264" s="27" t="n"/>
      <c r="Q264" s="27" t="n"/>
    </row>
    <row r="265">
      <c r="B265" s="27" t="n"/>
      <c r="C265" s="27" t="n"/>
      <c r="D265" s="27" t="n"/>
      <c r="E265" s="27" t="n"/>
      <c r="F265" s="27" t="n"/>
      <c r="G265" s="27" t="n"/>
      <c r="H265" s="27" t="n"/>
      <c r="I265" s="27" t="n"/>
      <c r="J265" s="27" t="n"/>
      <c r="K265" s="27" t="n"/>
      <c r="L265" s="27" t="n"/>
      <c r="M265" s="27" t="n"/>
      <c r="N265" s="27" t="n"/>
      <c r="O265" s="27" t="n"/>
      <c r="P265" s="27" t="n"/>
      <c r="Q265" s="27" t="n"/>
    </row>
    <row r="266">
      <c r="B266" s="27" t="n"/>
      <c r="C266" s="27" t="n"/>
      <c r="D266" s="27" t="n"/>
      <c r="E266" s="27" t="n"/>
      <c r="F266" s="27" t="n"/>
      <c r="G266" s="27" t="n"/>
      <c r="H266" s="27" t="n"/>
      <c r="I266" s="27" t="n"/>
      <c r="J266" s="27" t="n"/>
      <c r="K266" s="27" t="n"/>
      <c r="L266" s="27" t="n"/>
      <c r="M266" s="27" t="n"/>
      <c r="N266" s="27" t="n"/>
      <c r="O266" s="27" t="n"/>
      <c r="P266" s="27" t="n"/>
      <c r="Q266" s="27" t="n"/>
    </row>
    <row r="267">
      <c r="B267" s="27" t="n"/>
      <c r="C267" s="27" t="n"/>
      <c r="D267" s="27" t="n"/>
      <c r="E267" s="27" t="n"/>
      <c r="F267" s="27" t="n"/>
      <c r="G267" s="27" t="n"/>
      <c r="H267" s="27" t="n"/>
      <c r="I267" s="27" t="n"/>
      <c r="J267" s="27" t="n"/>
      <c r="K267" s="27" t="n"/>
      <c r="L267" s="27" t="n"/>
      <c r="M267" s="27" t="n"/>
      <c r="N267" s="27" t="n"/>
      <c r="O267" s="27" t="n"/>
      <c r="P267" s="27" t="n"/>
      <c r="Q267" s="27" t="n"/>
    </row>
    <row r="268">
      <c r="B268" s="27" t="n"/>
      <c r="C268" s="27" t="n"/>
      <c r="D268" s="27" t="n"/>
      <c r="E268" s="27" t="n"/>
      <c r="F268" s="27" t="n"/>
      <c r="G268" s="27" t="n"/>
      <c r="H268" s="27" t="n"/>
      <c r="I268" s="27" t="n"/>
      <c r="J268" s="27" t="n"/>
      <c r="K268" s="27" t="n"/>
      <c r="L268" s="27" t="n"/>
      <c r="M268" s="27" t="n"/>
      <c r="N268" s="27" t="n"/>
      <c r="O268" s="27" t="n"/>
      <c r="P268" s="27" t="n"/>
      <c r="Q268" s="27" t="n"/>
    </row>
    <row r="269">
      <c r="B269" s="27" t="n"/>
      <c r="C269" s="27" t="n"/>
      <c r="D269" s="27" t="n"/>
      <c r="E269" s="27" t="n"/>
      <c r="F269" s="27" t="n"/>
      <c r="G269" s="27" t="n"/>
      <c r="H269" s="27" t="n"/>
      <c r="I269" s="27" t="n"/>
      <c r="J269" s="27" t="n"/>
      <c r="K269" s="27" t="n"/>
      <c r="L269" s="27" t="n"/>
      <c r="M269" s="27" t="n"/>
      <c r="N269" s="27" t="n"/>
      <c r="O269" s="27" t="n"/>
      <c r="P269" s="27" t="n"/>
      <c r="Q269" s="27" t="n"/>
    </row>
    <row r="270">
      <c r="B270" s="27" t="n"/>
      <c r="C270" s="27" t="n"/>
      <c r="D270" s="27" t="n"/>
      <c r="E270" s="27" t="n"/>
      <c r="F270" s="27" t="n"/>
      <c r="G270" s="27" t="n"/>
      <c r="H270" s="27" t="n"/>
      <c r="I270" s="27" t="n"/>
      <c r="J270" s="27" t="n"/>
      <c r="K270" s="27" t="n"/>
      <c r="L270" s="27" t="n"/>
      <c r="M270" s="27" t="n"/>
      <c r="N270" s="27" t="n"/>
      <c r="O270" s="27" t="n"/>
      <c r="P270" s="27" t="n"/>
      <c r="Q270" s="27" t="n"/>
    </row>
    <row r="271">
      <c r="B271" s="27" t="n"/>
      <c r="C271" s="27" t="n"/>
      <c r="D271" s="27" t="n"/>
      <c r="E271" s="27" t="n"/>
      <c r="F271" s="27" t="n"/>
      <c r="G271" s="27" t="n"/>
      <c r="H271" s="27" t="n"/>
      <c r="I271" s="27" t="n"/>
      <c r="J271" s="27" t="n"/>
      <c r="K271" s="27" t="n"/>
      <c r="L271" s="27" t="n"/>
      <c r="M271" s="27" t="n"/>
      <c r="N271" s="27" t="n"/>
      <c r="O271" s="27" t="n"/>
      <c r="P271" s="27" t="n"/>
      <c r="Q271" s="27" t="n"/>
    </row>
    <row r="272">
      <c r="B272" s="27" t="n"/>
      <c r="C272" s="27" t="n"/>
      <c r="D272" s="27" t="n"/>
      <c r="E272" s="27" t="n"/>
      <c r="F272" s="27" t="n"/>
      <c r="G272" s="27" t="n"/>
      <c r="H272" s="27" t="n"/>
      <c r="I272" s="27" t="n"/>
      <c r="J272" s="27" t="n"/>
      <c r="K272" s="27" t="n"/>
      <c r="L272" s="27" t="n"/>
      <c r="M272" s="27" t="n"/>
      <c r="N272" s="27" t="n"/>
      <c r="O272" s="27" t="n"/>
      <c r="P272" s="27" t="n"/>
      <c r="Q272" s="27" t="n"/>
    </row>
    <row r="273">
      <c r="B273" s="27" t="n"/>
      <c r="C273" s="27" t="n"/>
      <c r="D273" s="27" t="n"/>
      <c r="E273" s="27" t="n"/>
      <c r="F273" s="27" t="n"/>
      <c r="G273" s="27" t="n"/>
      <c r="H273" s="27" t="n"/>
      <c r="I273" s="27" t="n"/>
      <c r="J273" s="27" t="n"/>
      <c r="K273" s="27" t="n"/>
      <c r="L273" s="27" t="n"/>
      <c r="M273" s="27" t="n"/>
      <c r="N273" s="27" t="n"/>
      <c r="O273" s="27" t="n"/>
      <c r="P273" s="27" t="n"/>
      <c r="Q273" s="27" t="n"/>
    </row>
    <row r="274">
      <c r="B274" s="27" t="n"/>
      <c r="C274" s="27" t="n"/>
      <c r="D274" s="27" t="n"/>
      <c r="E274" s="27" t="n"/>
      <c r="F274" s="27" t="n"/>
      <c r="G274" s="27" t="n"/>
      <c r="H274" s="27" t="n"/>
      <c r="I274" s="27" t="n"/>
      <c r="J274" s="27" t="n"/>
      <c r="K274" s="27" t="n"/>
      <c r="L274" s="27" t="n"/>
      <c r="M274" s="27" t="n"/>
      <c r="N274" s="27" t="n"/>
      <c r="O274" s="27" t="n"/>
      <c r="P274" s="27" t="n"/>
      <c r="Q274" s="27" t="n"/>
    </row>
    <row r="275">
      <c r="B275" s="27" t="n"/>
      <c r="C275" s="27" t="n"/>
      <c r="D275" s="27" t="n"/>
      <c r="E275" s="27" t="n"/>
      <c r="F275" s="27" t="n"/>
      <c r="G275" s="27" t="n"/>
      <c r="H275" s="27" t="n"/>
      <c r="I275" s="27" t="n"/>
      <c r="J275" s="27" t="n"/>
      <c r="K275" s="27" t="n"/>
      <c r="L275" s="27" t="n"/>
      <c r="M275" s="27" t="n"/>
      <c r="N275" s="27" t="n"/>
      <c r="O275" s="27" t="n"/>
      <c r="P275" s="27" t="n"/>
      <c r="Q275" s="27" t="n"/>
    </row>
    <row r="276">
      <c r="B276" s="27" t="n"/>
      <c r="C276" s="27" t="n"/>
      <c r="D276" s="27" t="n"/>
      <c r="E276" s="27" t="n"/>
      <c r="F276" s="27" t="n"/>
      <c r="G276" s="27" t="n"/>
      <c r="H276" s="27" t="n"/>
      <c r="I276" s="27" t="n"/>
      <c r="J276" s="27" t="n"/>
      <c r="K276" s="27" t="n"/>
      <c r="L276" s="27" t="n"/>
      <c r="M276" s="27" t="n"/>
      <c r="N276" s="27" t="n"/>
      <c r="O276" s="27" t="n"/>
      <c r="P276" s="27" t="n"/>
      <c r="Q276" s="27" t="n"/>
    </row>
    <row r="277">
      <c r="B277" s="27" t="n"/>
      <c r="C277" s="27" t="n"/>
      <c r="D277" s="27" t="n"/>
      <c r="E277" s="27" t="n"/>
      <c r="F277" s="27" t="n"/>
      <c r="G277" s="27" t="n"/>
      <c r="H277" s="27" t="n"/>
      <c r="I277" s="27" t="n"/>
      <c r="J277" s="27" t="n"/>
      <c r="K277" s="27" t="n"/>
      <c r="L277" s="27" t="n"/>
      <c r="M277" s="27" t="n"/>
      <c r="N277" s="27" t="n"/>
      <c r="O277" s="27" t="n"/>
      <c r="P277" s="27" t="n"/>
      <c r="Q277" s="27" t="n"/>
    </row>
    <row r="278">
      <c r="B278" s="27" t="n"/>
      <c r="C278" s="27" t="n"/>
      <c r="D278" s="27" t="n"/>
      <c r="E278" s="27" t="n"/>
      <c r="F278" s="27" t="n"/>
      <c r="G278" s="27" t="n"/>
      <c r="H278" s="27" t="n"/>
      <c r="I278" s="27" t="n"/>
      <c r="J278" s="27" t="n"/>
      <c r="K278" s="27" t="n"/>
      <c r="L278" s="27" t="n"/>
      <c r="M278" s="27" t="n"/>
      <c r="N278" s="27" t="n"/>
      <c r="O278" s="27" t="n"/>
      <c r="P278" s="27" t="n"/>
      <c r="Q278" s="27" t="n"/>
    </row>
    <row r="279">
      <c r="B279" s="27" t="n"/>
      <c r="C279" s="27" t="n"/>
      <c r="D279" s="27" t="n"/>
      <c r="E279" s="27" t="n"/>
      <c r="F279" s="27" t="n"/>
      <c r="G279" s="27" t="n"/>
      <c r="H279" s="27" t="n"/>
      <c r="I279" s="27" t="n"/>
      <c r="J279" s="27" t="n"/>
      <c r="K279" s="27" t="n"/>
      <c r="L279" s="27" t="n"/>
      <c r="M279" s="27" t="n"/>
      <c r="N279" s="27" t="n"/>
      <c r="O279" s="27" t="n"/>
      <c r="P279" s="27" t="n"/>
      <c r="Q279" s="27" t="n"/>
    </row>
    <row r="280">
      <c r="B280" s="27" t="n"/>
      <c r="C280" s="27" t="n"/>
      <c r="D280" s="27" t="n"/>
      <c r="E280" s="27" t="n"/>
      <c r="F280" s="27" t="n"/>
      <c r="G280" s="27" t="n"/>
      <c r="H280" s="27" t="n"/>
      <c r="I280" s="27" t="n"/>
      <c r="J280" s="27" t="n"/>
      <c r="K280" s="27" t="n"/>
      <c r="L280" s="27" t="n"/>
      <c r="M280" s="27" t="n"/>
      <c r="N280" s="27" t="n"/>
      <c r="O280" s="27" t="n"/>
      <c r="P280" s="27" t="n"/>
      <c r="Q280" s="27" t="n"/>
    </row>
    <row r="281"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</row>
    <row r="282">
      <c r="B282" s="27" t="n"/>
      <c r="C282" s="27" t="n"/>
      <c r="D282" s="27" t="n"/>
      <c r="E282" s="27" t="n"/>
      <c r="F282" s="27" t="n"/>
      <c r="G282" s="27" t="n"/>
      <c r="H282" s="27" t="n"/>
      <c r="I282" s="27" t="n"/>
      <c r="J282" s="27" t="n"/>
      <c r="K282" s="27" t="n"/>
      <c r="L282" s="27" t="n"/>
      <c r="M282" s="27" t="n"/>
      <c r="N282" s="27" t="n"/>
      <c r="O282" s="27" t="n"/>
      <c r="P282" s="27" t="n"/>
      <c r="Q282" s="27" t="n"/>
    </row>
    <row r="283">
      <c r="B283" s="27" t="n"/>
      <c r="C283" s="27" t="n"/>
      <c r="D283" s="27" t="n"/>
      <c r="E283" s="27" t="n"/>
      <c r="F283" s="27" t="n"/>
      <c r="G283" s="27" t="n"/>
      <c r="H283" s="27" t="n"/>
      <c r="I283" s="27" t="n"/>
      <c r="J283" s="27" t="n"/>
      <c r="K283" s="27" t="n"/>
      <c r="L283" s="27" t="n"/>
      <c r="M283" s="27" t="n"/>
      <c r="N283" s="27" t="n"/>
      <c r="O283" s="27" t="n"/>
      <c r="P283" s="27" t="n"/>
      <c r="Q283" s="27" t="n"/>
    </row>
    <row r="284">
      <c r="B284" s="27" t="n"/>
      <c r="C284" s="27" t="n"/>
      <c r="D284" s="27" t="n"/>
      <c r="E284" s="27" t="n"/>
      <c r="F284" s="27" t="n"/>
      <c r="G284" s="27" t="n"/>
      <c r="H284" s="27" t="n"/>
      <c r="I284" s="27" t="n"/>
      <c r="J284" s="27" t="n"/>
      <c r="K284" s="27" t="n"/>
      <c r="L284" s="27" t="n"/>
      <c r="M284" s="27" t="n"/>
      <c r="N284" s="27" t="n"/>
      <c r="O284" s="27" t="n"/>
      <c r="P284" s="27" t="n"/>
      <c r="Q284" s="27" t="n"/>
    </row>
    <row r="285">
      <c r="B285" s="27" t="n"/>
      <c r="C285" s="27" t="n"/>
      <c r="D285" s="27" t="n"/>
      <c r="E285" s="27" t="n"/>
      <c r="F285" s="27" t="n"/>
      <c r="G285" s="27" t="n"/>
      <c r="H285" s="27" t="n"/>
      <c r="I285" s="27" t="n"/>
      <c r="J285" s="27" t="n"/>
      <c r="K285" s="27" t="n"/>
      <c r="L285" s="27" t="n"/>
      <c r="M285" s="27" t="n"/>
      <c r="N285" s="27" t="n"/>
      <c r="O285" s="27" t="n"/>
      <c r="P285" s="27" t="n"/>
      <c r="Q285" s="27" t="n"/>
    </row>
    <row r="286">
      <c r="B286" s="27" t="n"/>
      <c r="C286" s="27" t="n"/>
      <c r="D286" s="27" t="n"/>
      <c r="E286" s="27" t="n"/>
      <c r="F286" s="27" t="n"/>
      <c r="G286" s="27" t="n"/>
      <c r="H286" s="27" t="n"/>
      <c r="I286" s="27" t="n"/>
      <c r="J286" s="27" t="n"/>
      <c r="K286" s="27" t="n"/>
      <c r="L286" s="27" t="n"/>
      <c r="M286" s="27" t="n"/>
      <c r="N286" s="27" t="n"/>
      <c r="O286" s="27" t="n"/>
      <c r="P286" s="27" t="n"/>
      <c r="Q286" s="27" t="n"/>
    </row>
    <row r="287">
      <c r="B287" s="27" t="n"/>
      <c r="C287" s="27" t="n"/>
      <c r="D287" s="27" t="n"/>
      <c r="E287" s="27" t="n"/>
      <c r="F287" s="27" t="n"/>
      <c r="G287" s="27" t="n"/>
      <c r="H287" s="27" t="n"/>
      <c r="I287" s="27" t="n"/>
      <c r="J287" s="27" t="n"/>
      <c r="K287" s="27" t="n"/>
      <c r="L287" s="27" t="n"/>
      <c r="M287" s="27" t="n"/>
      <c r="N287" s="27" t="n"/>
      <c r="O287" s="27" t="n"/>
      <c r="P287" s="27" t="n"/>
      <c r="Q287" s="27" t="n"/>
    </row>
    <row r="288">
      <c r="B288" s="27" t="n"/>
      <c r="C288" s="27" t="n"/>
      <c r="D288" s="27" t="n"/>
      <c r="E288" s="27" t="n"/>
      <c r="F288" s="27" t="n"/>
      <c r="G288" s="27" t="n"/>
      <c r="H288" s="27" t="n"/>
      <c r="I288" s="27" t="n"/>
      <c r="J288" s="27" t="n"/>
      <c r="K288" s="27" t="n"/>
      <c r="L288" s="27" t="n"/>
      <c r="M288" s="27" t="n"/>
      <c r="N288" s="27" t="n"/>
      <c r="O288" s="27" t="n"/>
      <c r="P288" s="27" t="n"/>
      <c r="Q288" s="27" t="n"/>
    </row>
    <row r="289">
      <c r="B289" s="27" t="n"/>
      <c r="C289" s="27" t="n"/>
      <c r="D289" s="27" t="n"/>
      <c r="E289" s="27" t="n"/>
      <c r="F289" s="27" t="n"/>
      <c r="G289" s="27" t="n"/>
      <c r="H289" s="27" t="n"/>
      <c r="I289" s="27" t="n"/>
      <c r="J289" s="27" t="n"/>
      <c r="K289" s="27" t="n"/>
      <c r="L289" s="27" t="n"/>
      <c r="M289" s="27" t="n"/>
      <c r="N289" s="27" t="n"/>
      <c r="O289" s="27" t="n"/>
      <c r="P289" s="27" t="n"/>
      <c r="Q289" s="27" t="n"/>
    </row>
    <row r="290">
      <c r="B290" s="27" t="n"/>
      <c r="C290" s="27" t="n"/>
      <c r="D290" s="27" t="n"/>
      <c r="E290" s="27" t="n"/>
      <c r="F290" s="27" t="n"/>
      <c r="G290" s="27" t="n"/>
      <c r="H290" s="27" t="n"/>
      <c r="I290" s="27" t="n"/>
      <c r="J290" s="27" t="n"/>
      <c r="K290" s="27" t="n"/>
      <c r="L290" s="27" t="n"/>
      <c r="M290" s="27" t="n"/>
      <c r="N290" s="27" t="n"/>
      <c r="O290" s="27" t="n"/>
      <c r="P290" s="27" t="n"/>
      <c r="Q290" s="27" t="n"/>
    </row>
    <row r="291">
      <c r="B291" s="27" t="n"/>
      <c r="C291" s="27" t="n"/>
      <c r="D291" s="27" t="n"/>
      <c r="E291" s="27" t="n"/>
      <c r="F291" s="27" t="n"/>
      <c r="G291" s="27" t="n"/>
      <c r="H291" s="27" t="n"/>
      <c r="I291" s="27" t="n"/>
      <c r="J291" s="27" t="n"/>
      <c r="K291" s="27" t="n"/>
      <c r="L291" s="27" t="n"/>
      <c r="M291" s="27" t="n"/>
      <c r="N291" s="27" t="n"/>
      <c r="O291" s="27" t="n"/>
      <c r="P291" s="27" t="n"/>
      <c r="Q291" s="27" t="n"/>
    </row>
    <row r="292">
      <c r="B292" s="27" t="n"/>
      <c r="C292" s="27" t="n"/>
      <c r="D292" s="27" t="n"/>
      <c r="E292" s="27" t="n"/>
      <c r="F292" s="27" t="n"/>
      <c r="G292" s="27" t="n"/>
      <c r="H292" s="27" t="n"/>
      <c r="I292" s="27" t="n"/>
      <c r="J292" s="27" t="n"/>
      <c r="K292" s="27" t="n"/>
      <c r="L292" s="27" t="n"/>
      <c r="M292" s="27" t="n"/>
      <c r="N292" s="27" t="n"/>
      <c r="O292" s="27" t="n"/>
      <c r="P292" s="27" t="n"/>
      <c r="Q292" s="27" t="n"/>
    </row>
    <row r="293">
      <c r="B293" s="27" t="n"/>
      <c r="C293" s="27" t="n"/>
      <c r="D293" s="27" t="n"/>
      <c r="E293" s="27" t="n"/>
      <c r="F293" s="27" t="n"/>
      <c r="G293" s="27" t="n"/>
      <c r="H293" s="27" t="n"/>
      <c r="I293" s="27" t="n"/>
      <c r="J293" s="27" t="n"/>
      <c r="K293" s="27" t="n"/>
      <c r="L293" s="27" t="n"/>
      <c r="M293" s="27" t="n"/>
      <c r="N293" s="27" t="n"/>
      <c r="O293" s="27" t="n"/>
      <c r="P293" s="27" t="n"/>
      <c r="Q293" s="27" t="n"/>
    </row>
    <row r="294">
      <c r="B294" s="27" t="n"/>
      <c r="C294" s="27" t="n"/>
      <c r="D294" s="27" t="n"/>
      <c r="E294" s="27" t="n"/>
      <c r="F294" s="27" t="n"/>
      <c r="G294" s="27" t="n"/>
      <c r="H294" s="27" t="n"/>
      <c r="I294" s="27" t="n"/>
      <c r="J294" s="27" t="n"/>
      <c r="K294" s="27" t="n"/>
      <c r="L294" s="27" t="n"/>
      <c r="M294" s="27" t="n"/>
      <c r="N294" s="27" t="n"/>
      <c r="O294" s="27" t="n"/>
      <c r="P294" s="27" t="n"/>
      <c r="Q294" s="27" t="n"/>
    </row>
    <row r="295">
      <c r="B295" s="27" t="n"/>
      <c r="C295" s="27" t="n"/>
      <c r="D295" s="27" t="n"/>
      <c r="E295" s="27" t="n"/>
      <c r="F295" s="27" t="n"/>
      <c r="G295" s="27" t="n"/>
      <c r="H295" s="27" t="n"/>
      <c r="I295" s="27" t="n"/>
      <c r="J295" s="27" t="n"/>
      <c r="K295" s="27" t="n"/>
      <c r="L295" s="27" t="n"/>
      <c r="M295" s="27" t="n"/>
      <c r="N295" s="27" t="n"/>
      <c r="O295" s="27" t="n"/>
      <c r="P295" s="27" t="n"/>
      <c r="Q295" s="27" t="n"/>
    </row>
    <row r="296">
      <c r="B296" s="27" t="n"/>
      <c r="C296" s="27" t="n"/>
      <c r="D296" s="27" t="n"/>
      <c r="E296" s="27" t="n"/>
      <c r="F296" s="27" t="n"/>
      <c r="G296" s="27" t="n"/>
      <c r="H296" s="27" t="n"/>
      <c r="I296" s="27" t="n"/>
      <c r="J296" s="27" t="n"/>
      <c r="K296" s="27" t="n"/>
      <c r="L296" s="27" t="n"/>
      <c r="M296" s="27" t="n"/>
      <c r="N296" s="27" t="n"/>
      <c r="O296" s="27" t="n"/>
      <c r="P296" s="27" t="n"/>
      <c r="Q296" s="27" t="n"/>
    </row>
    <row r="297">
      <c r="B297" s="27" t="n"/>
      <c r="C297" s="27" t="n"/>
      <c r="D297" s="27" t="n"/>
      <c r="E297" s="27" t="n"/>
      <c r="F297" s="27" t="n"/>
      <c r="G297" s="27" t="n"/>
      <c r="H297" s="27" t="n"/>
      <c r="I297" s="27" t="n"/>
      <c r="J297" s="27" t="n"/>
      <c r="K297" s="27" t="n"/>
      <c r="L297" s="27" t="n"/>
      <c r="M297" s="27" t="n"/>
      <c r="N297" s="27" t="n"/>
      <c r="O297" s="27" t="n"/>
      <c r="P297" s="27" t="n"/>
      <c r="Q297" s="27" t="n"/>
    </row>
    <row r="298">
      <c r="B298" s="27" t="n"/>
      <c r="C298" s="27" t="n"/>
      <c r="D298" s="27" t="n"/>
      <c r="E298" s="27" t="n"/>
      <c r="F298" s="27" t="n"/>
      <c r="G298" s="27" t="n"/>
      <c r="H298" s="27" t="n"/>
      <c r="I298" s="27" t="n"/>
      <c r="J298" s="27" t="n"/>
      <c r="K298" s="27" t="n"/>
      <c r="L298" s="27" t="n"/>
      <c r="M298" s="27" t="n"/>
      <c r="N298" s="27" t="n"/>
      <c r="O298" s="27" t="n"/>
      <c r="P298" s="27" t="n"/>
      <c r="Q298" s="27" t="n"/>
    </row>
    <row r="299">
      <c r="B299" s="27" t="n"/>
      <c r="C299" s="27" t="n"/>
      <c r="D299" s="27" t="n"/>
      <c r="E299" s="27" t="n"/>
      <c r="F299" s="27" t="n"/>
      <c r="G299" s="27" t="n"/>
      <c r="H299" s="27" t="n"/>
      <c r="I299" s="27" t="n"/>
      <c r="J299" s="27" t="n"/>
      <c r="K299" s="27" t="n"/>
      <c r="L299" s="27" t="n"/>
      <c r="M299" s="27" t="n"/>
      <c r="N299" s="27" t="n"/>
      <c r="O299" s="27" t="n"/>
      <c r="P299" s="27" t="n"/>
      <c r="Q299" s="27" t="n"/>
    </row>
    <row r="300">
      <c r="B300" s="27" t="n"/>
      <c r="C300" s="27" t="n"/>
      <c r="D300" s="27" t="n"/>
      <c r="E300" s="27" t="n"/>
      <c r="F300" s="27" t="n"/>
      <c r="G300" s="27" t="n"/>
      <c r="H300" s="27" t="n"/>
      <c r="I300" s="27" t="n"/>
      <c r="J300" s="27" t="n"/>
      <c r="K300" s="27" t="n"/>
      <c r="L300" s="27" t="n"/>
      <c r="M300" s="27" t="n"/>
      <c r="N300" s="27" t="n"/>
      <c r="O300" s="27" t="n"/>
      <c r="P300" s="27" t="n"/>
      <c r="Q300" s="27" t="n"/>
    </row>
    <row r="301">
      <c r="B301" s="27" t="n"/>
      <c r="C301" s="27" t="n"/>
      <c r="D301" s="27" t="n"/>
      <c r="E301" s="27" t="n"/>
      <c r="F301" s="27" t="n"/>
      <c r="G301" s="27" t="n"/>
      <c r="H301" s="27" t="n"/>
      <c r="I301" s="27" t="n"/>
      <c r="J301" s="27" t="n"/>
      <c r="K301" s="27" t="n"/>
      <c r="L301" s="27" t="n"/>
      <c r="M301" s="27" t="n"/>
      <c r="N301" s="27" t="n"/>
      <c r="O301" s="27" t="n"/>
      <c r="P301" s="27" t="n"/>
      <c r="Q301" s="27" t="n"/>
    </row>
    <row r="302">
      <c r="B302" s="27" t="n"/>
      <c r="C302" s="27" t="n"/>
      <c r="D302" s="27" t="n"/>
      <c r="E302" s="27" t="n"/>
      <c r="F302" s="27" t="n"/>
      <c r="G302" s="27" t="n"/>
      <c r="H302" s="27" t="n"/>
      <c r="I302" s="27" t="n"/>
      <c r="J302" s="27" t="n"/>
      <c r="K302" s="27" t="n"/>
      <c r="L302" s="27" t="n"/>
      <c r="M302" s="27" t="n"/>
      <c r="N302" s="27" t="n"/>
      <c r="O302" s="27" t="n"/>
      <c r="P302" s="27" t="n"/>
      <c r="Q302" s="27" t="n"/>
    </row>
    <row r="303">
      <c r="B303" s="27" t="n"/>
      <c r="C303" s="27" t="n"/>
      <c r="D303" s="27" t="n"/>
      <c r="E303" s="27" t="n"/>
      <c r="F303" s="27" t="n"/>
      <c r="G303" s="27" t="n"/>
      <c r="H303" s="27" t="n"/>
      <c r="I303" s="27" t="n"/>
      <c r="J303" s="27" t="n"/>
      <c r="K303" s="27" t="n"/>
      <c r="L303" s="27" t="n"/>
      <c r="M303" s="27" t="n"/>
      <c r="N303" s="27" t="n"/>
      <c r="O303" s="27" t="n"/>
      <c r="P303" s="27" t="n"/>
      <c r="Q303" s="27" t="n"/>
    </row>
    <row r="304">
      <c r="B304" s="27" t="n"/>
      <c r="C304" s="27" t="n"/>
      <c r="D304" s="27" t="n"/>
      <c r="E304" s="27" t="n"/>
      <c r="F304" s="27" t="n"/>
      <c r="G304" s="27" t="n"/>
      <c r="H304" s="27" t="n"/>
      <c r="I304" s="27" t="n"/>
      <c r="J304" s="27" t="n"/>
      <c r="K304" s="27" t="n"/>
      <c r="L304" s="27" t="n"/>
      <c r="M304" s="27" t="n"/>
      <c r="N304" s="27" t="n"/>
      <c r="O304" s="27" t="n"/>
      <c r="P304" s="27" t="n"/>
      <c r="Q304" s="27" t="n"/>
    </row>
    <row r="305">
      <c r="B305" s="27" t="n"/>
      <c r="C305" s="27" t="n"/>
      <c r="D305" s="27" t="n"/>
      <c r="E305" s="27" t="n"/>
      <c r="F305" s="27" t="n"/>
      <c r="G305" s="27" t="n"/>
      <c r="H305" s="27" t="n"/>
      <c r="I305" s="27" t="n"/>
      <c r="J305" s="27" t="n"/>
      <c r="K305" s="27" t="n"/>
      <c r="L305" s="27" t="n"/>
      <c r="M305" s="27" t="n"/>
      <c r="N305" s="27" t="n"/>
      <c r="O305" s="27" t="n"/>
      <c r="P305" s="27" t="n"/>
      <c r="Q305" s="27" t="n"/>
    </row>
    <row r="306">
      <c r="B306" s="27" t="n"/>
      <c r="C306" s="27" t="n"/>
      <c r="D306" s="27" t="n"/>
      <c r="E306" s="27" t="n"/>
      <c r="F306" s="27" t="n"/>
      <c r="G306" s="27" t="n"/>
      <c r="H306" s="27" t="n"/>
      <c r="I306" s="27" t="n"/>
      <c r="J306" s="27" t="n"/>
      <c r="K306" s="27" t="n"/>
      <c r="L306" s="27" t="n"/>
      <c r="M306" s="27" t="n"/>
      <c r="N306" s="27" t="n"/>
      <c r="O306" s="27" t="n"/>
      <c r="P306" s="27" t="n"/>
      <c r="Q306" s="27" t="n"/>
    </row>
    <row r="307">
      <c r="B307" s="27" t="n"/>
      <c r="C307" s="27" t="n"/>
      <c r="D307" s="27" t="n"/>
      <c r="E307" s="27" t="n"/>
      <c r="F307" s="27" t="n"/>
      <c r="G307" s="27" t="n"/>
      <c r="H307" s="27" t="n"/>
      <c r="I307" s="27" t="n"/>
      <c r="J307" s="27" t="n"/>
      <c r="K307" s="27" t="n"/>
      <c r="L307" s="27" t="n"/>
      <c r="M307" s="27" t="n"/>
      <c r="N307" s="27" t="n"/>
      <c r="O307" s="27" t="n"/>
      <c r="P307" s="27" t="n"/>
      <c r="Q307" s="27" t="n"/>
    </row>
    <row r="308">
      <c r="B308" s="27" t="n"/>
      <c r="C308" s="27" t="n"/>
      <c r="D308" s="27" t="n"/>
      <c r="E308" s="27" t="n"/>
      <c r="F308" s="27" t="n"/>
      <c r="G308" s="27" t="n"/>
      <c r="H308" s="27" t="n"/>
      <c r="I308" s="27" t="n"/>
      <c r="J308" s="27" t="n"/>
      <c r="K308" s="27" t="n"/>
      <c r="L308" s="27" t="n"/>
      <c r="M308" s="27" t="n"/>
      <c r="N308" s="27" t="n"/>
      <c r="O308" s="27" t="n"/>
      <c r="P308" s="27" t="n"/>
      <c r="Q308" s="27" t="n"/>
    </row>
    <row r="309">
      <c r="B309" s="27" t="n"/>
      <c r="C309" s="27" t="n"/>
      <c r="D309" s="27" t="n"/>
      <c r="E309" s="27" t="n"/>
      <c r="F309" s="27" t="n"/>
      <c r="G309" s="27" t="n"/>
      <c r="H309" s="27" t="n"/>
      <c r="I309" s="27" t="n"/>
      <c r="J309" s="27" t="n"/>
      <c r="K309" s="27" t="n"/>
      <c r="L309" s="27" t="n"/>
      <c r="M309" s="27" t="n"/>
      <c r="N309" s="27" t="n"/>
      <c r="O309" s="27" t="n"/>
      <c r="P309" s="27" t="n"/>
      <c r="Q309" s="27" t="n"/>
    </row>
    <row r="310">
      <c r="B310" s="27" t="n"/>
      <c r="C310" s="27" t="n"/>
      <c r="D310" s="27" t="n"/>
      <c r="E310" s="27" t="n"/>
      <c r="F310" s="27" t="n"/>
      <c r="G310" s="27" t="n"/>
      <c r="H310" s="27" t="n"/>
      <c r="I310" s="27" t="n"/>
      <c r="J310" s="27" t="n"/>
      <c r="K310" s="27" t="n"/>
      <c r="L310" s="27" t="n"/>
      <c r="M310" s="27" t="n"/>
      <c r="N310" s="27" t="n"/>
      <c r="O310" s="27" t="n"/>
      <c r="P310" s="27" t="n"/>
      <c r="Q310" s="27" t="n"/>
    </row>
    <row r="311">
      <c r="B311" s="27" t="n"/>
      <c r="C311" s="27" t="n"/>
      <c r="D311" s="27" t="n"/>
      <c r="E311" s="27" t="n"/>
      <c r="F311" s="27" t="n"/>
      <c r="G311" s="27" t="n"/>
      <c r="H311" s="27" t="n"/>
      <c r="I311" s="27" t="n"/>
      <c r="J311" s="27" t="n"/>
      <c r="K311" s="27" t="n"/>
      <c r="L311" s="27" t="n"/>
      <c r="M311" s="27" t="n"/>
      <c r="N311" s="27" t="n"/>
      <c r="O311" s="27" t="n"/>
      <c r="P311" s="27" t="n"/>
      <c r="Q311" s="27" t="n"/>
    </row>
    <row r="312">
      <c r="B312" s="27" t="n"/>
      <c r="C312" s="27" t="n"/>
      <c r="D312" s="27" t="n"/>
      <c r="E312" s="27" t="n"/>
      <c r="F312" s="27" t="n"/>
      <c r="G312" s="27" t="n"/>
      <c r="H312" s="27" t="n"/>
      <c r="I312" s="27" t="n"/>
      <c r="J312" s="27" t="n"/>
      <c r="K312" s="27" t="n"/>
      <c r="L312" s="27" t="n"/>
      <c r="M312" s="27" t="n"/>
      <c r="N312" s="27" t="n"/>
      <c r="O312" s="27" t="n"/>
      <c r="P312" s="27" t="n"/>
      <c r="Q312" s="27" t="n"/>
    </row>
    <row r="313">
      <c r="B313" s="27" t="n"/>
      <c r="C313" s="27" t="n"/>
      <c r="D313" s="27" t="n"/>
      <c r="E313" s="27" t="n"/>
      <c r="F313" s="27" t="n"/>
      <c r="G313" s="27" t="n"/>
      <c r="H313" s="27" t="n"/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27" t="n"/>
    </row>
    <row r="314">
      <c r="B314" s="27" t="n"/>
      <c r="C314" s="27" t="n"/>
      <c r="D314" s="27" t="n"/>
      <c r="E314" s="27" t="n"/>
      <c r="F314" s="27" t="n"/>
      <c r="G314" s="27" t="n"/>
      <c r="H314" s="27" t="n"/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27" t="n"/>
    </row>
    <row r="315">
      <c r="B315" s="27" t="n"/>
      <c r="C315" s="27" t="n"/>
      <c r="D315" s="27" t="n"/>
      <c r="E315" s="27" t="n"/>
      <c r="F315" s="27" t="n"/>
      <c r="G315" s="27" t="n"/>
      <c r="H315" s="27" t="n"/>
      <c r="I315" s="27" t="n"/>
      <c r="J315" s="27" t="n"/>
      <c r="K315" s="27" t="n"/>
      <c r="L315" s="27" t="n"/>
      <c r="M315" s="27" t="n"/>
      <c r="N315" s="27" t="n"/>
      <c r="O315" s="27" t="n"/>
      <c r="P315" s="27" t="n"/>
      <c r="Q315" s="27" t="n"/>
    </row>
    <row r="316">
      <c r="B316" s="27" t="n"/>
      <c r="C316" s="27" t="n"/>
      <c r="D316" s="27" t="n"/>
      <c r="E316" s="27" t="n"/>
      <c r="F316" s="27" t="n"/>
      <c r="G316" s="27" t="n"/>
      <c r="H316" s="27" t="n"/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n"/>
    </row>
    <row r="317">
      <c r="B317" s="27" t="n"/>
      <c r="C317" s="27" t="n"/>
      <c r="D317" s="27" t="n"/>
      <c r="E317" s="27" t="n"/>
      <c r="F317" s="27" t="n"/>
      <c r="G317" s="27" t="n"/>
      <c r="H317" s="27" t="n"/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n"/>
    </row>
    <row r="318">
      <c r="B318" s="27" t="n"/>
      <c r="C318" s="27" t="n"/>
      <c r="D318" s="27" t="n"/>
      <c r="E318" s="27" t="n"/>
      <c r="F318" s="27" t="n"/>
      <c r="G318" s="27" t="n"/>
      <c r="H318" s="27" t="n"/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n"/>
    </row>
    <row r="319">
      <c r="B319" s="27" t="n"/>
      <c r="C319" s="27" t="n"/>
      <c r="D319" s="27" t="n"/>
      <c r="E319" s="27" t="n"/>
      <c r="F319" s="27" t="n"/>
      <c r="G319" s="27" t="n"/>
      <c r="H319" s="27" t="n"/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n"/>
    </row>
    <row r="320">
      <c r="B320" s="27" t="n"/>
      <c r="C320" s="27" t="n"/>
      <c r="D320" s="27" t="n"/>
      <c r="E320" s="27" t="n"/>
      <c r="F320" s="27" t="n"/>
      <c r="G320" s="27" t="n"/>
      <c r="H320" s="27" t="n"/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n"/>
    </row>
    <row r="321"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</row>
    <row r="322">
      <c r="B322" s="27" t="n"/>
      <c r="C322" s="27" t="n"/>
      <c r="D322" s="27" t="n"/>
      <c r="E322" s="27" t="n"/>
      <c r="F322" s="27" t="n"/>
      <c r="G322" s="27" t="n"/>
      <c r="H322" s="27" t="n"/>
      <c r="I322" s="27" t="n"/>
      <c r="J322" s="27" t="n"/>
      <c r="K322" s="27" t="n"/>
      <c r="L322" s="27" t="n"/>
      <c r="M322" s="27" t="n"/>
      <c r="N322" s="27" t="n"/>
      <c r="O322" s="27" t="n"/>
      <c r="P322" s="27" t="n"/>
      <c r="Q322" s="27" t="n"/>
    </row>
    <row r="323">
      <c r="B323" s="27" t="n"/>
      <c r="C323" s="27" t="n"/>
      <c r="D323" s="27" t="n"/>
      <c r="E323" s="27" t="n"/>
      <c r="F323" s="27" t="n"/>
      <c r="G323" s="27" t="n"/>
      <c r="H323" s="27" t="n"/>
      <c r="I323" s="27" t="n"/>
      <c r="J323" s="27" t="n"/>
      <c r="K323" s="27" t="n"/>
      <c r="L323" s="27" t="n"/>
      <c r="M323" s="27" t="n"/>
      <c r="N323" s="27" t="n"/>
      <c r="O323" s="27" t="n"/>
      <c r="P323" s="27" t="n"/>
      <c r="Q323" s="27" t="n"/>
    </row>
    <row r="324">
      <c r="B324" s="27" t="n"/>
      <c r="C324" s="27" t="n"/>
      <c r="D324" s="27" t="n"/>
      <c r="E324" s="27" t="n"/>
      <c r="F324" s="27" t="n"/>
      <c r="G324" s="27" t="n"/>
      <c r="H324" s="27" t="n"/>
      <c r="I324" s="27" t="n"/>
      <c r="J324" s="27" t="n"/>
      <c r="K324" s="27" t="n"/>
      <c r="L324" s="27" t="n"/>
      <c r="M324" s="27" t="n"/>
      <c r="N324" s="27" t="n"/>
      <c r="O324" s="27" t="n"/>
      <c r="P324" s="27" t="n"/>
      <c r="Q324" s="27" t="n"/>
    </row>
    <row r="325">
      <c r="B325" s="27" t="n"/>
      <c r="C325" s="27" t="n"/>
      <c r="D325" s="27" t="n"/>
      <c r="E325" s="27" t="n"/>
      <c r="F325" s="27" t="n"/>
      <c r="G325" s="27" t="n"/>
      <c r="H325" s="27" t="n"/>
      <c r="I325" s="27" t="n"/>
      <c r="J325" s="27" t="n"/>
      <c r="K325" s="27" t="n"/>
      <c r="L325" s="27" t="n"/>
      <c r="M325" s="27" t="n"/>
      <c r="N325" s="27" t="n"/>
      <c r="O325" s="27" t="n"/>
      <c r="P325" s="27" t="n"/>
      <c r="Q325" s="27" t="n"/>
    </row>
    <row r="326">
      <c r="B326" s="27" t="n"/>
      <c r="C326" s="27" t="n"/>
      <c r="D326" s="27" t="n"/>
      <c r="E326" s="27" t="n"/>
      <c r="F326" s="27" t="n"/>
      <c r="G326" s="27" t="n"/>
      <c r="H326" s="27" t="n"/>
      <c r="I326" s="27" t="n"/>
      <c r="J326" s="27" t="n"/>
      <c r="K326" s="27" t="n"/>
      <c r="L326" s="27" t="n"/>
      <c r="M326" s="27" t="n"/>
      <c r="N326" s="27" t="n"/>
      <c r="O326" s="27" t="n"/>
      <c r="P326" s="27" t="n"/>
      <c r="Q326" s="27" t="n"/>
    </row>
    <row r="327">
      <c r="B327" s="27" t="n"/>
      <c r="C327" s="27" t="n"/>
      <c r="D327" s="27" t="n"/>
      <c r="E327" s="27" t="n"/>
      <c r="F327" s="27" t="n"/>
      <c r="G327" s="27" t="n"/>
      <c r="H327" s="27" t="n"/>
      <c r="I327" s="27" t="n"/>
      <c r="J327" s="27" t="n"/>
      <c r="K327" s="27" t="n"/>
      <c r="L327" s="27" t="n"/>
      <c r="M327" s="27" t="n"/>
      <c r="N327" s="27" t="n"/>
      <c r="O327" s="27" t="n"/>
      <c r="P327" s="27" t="n"/>
      <c r="Q327" s="27" t="n"/>
    </row>
    <row r="328">
      <c r="B328" s="27" t="n"/>
      <c r="C328" s="27" t="n"/>
      <c r="D328" s="27" t="n"/>
      <c r="E328" s="27" t="n"/>
      <c r="F328" s="27" t="n"/>
      <c r="G328" s="27" t="n"/>
      <c r="H328" s="27" t="n"/>
      <c r="I328" s="27" t="n"/>
      <c r="J328" s="27" t="n"/>
      <c r="K328" s="27" t="n"/>
      <c r="L328" s="27" t="n"/>
      <c r="M328" s="27" t="n"/>
      <c r="N328" s="27" t="n"/>
      <c r="O328" s="27" t="n"/>
      <c r="P328" s="27" t="n"/>
      <c r="Q328" s="27" t="n"/>
    </row>
    <row r="329">
      <c r="B329" s="27" t="n"/>
      <c r="C329" s="27" t="n"/>
      <c r="D329" s="27" t="n"/>
      <c r="E329" s="27" t="n"/>
      <c r="F329" s="27" t="n"/>
      <c r="G329" s="27" t="n"/>
      <c r="H329" s="27" t="n"/>
      <c r="I329" s="27" t="n"/>
      <c r="J329" s="27" t="n"/>
      <c r="K329" s="27" t="n"/>
      <c r="L329" s="27" t="n"/>
      <c r="M329" s="27" t="n"/>
      <c r="N329" s="27" t="n"/>
      <c r="O329" s="27" t="n"/>
      <c r="P329" s="27" t="n"/>
      <c r="Q329" s="27" t="n"/>
    </row>
    <row r="330">
      <c r="B330" s="27" t="n"/>
      <c r="C330" s="27" t="n"/>
      <c r="D330" s="27" t="n"/>
      <c r="E330" s="27" t="n"/>
      <c r="F330" s="27" t="n"/>
      <c r="G330" s="27" t="n"/>
      <c r="H330" s="27" t="n"/>
      <c r="I330" s="27" t="n"/>
      <c r="J330" s="27" t="n"/>
      <c r="K330" s="27" t="n"/>
      <c r="L330" s="27" t="n"/>
      <c r="M330" s="27" t="n"/>
      <c r="N330" s="27" t="n"/>
      <c r="O330" s="27" t="n"/>
      <c r="P330" s="27" t="n"/>
      <c r="Q330" s="27" t="n"/>
    </row>
    <row r="331">
      <c r="B331" s="27" t="n"/>
      <c r="C331" s="27" t="n"/>
      <c r="D331" s="27" t="n"/>
      <c r="E331" s="27" t="n"/>
      <c r="F331" s="27" t="n"/>
      <c r="G331" s="27" t="n"/>
      <c r="H331" s="27" t="n"/>
      <c r="I331" s="27" t="n"/>
      <c r="J331" s="27" t="n"/>
      <c r="K331" s="27" t="n"/>
      <c r="L331" s="27" t="n"/>
      <c r="M331" s="27" t="n"/>
      <c r="N331" s="27" t="n"/>
      <c r="O331" s="27" t="n"/>
      <c r="P331" s="27" t="n"/>
      <c r="Q331" s="27" t="n"/>
    </row>
    <row r="332">
      <c r="B332" s="27" t="n"/>
      <c r="C332" s="27" t="n"/>
      <c r="D332" s="27" t="n"/>
      <c r="E332" s="27" t="n"/>
      <c r="F332" s="27" t="n"/>
      <c r="G332" s="27" t="n"/>
      <c r="H332" s="27" t="n"/>
      <c r="I332" s="27" t="n"/>
      <c r="J332" s="27" t="n"/>
      <c r="K332" s="27" t="n"/>
      <c r="L332" s="27" t="n"/>
      <c r="M332" s="27" t="n"/>
      <c r="N332" s="27" t="n"/>
      <c r="O332" s="27" t="n"/>
      <c r="P332" s="27" t="n"/>
      <c r="Q332" s="27" t="n"/>
    </row>
    <row r="333">
      <c r="B333" s="27" t="n"/>
      <c r="C333" s="27" t="n"/>
      <c r="D333" s="27" t="n"/>
      <c r="E333" s="27" t="n"/>
      <c r="F333" s="27" t="n"/>
      <c r="G333" s="27" t="n"/>
      <c r="H333" s="27" t="n"/>
      <c r="I333" s="27" t="n"/>
      <c r="J333" s="27" t="n"/>
      <c r="K333" s="27" t="n"/>
      <c r="L333" s="27" t="n"/>
      <c r="M333" s="27" t="n"/>
      <c r="N333" s="27" t="n"/>
      <c r="O333" s="27" t="n"/>
      <c r="P333" s="27" t="n"/>
      <c r="Q333" s="27" t="n"/>
    </row>
    <row r="334">
      <c r="B334" s="27" t="n"/>
      <c r="C334" s="27" t="n"/>
      <c r="D334" s="27" t="n"/>
      <c r="E334" s="27" t="n"/>
      <c r="F334" s="27" t="n"/>
      <c r="G334" s="27" t="n"/>
      <c r="H334" s="27" t="n"/>
      <c r="I334" s="27" t="n"/>
      <c r="J334" s="27" t="n"/>
      <c r="K334" s="27" t="n"/>
      <c r="L334" s="27" t="n"/>
      <c r="M334" s="27" t="n"/>
      <c r="N334" s="27" t="n"/>
      <c r="O334" s="27" t="n"/>
      <c r="P334" s="27" t="n"/>
      <c r="Q334" s="27" t="n"/>
    </row>
    <row r="335">
      <c r="B335" s="27" t="n"/>
      <c r="C335" s="27" t="n"/>
      <c r="D335" s="27" t="n"/>
      <c r="E335" s="27" t="n"/>
      <c r="F335" s="27" t="n"/>
      <c r="G335" s="27" t="n"/>
      <c r="H335" s="27" t="n"/>
      <c r="I335" s="27" t="n"/>
      <c r="J335" s="27" t="n"/>
      <c r="K335" s="27" t="n"/>
      <c r="L335" s="27" t="n"/>
      <c r="M335" s="27" t="n"/>
      <c r="N335" s="27" t="n"/>
      <c r="O335" s="27" t="n"/>
      <c r="P335" s="27" t="n"/>
      <c r="Q335" s="27" t="n"/>
    </row>
    <row r="336">
      <c r="B336" s="27" t="n"/>
      <c r="C336" s="27" t="n"/>
      <c r="D336" s="27" t="n"/>
      <c r="E336" s="27" t="n"/>
      <c r="F336" s="27" t="n"/>
      <c r="G336" s="27" t="n"/>
      <c r="H336" s="27" t="n"/>
      <c r="I336" s="27" t="n"/>
      <c r="J336" s="27" t="n"/>
      <c r="K336" s="27" t="n"/>
      <c r="L336" s="27" t="n"/>
      <c r="M336" s="27" t="n"/>
      <c r="N336" s="27" t="n"/>
      <c r="O336" s="27" t="n"/>
      <c r="P336" s="27" t="n"/>
      <c r="Q336" s="27" t="n"/>
    </row>
    <row r="337">
      <c r="B337" s="27" t="n"/>
      <c r="C337" s="27" t="n"/>
      <c r="D337" s="27" t="n"/>
      <c r="E337" s="27" t="n"/>
      <c r="F337" s="27" t="n"/>
      <c r="G337" s="27" t="n"/>
      <c r="H337" s="27" t="n"/>
      <c r="I337" s="27" t="n"/>
      <c r="J337" s="27" t="n"/>
      <c r="K337" s="27" t="n"/>
      <c r="L337" s="27" t="n"/>
      <c r="M337" s="27" t="n"/>
      <c r="N337" s="27" t="n"/>
      <c r="O337" s="27" t="n"/>
      <c r="P337" s="27" t="n"/>
      <c r="Q337" s="27" t="n"/>
    </row>
    <row r="338">
      <c r="B338" s="27" t="n"/>
      <c r="C338" s="27" t="n"/>
      <c r="D338" s="27" t="n"/>
      <c r="E338" s="27" t="n"/>
      <c r="F338" s="27" t="n"/>
      <c r="G338" s="27" t="n"/>
      <c r="H338" s="27" t="n"/>
      <c r="I338" s="27" t="n"/>
      <c r="J338" s="27" t="n"/>
      <c r="K338" s="27" t="n"/>
      <c r="L338" s="27" t="n"/>
      <c r="M338" s="27" t="n"/>
      <c r="N338" s="27" t="n"/>
      <c r="O338" s="27" t="n"/>
      <c r="P338" s="27" t="n"/>
      <c r="Q338" s="27" t="n"/>
    </row>
    <row r="339">
      <c r="B339" s="27" t="n"/>
      <c r="C339" s="27" t="n"/>
      <c r="D339" s="27" t="n"/>
      <c r="E339" s="27" t="n"/>
      <c r="F339" s="27" t="n"/>
      <c r="G339" s="27" t="n"/>
      <c r="H339" s="27" t="n"/>
      <c r="I339" s="27" t="n"/>
      <c r="J339" s="27" t="n"/>
      <c r="K339" s="27" t="n"/>
      <c r="L339" s="27" t="n"/>
      <c r="M339" s="27" t="n"/>
      <c r="N339" s="27" t="n"/>
      <c r="O339" s="27" t="n"/>
      <c r="P339" s="27" t="n"/>
      <c r="Q339" s="27" t="n"/>
    </row>
    <row r="340">
      <c r="B340" s="27" t="n"/>
      <c r="C340" s="27" t="n"/>
      <c r="D340" s="27" t="n"/>
      <c r="E340" s="27" t="n"/>
      <c r="F340" s="27" t="n"/>
      <c r="G340" s="27" t="n"/>
      <c r="H340" s="27" t="n"/>
      <c r="I340" s="27" t="n"/>
      <c r="J340" s="27" t="n"/>
      <c r="K340" s="27" t="n"/>
      <c r="L340" s="27" t="n"/>
      <c r="M340" s="27" t="n"/>
      <c r="N340" s="27" t="n"/>
      <c r="O340" s="27" t="n"/>
      <c r="P340" s="27" t="n"/>
      <c r="Q340" s="27" t="n"/>
    </row>
    <row r="341">
      <c r="B341" s="27" t="n"/>
      <c r="C341" s="27" t="n"/>
      <c r="D341" s="27" t="n"/>
      <c r="E341" s="27" t="n"/>
      <c r="F341" s="27" t="n"/>
      <c r="G341" s="27" t="n"/>
      <c r="H341" s="27" t="n"/>
      <c r="I341" s="27" t="n"/>
      <c r="J341" s="27" t="n"/>
      <c r="K341" s="27" t="n"/>
      <c r="L341" s="27" t="n"/>
      <c r="M341" s="27" t="n"/>
      <c r="N341" s="27" t="n"/>
      <c r="O341" s="27" t="n"/>
      <c r="P341" s="27" t="n"/>
      <c r="Q341" s="27" t="n"/>
    </row>
    <row r="342">
      <c r="B342" s="27" t="n"/>
      <c r="C342" s="27" t="n"/>
      <c r="D342" s="27" t="n"/>
      <c r="E342" s="27" t="n"/>
      <c r="F342" s="27" t="n"/>
      <c r="G342" s="27" t="n"/>
      <c r="H342" s="27" t="n"/>
      <c r="I342" s="27" t="n"/>
      <c r="J342" s="27" t="n"/>
      <c r="K342" s="27" t="n"/>
      <c r="L342" s="27" t="n"/>
      <c r="M342" s="27" t="n"/>
      <c r="N342" s="27" t="n"/>
      <c r="O342" s="27" t="n"/>
      <c r="P342" s="27" t="n"/>
      <c r="Q342" s="27" t="n"/>
    </row>
    <row r="343">
      <c r="B343" s="27" t="n"/>
      <c r="C343" s="27" t="n"/>
      <c r="D343" s="27" t="n"/>
      <c r="E343" s="27" t="n"/>
      <c r="F343" s="27" t="n"/>
      <c r="G343" s="27" t="n"/>
      <c r="H343" s="27" t="n"/>
      <c r="I343" s="27" t="n"/>
      <c r="J343" s="27" t="n"/>
      <c r="K343" s="27" t="n"/>
      <c r="L343" s="27" t="n"/>
      <c r="M343" s="27" t="n"/>
      <c r="N343" s="27" t="n"/>
      <c r="O343" s="27" t="n"/>
      <c r="P343" s="27" t="n"/>
      <c r="Q343" s="27" t="n"/>
    </row>
    <row r="344">
      <c r="B344" s="27" t="n"/>
      <c r="C344" s="27" t="n"/>
      <c r="D344" s="27" t="n"/>
      <c r="E344" s="27" t="n"/>
      <c r="F344" s="27" t="n"/>
      <c r="G344" s="27" t="n"/>
      <c r="H344" s="27" t="n"/>
      <c r="I344" s="27" t="n"/>
      <c r="J344" s="27" t="n"/>
      <c r="K344" s="27" t="n"/>
      <c r="L344" s="27" t="n"/>
      <c r="M344" s="27" t="n"/>
      <c r="N344" s="27" t="n"/>
      <c r="O344" s="27" t="n"/>
      <c r="P344" s="27" t="n"/>
      <c r="Q344" s="27" t="n"/>
    </row>
    <row r="345">
      <c r="B345" s="27" t="n"/>
      <c r="C345" s="27" t="n"/>
      <c r="D345" s="27" t="n"/>
      <c r="E345" s="27" t="n"/>
      <c r="F345" s="27" t="n"/>
      <c r="G345" s="27" t="n"/>
      <c r="H345" s="27" t="n"/>
      <c r="I345" s="27" t="n"/>
      <c r="J345" s="27" t="n"/>
      <c r="K345" s="27" t="n"/>
      <c r="L345" s="27" t="n"/>
      <c r="M345" s="27" t="n"/>
      <c r="N345" s="27" t="n"/>
      <c r="O345" s="27" t="n"/>
      <c r="P345" s="27" t="n"/>
      <c r="Q345" s="27" t="n"/>
    </row>
    <row r="346">
      <c r="B346" s="27" t="n"/>
      <c r="C346" s="27" t="n"/>
      <c r="D346" s="27" t="n"/>
      <c r="E346" s="27" t="n"/>
      <c r="F346" s="27" t="n"/>
      <c r="G346" s="27" t="n"/>
      <c r="H346" s="27" t="n"/>
      <c r="I346" s="27" t="n"/>
      <c r="J346" s="27" t="n"/>
      <c r="K346" s="27" t="n"/>
      <c r="L346" s="27" t="n"/>
      <c r="M346" s="27" t="n"/>
      <c r="N346" s="27" t="n"/>
      <c r="O346" s="27" t="n"/>
      <c r="P346" s="27" t="n"/>
      <c r="Q346" s="27" t="n"/>
    </row>
    <row r="347">
      <c r="B347" s="27" t="n"/>
      <c r="C347" s="27" t="n"/>
      <c r="D347" s="27" t="n"/>
      <c r="E347" s="27" t="n"/>
      <c r="F347" s="27" t="n"/>
      <c r="G347" s="27" t="n"/>
      <c r="H347" s="27" t="n"/>
      <c r="I347" s="27" t="n"/>
      <c r="J347" s="27" t="n"/>
      <c r="K347" s="27" t="n"/>
      <c r="L347" s="27" t="n"/>
      <c r="M347" s="27" t="n"/>
      <c r="N347" s="27" t="n"/>
      <c r="O347" s="27" t="n"/>
      <c r="P347" s="27" t="n"/>
      <c r="Q347" s="27" t="n"/>
    </row>
    <row r="348">
      <c r="B348" s="27" t="n"/>
      <c r="C348" s="27" t="n"/>
      <c r="D348" s="27" t="n"/>
      <c r="E348" s="27" t="n"/>
      <c r="F348" s="27" t="n"/>
      <c r="G348" s="27" t="n"/>
      <c r="H348" s="27" t="n"/>
      <c r="I348" s="27" t="n"/>
      <c r="J348" s="27" t="n"/>
      <c r="K348" s="27" t="n"/>
      <c r="L348" s="27" t="n"/>
      <c r="M348" s="27" t="n"/>
      <c r="N348" s="27" t="n"/>
      <c r="O348" s="27" t="n"/>
      <c r="P348" s="27" t="n"/>
      <c r="Q348" s="27" t="n"/>
    </row>
    <row r="349">
      <c r="B349" s="27" t="n"/>
      <c r="C349" s="27" t="n"/>
      <c r="D349" s="27" t="n"/>
      <c r="E349" s="27" t="n"/>
      <c r="F349" s="27" t="n"/>
      <c r="G349" s="27" t="n"/>
      <c r="H349" s="27" t="n"/>
      <c r="I349" s="27" t="n"/>
      <c r="J349" s="27" t="n"/>
      <c r="K349" s="27" t="n"/>
      <c r="L349" s="27" t="n"/>
      <c r="M349" s="27" t="n"/>
      <c r="N349" s="27" t="n"/>
      <c r="O349" s="27" t="n"/>
      <c r="P349" s="27" t="n"/>
      <c r="Q349" s="27" t="n"/>
    </row>
    <row r="350">
      <c r="B350" s="27" t="n"/>
      <c r="C350" s="27" t="n"/>
      <c r="D350" s="27" t="n"/>
      <c r="E350" s="27" t="n"/>
      <c r="F350" s="27" t="n"/>
      <c r="G350" s="27" t="n"/>
      <c r="H350" s="27" t="n"/>
      <c r="I350" s="27" t="n"/>
      <c r="J350" s="27" t="n"/>
      <c r="K350" s="27" t="n"/>
      <c r="L350" s="27" t="n"/>
      <c r="M350" s="27" t="n"/>
      <c r="N350" s="27" t="n"/>
      <c r="O350" s="27" t="n"/>
      <c r="P350" s="27" t="n"/>
      <c r="Q350" s="27" t="n"/>
    </row>
    <row r="351">
      <c r="B351" s="27" t="n"/>
      <c r="C351" s="27" t="n"/>
      <c r="D351" s="27" t="n"/>
      <c r="E351" s="27" t="n"/>
      <c r="F351" s="27" t="n"/>
      <c r="G351" s="27" t="n"/>
      <c r="H351" s="27" t="n"/>
      <c r="I351" s="27" t="n"/>
      <c r="J351" s="27" t="n"/>
      <c r="K351" s="27" t="n"/>
      <c r="L351" s="27" t="n"/>
      <c r="M351" s="27" t="n"/>
      <c r="N351" s="27" t="n"/>
      <c r="O351" s="27" t="n"/>
      <c r="P351" s="27" t="n"/>
      <c r="Q351" s="27" t="n"/>
    </row>
    <row r="352">
      <c r="B352" s="27" t="n"/>
      <c r="C352" s="27" t="n"/>
      <c r="D352" s="27" t="n"/>
      <c r="E352" s="27" t="n"/>
      <c r="F352" s="27" t="n"/>
      <c r="G352" s="27" t="n"/>
      <c r="H352" s="27" t="n"/>
      <c r="I352" s="27" t="n"/>
      <c r="J352" s="27" t="n"/>
      <c r="K352" s="27" t="n"/>
      <c r="L352" s="27" t="n"/>
      <c r="M352" s="27" t="n"/>
      <c r="N352" s="27" t="n"/>
      <c r="O352" s="27" t="n"/>
      <c r="P352" s="27" t="n"/>
      <c r="Q352" s="27" t="n"/>
    </row>
    <row r="353">
      <c r="B353" s="27" t="n"/>
      <c r="C353" s="27" t="n"/>
      <c r="D353" s="27" t="n"/>
      <c r="E353" s="27" t="n"/>
      <c r="F353" s="27" t="n"/>
      <c r="G353" s="27" t="n"/>
      <c r="H353" s="27" t="n"/>
      <c r="I353" s="27" t="n"/>
      <c r="J353" s="27" t="n"/>
      <c r="K353" s="27" t="n"/>
      <c r="L353" s="27" t="n"/>
      <c r="M353" s="27" t="n"/>
      <c r="N353" s="27" t="n"/>
      <c r="O353" s="27" t="n"/>
      <c r="P353" s="27" t="n"/>
      <c r="Q353" s="27" t="n"/>
    </row>
    <row r="354">
      <c r="B354" s="27" t="n"/>
      <c r="C354" s="27" t="n"/>
      <c r="D354" s="27" t="n"/>
      <c r="E354" s="27" t="n"/>
      <c r="F354" s="27" t="n"/>
      <c r="G354" s="27" t="n"/>
      <c r="H354" s="27" t="n"/>
      <c r="I354" s="27" t="n"/>
      <c r="J354" s="27" t="n"/>
      <c r="K354" s="27" t="n"/>
      <c r="L354" s="27" t="n"/>
      <c r="M354" s="27" t="n"/>
      <c r="N354" s="27" t="n"/>
      <c r="O354" s="27" t="n"/>
      <c r="P354" s="27" t="n"/>
      <c r="Q354" s="27" t="n"/>
    </row>
    <row r="355">
      <c r="B355" s="27" t="n"/>
      <c r="C355" s="27" t="n"/>
      <c r="D355" s="27" t="n"/>
      <c r="E355" s="27" t="n"/>
      <c r="F355" s="27" t="n"/>
      <c r="G355" s="27" t="n"/>
      <c r="H355" s="27" t="n"/>
      <c r="I355" s="27" t="n"/>
      <c r="J355" s="27" t="n"/>
      <c r="K355" s="27" t="n"/>
      <c r="L355" s="27" t="n"/>
      <c r="M355" s="27" t="n"/>
      <c r="N355" s="27" t="n"/>
      <c r="O355" s="27" t="n"/>
      <c r="P355" s="27" t="n"/>
      <c r="Q355" s="27" t="n"/>
    </row>
    <row r="356">
      <c r="B356" s="27" t="n"/>
      <c r="C356" s="27" t="n"/>
      <c r="D356" s="27" t="n"/>
      <c r="E356" s="27" t="n"/>
      <c r="F356" s="27" t="n"/>
      <c r="G356" s="27" t="n"/>
      <c r="H356" s="27" t="n"/>
      <c r="I356" s="27" t="n"/>
      <c r="J356" s="27" t="n"/>
      <c r="K356" s="27" t="n"/>
      <c r="L356" s="27" t="n"/>
      <c r="M356" s="27" t="n"/>
      <c r="N356" s="27" t="n"/>
      <c r="O356" s="27" t="n"/>
      <c r="P356" s="27" t="n"/>
      <c r="Q356" s="27" t="n"/>
    </row>
    <row r="357">
      <c r="B357" s="27" t="n"/>
      <c r="C357" s="27" t="n"/>
      <c r="D357" s="27" t="n"/>
      <c r="E357" s="27" t="n"/>
      <c r="F357" s="27" t="n"/>
      <c r="G357" s="27" t="n"/>
      <c r="H357" s="27" t="n"/>
      <c r="I357" s="27" t="n"/>
      <c r="J357" s="27" t="n"/>
      <c r="K357" s="27" t="n"/>
      <c r="L357" s="27" t="n"/>
      <c r="M357" s="27" t="n"/>
      <c r="N357" s="27" t="n"/>
      <c r="O357" s="27" t="n"/>
      <c r="P357" s="27" t="n"/>
      <c r="Q357" s="27" t="n"/>
    </row>
    <row r="358">
      <c r="B358" s="27" t="n"/>
      <c r="C358" s="27" t="n"/>
      <c r="D358" s="27" t="n"/>
      <c r="E358" s="27" t="n"/>
      <c r="F358" s="27" t="n"/>
      <c r="G358" s="27" t="n"/>
      <c r="H358" s="27" t="n"/>
      <c r="I358" s="27" t="n"/>
      <c r="J358" s="27" t="n"/>
      <c r="K358" s="27" t="n"/>
      <c r="L358" s="27" t="n"/>
      <c r="M358" s="27" t="n"/>
      <c r="N358" s="27" t="n"/>
      <c r="O358" s="27" t="n"/>
      <c r="P358" s="27" t="n"/>
      <c r="Q358" s="27" t="n"/>
    </row>
    <row r="359">
      <c r="B359" s="27" t="n"/>
      <c r="C359" s="27" t="n"/>
      <c r="D359" s="27" t="n"/>
      <c r="E359" s="27" t="n"/>
      <c r="F359" s="27" t="n"/>
      <c r="G359" s="27" t="n"/>
      <c r="H359" s="27" t="n"/>
      <c r="I359" s="27" t="n"/>
      <c r="J359" s="27" t="n"/>
      <c r="K359" s="27" t="n"/>
      <c r="L359" s="27" t="n"/>
      <c r="M359" s="27" t="n"/>
      <c r="N359" s="27" t="n"/>
      <c r="O359" s="27" t="n"/>
      <c r="P359" s="27" t="n"/>
      <c r="Q359" s="27" t="n"/>
    </row>
    <row r="360">
      <c r="B360" s="27" t="n"/>
      <c r="C360" s="27" t="n"/>
      <c r="D360" s="27" t="n"/>
      <c r="E360" s="27" t="n"/>
      <c r="F360" s="27" t="n"/>
      <c r="G360" s="27" t="n"/>
      <c r="H360" s="27" t="n"/>
      <c r="I360" s="27" t="n"/>
      <c r="J360" s="27" t="n"/>
      <c r="K360" s="27" t="n"/>
      <c r="L360" s="27" t="n"/>
      <c r="M360" s="27" t="n"/>
      <c r="N360" s="27" t="n"/>
      <c r="O360" s="27" t="n"/>
      <c r="P360" s="27" t="n"/>
      <c r="Q360" s="27" t="n"/>
    </row>
    <row r="361"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</row>
    <row r="362">
      <c r="B362" s="27" t="n"/>
      <c r="C362" s="27" t="n"/>
      <c r="D362" s="27" t="n"/>
      <c r="E362" s="27" t="n"/>
      <c r="F362" s="27" t="n"/>
      <c r="G362" s="27" t="n"/>
      <c r="H362" s="27" t="n"/>
      <c r="I362" s="27" t="n"/>
      <c r="J362" s="27" t="n"/>
      <c r="K362" s="27" t="n"/>
      <c r="L362" s="27" t="n"/>
      <c r="M362" s="27" t="n"/>
      <c r="N362" s="27" t="n"/>
      <c r="O362" s="27" t="n"/>
      <c r="P362" s="27" t="n"/>
      <c r="Q362" s="27" t="n"/>
    </row>
    <row r="363">
      <c r="B363" s="27" t="n"/>
      <c r="C363" s="27" t="n"/>
      <c r="D363" s="27" t="n"/>
      <c r="E363" s="27" t="n"/>
      <c r="F363" s="27" t="n"/>
      <c r="G363" s="27" t="n"/>
      <c r="H363" s="27" t="n"/>
      <c r="I363" s="27" t="n"/>
      <c r="J363" s="27" t="n"/>
      <c r="K363" s="27" t="n"/>
      <c r="L363" s="27" t="n"/>
      <c r="M363" s="27" t="n"/>
      <c r="N363" s="27" t="n"/>
      <c r="O363" s="27" t="n"/>
      <c r="P363" s="27" t="n"/>
      <c r="Q363" s="27" t="n"/>
    </row>
    <row r="364">
      <c r="B364" s="27" t="n"/>
      <c r="C364" s="27" t="n"/>
      <c r="D364" s="27" t="n"/>
      <c r="E364" s="27" t="n"/>
      <c r="F364" s="27" t="n"/>
      <c r="G364" s="27" t="n"/>
      <c r="H364" s="27" t="n"/>
      <c r="I364" s="27" t="n"/>
      <c r="J364" s="27" t="n"/>
      <c r="K364" s="27" t="n"/>
      <c r="L364" s="27" t="n"/>
      <c r="M364" s="27" t="n"/>
      <c r="N364" s="27" t="n"/>
      <c r="O364" s="27" t="n"/>
      <c r="P364" s="27" t="n"/>
      <c r="Q364" s="27" t="n"/>
    </row>
    <row r="365">
      <c r="B365" s="27" t="n"/>
      <c r="C365" s="27" t="n"/>
      <c r="D365" s="27" t="n"/>
      <c r="E365" s="27" t="n"/>
      <c r="F365" s="27" t="n"/>
      <c r="G365" s="27" t="n"/>
      <c r="H365" s="27" t="n"/>
      <c r="I365" s="27" t="n"/>
      <c r="J365" s="27" t="n"/>
      <c r="K365" s="27" t="n"/>
      <c r="L365" s="27" t="n"/>
      <c r="M365" s="27" t="n"/>
      <c r="N365" s="27" t="n"/>
      <c r="O365" s="27" t="n"/>
      <c r="P365" s="27" t="n"/>
      <c r="Q365" s="27" t="n"/>
    </row>
    <row r="366">
      <c r="B366" s="27" t="n"/>
      <c r="C366" s="27" t="n"/>
      <c r="D366" s="27" t="n"/>
      <c r="E366" s="27" t="n"/>
      <c r="F366" s="27" t="n"/>
      <c r="G366" s="27" t="n"/>
      <c r="H366" s="27" t="n"/>
      <c r="I366" s="27" t="n"/>
      <c r="J366" s="27" t="n"/>
      <c r="K366" s="27" t="n"/>
      <c r="L366" s="27" t="n"/>
      <c r="M366" s="27" t="n"/>
      <c r="N366" s="27" t="n"/>
      <c r="O366" s="27" t="n"/>
      <c r="P366" s="27" t="n"/>
      <c r="Q366" s="27" t="n"/>
    </row>
    <row r="367">
      <c r="B367" s="27" t="n"/>
      <c r="C367" s="27" t="n"/>
      <c r="D367" s="27" t="n"/>
      <c r="E367" s="27" t="n"/>
      <c r="F367" s="27" t="n"/>
      <c r="G367" s="27" t="n"/>
      <c r="H367" s="27" t="n"/>
      <c r="I367" s="27" t="n"/>
      <c r="J367" s="27" t="n"/>
      <c r="K367" s="27" t="n"/>
      <c r="L367" s="27" t="n"/>
      <c r="M367" s="27" t="n"/>
      <c r="N367" s="27" t="n"/>
      <c r="O367" s="27" t="n"/>
      <c r="P367" s="27" t="n"/>
      <c r="Q367" s="27" t="n"/>
    </row>
    <row r="368">
      <c r="B368" s="27" t="n"/>
      <c r="C368" s="27" t="n"/>
      <c r="D368" s="27" t="n"/>
      <c r="E368" s="27" t="n"/>
      <c r="F368" s="27" t="n"/>
      <c r="G368" s="27" t="n"/>
      <c r="H368" s="27" t="n"/>
      <c r="I368" s="27" t="n"/>
      <c r="J368" s="27" t="n"/>
      <c r="K368" s="27" t="n"/>
      <c r="L368" s="27" t="n"/>
      <c r="M368" s="27" t="n"/>
      <c r="N368" s="27" t="n"/>
      <c r="O368" s="27" t="n"/>
      <c r="P368" s="27" t="n"/>
      <c r="Q368" s="27" t="n"/>
    </row>
    <row r="369">
      <c r="B369" s="27" t="n"/>
      <c r="C369" s="27" t="n"/>
      <c r="D369" s="27" t="n"/>
      <c r="E369" s="27" t="n"/>
      <c r="F369" s="27" t="n"/>
      <c r="G369" s="27" t="n"/>
      <c r="H369" s="27" t="n"/>
      <c r="I369" s="27" t="n"/>
      <c r="J369" s="27" t="n"/>
      <c r="K369" s="27" t="n"/>
      <c r="L369" s="27" t="n"/>
      <c r="M369" s="27" t="n"/>
      <c r="N369" s="27" t="n"/>
      <c r="O369" s="27" t="n"/>
      <c r="P369" s="27" t="n"/>
      <c r="Q369" s="27" t="n"/>
    </row>
    <row r="370">
      <c r="B370" s="27" t="n"/>
      <c r="C370" s="27" t="n"/>
      <c r="D370" s="27" t="n"/>
      <c r="E370" s="27" t="n"/>
      <c r="F370" s="27" t="n"/>
      <c r="G370" s="27" t="n"/>
      <c r="H370" s="27" t="n"/>
      <c r="I370" s="27" t="n"/>
      <c r="J370" s="27" t="n"/>
      <c r="K370" s="27" t="n"/>
      <c r="L370" s="27" t="n"/>
      <c r="M370" s="27" t="n"/>
      <c r="N370" s="27" t="n"/>
      <c r="O370" s="27" t="n"/>
      <c r="P370" s="27" t="n"/>
      <c r="Q370" s="27" t="n"/>
    </row>
    <row r="371">
      <c r="B371" s="27" t="n"/>
      <c r="C371" s="27" t="n"/>
      <c r="D371" s="27" t="n"/>
      <c r="E371" s="27" t="n"/>
      <c r="F371" s="27" t="n"/>
      <c r="G371" s="27" t="n"/>
      <c r="H371" s="27" t="n"/>
      <c r="I371" s="27" t="n"/>
      <c r="J371" s="27" t="n"/>
      <c r="K371" s="27" t="n"/>
      <c r="L371" s="27" t="n"/>
      <c r="M371" s="27" t="n"/>
      <c r="N371" s="27" t="n"/>
      <c r="O371" s="27" t="n"/>
      <c r="P371" s="27" t="n"/>
      <c r="Q371" s="27" t="n"/>
    </row>
    <row r="372">
      <c r="B372" s="27" t="n"/>
      <c r="C372" s="27" t="n"/>
      <c r="D372" s="27" t="n"/>
      <c r="E372" s="27" t="n"/>
      <c r="F372" s="27" t="n"/>
      <c r="G372" s="27" t="n"/>
      <c r="H372" s="27" t="n"/>
      <c r="I372" s="27" t="n"/>
      <c r="J372" s="27" t="n"/>
      <c r="K372" s="27" t="n"/>
      <c r="L372" s="27" t="n"/>
      <c r="M372" s="27" t="n"/>
      <c r="N372" s="27" t="n"/>
      <c r="O372" s="27" t="n"/>
      <c r="P372" s="27" t="n"/>
      <c r="Q372" s="27" t="n"/>
    </row>
    <row r="373">
      <c r="B373" s="27" t="n"/>
      <c r="C373" s="27" t="n"/>
      <c r="D373" s="27" t="n"/>
      <c r="E373" s="27" t="n"/>
      <c r="F373" s="27" t="n"/>
      <c r="G373" s="27" t="n"/>
      <c r="H373" s="27" t="n"/>
      <c r="I373" s="27" t="n"/>
      <c r="J373" s="27" t="n"/>
      <c r="K373" s="27" t="n"/>
      <c r="L373" s="27" t="n"/>
      <c r="M373" s="27" t="n"/>
      <c r="N373" s="27" t="n"/>
      <c r="O373" s="27" t="n"/>
      <c r="P373" s="27" t="n"/>
      <c r="Q373" s="27" t="n"/>
    </row>
    <row r="374">
      <c r="B374" s="27" t="n"/>
      <c r="C374" s="27" t="n"/>
      <c r="D374" s="27" t="n"/>
      <c r="E374" s="27" t="n"/>
      <c r="F374" s="27" t="n"/>
      <c r="G374" s="27" t="n"/>
      <c r="H374" s="27" t="n"/>
      <c r="I374" s="27" t="n"/>
      <c r="J374" s="27" t="n"/>
      <c r="K374" s="27" t="n"/>
      <c r="L374" s="27" t="n"/>
      <c r="M374" s="27" t="n"/>
      <c r="N374" s="27" t="n"/>
      <c r="O374" s="27" t="n"/>
      <c r="P374" s="27" t="n"/>
      <c r="Q374" s="27" t="n"/>
    </row>
    <row r="375">
      <c r="B375" s="27" t="n"/>
      <c r="C375" s="27" t="n"/>
      <c r="D375" s="27" t="n"/>
      <c r="E375" s="27" t="n"/>
      <c r="F375" s="27" t="n"/>
      <c r="G375" s="27" t="n"/>
      <c r="H375" s="27" t="n"/>
      <c r="I375" s="27" t="n"/>
      <c r="J375" s="27" t="n"/>
      <c r="K375" s="27" t="n"/>
      <c r="L375" s="27" t="n"/>
      <c r="M375" s="27" t="n"/>
      <c r="N375" s="27" t="n"/>
      <c r="O375" s="27" t="n"/>
      <c r="P375" s="27" t="n"/>
      <c r="Q375" s="27" t="n"/>
    </row>
    <row r="376">
      <c r="B376" s="27" t="n"/>
      <c r="C376" s="27" t="n"/>
      <c r="D376" s="27" t="n"/>
      <c r="E376" s="27" t="n"/>
      <c r="F376" s="27" t="n"/>
      <c r="G376" s="27" t="n"/>
      <c r="H376" s="27" t="n"/>
      <c r="I376" s="27" t="n"/>
      <c r="J376" s="27" t="n"/>
      <c r="K376" s="27" t="n"/>
      <c r="L376" s="27" t="n"/>
      <c r="M376" s="27" t="n"/>
      <c r="N376" s="27" t="n"/>
      <c r="O376" s="27" t="n"/>
      <c r="P376" s="27" t="n"/>
      <c r="Q376" s="27" t="n"/>
    </row>
    <row r="377">
      <c r="B377" s="27" t="n"/>
      <c r="C377" s="27" t="n"/>
      <c r="D377" s="27" t="n"/>
      <c r="E377" s="27" t="n"/>
      <c r="F377" s="27" t="n"/>
      <c r="G377" s="27" t="n"/>
      <c r="H377" s="27" t="n"/>
      <c r="I377" s="27" t="n"/>
      <c r="J377" s="27" t="n"/>
      <c r="K377" s="27" t="n"/>
      <c r="L377" s="27" t="n"/>
      <c r="M377" s="27" t="n"/>
      <c r="N377" s="27" t="n"/>
      <c r="O377" s="27" t="n"/>
      <c r="P377" s="27" t="n"/>
      <c r="Q377" s="27" t="n"/>
    </row>
    <row r="378">
      <c r="B378" s="27" t="n"/>
      <c r="C378" s="27" t="n"/>
      <c r="D378" s="27" t="n"/>
      <c r="E378" s="27" t="n"/>
      <c r="F378" s="27" t="n"/>
      <c r="G378" s="27" t="n"/>
      <c r="H378" s="27" t="n"/>
      <c r="I378" s="27" t="n"/>
      <c r="J378" s="27" t="n"/>
      <c r="K378" s="27" t="n"/>
      <c r="L378" s="27" t="n"/>
      <c r="M378" s="27" t="n"/>
      <c r="N378" s="27" t="n"/>
      <c r="O378" s="27" t="n"/>
      <c r="P378" s="27" t="n"/>
      <c r="Q378" s="27" t="n"/>
    </row>
    <row r="379">
      <c r="B379" s="27" t="n"/>
      <c r="C379" s="27" t="n"/>
      <c r="D379" s="27" t="n"/>
      <c r="E379" s="27" t="n"/>
      <c r="F379" s="27" t="n"/>
      <c r="G379" s="27" t="n"/>
      <c r="H379" s="27" t="n"/>
      <c r="I379" s="27" t="n"/>
      <c r="J379" s="27" t="n"/>
      <c r="K379" s="27" t="n"/>
      <c r="L379" s="27" t="n"/>
      <c r="M379" s="27" t="n"/>
      <c r="N379" s="27" t="n"/>
      <c r="O379" s="27" t="n"/>
      <c r="P379" s="27" t="n"/>
      <c r="Q379" s="27" t="n"/>
    </row>
    <row r="380">
      <c r="B380" s="27" t="n"/>
      <c r="C380" s="27" t="n"/>
      <c r="D380" s="27" t="n"/>
      <c r="E380" s="27" t="n"/>
      <c r="F380" s="27" t="n"/>
      <c r="G380" s="27" t="n"/>
      <c r="H380" s="27" t="n"/>
      <c r="I380" s="27" t="n"/>
      <c r="J380" s="27" t="n"/>
      <c r="K380" s="27" t="n"/>
      <c r="L380" s="27" t="n"/>
      <c r="M380" s="27" t="n"/>
      <c r="N380" s="27" t="n"/>
      <c r="O380" s="27" t="n"/>
      <c r="P380" s="27" t="n"/>
      <c r="Q380" s="27" t="n"/>
    </row>
    <row r="381">
      <c r="B381" s="27" t="n"/>
      <c r="C381" s="27" t="n"/>
      <c r="D381" s="27" t="n"/>
      <c r="E381" s="27" t="n"/>
      <c r="F381" s="27" t="n"/>
      <c r="G381" s="27" t="n"/>
      <c r="H381" s="27" t="n"/>
      <c r="I381" s="27" t="n"/>
      <c r="J381" s="27" t="n"/>
      <c r="K381" s="27" t="n"/>
      <c r="L381" s="27" t="n"/>
      <c r="M381" s="27" t="n"/>
      <c r="N381" s="27" t="n"/>
      <c r="O381" s="27" t="n"/>
      <c r="P381" s="27" t="n"/>
      <c r="Q381" s="27" t="n"/>
    </row>
    <row r="382">
      <c r="B382" s="27" t="n"/>
      <c r="C382" s="27" t="n"/>
      <c r="D382" s="27" t="n"/>
      <c r="E382" s="27" t="n"/>
      <c r="F382" s="27" t="n"/>
      <c r="G382" s="27" t="n"/>
      <c r="H382" s="27" t="n"/>
      <c r="I382" s="27" t="n"/>
      <c r="J382" s="27" t="n"/>
      <c r="K382" s="27" t="n"/>
      <c r="L382" s="27" t="n"/>
      <c r="M382" s="27" t="n"/>
      <c r="N382" s="27" t="n"/>
      <c r="O382" s="27" t="n"/>
      <c r="P382" s="27" t="n"/>
      <c r="Q382" s="27" t="n"/>
    </row>
    <row r="383">
      <c r="B383" s="27" t="n"/>
      <c r="C383" s="27" t="n"/>
      <c r="D383" s="27" t="n"/>
      <c r="E383" s="27" t="n"/>
      <c r="F383" s="27" t="n"/>
      <c r="G383" s="27" t="n"/>
      <c r="H383" s="27" t="n"/>
      <c r="I383" s="27" t="n"/>
      <c r="J383" s="27" t="n"/>
      <c r="K383" s="27" t="n"/>
      <c r="L383" s="27" t="n"/>
      <c r="M383" s="27" t="n"/>
      <c r="N383" s="27" t="n"/>
      <c r="O383" s="27" t="n"/>
      <c r="P383" s="27" t="n"/>
      <c r="Q383" s="27" t="n"/>
    </row>
    <row r="384">
      <c r="B384" s="27" t="n"/>
      <c r="C384" s="27" t="n"/>
      <c r="D384" s="27" t="n"/>
      <c r="E384" s="27" t="n"/>
      <c r="F384" s="27" t="n"/>
      <c r="G384" s="27" t="n"/>
      <c r="H384" s="27" t="n"/>
      <c r="I384" s="27" t="n"/>
      <c r="J384" s="27" t="n"/>
      <c r="K384" s="27" t="n"/>
      <c r="L384" s="27" t="n"/>
      <c r="M384" s="27" t="n"/>
      <c r="N384" s="27" t="n"/>
      <c r="O384" s="27" t="n"/>
      <c r="P384" s="27" t="n"/>
      <c r="Q384" s="27" t="n"/>
    </row>
    <row r="385">
      <c r="B385" s="27" t="n"/>
      <c r="C385" s="27" t="n"/>
      <c r="D385" s="27" t="n"/>
      <c r="E385" s="27" t="n"/>
      <c r="F385" s="27" t="n"/>
      <c r="G385" s="27" t="n"/>
      <c r="H385" s="27" t="n"/>
      <c r="I385" s="27" t="n"/>
      <c r="J385" s="27" t="n"/>
      <c r="K385" s="27" t="n"/>
      <c r="L385" s="27" t="n"/>
      <c r="M385" s="27" t="n"/>
      <c r="N385" s="27" t="n"/>
      <c r="O385" s="27" t="n"/>
      <c r="P385" s="27" t="n"/>
      <c r="Q385" s="27" t="n"/>
    </row>
    <row r="386">
      <c r="B386" s="27" t="n"/>
      <c r="C386" s="27" t="n"/>
      <c r="D386" s="27" t="n"/>
      <c r="E386" s="27" t="n"/>
      <c r="F386" s="27" t="n"/>
      <c r="G386" s="27" t="n"/>
      <c r="H386" s="27" t="n"/>
      <c r="I386" s="27" t="n"/>
      <c r="J386" s="27" t="n"/>
      <c r="K386" s="27" t="n"/>
      <c r="L386" s="27" t="n"/>
      <c r="M386" s="27" t="n"/>
      <c r="N386" s="27" t="n"/>
      <c r="O386" s="27" t="n"/>
      <c r="P386" s="27" t="n"/>
      <c r="Q386" s="27" t="n"/>
    </row>
    <row r="387">
      <c r="B387" s="27" t="n"/>
      <c r="C387" s="27" t="n"/>
      <c r="D387" s="27" t="n"/>
      <c r="E387" s="27" t="n"/>
      <c r="F387" s="27" t="n"/>
      <c r="G387" s="27" t="n"/>
      <c r="H387" s="27" t="n"/>
      <c r="I387" s="27" t="n"/>
      <c r="J387" s="27" t="n"/>
      <c r="K387" s="27" t="n"/>
      <c r="L387" s="27" t="n"/>
      <c r="M387" s="27" t="n"/>
      <c r="N387" s="27" t="n"/>
      <c r="O387" s="27" t="n"/>
      <c r="P387" s="27" t="n"/>
      <c r="Q387" s="27" t="n"/>
    </row>
    <row r="388">
      <c r="B388" s="27" t="n"/>
      <c r="C388" s="27" t="n"/>
      <c r="D388" s="27" t="n"/>
      <c r="E388" s="27" t="n"/>
      <c r="F388" s="27" t="n"/>
      <c r="G388" s="27" t="n"/>
      <c r="H388" s="27" t="n"/>
      <c r="I388" s="27" t="n"/>
      <c r="J388" s="27" t="n"/>
      <c r="K388" s="27" t="n"/>
      <c r="L388" s="27" t="n"/>
      <c r="M388" s="27" t="n"/>
      <c r="N388" s="27" t="n"/>
      <c r="O388" s="27" t="n"/>
      <c r="P388" s="27" t="n"/>
      <c r="Q388" s="27" t="n"/>
    </row>
    <row r="389">
      <c r="B389" s="27" t="n"/>
      <c r="C389" s="27" t="n"/>
      <c r="D389" s="27" t="n"/>
      <c r="E389" s="27" t="n"/>
      <c r="F389" s="27" t="n"/>
      <c r="G389" s="27" t="n"/>
      <c r="H389" s="27" t="n"/>
      <c r="I389" s="27" t="n"/>
      <c r="J389" s="27" t="n"/>
      <c r="K389" s="27" t="n"/>
      <c r="L389" s="27" t="n"/>
      <c r="M389" s="27" t="n"/>
      <c r="N389" s="27" t="n"/>
      <c r="O389" s="27" t="n"/>
      <c r="P389" s="27" t="n"/>
      <c r="Q389" s="27" t="n"/>
    </row>
    <row r="390">
      <c r="B390" s="27" t="n"/>
      <c r="C390" s="27" t="n"/>
      <c r="D390" s="27" t="n"/>
      <c r="E390" s="27" t="n"/>
      <c r="F390" s="27" t="n"/>
      <c r="G390" s="27" t="n"/>
      <c r="H390" s="27" t="n"/>
      <c r="I390" s="27" t="n"/>
      <c r="J390" s="27" t="n"/>
      <c r="K390" s="27" t="n"/>
      <c r="L390" s="27" t="n"/>
      <c r="M390" s="27" t="n"/>
      <c r="N390" s="27" t="n"/>
      <c r="O390" s="27" t="n"/>
      <c r="P390" s="27" t="n"/>
      <c r="Q390" s="27" t="n"/>
    </row>
    <row r="391">
      <c r="B391" s="27" t="n"/>
      <c r="C391" s="27" t="n"/>
      <c r="D391" s="27" t="n"/>
      <c r="E391" s="27" t="n"/>
      <c r="F391" s="27" t="n"/>
      <c r="G391" s="27" t="n"/>
      <c r="H391" s="27" t="n"/>
      <c r="I391" s="27" t="n"/>
      <c r="J391" s="27" t="n"/>
      <c r="K391" s="27" t="n"/>
      <c r="L391" s="27" t="n"/>
      <c r="M391" s="27" t="n"/>
      <c r="N391" s="27" t="n"/>
      <c r="O391" s="27" t="n"/>
      <c r="P391" s="27" t="n"/>
      <c r="Q391" s="27" t="n"/>
    </row>
    <row r="392">
      <c r="B392" s="27" t="n"/>
      <c r="C392" s="27" t="n"/>
      <c r="D392" s="27" t="n"/>
      <c r="E392" s="27" t="n"/>
      <c r="F392" s="27" t="n"/>
      <c r="G392" s="27" t="n"/>
      <c r="H392" s="27" t="n"/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n"/>
    </row>
    <row r="393">
      <c r="B393" s="27" t="n"/>
      <c r="C393" s="27" t="n"/>
      <c r="D393" s="27" t="n"/>
      <c r="E393" s="27" t="n"/>
      <c r="F393" s="27" t="n"/>
      <c r="G393" s="27" t="n"/>
      <c r="H393" s="27" t="n"/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n"/>
    </row>
    <row r="394">
      <c r="B394" s="27" t="n"/>
      <c r="C394" s="27" t="n"/>
      <c r="D394" s="27" t="n"/>
      <c r="E394" s="27" t="n"/>
      <c r="F394" s="27" t="n"/>
      <c r="G394" s="27" t="n"/>
      <c r="H394" s="27" t="n"/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n"/>
    </row>
    <row r="395">
      <c r="B395" s="27" t="n"/>
      <c r="C395" s="27" t="n"/>
      <c r="D395" s="27" t="n"/>
      <c r="E395" s="27" t="n"/>
      <c r="F395" s="27" t="n"/>
      <c r="G395" s="27" t="n"/>
      <c r="H395" s="27" t="n"/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n"/>
    </row>
    <row r="396">
      <c r="B396" s="27" t="n"/>
      <c r="C396" s="27" t="n"/>
      <c r="D396" s="27" t="n"/>
      <c r="E396" s="27" t="n"/>
      <c r="F396" s="27" t="n"/>
      <c r="G396" s="27" t="n"/>
      <c r="H396" s="27" t="n"/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n"/>
    </row>
    <row r="397">
      <c r="B397" s="27" t="n"/>
      <c r="C397" s="27" t="n"/>
      <c r="D397" s="27" t="n"/>
      <c r="E397" s="27" t="n"/>
      <c r="F397" s="27" t="n"/>
      <c r="G397" s="27" t="n"/>
      <c r="H397" s="27" t="n"/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n"/>
    </row>
    <row r="398">
      <c r="B398" s="27" t="n"/>
      <c r="C398" s="27" t="n"/>
      <c r="D398" s="27" t="n"/>
      <c r="E398" s="27" t="n"/>
      <c r="F398" s="27" t="n"/>
      <c r="G398" s="27" t="n"/>
      <c r="H398" s="27" t="n"/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n"/>
    </row>
    <row r="399">
      <c r="B399" s="27" t="n"/>
      <c r="C399" s="27" t="n"/>
      <c r="D399" s="27" t="n"/>
      <c r="E399" s="27" t="n"/>
      <c r="F399" s="27" t="n"/>
      <c r="G399" s="27" t="n"/>
      <c r="H399" s="27" t="n"/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n"/>
    </row>
    <row r="400">
      <c r="B400" s="27" t="n"/>
      <c r="C400" s="27" t="n"/>
      <c r="D400" s="27" t="n"/>
      <c r="E400" s="27" t="n"/>
      <c r="F400" s="27" t="n"/>
      <c r="G400" s="27" t="n"/>
      <c r="H400" s="27" t="n"/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n"/>
    </row>
    <row r="401"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</row>
    <row r="402">
      <c r="B402" s="27" t="n"/>
      <c r="C402" s="27" t="n"/>
      <c r="D402" s="27" t="n"/>
      <c r="E402" s="27" t="n"/>
      <c r="F402" s="27" t="n"/>
      <c r="G402" s="27" t="n"/>
      <c r="H402" s="27" t="n"/>
      <c r="I402" s="27" t="n"/>
      <c r="J402" s="27" t="n"/>
      <c r="K402" s="27" t="n"/>
      <c r="L402" s="27" t="n"/>
      <c r="M402" s="27" t="n"/>
      <c r="N402" s="27" t="n"/>
      <c r="O402" s="27" t="n"/>
      <c r="P402" s="27" t="n"/>
      <c r="Q402" s="27" t="n"/>
    </row>
    <row r="403">
      <c r="B403" s="27" t="n"/>
      <c r="C403" s="27" t="n"/>
      <c r="D403" s="27" t="n"/>
      <c r="E403" s="27" t="n"/>
      <c r="F403" s="27" t="n"/>
      <c r="G403" s="27" t="n"/>
      <c r="H403" s="27" t="n"/>
      <c r="I403" s="27" t="n"/>
      <c r="J403" s="27" t="n"/>
      <c r="K403" s="27" t="n"/>
      <c r="L403" s="27" t="n"/>
      <c r="M403" s="27" t="n"/>
      <c r="N403" s="27" t="n"/>
      <c r="O403" s="27" t="n"/>
      <c r="P403" s="27" t="n"/>
      <c r="Q403" s="27" t="n"/>
    </row>
    <row r="404">
      <c r="B404" s="27" t="n"/>
      <c r="C404" s="27" t="n"/>
      <c r="D404" s="27" t="n"/>
      <c r="E404" s="27" t="n"/>
      <c r="F404" s="27" t="n"/>
      <c r="G404" s="27" t="n"/>
      <c r="H404" s="27" t="n"/>
      <c r="I404" s="27" t="n"/>
      <c r="J404" s="27" t="n"/>
      <c r="K404" s="27" t="n"/>
      <c r="L404" s="27" t="n"/>
      <c r="M404" s="27" t="n"/>
      <c r="N404" s="27" t="n"/>
      <c r="O404" s="27" t="n"/>
      <c r="P404" s="27" t="n"/>
      <c r="Q404" s="27" t="n"/>
    </row>
    <row r="405">
      <c r="B405" s="27" t="n"/>
      <c r="C405" s="27" t="n"/>
      <c r="D405" s="27" t="n"/>
      <c r="E405" s="27" t="n"/>
      <c r="F405" s="27" t="n"/>
      <c r="G405" s="27" t="n"/>
      <c r="H405" s="27" t="n"/>
      <c r="I405" s="27" t="n"/>
      <c r="J405" s="27" t="n"/>
      <c r="K405" s="27" t="n"/>
      <c r="L405" s="27" t="n"/>
      <c r="M405" s="27" t="n"/>
      <c r="N405" s="27" t="n"/>
      <c r="O405" s="27" t="n"/>
      <c r="P405" s="27" t="n"/>
      <c r="Q405" s="27" t="n"/>
    </row>
    <row r="406">
      <c r="B406" s="27" t="n"/>
      <c r="C406" s="27" t="n"/>
      <c r="D406" s="27" t="n"/>
      <c r="E406" s="27" t="n"/>
      <c r="F406" s="27" t="n"/>
      <c r="G406" s="27" t="n"/>
      <c r="H406" s="27" t="n"/>
      <c r="I406" s="27" t="n"/>
      <c r="J406" s="27" t="n"/>
      <c r="K406" s="27" t="n"/>
      <c r="L406" s="27" t="n"/>
      <c r="M406" s="27" t="n"/>
      <c r="N406" s="27" t="n"/>
      <c r="O406" s="27" t="n"/>
      <c r="P406" s="27" t="n"/>
      <c r="Q406" s="27" t="n"/>
    </row>
    <row r="407">
      <c r="B407" s="27" t="n"/>
      <c r="C407" s="27" t="n"/>
      <c r="D407" s="27" t="n"/>
      <c r="E407" s="27" t="n"/>
      <c r="F407" s="27" t="n"/>
      <c r="G407" s="27" t="n"/>
      <c r="H407" s="27" t="n"/>
      <c r="I407" s="27" t="n"/>
      <c r="J407" s="27" t="n"/>
      <c r="K407" s="27" t="n"/>
      <c r="L407" s="27" t="n"/>
      <c r="M407" s="27" t="n"/>
      <c r="N407" s="27" t="n"/>
      <c r="O407" s="27" t="n"/>
      <c r="P407" s="27" t="n"/>
      <c r="Q407" s="27" t="n"/>
    </row>
    <row r="408">
      <c r="B408" s="27" t="n"/>
      <c r="C408" s="27" t="n"/>
      <c r="D408" s="27" t="n"/>
      <c r="E408" s="27" t="n"/>
      <c r="F408" s="27" t="n"/>
      <c r="G408" s="27" t="n"/>
      <c r="H408" s="27" t="n"/>
      <c r="I408" s="27" t="n"/>
      <c r="J408" s="27" t="n"/>
      <c r="K408" s="27" t="n"/>
      <c r="L408" s="27" t="n"/>
      <c r="M408" s="27" t="n"/>
      <c r="N408" s="27" t="n"/>
      <c r="O408" s="27" t="n"/>
      <c r="P408" s="27" t="n"/>
      <c r="Q408" s="27" t="n"/>
    </row>
    <row r="409">
      <c r="B409" s="27" t="n"/>
      <c r="C409" s="27" t="n"/>
      <c r="D409" s="27" t="n"/>
      <c r="E409" s="27" t="n"/>
      <c r="F409" s="27" t="n"/>
      <c r="G409" s="27" t="n"/>
      <c r="H409" s="27" t="n"/>
      <c r="I409" s="27" t="n"/>
      <c r="J409" s="27" t="n"/>
      <c r="K409" s="27" t="n"/>
      <c r="L409" s="27" t="n"/>
      <c r="M409" s="27" t="n"/>
      <c r="N409" s="27" t="n"/>
      <c r="O409" s="27" t="n"/>
      <c r="P409" s="27" t="n"/>
      <c r="Q409" s="27" t="n"/>
    </row>
    <row r="410">
      <c r="B410" s="27" t="n"/>
      <c r="C410" s="27" t="n"/>
      <c r="D410" s="27" t="n"/>
      <c r="E410" s="27" t="n"/>
      <c r="F410" s="27" t="n"/>
      <c r="G410" s="27" t="n"/>
      <c r="H410" s="27" t="n"/>
      <c r="I410" s="27" t="n"/>
      <c r="J410" s="27" t="n"/>
      <c r="K410" s="27" t="n"/>
      <c r="L410" s="27" t="n"/>
      <c r="M410" s="27" t="n"/>
      <c r="N410" s="27" t="n"/>
      <c r="O410" s="27" t="n"/>
      <c r="P410" s="27" t="n"/>
      <c r="Q410" s="27" t="n"/>
    </row>
    <row r="411">
      <c r="B411" s="27" t="n"/>
      <c r="C411" s="27" t="n"/>
      <c r="D411" s="27" t="n"/>
      <c r="E411" s="27" t="n"/>
      <c r="F411" s="27" t="n"/>
      <c r="G411" s="27" t="n"/>
      <c r="H411" s="27" t="n"/>
      <c r="I411" s="27" t="n"/>
      <c r="J411" s="27" t="n"/>
      <c r="K411" s="27" t="n"/>
      <c r="L411" s="27" t="n"/>
      <c r="M411" s="27" t="n"/>
      <c r="N411" s="27" t="n"/>
      <c r="O411" s="27" t="n"/>
      <c r="P411" s="27" t="n"/>
      <c r="Q411" s="27" t="n"/>
    </row>
    <row r="412">
      <c r="B412" s="27" t="n"/>
      <c r="C412" s="27" t="n"/>
      <c r="D412" s="27" t="n"/>
      <c r="E412" s="27" t="n"/>
      <c r="F412" s="27" t="n"/>
      <c r="G412" s="27" t="n"/>
      <c r="H412" s="27" t="n"/>
      <c r="I412" s="27" t="n"/>
      <c r="J412" s="27" t="n"/>
      <c r="K412" s="27" t="n"/>
      <c r="L412" s="27" t="n"/>
      <c r="M412" s="27" t="n"/>
      <c r="N412" s="27" t="n"/>
      <c r="O412" s="27" t="n"/>
      <c r="P412" s="27" t="n"/>
      <c r="Q412" s="27" t="n"/>
    </row>
    <row r="413">
      <c r="B413" s="27" t="n"/>
      <c r="C413" s="27" t="n"/>
      <c r="D413" s="27" t="n"/>
      <c r="E413" s="27" t="n"/>
      <c r="F413" s="27" t="n"/>
      <c r="G413" s="27" t="n"/>
      <c r="H413" s="27" t="n"/>
      <c r="I413" s="27" t="n"/>
      <c r="J413" s="27" t="n"/>
      <c r="K413" s="27" t="n"/>
      <c r="L413" s="27" t="n"/>
      <c r="M413" s="27" t="n"/>
      <c r="N413" s="27" t="n"/>
      <c r="O413" s="27" t="n"/>
      <c r="P413" s="27" t="n"/>
      <c r="Q413" s="27" t="n"/>
    </row>
    <row r="414">
      <c r="B414" s="27" t="n"/>
      <c r="C414" s="27" t="n"/>
      <c r="D414" s="27" t="n"/>
      <c r="E414" s="27" t="n"/>
      <c r="F414" s="27" t="n"/>
      <c r="G414" s="27" t="n"/>
      <c r="H414" s="27" t="n"/>
      <c r="I414" s="27" t="n"/>
      <c r="J414" s="27" t="n"/>
      <c r="K414" s="27" t="n"/>
      <c r="L414" s="27" t="n"/>
      <c r="M414" s="27" t="n"/>
      <c r="N414" s="27" t="n"/>
      <c r="O414" s="27" t="n"/>
      <c r="P414" s="27" t="n"/>
      <c r="Q414" s="27" t="n"/>
    </row>
    <row r="415">
      <c r="B415" s="27" t="n"/>
      <c r="C415" s="27" t="n"/>
      <c r="D415" s="27" t="n"/>
      <c r="E415" s="27" t="n"/>
      <c r="F415" s="27" t="n"/>
      <c r="G415" s="27" t="n"/>
      <c r="H415" s="27" t="n"/>
      <c r="I415" s="27" t="n"/>
      <c r="J415" s="27" t="n"/>
      <c r="K415" s="27" t="n"/>
      <c r="L415" s="27" t="n"/>
      <c r="M415" s="27" t="n"/>
      <c r="N415" s="27" t="n"/>
      <c r="O415" s="27" t="n"/>
      <c r="P415" s="27" t="n"/>
      <c r="Q415" s="27" t="n"/>
    </row>
    <row r="416">
      <c r="B416" s="27" t="n"/>
      <c r="C416" s="27" t="n"/>
      <c r="D416" s="27" t="n"/>
      <c r="E416" s="27" t="n"/>
      <c r="F416" s="27" t="n"/>
      <c r="G416" s="27" t="n"/>
      <c r="H416" s="27" t="n"/>
      <c r="I416" s="27" t="n"/>
      <c r="J416" s="27" t="n"/>
      <c r="K416" s="27" t="n"/>
      <c r="L416" s="27" t="n"/>
      <c r="M416" s="27" t="n"/>
      <c r="N416" s="27" t="n"/>
      <c r="O416" s="27" t="n"/>
      <c r="P416" s="27" t="n"/>
      <c r="Q416" s="27" t="n"/>
    </row>
    <row r="417">
      <c r="B417" s="27" t="n"/>
      <c r="C417" s="27" t="n"/>
      <c r="D417" s="27" t="n"/>
      <c r="E417" s="27" t="n"/>
      <c r="F417" s="27" t="n"/>
      <c r="G417" s="27" t="n"/>
      <c r="H417" s="27" t="n"/>
      <c r="I417" s="27" t="n"/>
      <c r="J417" s="27" t="n"/>
      <c r="K417" s="27" t="n"/>
      <c r="L417" s="27" t="n"/>
      <c r="M417" s="27" t="n"/>
      <c r="N417" s="27" t="n"/>
      <c r="O417" s="27" t="n"/>
      <c r="P417" s="27" t="n"/>
      <c r="Q417" s="27" t="n"/>
    </row>
    <row r="418">
      <c r="B418" s="27" t="n"/>
      <c r="C418" s="27" t="n"/>
      <c r="D418" s="27" t="n"/>
      <c r="E418" s="27" t="n"/>
      <c r="F418" s="27" t="n"/>
      <c r="G418" s="27" t="n"/>
      <c r="H418" s="27" t="n"/>
      <c r="I418" s="27" t="n"/>
      <c r="J418" s="27" t="n"/>
      <c r="K418" s="27" t="n"/>
      <c r="L418" s="27" t="n"/>
      <c r="M418" s="27" t="n"/>
      <c r="N418" s="27" t="n"/>
      <c r="O418" s="27" t="n"/>
      <c r="P418" s="27" t="n"/>
      <c r="Q418" s="27" t="n"/>
    </row>
    <row r="419">
      <c r="B419" s="27" t="n"/>
      <c r="C419" s="27" t="n"/>
      <c r="D419" s="27" t="n"/>
      <c r="E419" s="27" t="n"/>
      <c r="F419" s="27" t="n"/>
      <c r="G419" s="27" t="n"/>
      <c r="H419" s="27" t="n"/>
      <c r="I419" s="27" t="n"/>
      <c r="J419" s="27" t="n"/>
      <c r="K419" s="27" t="n"/>
      <c r="L419" s="27" t="n"/>
      <c r="M419" s="27" t="n"/>
      <c r="N419" s="27" t="n"/>
      <c r="O419" s="27" t="n"/>
      <c r="P419" s="27" t="n"/>
      <c r="Q419" s="27" t="n"/>
    </row>
    <row r="420">
      <c r="B420" s="27" t="n"/>
      <c r="C420" s="27" t="n"/>
      <c r="D420" s="27" t="n"/>
      <c r="E420" s="27" t="n"/>
      <c r="F420" s="27" t="n"/>
      <c r="G420" s="27" t="n"/>
      <c r="H420" s="27" t="n"/>
      <c r="I420" s="27" t="n"/>
      <c r="J420" s="27" t="n"/>
      <c r="K420" s="27" t="n"/>
      <c r="L420" s="27" t="n"/>
      <c r="M420" s="27" t="n"/>
      <c r="N420" s="27" t="n"/>
      <c r="O420" s="27" t="n"/>
      <c r="P420" s="27" t="n"/>
      <c r="Q420" s="27" t="n"/>
    </row>
    <row r="421">
      <c r="B421" s="27" t="n"/>
      <c r="C421" s="27" t="n"/>
      <c r="D421" s="27" t="n"/>
      <c r="E421" s="27" t="n"/>
      <c r="F421" s="27" t="n"/>
      <c r="G421" s="27" t="n"/>
      <c r="H421" s="27" t="n"/>
      <c r="I421" s="27" t="n"/>
      <c r="J421" s="27" t="n"/>
      <c r="K421" s="27" t="n"/>
      <c r="L421" s="27" t="n"/>
      <c r="M421" s="27" t="n"/>
      <c r="N421" s="27" t="n"/>
      <c r="O421" s="27" t="n"/>
      <c r="P421" s="27" t="n"/>
      <c r="Q421" s="27" t="n"/>
    </row>
    <row r="422">
      <c r="B422" s="27" t="n"/>
      <c r="C422" s="27" t="n"/>
      <c r="D422" s="27" t="n"/>
      <c r="E422" s="27" t="n"/>
      <c r="F422" s="27" t="n"/>
      <c r="G422" s="27" t="n"/>
      <c r="H422" s="27" t="n"/>
      <c r="I422" s="27" t="n"/>
      <c r="J422" s="27" t="n"/>
      <c r="K422" s="27" t="n"/>
      <c r="L422" s="27" t="n"/>
      <c r="M422" s="27" t="n"/>
      <c r="N422" s="27" t="n"/>
      <c r="O422" s="27" t="n"/>
      <c r="P422" s="27" t="n"/>
      <c r="Q422" s="27" t="n"/>
    </row>
    <row r="423">
      <c r="B423" s="27" t="n"/>
      <c r="C423" s="27" t="n"/>
      <c r="D423" s="27" t="n"/>
      <c r="E423" s="27" t="n"/>
      <c r="F423" s="27" t="n"/>
      <c r="G423" s="27" t="n"/>
      <c r="H423" s="27" t="n"/>
      <c r="I423" s="27" t="n"/>
      <c r="J423" s="27" t="n"/>
      <c r="K423" s="27" t="n"/>
      <c r="L423" s="27" t="n"/>
      <c r="M423" s="27" t="n"/>
      <c r="N423" s="27" t="n"/>
      <c r="O423" s="27" t="n"/>
      <c r="P423" s="27" t="n"/>
      <c r="Q423" s="27" t="n"/>
    </row>
    <row r="424">
      <c r="B424" s="27" t="n"/>
      <c r="C424" s="27" t="n"/>
      <c r="D424" s="27" t="n"/>
      <c r="E424" s="27" t="n"/>
      <c r="F424" s="27" t="n"/>
      <c r="G424" s="27" t="n"/>
      <c r="H424" s="27" t="n"/>
      <c r="I424" s="27" t="n"/>
      <c r="J424" s="27" t="n"/>
      <c r="K424" s="27" t="n"/>
      <c r="L424" s="27" t="n"/>
      <c r="M424" s="27" t="n"/>
      <c r="N424" s="27" t="n"/>
      <c r="O424" s="27" t="n"/>
      <c r="P424" s="27" t="n"/>
      <c r="Q424" s="27" t="n"/>
    </row>
    <row r="425">
      <c r="B425" s="27" t="n"/>
      <c r="C425" s="27" t="n"/>
      <c r="D425" s="27" t="n"/>
      <c r="E425" s="27" t="n"/>
      <c r="F425" s="27" t="n"/>
      <c r="G425" s="27" t="n"/>
      <c r="H425" s="27" t="n"/>
      <c r="I425" s="27" t="n"/>
      <c r="J425" s="27" t="n"/>
      <c r="K425" s="27" t="n"/>
      <c r="L425" s="27" t="n"/>
      <c r="M425" s="27" t="n"/>
      <c r="N425" s="27" t="n"/>
      <c r="O425" s="27" t="n"/>
      <c r="P425" s="27" t="n"/>
      <c r="Q425" s="27" t="n"/>
    </row>
    <row r="426">
      <c r="B426" s="27" t="n"/>
      <c r="C426" s="27" t="n"/>
      <c r="D426" s="27" t="n"/>
      <c r="E426" s="27" t="n"/>
      <c r="F426" s="27" t="n"/>
      <c r="G426" s="27" t="n"/>
      <c r="H426" s="27" t="n"/>
      <c r="I426" s="27" t="n"/>
      <c r="J426" s="27" t="n"/>
      <c r="K426" s="27" t="n"/>
      <c r="L426" s="27" t="n"/>
      <c r="M426" s="27" t="n"/>
      <c r="N426" s="27" t="n"/>
      <c r="O426" s="27" t="n"/>
      <c r="P426" s="27" t="n"/>
      <c r="Q426" s="27" t="n"/>
    </row>
    <row r="427">
      <c r="B427" s="27" t="n"/>
      <c r="C427" s="27" t="n"/>
      <c r="D427" s="27" t="n"/>
      <c r="E427" s="27" t="n"/>
      <c r="F427" s="27" t="n"/>
      <c r="G427" s="27" t="n"/>
      <c r="H427" s="27" t="n"/>
      <c r="I427" s="27" t="n"/>
      <c r="J427" s="27" t="n"/>
      <c r="K427" s="27" t="n"/>
      <c r="L427" s="27" t="n"/>
      <c r="M427" s="27" t="n"/>
      <c r="N427" s="27" t="n"/>
      <c r="O427" s="27" t="n"/>
      <c r="P427" s="27" t="n"/>
      <c r="Q427" s="27" t="n"/>
    </row>
    <row r="428">
      <c r="B428" s="27" t="n"/>
      <c r="C428" s="27" t="n"/>
      <c r="D428" s="27" t="n"/>
      <c r="E428" s="27" t="n"/>
      <c r="F428" s="27" t="n"/>
      <c r="G428" s="27" t="n"/>
      <c r="H428" s="27" t="n"/>
      <c r="I428" s="27" t="n"/>
      <c r="J428" s="27" t="n"/>
      <c r="K428" s="27" t="n"/>
      <c r="L428" s="27" t="n"/>
      <c r="M428" s="27" t="n"/>
      <c r="N428" s="27" t="n"/>
      <c r="O428" s="27" t="n"/>
      <c r="P428" s="27" t="n"/>
      <c r="Q428" s="27" t="n"/>
    </row>
    <row r="429">
      <c r="B429" s="27" t="n"/>
      <c r="C429" s="27" t="n"/>
      <c r="D429" s="27" t="n"/>
      <c r="E429" s="27" t="n"/>
      <c r="F429" s="27" t="n"/>
      <c r="G429" s="27" t="n"/>
      <c r="H429" s="27" t="n"/>
      <c r="I429" s="27" t="n"/>
      <c r="J429" s="27" t="n"/>
      <c r="K429" s="27" t="n"/>
      <c r="L429" s="27" t="n"/>
      <c r="M429" s="27" t="n"/>
      <c r="N429" s="27" t="n"/>
      <c r="O429" s="27" t="n"/>
      <c r="P429" s="27" t="n"/>
      <c r="Q429" s="27" t="n"/>
    </row>
    <row r="430">
      <c r="B430" s="27" t="n"/>
      <c r="C430" s="27" t="n"/>
      <c r="D430" s="27" t="n"/>
      <c r="E430" s="27" t="n"/>
      <c r="F430" s="27" t="n"/>
      <c r="G430" s="27" t="n"/>
      <c r="H430" s="27" t="n"/>
      <c r="I430" s="27" t="n"/>
      <c r="J430" s="27" t="n"/>
      <c r="K430" s="27" t="n"/>
      <c r="L430" s="27" t="n"/>
      <c r="M430" s="27" t="n"/>
      <c r="N430" s="27" t="n"/>
      <c r="O430" s="27" t="n"/>
      <c r="P430" s="27" t="n"/>
      <c r="Q430" s="27" t="n"/>
    </row>
    <row r="431">
      <c r="B431" s="27" t="n"/>
      <c r="C431" s="27" t="n"/>
      <c r="D431" s="27" t="n"/>
      <c r="E431" s="27" t="n"/>
      <c r="F431" s="27" t="n"/>
      <c r="G431" s="27" t="n"/>
      <c r="H431" s="27" t="n"/>
      <c r="I431" s="27" t="n"/>
      <c r="J431" s="27" t="n"/>
      <c r="K431" s="27" t="n"/>
      <c r="L431" s="27" t="n"/>
      <c r="M431" s="27" t="n"/>
      <c r="N431" s="27" t="n"/>
      <c r="O431" s="27" t="n"/>
      <c r="P431" s="27" t="n"/>
      <c r="Q431" s="27" t="n"/>
    </row>
    <row r="432">
      <c r="B432" s="27" t="n"/>
      <c r="C432" s="27" t="n"/>
      <c r="D432" s="27" t="n"/>
      <c r="E432" s="27" t="n"/>
      <c r="F432" s="27" t="n"/>
      <c r="G432" s="27" t="n"/>
      <c r="H432" s="27" t="n"/>
      <c r="I432" s="27" t="n"/>
      <c r="J432" s="27" t="n"/>
      <c r="K432" s="27" t="n"/>
      <c r="L432" s="27" t="n"/>
      <c r="M432" s="27" t="n"/>
      <c r="N432" s="27" t="n"/>
      <c r="O432" s="27" t="n"/>
      <c r="P432" s="27" t="n"/>
      <c r="Q432" s="27" t="n"/>
    </row>
    <row r="433">
      <c r="B433" s="27" t="n"/>
      <c r="C433" s="27" t="n"/>
      <c r="D433" s="27" t="n"/>
      <c r="E433" s="27" t="n"/>
      <c r="F433" s="27" t="n"/>
      <c r="G433" s="27" t="n"/>
      <c r="H433" s="27" t="n"/>
      <c r="I433" s="27" t="n"/>
      <c r="J433" s="27" t="n"/>
      <c r="K433" s="27" t="n"/>
      <c r="L433" s="27" t="n"/>
      <c r="M433" s="27" t="n"/>
      <c r="N433" s="27" t="n"/>
      <c r="O433" s="27" t="n"/>
      <c r="P433" s="27" t="n"/>
      <c r="Q433" s="27" t="n"/>
    </row>
    <row r="434">
      <c r="B434" s="27" t="n"/>
      <c r="C434" s="27" t="n"/>
      <c r="D434" s="27" t="n"/>
      <c r="E434" s="27" t="n"/>
      <c r="F434" s="27" t="n"/>
      <c r="G434" s="27" t="n"/>
      <c r="H434" s="27" t="n"/>
      <c r="I434" s="27" t="n"/>
      <c r="J434" s="27" t="n"/>
      <c r="K434" s="27" t="n"/>
      <c r="L434" s="27" t="n"/>
      <c r="M434" s="27" t="n"/>
      <c r="N434" s="27" t="n"/>
      <c r="O434" s="27" t="n"/>
      <c r="P434" s="27" t="n"/>
      <c r="Q434" s="27" t="n"/>
    </row>
    <row r="435">
      <c r="B435" s="27" t="n"/>
      <c r="C435" s="27" t="n"/>
      <c r="D435" s="27" t="n"/>
      <c r="E435" s="27" t="n"/>
      <c r="F435" s="27" t="n"/>
      <c r="G435" s="27" t="n"/>
      <c r="H435" s="27" t="n"/>
      <c r="I435" s="27" t="n"/>
      <c r="J435" s="27" t="n"/>
      <c r="K435" s="27" t="n"/>
      <c r="L435" s="27" t="n"/>
      <c r="M435" s="27" t="n"/>
      <c r="N435" s="27" t="n"/>
      <c r="O435" s="27" t="n"/>
      <c r="P435" s="27" t="n"/>
      <c r="Q435" s="27" t="n"/>
    </row>
    <row r="436">
      <c r="B436" s="27" t="n"/>
      <c r="C436" s="27" t="n"/>
      <c r="D436" s="27" t="n"/>
      <c r="E436" s="27" t="n"/>
      <c r="F436" s="27" t="n"/>
      <c r="G436" s="27" t="n"/>
      <c r="H436" s="27" t="n"/>
      <c r="I436" s="27" t="n"/>
      <c r="J436" s="27" t="n"/>
      <c r="K436" s="27" t="n"/>
      <c r="L436" s="27" t="n"/>
      <c r="M436" s="27" t="n"/>
      <c r="N436" s="27" t="n"/>
      <c r="O436" s="27" t="n"/>
      <c r="P436" s="27" t="n"/>
      <c r="Q436" s="27" t="n"/>
    </row>
    <row r="437">
      <c r="B437" s="27" t="n"/>
      <c r="C437" s="27" t="n"/>
      <c r="D437" s="27" t="n"/>
      <c r="E437" s="27" t="n"/>
      <c r="F437" s="27" t="n"/>
      <c r="G437" s="27" t="n"/>
      <c r="H437" s="27" t="n"/>
      <c r="I437" s="27" t="n"/>
      <c r="J437" s="27" t="n"/>
      <c r="K437" s="27" t="n"/>
      <c r="L437" s="27" t="n"/>
      <c r="M437" s="27" t="n"/>
      <c r="N437" s="27" t="n"/>
      <c r="O437" s="27" t="n"/>
      <c r="P437" s="27" t="n"/>
      <c r="Q437" s="27" t="n"/>
    </row>
    <row r="438">
      <c r="B438" s="27" t="n"/>
      <c r="C438" s="27" t="n"/>
      <c r="D438" s="27" t="n"/>
      <c r="E438" s="27" t="n"/>
      <c r="F438" s="27" t="n"/>
      <c r="G438" s="27" t="n"/>
      <c r="H438" s="27" t="n"/>
      <c r="I438" s="27" t="n"/>
      <c r="J438" s="27" t="n"/>
      <c r="K438" s="27" t="n"/>
      <c r="L438" s="27" t="n"/>
      <c r="M438" s="27" t="n"/>
      <c r="N438" s="27" t="n"/>
      <c r="O438" s="27" t="n"/>
      <c r="P438" s="27" t="n"/>
      <c r="Q438" s="27" t="n"/>
    </row>
    <row r="439">
      <c r="B439" s="27" t="n"/>
      <c r="C439" s="27" t="n"/>
      <c r="D439" s="27" t="n"/>
      <c r="E439" s="27" t="n"/>
      <c r="F439" s="27" t="n"/>
      <c r="G439" s="27" t="n"/>
      <c r="H439" s="27" t="n"/>
      <c r="I439" s="27" t="n"/>
      <c r="J439" s="27" t="n"/>
      <c r="K439" s="27" t="n"/>
      <c r="L439" s="27" t="n"/>
      <c r="M439" s="27" t="n"/>
      <c r="N439" s="27" t="n"/>
      <c r="O439" s="27" t="n"/>
      <c r="P439" s="27" t="n"/>
      <c r="Q439" s="27" t="n"/>
    </row>
    <row r="440">
      <c r="B440" s="27" t="n"/>
      <c r="C440" s="27" t="n"/>
      <c r="D440" s="27" t="n"/>
      <c r="E440" s="27" t="n"/>
      <c r="F440" s="27" t="n"/>
      <c r="G440" s="27" t="n"/>
      <c r="H440" s="27" t="n"/>
      <c r="I440" s="27" t="n"/>
      <c r="J440" s="27" t="n"/>
      <c r="K440" s="27" t="n"/>
      <c r="L440" s="27" t="n"/>
      <c r="M440" s="27" t="n"/>
      <c r="N440" s="27" t="n"/>
      <c r="O440" s="27" t="n"/>
      <c r="P440" s="27" t="n"/>
      <c r="Q440" s="27" t="n"/>
    </row>
    <row r="441"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</row>
    <row r="442">
      <c r="B442" s="27" t="n"/>
      <c r="C442" s="27" t="n"/>
      <c r="D442" s="27" t="n"/>
      <c r="E442" s="27" t="n"/>
      <c r="F442" s="27" t="n"/>
      <c r="G442" s="27" t="n"/>
      <c r="H442" s="27" t="n"/>
      <c r="I442" s="27" t="n"/>
      <c r="J442" s="27" t="n"/>
      <c r="K442" s="27" t="n"/>
      <c r="L442" s="27" t="n"/>
      <c r="M442" s="27" t="n"/>
      <c r="N442" s="27" t="n"/>
      <c r="O442" s="27" t="n"/>
      <c r="P442" s="27" t="n"/>
      <c r="Q442" s="27" t="n"/>
    </row>
    <row r="443">
      <c r="B443" s="27" t="n"/>
      <c r="C443" s="27" t="n"/>
      <c r="D443" s="27" t="n"/>
      <c r="E443" s="27" t="n"/>
      <c r="F443" s="27" t="n"/>
      <c r="G443" s="27" t="n"/>
      <c r="H443" s="27" t="n"/>
      <c r="I443" s="27" t="n"/>
      <c r="J443" s="27" t="n"/>
      <c r="K443" s="27" t="n"/>
      <c r="L443" s="27" t="n"/>
      <c r="M443" s="27" t="n"/>
      <c r="N443" s="27" t="n"/>
      <c r="O443" s="27" t="n"/>
      <c r="P443" s="27" t="n"/>
      <c r="Q443" s="27" t="n"/>
    </row>
    <row r="444">
      <c r="B444" s="27" t="n"/>
      <c r="C444" s="27" t="n"/>
      <c r="D444" s="27" t="n"/>
      <c r="E444" s="27" t="n"/>
      <c r="F444" s="27" t="n"/>
      <c r="G444" s="27" t="n"/>
      <c r="H444" s="27" t="n"/>
      <c r="I444" s="27" t="n"/>
      <c r="J444" s="27" t="n"/>
      <c r="K444" s="27" t="n"/>
      <c r="L444" s="27" t="n"/>
      <c r="M444" s="27" t="n"/>
      <c r="N444" s="27" t="n"/>
      <c r="O444" s="27" t="n"/>
      <c r="P444" s="27" t="n"/>
      <c r="Q444" s="27" t="n"/>
    </row>
    <row r="445">
      <c r="B445" s="27" t="n"/>
      <c r="C445" s="27" t="n"/>
      <c r="D445" s="27" t="n"/>
      <c r="E445" s="27" t="n"/>
      <c r="F445" s="27" t="n"/>
      <c r="G445" s="27" t="n"/>
      <c r="H445" s="27" t="n"/>
      <c r="I445" s="27" t="n"/>
      <c r="J445" s="27" t="n"/>
      <c r="K445" s="27" t="n"/>
      <c r="L445" s="27" t="n"/>
      <c r="M445" s="27" t="n"/>
      <c r="N445" s="27" t="n"/>
      <c r="O445" s="27" t="n"/>
      <c r="P445" s="27" t="n"/>
      <c r="Q445" s="27" t="n"/>
    </row>
    <row r="446">
      <c r="B446" s="27" t="n"/>
      <c r="C446" s="27" t="n"/>
      <c r="D446" s="27" t="n"/>
      <c r="E446" s="27" t="n"/>
      <c r="F446" s="27" t="n"/>
      <c r="G446" s="27" t="n"/>
      <c r="H446" s="27" t="n"/>
      <c r="I446" s="27" t="n"/>
      <c r="J446" s="27" t="n"/>
      <c r="K446" s="27" t="n"/>
      <c r="L446" s="27" t="n"/>
      <c r="M446" s="27" t="n"/>
      <c r="N446" s="27" t="n"/>
      <c r="O446" s="27" t="n"/>
      <c r="P446" s="27" t="n"/>
      <c r="Q446" s="27" t="n"/>
    </row>
    <row r="447">
      <c r="B447" s="27" t="n"/>
      <c r="C447" s="27" t="n"/>
      <c r="D447" s="27" t="n"/>
      <c r="E447" s="27" t="n"/>
      <c r="F447" s="27" t="n"/>
      <c r="G447" s="27" t="n"/>
      <c r="H447" s="27" t="n"/>
      <c r="I447" s="27" t="n"/>
      <c r="J447" s="27" t="n"/>
      <c r="K447" s="27" t="n"/>
      <c r="L447" s="27" t="n"/>
      <c r="M447" s="27" t="n"/>
      <c r="N447" s="27" t="n"/>
      <c r="O447" s="27" t="n"/>
      <c r="P447" s="27" t="n"/>
      <c r="Q447" s="27" t="n"/>
    </row>
    <row r="448">
      <c r="B448" s="27" t="n"/>
      <c r="C448" s="27" t="n"/>
      <c r="D448" s="27" t="n"/>
      <c r="E448" s="27" t="n"/>
      <c r="F448" s="27" t="n"/>
      <c r="G448" s="27" t="n"/>
      <c r="H448" s="27" t="n"/>
      <c r="I448" s="27" t="n"/>
      <c r="J448" s="27" t="n"/>
      <c r="K448" s="27" t="n"/>
      <c r="L448" s="27" t="n"/>
      <c r="M448" s="27" t="n"/>
      <c r="N448" s="27" t="n"/>
      <c r="O448" s="27" t="n"/>
      <c r="P448" s="27" t="n"/>
      <c r="Q448" s="27" t="n"/>
    </row>
    <row r="449">
      <c r="B449" s="27" t="n"/>
      <c r="C449" s="27" t="n"/>
      <c r="D449" s="27" t="n"/>
      <c r="E449" s="27" t="n"/>
      <c r="F449" s="27" t="n"/>
      <c r="G449" s="27" t="n"/>
      <c r="H449" s="27" t="n"/>
      <c r="I449" s="27" t="n"/>
      <c r="J449" s="27" t="n"/>
      <c r="K449" s="27" t="n"/>
      <c r="L449" s="27" t="n"/>
      <c r="M449" s="27" t="n"/>
      <c r="N449" s="27" t="n"/>
      <c r="O449" s="27" t="n"/>
      <c r="P449" s="27" t="n"/>
      <c r="Q449" s="27" t="n"/>
    </row>
    <row r="450">
      <c r="B450" s="27" t="n"/>
      <c r="C450" s="27" t="n"/>
      <c r="D450" s="27" t="n"/>
      <c r="E450" s="27" t="n"/>
      <c r="F450" s="27" t="n"/>
      <c r="G450" s="27" t="n"/>
      <c r="H450" s="27" t="n"/>
      <c r="I450" s="27" t="n"/>
      <c r="J450" s="27" t="n"/>
      <c r="K450" s="27" t="n"/>
      <c r="L450" s="27" t="n"/>
      <c r="M450" s="27" t="n"/>
      <c r="N450" s="27" t="n"/>
      <c r="O450" s="27" t="n"/>
      <c r="P450" s="27" t="n"/>
      <c r="Q450" s="27" t="n"/>
    </row>
    <row r="451">
      <c r="B451" s="27" t="n"/>
      <c r="C451" s="27" t="n"/>
      <c r="D451" s="27" t="n"/>
      <c r="E451" s="27" t="n"/>
      <c r="F451" s="27" t="n"/>
      <c r="G451" s="27" t="n"/>
      <c r="H451" s="27" t="n"/>
      <c r="I451" s="27" t="n"/>
      <c r="J451" s="27" t="n"/>
      <c r="K451" s="27" t="n"/>
      <c r="L451" s="27" t="n"/>
      <c r="M451" s="27" t="n"/>
      <c r="N451" s="27" t="n"/>
      <c r="O451" s="27" t="n"/>
      <c r="P451" s="27" t="n"/>
      <c r="Q451" s="27" t="n"/>
    </row>
    <row r="452">
      <c r="B452" s="27" t="n"/>
      <c r="C452" s="27" t="n"/>
      <c r="D452" s="27" t="n"/>
      <c r="E452" s="27" t="n"/>
      <c r="F452" s="27" t="n"/>
      <c r="G452" s="27" t="n"/>
      <c r="H452" s="27" t="n"/>
      <c r="I452" s="27" t="n"/>
      <c r="J452" s="27" t="n"/>
      <c r="K452" s="27" t="n"/>
      <c r="L452" s="27" t="n"/>
      <c r="M452" s="27" t="n"/>
      <c r="N452" s="27" t="n"/>
      <c r="O452" s="27" t="n"/>
      <c r="P452" s="27" t="n"/>
      <c r="Q452" s="27" t="n"/>
    </row>
    <row r="453">
      <c r="B453" s="27" t="n"/>
      <c r="C453" s="27" t="n"/>
      <c r="D453" s="27" t="n"/>
      <c r="E453" s="27" t="n"/>
      <c r="F453" s="27" t="n"/>
      <c r="G453" s="27" t="n"/>
      <c r="H453" s="27" t="n"/>
      <c r="I453" s="27" t="n"/>
      <c r="J453" s="27" t="n"/>
      <c r="K453" s="27" t="n"/>
      <c r="L453" s="27" t="n"/>
      <c r="M453" s="27" t="n"/>
      <c r="N453" s="27" t="n"/>
      <c r="O453" s="27" t="n"/>
      <c r="P453" s="27" t="n"/>
      <c r="Q453" s="27" t="n"/>
    </row>
    <row r="454">
      <c r="B454" s="27" t="n"/>
      <c r="C454" s="27" t="n"/>
      <c r="D454" s="27" t="n"/>
      <c r="E454" s="27" t="n"/>
      <c r="F454" s="27" t="n"/>
      <c r="G454" s="27" t="n"/>
      <c r="H454" s="27" t="n"/>
      <c r="I454" s="27" t="n"/>
      <c r="J454" s="27" t="n"/>
      <c r="K454" s="27" t="n"/>
      <c r="L454" s="27" t="n"/>
      <c r="M454" s="27" t="n"/>
      <c r="N454" s="27" t="n"/>
      <c r="O454" s="27" t="n"/>
      <c r="P454" s="27" t="n"/>
      <c r="Q454" s="27" t="n"/>
    </row>
    <row r="455">
      <c r="B455" s="27" t="n"/>
      <c r="C455" s="27" t="n"/>
      <c r="D455" s="27" t="n"/>
      <c r="E455" s="27" t="n"/>
      <c r="F455" s="27" t="n"/>
      <c r="G455" s="27" t="n"/>
      <c r="H455" s="27" t="n"/>
      <c r="I455" s="27" t="n"/>
      <c r="J455" s="27" t="n"/>
      <c r="K455" s="27" t="n"/>
      <c r="L455" s="27" t="n"/>
      <c r="M455" s="27" t="n"/>
      <c r="N455" s="27" t="n"/>
      <c r="O455" s="27" t="n"/>
      <c r="P455" s="27" t="n"/>
      <c r="Q455" s="27" t="n"/>
    </row>
    <row r="456">
      <c r="B456" s="27" t="n"/>
      <c r="C456" s="27" t="n"/>
      <c r="D456" s="27" t="n"/>
      <c r="E456" s="27" t="n"/>
      <c r="F456" s="27" t="n"/>
      <c r="G456" s="27" t="n"/>
      <c r="H456" s="27" t="n"/>
      <c r="I456" s="27" t="n"/>
      <c r="J456" s="27" t="n"/>
      <c r="K456" s="27" t="n"/>
      <c r="L456" s="27" t="n"/>
      <c r="M456" s="27" t="n"/>
      <c r="N456" s="27" t="n"/>
      <c r="O456" s="27" t="n"/>
      <c r="P456" s="27" t="n"/>
      <c r="Q456" s="27" t="n"/>
    </row>
    <row r="457">
      <c r="B457" s="27" t="n"/>
      <c r="C457" s="27" t="n"/>
      <c r="D457" s="27" t="n"/>
      <c r="E457" s="27" t="n"/>
      <c r="F457" s="27" t="n"/>
      <c r="G457" s="27" t="n"/>
      <c r="H457" s="27" t="n"/>
      <c r="I457" s="27" t="n"/>
      <c r="J457" s="27" t="n"/>
      <c r="K457" s="27" t="n"/>
      <c r="L457" s="27" t="n"/>
      <c r="M457" s="27" t="n"/>
      <c r="N457" s="27" t="n"/>
      <c r="O457" s="27" t="n"/>
      <c r="P457" s="27" t="n"/>
      <c r="Q457" s="27" t="n"/>
    </row>
    <row r="458">
      <c r="B458" s="27" t="n"/>
      <c r="C458" s="27" t="n"/>
      <c r="D458" s="27" t="n"/>
      <c r="E458" s="27" t="n"/>
      <c r="F458" s="27" t="n"/>
      <c r="G458" s="27" t="n"/>
      <c r="H458" s="27" t="n"/>
      <c r="I458" s="27" t="n"/>
      <c r="J458" s="27" t="n"/>
      <c r="K458" s="27" t="n"/>
      <c r="L458" s="27" t="n"/>
      <c r="M458" s="27" t="n"/>
      <c r="N458" s="27" t="n"/>
      <c r="O458" s="27" t="n"/>
      <c r="P458" s="27" t="n"/>
      <c r="Q458" s="27" t="n"/>
    </row>
    <row r="459">
      <c r="B459" s="27" t="n"/>
      <c r="C459" s="27" t="n"/>
      <c r="D459" s="27" t="n"/>
      <c r="E459" s="27" t="n"/>
      <c r="F459" s="27" t="n"/>
      <c r="G459" s="27" t="n"/>
      <c r="H459" s="27" t="n"/>
      <c r="I459" s="27" t="n"/>
      <c r="J459" s="27" t="n"/>
      <c r="K459" s="27" t="n"/>
      <c r="L459" s="27" t="n"/>
      <c r="M459" s="27" t="n"/>
      <c r="N459" s="27" t="n"/>
      <c r="O459" s="27" t="n"/>
      <c r="P459" s="27" t="n"/>
      <c r="Q459" s="27" t="n"/>
    </row>
    <row r="460">
      <c r="B460" s="27" t="n"/>
      <c r="C460" s="27" t="n"/>
      <c r="D460" s="27" t="n"/>
      <c r="E460" s="27" t="n"/>
      <c r="F460" s="27" t="n"/>
      <c r="G460" s="27" t="n"/>
      <c r="H460" s="27" t="n"/>
      <c r="I460" s="27" t="n"/>
      <c r="J460" s="27" t="n"/>
      <c r="K460" s="27" t="n"/>
      <c r="L460" s="27" t="n"/>
      <c r="M460" s="27" t="n"/>
      <c r="N460" s="27" t="n"/>
      <c r="O460" s="27" t="n"/>
      <c r="P460" s="27" t="n"/>
      <c r="Q460" s="27" t="n"/>
    </row>
    <row r="461">
      <c r="B461" s="27" t="n"/>
      <c r="C461" s="27" t="n"/>
      <c r="D461" s="27" t="n"/>
      <c r="E461" s="27" t="n"/>
      <c r="F461" s="27" t="n"/>
      <c r="G461" s="27" t="n"/>
      <c r="H461" s="27" t="n"/>
      <c r="I461" s="27" t="n"/>
      <c r="J461" s="27" t="n"/>
      <c r="K461" s="27" t="n"/>
      <c r="L461" s="27" t="n"/>
      <c r="M461" s="27" t="n"/>
      <c r="N461" s="27" t="n"/>
      <c r="O461" s="27" t="n"/>
      <c r="P461" s="27" t="n"/>
      <c r="Q461" s="27" t="n"/>
    </row>
    <row r="462">
      <c r="B462" s="27" t="n"/>
      <c r="C462" s="27" t="n"/>
      <c r="D462" s="27" t="n"/>
      <c r="E462" s="27" t="n"/>
      <c r="F462" s="27" t="n"/>
      <c r="G462" s="27" t="n"/>
      <c r="H462" s="27" t="n"/>
      <c r="I462" s="27" t="n"/>
      <c r="J462" s="27" t="n"/>
      <c r="K462" s="27" t="n"/>
      <c r="L462" s="27" t="n"/>
      <c r="M462" s="27" t="n"/>
      <c r="N462" s="27" t="n"/>
      <c r="O462" s="27" t="n"/>
      <c r="P462" s="27" t="n"/>
      <c r="Q462" s="27" t="n"/>
    </row>
    <row r="463">
      <c r="B463" s="27" t="n"/>
      <c r="C463" s="27" t="n"/>
      <c r="D463" s="27" t="n"/>
      <c r="E463" s="27" t="n"/>
      <c r="F463" s="27" t="n"/>
      <c r="G463" s="27" t="n"/>
      <c r="H463" s="27" t="n"/>
      <c r="I463" s="27" t="n"/>
      <c r="J463" s="27" t="n"/>
      <c r="K463" s="27" t="n"/>
      <c r="L463" s="27" t="n"/>
      <c r="M463" s="27" t="n"/>
      <c r="N463" s="27" t="n"/>
      <c r="O463" s="27" t="n"/>
      <c r="P463" s="27" t="n"/>
      <c r="Q463" s="27" t="n"/>
    </row>
    <row r="464">
      <c r="B464" s="27" t="n"/>
      <c r="C464" s="27" t="n"/>
      <c r="D464" s="27" t="n"/>
      <c r="E464" s="27" t="n"/>
      <c r="F464" s="27" t="n"/>
      <c r="G464" s="27" t="n"/>
      <c r="H464" s="27" t="n"/>
      <c r="I464" s="27" t="n"/>
      <c r="J464" s="27" t="n"/>
      <c r="K464" s="27" t="n"/>
      <c r="L464" s="27" t="n"/>
      <c r="M464" s="27" t="n"/>
      <c r="N464" s="27" t="n"/>
      <c r="O464" s="27" t="n"/>
      <c r="P464" s="27" t="n"/>
      <c r="Q464" s="27" t="n"/>
    </row>
    <row r="465">
      <c r="B465" s="27" t="n"/>
      <c r="C465" s="27" t="n"/>
      <c r="D465" s="27" t="n"/>
      <c r="E465" s="27" t="n"/>
      <c r="F465" s="27" t="n"/>
      <c r="G465" s="27" t="n"/>
      <c r="H465" s="27" t="n"/>
      <c r="I465" s="27" t="n"/>
      <c r="J465" s="27" t="n"/>
      <c r="K465" s="27" t="n"/>
      <c r="L465" s="27" t="n"/>
      <c r="M465" s="27" t="n"/>
      <c r="N465" s="27" t="n"/>
      <c r="O465" s="27" t="n"/>
      <c r="P465" s="27" t="n"/>
      <c r="Q465" s="27" t="n"/>
    </row>
    <row r="466">
      <c r="B466" s="27" t="n"/>
      <c r="C466" s="27" t="n"/>
      <c r="D466" s="27" t="n"/>
      <c r="E466" s="27" t="n"/>
      <c r="F466" s="27" t="n"/>
      <c r="G466" s="27" t="n"/>
      <c r="H466" s="27" t="n"/>
      <c r="I466" s="27" t="n"/>
      <c r="J466" s="27" t="n"/>
      <c r="K466" s="27" t="n"/>
      <c r="L466" s="27" t="n"/>
      <c r="M466" s="27" t="n"/>
      <c r="N466" s="27" t="n"/>
      <c r="O466" s="27" t="n"/>
      <c r="P466" s="27" t="n"/>
      <c r="Q466" s="27" t="n"/>
    </row>
    <row r="467">
      <c r="B467" s="27" t="n"/>
      <c r="C467" s="27" t="n"/>
      <c r="D467" s="27" t="n"/>
      <c r="E467" s="27" t="n"/>
      <c r="F467" s="27" t="n"/>
      <c r="G467" s="27" t="n"/>
      <c r="H467" s="27" t="n"/>
      <c r="I467" s="27" t="n"/>
      <c r="J467" s="27" t="n"/>
      <c r="K467" s="27" t="n"/>
      <c r="L467" s="27" t="n"/>
      <c r="M467" s="27" t="n"/>
      <c r="N467" s="27" t="n"/>
      <c r="O467" s="27" t="n"/>
      <c r="P467" s="27" t="n"/>
      <c r="Q467" s="27" t="n"/>
    </row>
    <row r="468">
      <c r="B468" s="27" t="n"/>
      <c r="C468" s="27" t="n"/>
      <c r="D468" s="27" t="n"/>
      <c r="E468" s="27" t="n"/>
      <c r="F468" s="27" t="n"/>
      <c r="G468" s="27" t="n"/>
      <c r="H468" s="27" t="n"/>
      <c r="I468" s="27" t="n"/>
      <c r="J468" s="27" t="n"/>
      <c r="K468" s="27" t="n"/>
      <c r="L468" s="27" t="n"/>
      <c r="M468" s="27" t="n"/>
      <c r="N468" s="27" t="n"/>
      <c r="O468" s="27" t="n"/>
      <c r="P468" s="27" t="n"/>
      <c r="Q468" s="27" t="n"/>
    </row>
    <row r="469">
      <c r="B469" s="27" t="n"/>
      <c r="C469" s="27" t="n"/>
      <c r="D469" s="27" t="n"/>
      <c r="E469" s="27" t="n"/>
      <c r="F469" s="27" t="n"/>
      <c r="G469" s="27" t="n"/>
      <c r="H469" s="27" t="n"/>
      <c r="I469" s="27" t="n"/>
      <c r="J469" s="27" t="n"/>
      <c r="K469" s="27" t="n"/>
      <c r="L469" s="27" t="n"/>
      <c r="M469" s="27" t="n"/>
      <c r="N469" s="27" t="n"/>
      <c r="O469" s="27" t="n"/>
      <c r="P469" s="27" t="n"/>
      <c r="Q469" s="27" t="n"/>
    </row>
    <row r="470">
      <c r="B470" s="27" t="n"/>
      <c r="C470" s="27" t="n"/>
      <c r="D470" s="27" t="n"/>
      <c r="E470" s="27" t="n"/>
      <c r="F470" s="27" t="n"/>
      <c r="G470" s="27" t="n"/>
      <c r="H470" s="27" t="n"/>
      <c r="I470" s="27" t="n"/>
      <c r="J470" s="27" t="n"/>
      <c r="K470" s="27" t="n"/>
      <c r="L470" s="27" t="n"/>
      <c r="M470" s="27" t="n"/>
      <c r="N470" s="27" t="n"/>
      <c r="O470" s="27" t="n"/>
      <c r="P470" s="27" t="n"/>
      <c r="Q470" s="27" t="n"/>
    </row>
    <row r="471">
      <c r="B471" s="27" t="n"/>
      <c r="C471" s="27" t="n"/>
      <c r="D471" s="27" t="n"/>
      <c r="E471" s="27" t="n"/>
      <c r="F471" s="27" t="n"/>
      <c r="G471" s="27" t="n"/>
      <c r="H471" s="27" t="n"/>
      <c r="I471" s="27" t="n"/>
      <c r="J471" s="27" t="n"/>
      <c r="K471" s="27" t="n"/>
      <c r="L471" s="27" t="n"/>
      <c r="M471" s="27" t="n"/>
      <c r="N471" s="27" t="n"/>
      <c r="O471" s="27" t="n"/>
      <c r="P471" s="27" t="n"/>
      <c r="Q471" s="27" t="n"/>
    </row>
    <row r="472">
      <c r="B472" s="27" t="n"/>
      <c r="C472" s="27" t="n"/>
      <c r="D472" s="27" t="n"/>
      <c r="E472" s="27" t="n"/>
      <c r="F472" s="27" t="n"/>
      <c r="G472" s="27" t="n"/>
      <c r="H472" s="27" t="n"/>
      <c r="I472" s="27" t="n"/>
      <c r="J472" s="27" t="n"/>
      <c r="K472" s="27" t="n"/>
      <c r="L472" s="27" t="n"/>
      <c r="M472" s="27" t="n"/>
      <c r="N472" s="27" t="n"/>
      <c r="O472" s="27" t="n"/>
      <c r="P472" s="27" t="n"/>
      <c r="Q472" s="27" t="n"/>
    </row>
    <row r="473">
      <c r="B473" s="27" t="n"/>
      <c r="C473" s="27" t="n"/>
      <c r="D473" s="27" t="n"/>
      <c r="E473" s="27" t="n"/>
      <c r="F473" s="27" t="n"/>
      <c r="G473" s="27" t="n"/>
      <c r="H473" s="27" t="n"/>
      <c r="I473" s="27" t="n"/>
      <c r="J473" s="27" t="n"/>
      <c r="K473" s="27" t="n"/>
      <c r="L473" s="27" t="n"/>
      <c r="M473" s="27" t="n"/>
      <c r="N473" s="27" t="n"/>
      <c r="O473" s="27" t="n"/>
      <c r="P473" s="27" t="n"/>
      <c r="Q473" s="27" t="n"/>
    </row>
    <row r="474">
      <c r="B474" s="27" t="n"/>
      <c r="C474" s="27" t="n"/>
      <c r="D474" s="27" t="n"/>
      <c r="E474" s="27" t="n"/>
      <c r="F474" s="27" t="n"/>
      <c r="G474" s="27" t="n"/>
      <c r="H474" s="27" t="n"/>
      <c r="I474" s="27" t="n"/>
      <c r="J474" s="27" t="n"/>
      <c r="K474" s="27" t="n"/>
      <c r="L474" s="27" t="n"/>
      <c r="M474" s="27" t="n"/>
      <c r="N474" s="27" t="n"/>
      <c r="O474" s="27" t="n"/>
      <c r="P474" s="27" t="n"/>
      <c r="Q474" s="27" t="n"/>
    </row>
    <row r="475">
      <c r="B475" s="27" t="n"/>
      <c r="C475" s="27" t="n"/>
      <c r="D475" s="27" t="n"/>
      <c r="E475" s="27" t="n"/>
      <c r="F475" s="27" t="n"/>
      <c r="G475" s="27" t="n"/>
      <c r="H475" s="27" t="n"/>
      <c r="I475" s="27" t="n"/>
      <c r="J475" s="27" t="n"/>
      <c r="K475" s="27" t="n"/>
      <c r="L475" s="27" t="n"/>
      <c r="M475" s="27" t="n"/>
      <c r="N475" s="27" t="n"/>
      <c r="O475" s="27" t="n"/>
      <c r="P475" s="27" t="n"/>
      <c r="Q475" s="27" t="n"/>
    </row>
    <row r="476">
      <c r="B476" s="27" t="n"/>
      <c r="C476" s="27" t="n"/>
      <c r="D476" s="27" t="n"/>
      <c r="E476" s="27" t="n"/>
      <c r="F476" s="27" t="n"/>
      <c r="G476" s="27" t="n"/>
      <c r="H476" s="27" t="n"/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n"/>
    </row>
    <row r="477">
      <c r="B477" s="27" t="n"/>
      <c r="C477" s="27" t="n"/>
      <c r="D477" s="27" t="n"/>
      <c r="E477" s="27" t="n"/>
      <c r="F477" s="27" t="n"/>
      <c r="G477" s="27" t="n"/>
      <c r="H477" s="27" t="n"/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n"/>
    </row>
    <row r="478">
      <c r="B478" s="27" t="n"/>
      <c r="C478" s="27" t="n"/>
      <c r="D478" s="27" t="n"/>
      <c r="E478" s="27" t="n"/>
      <c r="F478" s="27" t="n"/>
      <c r="G478" s="27" t="n"/>
      <c r="H478" s="27" t="n"/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n"/>
    </row>
    <row r="479">
      <c r="B479" s="27" t="n"/>
      <c r="C479" s="27" t="n"/>
      <c r="D479" s="27" t="n"/>
      <c r="E479" s="27" t="n"/>
      <c r="F479" s="27" t="n"/>
      <c r="G479" s="27" t="n"/>
      <c r="H479" s="27" t="n"/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n"/>
    </row>
    <row r="480">
      <c r="B480" s="27" t="n"/>
      <c r="C480" s="27" t="n"/>
      <c r="D480" s="27" t="n"/>
      <c r="E480" s="27" t="n"/>
      <c r="F480" s="27" t="n"/>
      <c r="G480" s="27" t="n"/>
      <c r="H480" s="27" t="n"/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n"/>
    </row>
    <row r="481"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</row>
    <row r="482">
      <c r="B482" s="27" t="n"/>
      <c r="C482" s="27" t="n"/>
      <c r="D482" s="27" t="n"/>
      <c r="E482" s="27" t="n"/>
      <c r="F482" s="27" t="n"/>
      <c r="G482" s="27" t="n"/>
      <c r="H482" s="27" t="n"/>
      <c r="I482" s="27" t="n"/>
      <c r="J482" s="27" t="n"/>
      <c r="K482" s="27" t="n"/>
      <c r="L482" s="27" t="n"/>
      <c r="M482" s="27" t="n"/>
      <c r="N482" s="27" t="n"/>
      <c r="O482" s="27" t="n"/>
      <c r="P482" s="27" t="n"/>
      <c r="Q482" s="27" t="n"/>
    </row>
    <row r="483">
      <c r="B483" s="27" t="n"/>
      <c r="C483" s="27" t="n"/>
      <c r="D483" s="27" t="n"/>
      <c r="E483" s="27" t="n"/>
      <c r="F483" s="27" t="n"/>
      <c r="G483" s="27" t="n"/>
      <c r="H483" s="27" t="n"/>
      <c r="I483" s="27" t="n"/>
      <c r="J483" s="27" t="n"/>
      <c r="K483" s="27" t="n"/>
      <c r="L483" s="27" t="n"/>
      <c r="M483" s="27" t="n"/>
      <c r="N483" s="27" t="n"/>
      <c r="O483" s="27" t="n"/>
      <c r="P483" s="27" t="n"/>
      <c r="Q483" s="27" t="n"/>
    </row>
    <row r="484">
      <c r="B484" s="27" t="n"/>
      <c r="C484" s="27" t="n"/>
      <c r="D484" s="27" t="n"/>
      <c r="E484" s="27" t="n"/>
      <c r="F484" s="27" t="n"/>
      <c r="G484" s="27" t="n"/>
      <c r="H484" s="27" t="n"/>
      <c r="I484" s="27" t="n"/>
      <c r="J484" s="27" t="n"/>
      <c r="K484" s="27" t="n"/>
      <c r="L484" s="27" t="n"/>
      <c r="M484" s="27" t="n"/>
      <c r="N484" s="27" t="n"/>
      <c r="O484" s="27" t="n"/>
      <c r="P484" s="27" t="n"/>
      <c r="Q484" s="27" t="n"/>
    </row>
    <row r="485">
      <c r="B485" s="27" t="n"/>
      <c r="C485" s="27" t="n"/>
      <c r="D485" s="27" t="n"/>
      <c r="E485" s="27" t="n"/>
      <c r="F485" s="27" t="n"/>
      <c r="G485" s="27" t="n"/>
      <c r="H485" s="27" t="n"/>
      <c r="I485" s="27" t="n"/>
      <c r="J485" s="27" t="n"/>
      <c r="K485" s="27" t="n"/>
      <c r="L485" s="27" t="n"/>
      <c r="M485" s="27" t="n"/>
      <c r="N485" s="27" t="n"/>
      <c r="O485" s="27" t="n"/>
      <c r="P485" s="27" t="n"/>
      <c r="Q485" s="27" t="n"/>
    </row>
    <row r="486">
      <c r="B486" s="27" t="n"/>
      <c r="C486" s="27" t="n"/>
      <c r="D486" s="27" t="n"/>
      <c r="E486" s="27" t="n"/>
      <c r="F486" s="27" t="n"/>
      <c r="G486" s="27" t="n"/>
      <c r="H486" s="27" t="n"/>
      <c r="I486" s="27" t="n"/>
      <c r="J486" s="27" t="n"/>
      <c r="K486" s="27" t="n"/>
      <c r="L486" s="27" t="n"/>
      <c r="M486" s="27" t="n"/>
      <c r="N486" s="27" t="n"/>
      <c r="O486" s="27" t="n"/>
      <c r="P486" s="27" t="n"/>
      <c r="Q486" s="27" t="n"/>
    </row>
    <row r="487">
      <c r="B487" s="27" t="n"/>
      <c r="C487" s="27" t="n"/>
      <c r="D487" s="27" t="n"/>
      <c r="E487" s="27" t="n"/>
      <c r="F487" s="27" t="n"/>
      <c r="G487" s="27" t="n"/>
      <c r="H487" s="27" t="n"/>
      <c r="I487" s="27" t="n"/>
      <c r="J487" s="27" t="n"/>
      <c r="K487" s="27" t="n"/>
      <c r="L487" s="27" t="n"/>
      <c r="M487" s="27" t="n"/>
      <c r="N487" s="27" t="n"/>
      <c r="O487" s="27" t="n"/>
      <c r="P487" s="27" t="n"/>
      <c r="Q487" s="27" t="n"/>
    </row>
    <row r="488">
      <c r="B488" s="27" t="n"/>
      <c r="C488" s="27" t="n"/>
      <c r="D488" s="27" t="n"/>
      <c r="E488" s="27" t="n"/>
      <c r="F488" s="27" t="n"/>
      <c r="G488" s="27" t="n"/>
      <c r="H488" s="27" t="n"/>
      <c r="I488" s="27" t="n"/>
      <c r="J488" s="27" t="n"/>
      <c r="K488" s="27" t="n"/>
      <c r="L488" s="27" t="n"/>
      <c r="M488" s="27" t="n"/>
      <c r="N488" s="27" t="n"/>
      <c r="O488" s="27" t="n"/>
      <c r="P488" s="27" t="n"/>
      <c r="Q488" s="27" t="n"/>
    </row>
    <row r="489">
      <c r="B489" s="27" t="n"/>
      <c r="C489" s="27" t="n"/>
      <c r="D489" s="27" t="n"/>
      <c r="E489" s="27" t="n"/>
      <c r="F489" s="27" t="n"/>
      <c r="G489" s="27" t="n"/>
      <c r="H489" s="27" t="n"/>
      <c r="I489" s="27" t="n"/>
      <c r="J489" s="27" t="n"/>
      <c r="K489" s="27" t="n"/>
      <c r="L489" s="27" t="n"/>
      <c r="M489" s="27" t="n"/>
      <c r="N489" s="27" t="n"/>
      <c r="O489" s="27" t="n"/>
      <c r="P489" s="27" t="n"/>
      <c r="Q489" s="27" t="n"/>
    </row>
    <row r="490">
      <c r="B490" s="27" t="n"/>
      <c r="C490" s="27" t="n"/>
      <c r="D490" s="27" t="n"/>
      <c r="E490" s="27" t="n"/>
      <c r="F490" s="27" t="n"/>
      <c r="G490" s="27" t="n"/>
      <c r="H490" s="27" t="n"/>
      <c r="I490" s="27" t="n"/>
      <c r="J490" s="27" t="n"/>
      <c r="K490" s="27" t="n"/>
      <c r="L490" s="27" t="n"/>
      <c r="M490" s="27" t="n"/>
      <c r="N490" s="27" t="n"/>
      <c r="O490" s="27" t="n"/>
      <c r="P490" s="27" t="n"/>
      <c r="Q490" s="27" t="n"/>
    </row>
    <row r="491">
      <c r="B491" s="27" t="n"/>
      <c r="C491" s="27" t="n"/>
      <c r="D491" s="27" t="n"/>
      <c r="E491" s="27" t="n"/>
      <c r="F491" s="27" t="n"/>
      <c r="G491" s="27" t="n"/>
      <c r="H491" s="27" t="n"/>
      <c r="I491" s="27" t="n"/>
      <c r="J491" s="27" t="n"/>
      <c r="K491" s="27" t="n"/>
      <c r="L491" s="27" t="n"/>
      <c r="M491" s="27" t="n"/>
      <c r="N491" s="27" t="n"/>
      <c r="O491" s="27" t="n"/>
      <c r="P491" s="27" t="n"/>
      <c r="Q491" s="27" t="n"/>
    </row>
    <row r="492">
      <c r="B492" s="27" t="n"/>
      <c r="C492" s="27" t="n"/>
      <c r="D492" s="27" t="n"/>
      <c r="E492" s="27" t="n"/>
      <c r="F492" s="27" t="n"/>
      <c r="G492" s="27" t="n"/>
      <c r="H492" s="27" t="n"/>
      <c r="I492" s="27" t="n"/>
      <c r="J492" s="27" t="n"/>
      <c r="K492" s="27" t="n"/>
      <c r="L492" s="27" t="n"/>
      <c r="M492" s="27" t="n"/>
      <c r="N492" s="27" t="n"/>
      <c r="O492" s="27" t="n"/>
      <c r="P492" s="27" t="n"/>
      <c r="Q492" s="27" t="n"/>
    </row>
    <row r="493">
      <c r="B493" s="27" t="n"/>
      <c r="C493" s="27" t="n"/>
      <c r="D493" s="27" t="n"/>
      <c r="E493" s="27" t="n"/>
      <c r="F493" s="27" t="n"/>
      <c r="G493" s="27" t="n"/>
      <c r="H493" s="27" t="n"/>
      <c r="I493" s="27" t="n"/>
      <c r="J493" s="27" t="n"/>
      <c r="K493" s="27" t="n"/>
      <c r="L493" s="27" t="n"/>
      <c r="M493" s="27" t="n"/>
      <c r="N493" s="27" t="n"/>
      <c r="O493" s="27" t="n"/>
      <c r="P493" s="27" t="n"/>
      <c r="Q493" s="27" t="n"/>
    </row>
    <row r="494">
      <c r="B494" s="27" t="n"/>
      <c r="C494" s="27" t="n"/>
      <c r="D494" s="27" t="n"/>
      <c r="E494" s="27" t="n"/>
      <c r="F494" s="27" t="n"/>
      <c r="G494" s="27" t="n"/>
      <c r="H494" s="27" t="n"/>
      <c r="I494" s="27" t="n"/>
      <c r="J494" s="27" t="n"/>
      <c r="K494" s="27" t="n"/>
      <c r="L494" s="27" t="n"/>
      <c r="M494" s="27" t="n"/>
      <c r="N494" s="27" t="n"/>
      <c r="O494" s="27" t="n"/>
      <c r="P494" s="27" t="n"/>
      <c r="Q494" s="27" t="n"/>
    </row>
    <row r="495">
      <c r="B495" s="27" t="n"/>
      <c r="C495" s="27" t="n"/>
      <c r="D495" s="27" t="n"/>
      <c r="E495" s="27" t="n"/>
      <c r="F495" s="27" t="n"/>
      <c r="G495" s="27" t="n"/>
      <c r="H495" s="27" t="n"/>
      <c r="I495" s="27" t="n"/>
      <c r="J495" s="27" t="n"/>
      <c r="K495" s="27" t="n"/>
      <c r="L495" s="27" t="n"/>
      <c r="M495" s="27" t="n"/>
      <c r="N495" s="27" t="n"/>
      <c r="O495" s="27" t="n"/>
      <c r="P495" s="27" t="n"/>
      <c r="Q495" s="27" t="n"/>
    </row>
    <row r="496">
      <c r="B496" s="27" t="n"/>
      <c r="C496" s="27" t="n"/>
      <c r="D496" s="27" t="n"/>
      <c r="E496" s="27" t="n"/>
      <c r="F496" s="27" t="n"/>
      <c r="G496" s="27" t="n"/>
      <c r="H496" s="27" t="n"/>
      <c r="I496" s="27" t="n"/>
      <c r="J496" s="27" t="n"/>
      <c r="K496" s="27" t="n"/>
      <c r="L496" s="27" t="n"/>
      <c r="M496" s="27" t="n"/>
      <c r="N496" s="27" t="n"/>
      <c r="O496" s="27" t="n"/>
      <c r="P496" s="27" t="n"/>
      <c r="Q496" s="27" t="n"/>
    </row>
    <row r="497">
      <c r="B497" s="27" t="n"/>
      <c r="C497" s="27" t="n"/>
      <c r="D497" s="27" t="n"/>
      <c r="E497" s="27" t="n"/>
      <c r="F497" s="27" t="n"/>
      <c r="G497" s="27" t="n"/>
      <c r="H497" s="27" t="n"/>
      <c r="I497" s="27" t="n"/>
      <c r="J497" s="27" t="n"/>
      <c r="K497" s="27" t="n"/>
      <c r="L497" s="27" t="n"/>
      <c r="M497" s="27" t="n"/>
      <c r="N497" s="27" t="n"/>
      <c r="O497" s="27" t="n"/>
      <c r="P497" s="27" t="n"/>
      <c r="Q497" s="27" t="n"/>
    </row>
    <row r="498">
      <c r="B498" s="27" t="n"/>
      <c r="C498" s="27" t="n"/>
      <c r="D498" s="27" t="n"/>
      <c r="E498" s="27" t="n"/>
      <c r="F498" s="27" t="n"/>
      <c r="G498" s="27" t="n"/>
      <c r="H498" s="27" t="n"/>
      <c r="I498" s="27" t="n"/>
      <c r="J498" s="27" t="n"/>
      <c r="K498" s="27" t="n"/>
      <c r="L498" s="27" t="n"/>
      <c r="M498" s="27" t="n"/>
      <c r="N498" s="27" t="n"/>
      <c r="O498" s="27" t="n"/>
      <c r="P498" s="27" t="n"/>
      <c r="Q498" s="27" t="n"/>
    </row>
    <row r="499">
      <c r="B499" s="27" t="n"/>
      <c r="C499" s="27" t="n"/>
      <c r="D499" s="27" t="n"/>
      <c r="E499" s="27" t="n"/>
      <c r="F499" s="27" t="n"/>
      <c r="G499" s="27" t="n"/>
      <c r="H499" s="27" t="n"/>
      <c r="I499" s="27" t="n"/>
      <c r="J499" s="27" t="n"/>
      <c r="K499" s="27" t="n"/>
      <c r="L499" s="27" t="n"/>
      <c r="M499" s="27" t="n"/>
      <c r="N499" s="27" t="n"/>
      <c r="O499" s="27" t="n"/>
      <c r="P499" s="27" t="n"/>
      <c r="Q499" s="27" t="n"/>
    </row>
    <row r="500">
      <c r="B500" s="27" t="n"/>
      <c r="C500" s="27" t="n"/>
      <c r="D500" s="27" t="n"/>
      <c r="E500" s="27" t="n"/>
      <c r="F500" s="27" t="n"/>
      <c r="G500" s="27" t="n"/>
      <c r="H500" s="27" t="n"/>
      <c r="I500" s="27" t="n"/>
      <c r="J500" s="27" t="n"/>
      <c r="K500" s="27" t="n"/>
      <c r="L500" s="27" t="n"/>
      <c r="M500" s="27" t="n"/>
      <c r="N500" s="27" t="n"/>
      <c r="O500" s="27" t="n"/>
      <c r="P500" s="27" t="n"/>
      <c r="Q500" s="27" t="n"/>
    </row>
    <row r="501">
      <c r="B501" s="27" t="n"/>
      <c r="C501" s="27" t="n"/>
      <c r="D501" s="27" t="n"/>
      <c r="E501" s="27" t="n"/>
      <c r="F501" s="27" t="n"/>
      <c r="G501" s="27" t="n"/>
      <c r="H501" s="27" t="n"/>
      <c r="I501" s="27" t="n"/>
      <c r="J501" s="27" t="n"/>
      <c r="K501" s="27" t="n"/>
      <c r="L501" s="27" t="n"/>
      <c r="M501" s="27" t="n"/>
      <c r="N501" s="27" t="n"/>
      <c r="O501" s="27" t="n"/>
      <c r="P501" s="27" t="n"/>
      <c r="Q501" s="27" t="n"/>
    </row>
    <row r="502">
      <c r="B502" s="27" t="n"/>
      <c r="C502" s="27" t="n"/>
      <c r="D502" s="27" t="n"/>
      <c r="E502" s="27" t="n"/>
      <c r="F502" s="27" t="n"/>
      <c r="G502" s="27" t="n"/>
      <c r="H502" s="27" t="n"/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</row>
    <row r="503">
      <c r="B503" s="27" t="n"/>
      <c r="C503" s="27" t="n"/>
      <c r="D503" s="27" t="n"/>
      <c r="E503" s="27" t="n"/>
      <c r="F503" s="27" t="n"/>
      <c r="G503" s="27" t="n"/>
      <c r="H503" s="27" t="n"/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</row>
    <row r="504">
      <c r="B504" s="27" t="n"/>
      <c r="C504" s="27" t="n"/>
      <c r="D504" s="27" t="n"/>
      <c r="E504" s="27" t="n"/>
      <c r="F504" s="27" t="n"/>
      <c r="G504" s="27" t="n"/>
      <c r="H504" s="27" t="n"/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</row>
    <row r="505">
      <c r="B505" s="27" t="n"/>
      <c r="C505" s="27" t="n"/>
      <c r="D505" s="27" t="n"/>
      <c r="E505" s="27" t="n"/>
      <c r="F505" s="27" t="n"/>
      <c r="G505" s="27" t="n"/>
      <c r="H505" s="27" t="n"/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</row>
    <row r="506">
      <c r="B506" s="27" t="n"/>
      <c r="C506" s="27" t="n"/>
      <c r="D506" s="27" t="n"/>
      <c r="E506" s="27" t="n"/>
      <c r="F506" s="27" t="n"/>
      <c r="G506" s="27" t="n"/>
      <c r="H506" s="27" t="n"/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</row>
    <row r="507">
      <c r="B507" s="27" t="n"/>
      <c r="C507" s="27" t="n"/>
      <c r="D507" s="27" t="n"/>
      <c r="E507" s="27" t="n"/>
      <c r="F507" s="27" t="n"/>
      <c r="G507" s="27" t="n"/>
      <c r="H507" s="27" t="n"/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</row>
    <row r="508">
      <c r="B508" s="27" t="n"/>
      <c r="C508" s="27" t="n"/>
      <c r="D508" s="27" t="n"/>
      <c r="E508" s="27" t="n"/>
      <c r="F508" s="27" t="n"/>
      <c r="G508" s="27" t="n"/>
      <c r="H508" s="27" t="n"/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</row>
    <row r="509">
      <c r="B509" s="27" t="n"/>
      <c r="C509" s="27" t="n"/>
      <c r="D509" s="27" t="n"/>
      <c r="E509" s="27" t="n"/>
      <c r="F509" s="27" t="n"/>
      <c r="G509" s="27" t="n"/>
      <c r="H509" s="27" t="n"/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</row>
    <row r="510">
      <c r="B510" s="27" t="n"/>
      <c r="C510" s="27" t="n"/>
      <c r="D510" s="27" t="n"/>
      <c r="E510" s="27" t="n"/>
      <c r="F510" s="27" t="n"/>
      <c r="G510" s="27" t="n"/>
      <c r="H510" s="27" t="n"/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</row>
    <row r="511">
      <c r="B511" s="27" t="n"/>
      <c r="C511" s="27" t="n"/>
      <c r="D511" s="27" t="n"/>
      <c r="E511" s="27" t="n"/>
      <c r="F511" s="27" t="n"/>
      <c r="G511" s="27" t="n"/>
      <c r="H511" s="27" t="n"/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</row>
    <row r="512">
      <c r="B512" s="27" t="n"/>
      <c r="C512" s="27" t="n"/>
      <c r="D512" s="27" t="n"/>
      <c r="E512" s="27" t="n"/>
      <c r="F512" s="27" t="n"/>
      <c r="G512" s="27" t="n"/>
      <c r="H512" s="27" t="n"/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</row>
    <row r="513">
      <c r="B513" s="27" t="n"/>
      <c r="C513" s="27" t="n"/>
      <c r="D513" s="27" t="n"/>
      <c r="E513" s="27" t="n"/>
      <c r="F513" s="27" t="n"/>
      <c r="G513" s="27" t="n"/>
      <c r="H513" s="27" t="n"/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</row>
    <row r="514">
      <c r="B514" s="27" t="n"/>
      <c r="C514" s="27" t="n"/>
      <c r="D514" s="27" t="n"/>
      <c r="E514" s="27" t="n"/>
      <c r="F514" s="27" t="n"/>
      <c r="G514" s="27" t="n"/>
      <c r="H514" s="27" t="n"/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</row>
    <row r="515">
      <c r="B515" s="27" t="n"/>
      <c r="C515" s="27" t="n"/>
      <c r="D515" s="27" t="n"/>
      <c r="E515" s="27" t="n"/>
      <c r="F515" s="27" t="n"/>
      <c r="G515" s="27" t="n"/>
      <c r="H515" s="27" t="n"/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</row>
    <row r="516">
      <c r="B516" s="27" t="n"/>
      <c r="C516" s="27" t="n"/>
      <c r="D516" s="27" t="n"/>
      <c r="E516" s="27" t="n"/>
      <c r="F516" s="27" t="n"/>
      <c r="G516" s="27" t="n"/>
      <c r="H516" s="27" t="n"/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</row>
    <row r="517">
      <c r="B517" s="27" t="n"/>
      <c r="C517" s="27" t="n"/>
      <c r="D517" s="27" t="n"/>
      <c r="E517" s="27" t="n"/>
      <c r="F517" s="27" t="n"/>
      <c r="G517" s="27" t="n"/>
      <c r="H517" s="27" t="n"/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</row>
    <row r="518">
      <c r="B518" s="27" t="n"/>
      <c r="C518" s="27" t="n"/>
      <c r="D518" s="27" t="n"/>
      <c r="E518" s="27" t="n"/>
      <c r="F518" s="27" t="n"/>
      <c r="G518" s="27" t="n"/>
      <c r="H518" s="27" t="n"/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</row>
    <row r="519">
      <c r="B519" s="27" t="n"/>
      <c r="C519" s="27" t="n"/>
      <c r="D519" s="27" t="n"/>
      <c r="E519" s="27" t="n"/>
      <c r="F519" s="27" t="n"/>
      <c r="G519" s="27" t="n"/>
      <c r="H519" s="27" t="n"/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</row>
    <row r="520">
      <c r="B520" s="27" t="n"/>
      <c r="C520" s="27" t="n"/>
      <c r="D520" s="27" t="n"/>
      <c r="E520" s="27" t="n"/>
      <c r="F520" s="27" t="n"/>
      <c r="G520" s="27" t="n"/>
      <c r="H520" s="27" t="n"/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</row>
    <row r="521"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</row>
    <row r="522">
      <c r="B522" s="27" t="n"/>
      <c r="C522" s="27" t="n"/>
      <c r="D522" s="27" t="n"/>
      <c r="E522" s="27" t="n"/>
      <c r="F522" s="27" t="n"/>
      <c r="G522" s="27" t="n"/>
      <c r="H522" s="27" t="n"/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</row>
    <row r="523">
      <c r="B523" s="27" t="n"/>
      <c r="C523" s="27" t="n"/>
      <c r="D523" s="27" t="n"/>
      <c r="E523" s="27" t="n"/>
      <c r="F523" s="27" t="n"/>
      <c r="G523" s="27" t="n"/>
      <c r="H523" s="27" t="n"/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</row>
    <row r="524">
      <c r="B524" s="27" t="n"/>
      <c r="C524" s="27" t="n"/>
      <c r="D524" s="27" t="n"/>
      <c r="E524" s="27" t="n"/>
      <c r="F524" s="27" t="n"/>
      <c r="G524" s="27" t="n"/>
      <c r="H524" s="27" t="n"/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</row>
    <row r="525">
      <c r="B525" s="27" t="n"/>
      <c r="C525" s="27" t="n"/>
      <c r="D525" s="27" t="n"/>
      <c r="E525" s="27" t="n"/>
      <c r="F525" s="27" t="n"/>
      <c r="G525" s="27" t="n"/>
      <c r="H525" s="27" t="n"/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</row>
    <row r="526">
      <c r="B526" s="27" t="n"/>
      <c r="C526" s="27" t="n"/>
      <c r="D526" s="27" t="n"/>
      <c r="E526" s="27" t="n"/>
      <c r="F526" s="27" t="n"/>
      <c r="G526" s="27" t="n"/>
      <c r="H526" s="27" t="n"/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</row>
    <row r="527">
      <c r="B527" s="27" t="n"/>
      <c r="C527" s="27" t="n"/>
      <c r="D527" s="27" t="n"/>
      <c r="E527" s="27" t="n"/>
      <c r="F527" s="27" t="n"/>
      <c r="G527" s="27" t="n"/>
      <c r="H527" s="27" t="n"/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</row>
    <row r="528">
      <c r="B528" s="27" t="n"/>
      <c r="C528" s="27" t="n"/>
      <c r="D528" s="27" t="n"/>
      <c r="E528" s="27" t="n"/>
      <c r="F528" s="27" t="n"/>
      <c r="G528" s="27" t="n"/>
      <c r="H528" s="27" t="n"/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</row>
    <row r="529">
      <c r="B529" s="27" t="n"/>
      <c r="C529" s="27" t="n"/>
      <c r="D529" s="27" t="n"/>
      <c r="E529" s="27" t="n"/>
      <c r="F529" s="27" t="n"/>
      <c r="G529" s="27" t="n"/>
      <c r="H529" s="27" t="n"/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</row>
    <row r="530">
      <c r="B530" s="27" t="n"/>
      <c r="C530" s="27" t="n"/>
      <c r="D530" s="27" t="n"/>
      <c r="E530" s="27" t="n"/>
      <c r="F530" s="27" t="n"/>
      <c r="G530" s="27" t="n"/>
      <c r="H530" s="27" t="n"/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</row>
    <row r="531">
      <c r="B531" s="27" t="n"/>
      <c r="C531" s="27" t="n"/>
      <c r="D531" s="27" t="n"/>
      <c r="E531" s="27" t="n"/>
      <c r="F531" s="27" t="n"/>
      <c r="G531" s="27" t="n"/>
      <c r="H531" s="27" t="n"/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</row>
    <row r="532">
      <c r="B532" s="27" t="n"/>
      <c r="C532" s="27" t="n"/>
      <c r="D532" s="27" t="n"/>
      <c r="E532" s="27" t="n"/>
      <c r="F532" s="27" t="n"/>
      <c r="G532" s="27" t="n"/>
      <c r="H532" s="27" t="n"/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</row>
    <row r="533">
      <c r="B533" s="27" t="n"/>
      <c r="C533" s="27" t="n"/>
      <c r="D533" s="27" t="n"/>
      <c r="E533" s="27" t="n"/>
      <c r="F533" s="27" t="n"/>
      <c r="G533" s="27" t="n"/>
      <c r="H533" s="27" t="n"/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</row>
    <row r="534">
      <c r="B534" s="27" t="n"/>
      <c r="C534" s="27" t="n"/>
      <c r="D534" s="27" t="n"/>
      <c r="E534" s="27" t="n"/>
      <c r="F534" s="27" t="n"/>
      <c r="G534" s="27" t="n"/>
      <c r="H534" s="27" t="n"/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</row>
    <row r="535">
      <c r="B535" s="27" t="n"/>
      <c r="C535" s="27" t="n"/>
      <c r="D535" s="27" t="n"/>
      <c r="E535" s="27" t="n"/>
      <c r="F535" s="27" t="n"/>
      <c r="G535" s="27" t="n"/>
      <c r="H535" s="27" t="n"/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</row>
    <row r="536">
      <c r="B536" s="27" t="n"/>
      <c r="C536" s="27" t="n"/>
      <c r="D536" s="27" t="n"/>
      <c r="E536" s="27" t="n"/>
      <c r="F536" s="27" t="n"/>
      <c r="G536" s="27" t="n"/>
      <c r="H536" s="27" t="n"/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</row>
    <row r="537">
      <c r="B537" s="27" t="n"/>
      <c r="C537" s="27" t="n"/>
      <c r="D537" s="27" t="n"/>
      <c r="E537" s="27" t="n"/>
      <c r="F537" s="27" t="n"/>
      <c r="G537" s="27" t="n"/>
      <c r="H537" s="27" t="n"/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</row>
    <row r="538">
      <c r="B538" s="27" t="n"/>
      <c r="C538" s="27" t="n"/>
      <c r="D538" s="27" t="n"/>
      <c r="E538" s="27" t="n"/>
      <c r="F538" s="27" t="n"/>
      <c r="G538" s="27" t="n"/>
      <c r="H538" s="27" t="n"/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</row>
    <row r="539">
      <c r="B539" s="27" t="n"/>
      <c r="C539" s="27" t="n"/>
      <c r="D539" s="27" t="n"/>
      <c r="E539" s="27" t="n"/>
      <c r="F539" s="27" t="n"/>
      <c r="G539" s="27" t="n"/>
      <c r="H539" s="27" t="n"/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</row>
    <row r="540">
      <c r="B540" s="27" t="n"/>
      <c r="C540" s="27" t="n"/>
      <c r="D540" s="27" t="n"/>
      <c r="E540" s="27" t="n"/>
      <c r="F540" s="27" t="n"/>
      <c r="G540" s="27" t="n"/>
      <c r="H540" s="27" t="n"/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</row>
    <row r="541">
      <c r="B541" s="27" t="n"/>
      <c r="C541" s="27" t="n"/>
      <c r="D541" s="27" t="n"/>
      <c r="E541" s="27" t="n"/>
      <c r="F541" s="27" t="n"/>
      <c r="G541" s="27" t="n"/>
      <c r="H541" s="27" t="n"/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</row>
    <row r="542">
      <c r="B542" s="27" t="n"/>
      <c r="C542" s="27" t="n"/>
      <c r="D542" s="27" t="n"/>
      <c r="E542" s="27" t="n"/>
      <c r="F542" s="27" t="n"/>
      <c r="G542" s="27" t="n"/>
      <c r="H542" s="27" t="n"/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</row>
    <row r="543">
      <c r="B543" s="27" t="n"/>
      <c r="C543" s="27" t="n"/>
      <c r="D543" s="27" t="n"/>
      <c r="E543" s="27" t="n"/>
      <c r="F543" s="27" t="n"/>
      <c r="G543" s="27" t="n"/>
      <c r="H543" s="27" t="n"/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</row>
    <row r="544">
      <c r="B544" s="27" t="n"/>
      <c r="C544" s="27" t="n"/>
      <c r="D544" s="27" t="n"/>
      <c r="E544" s="27" t="n"/>
      <c r="F544" s="27" t="n"/>
      <c r="G544" s="27" t="n"/>
      <c r="H544" s="27" t="n"/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</row>
    <row r="545">
      <c r="B545" s="27" t="n"/>
      <c r="C545" s="27" t="n"/>
      <c r="D545" s="27" t="n"/>
      <c r="E545" s="27" t="n"/>
      <c r="F545" s="27" t="n"/>
      <c r="G545" s="27" t="n"/>
      <c r="H545" s="27" t="n"/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</row>
    <row r="546">
      <c r="B546" s="27" t="n"/>
      <c r="C546" s="27" t="n"/>
      <c r="D546" s="27" t="n"/>
      <c r="E546" s="27" t="n"/>
      <c r="F546" s="27" t="n"/>
      <c r="G546" s="27" t="n"/>
      <c r="H546" s="27" t="n"/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</row>
    <row r="547">
      <c r="B547" s="27" t="n"/>
      <c r="C547" s="27" t="n"/>
      <c r="D547" s="27" t="n"/>
      <c r="E547" s="27" t="n"/>
      <c r="F547" s="27" t="n"/>
      <c r="G547" s="27" t="n"/>
      <c r="H547" s="27" t="n"/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</row>
    <row r="548">
      <c r="B548" s="27" t="n"/>
      <c r="C548" s="27" t="n"/>
      <c r="D548" s="27" t="n"/>
      <c r="E548" s="27" t="n"/>
      <c r="F548" s="27" t="n"/>
      <c r="G548" s="27" t="n"/>
      <c r="H548" s="27" t="n"/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</row>
    <row r="549">
      <c r="B549" s="27" t="n"/>
      <c r="C549" s="27" t="n"/>
      <c r="D549" s="27" t="n"/>
      <c r="E549" s="27" t="n"/>
      <c r="F549" s="27" t="n"/>
      <c r="G549" s="27" t="n"/>
      <c r="H549" s="27" t="n"/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</row>
    <row r="550">
      <c r="B550" s="27" t="n"/>
      <c r="C550" s="27" t="n"/>
      <c r="D550" s="27" t="n"/>
      <c r="E550" s="27" t="n"/>
      <c r="F550" s="27" t="n"/>
      <c r="G550" s="27" t="n"/>
      <c r="H550" s="27" t="n"/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</row>
    <row r="551">
      <c r="B551" s="27" t="n"/>
      <c r="C551" s="27" t="n"/>
      <c r="D551" s="27" t="n"/>
      <c r="E551" s="27" t="n"/>
      <c r="F551" s="27" t="n"/>
      <c r="G551" s="27" t="n"/>
      <c r="H551" s="27" t="n"/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</row>
    <row r="552">
      <c r="B552" s="27" t="n"/>
      <c r="C552" s="27" t="n"/>
      <c r="D552" s="27" t="n"/>
      <c r="E552" s="27" t="n"/>
      <c r="F552" s="27" t="n"/>
      <c r="G552" s="27" t="n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</row>
    <row r="553">
      <c r="B553" s="27" t="n"/>
      <c r="C553" s="27" t="n"/>
      <c r="D553" s="27" t="n"/>
      <c r="E553" s="27" t="n"/>
      <c r="F553" s="27" t="n"/>
      <c r="G553" s="27" t="n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</row>
    <row r="554">
      <c r="B554" s="27" t="n"/>
      <c r="C554" s="27" t="n"/>
      <c r="D554" s="27" t="n"/>
      <c r="E554" s="27" t="n"/>
      <c r="F554" s="27" t="n"/>
      <c r="G554" s="27" t="n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</row>
    <row r="555">
      <c r="B555" s="27" t="n"/>
      <c r="C555" s="27" t="n"/>
      <c r="D555" s="27" t="n"/>
      <c r="E555" s="27" t="n"/>
      <c r="F555" s="27" t="n"/>
      <c r="G555" s="27" t="n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</row>
    <row r="556">
      <c r="B556" s="27" t="n"/>
      <c r="C556" s="27" t="n"/>
      <c r="D556" s="27" t="n"/>
      <c r="E556" s="27" t="n"/>
      <c r="F556" s="27" t="n"/>
      <c r="G556" s="27" t="n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</row>
    <row r="557">
      <c r="B557" s="27" t="n"/>
      <c r="C557" s="27" t="n"/>
      <c r="D557" s="27" t="n"/>
      <c r="E557" s="27" t="n"/>
      <c r="F557" s="27" t="n"/>
      <c r="G557" s="27" t="n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</row>
    <row r="558">
      <c r="B558" s="27" t="n"/>
      <c r="C558" s="27" t="n"/>
      <c r="D558" s="27" t="n"/>
      <c r="E558" s="27" t="n"/>
      <c r="F558" s="27" t="n"/>
      <c r="G558" s="27" t="n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</row>
    <row r="559">
      <c r="B559" s="27" t="n"/>
      <c r="C559" s="27" t="n"/>
      <c r="D559" s="27" t="n"/>
      <c r="E559" s="27" t="n"/>
      <c r="F559" s="27" t="n"/>
      <c r="G559" s="27" t="n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</row>
    <row r="560">
      <c r="B560" s="27" t="n"/>
      <c r="C560" s="27" t="n"/>
      <c r="D560" s="27" t="n"/>
      <c r="E560" s="27" t="n"/>
      <c r="F560" s="27" t="n"/>
      <c r="G560" s="27" t="n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</row>
    <row r="561"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</row>
    <row r="562">
      <c r="B562" s="27" t="n"/>
      <c r="C562" s="27" t="n"/>
      <c r="D562" s="27" t="n"/>
      <c r="E562" s="27" t="n"/>
      <c r="F562" s="27" t="n"/>
      <c r="G562" s="27" t="n"/>
      <c r="H562" s="27" t="n"/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</row>
    <row r="563">
      <c r="B563" s="27" t="n"/>
      <c r="C563" s="27" t="n"/>
      <c r="D563" s="27" t="n"/>
      <c r="E563" s="27" t="n"/>
      <c r="F563" s="27" t="n"/>
      <c r="G563" s="27" t="n"/>
      <c r="H563" s="27" t="n"/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</row>
    <row r="564">
      <c r="B564" s="27" t="n"/>
      <c r="C564" s="27" t="n"/>
      <c r="D564" s="27" t="n"/>
      <c r="E564" s="27" t="n"/>
      <c r="F564" s="27" t="n"/>
      <c r="G564" s="27" t="n"/>
      <c r="H564" s="27" t="n"/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</row>
    <row r="565">
      <c r="B565" s="27" t="n"/>
      <c r="C565" s="27" t="n"/>
      <c r="D565" s="27" t="n"/>
      <c r="E565" s="27" t="n"/>
      <c r="F565" s="27" t="n"/>
      <c r="G565" s="27" t="n"/>
      <c r="H565" s="27" t="n"/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</row>
    <row r="566">
      <c r="B566" s="27" t="n"/>
      <c r="C566" s="27" t="n"/>
      <c r="D566" s="27" t="n"/>
      <c r="E566" s="27" t="n"/>
      <c r="F566" s="27" t="n"/>
      <c r="G566" s="27" t="n"/>
      <c r="H566" s="27" t="n"/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</row>
    <row r="567">
      <c r="B567" s="27" t="n"/>
      <c r="C567" s="27" t="n"/>
      <c r="D567" s="27" t="n"/>
      <c r="E567" s="27" t="n"/>
      <c r="F567" s="27" t="n"/>
      <c r="G567" s="27" t="n"/>
      <c r="H567" s="27" t="n"/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</row>
    <row r="568">
      <c r="B568" s="27" t="n"/>
      <c r="C568" s="27" t="n"/>
      <c r="D568" s="27" t="n"/>
      <c r="E568" s="27" t="n"/>
      <c r="F568" s="27" t="n"/>
      <c r="G568" s="27" t="n"/>
      <c r="H568" s="27" t="n"/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</row>
    <row r="569">
      <c r="B569" s="27" t="n"/>
      <c r="C569" s="27" t="n"/>
      <c r="D569" s="27" t="n"/>
      <c r="E569" s="27" t="n"/>
      <c r="F569" s="27" t="n"/>
      <c r="G569" s="27" t="n"/>
      <c r="H569" s="27" t="n"/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</row>
    <row r="570">
      <c r="B570" s="27" t="n"/>
      <c r="C570" s="27" t="n"/>
      <c r="D570" s="27" t="n"/>
      <c r="E570" s="27" t="n"/>
      <c r="F570" s="27" t="n"/>
      <c r="G570" s="27" t="n"/>
      <c r="H570" s="27" t="n"/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</row>
    <row r="571">
      <c r="B571" s="27" t="n"/>
      <c r="C571" s="27" t="n"/>
      <c r="D571" s="27" t="n"/>
      <c r="E571" s="27" t="n"/>
      <c r="F571" s="27" t="n"/>
      <c r="G571" s="27" t="n"/>
      <c r="H571" s="27" t="n"/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</row>
    <row r="572">
      <c r="B572" s="27" t="n"/>
      <c r="C572" s="27" t="n"/>
      <c r="D572" s="27" t="n"/>
      <c r="E572" s="27" t="n"/>
      <c r="F572" s="27" t="n"/>
      <c r="G572" s="27" t="n"/>
      <c r="H572" s="27" t="n"/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</row>
    <row r="573">
      <c r="B573" s="27" t="n"/>
      <c r="C573" s="27" t="n"/>
      <c r="D573" s="27" t="n"/>
      <c r="E573" s="27" t="n"/>
      <c r="F573" s="27" t="n"/>
      <c r="G573" s="27" t="n"/>
      <c r="H573" s="27" t="n"/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</row>
    <row r="574">
      <c r="B574" s="27" t="n"/>
      <c r="C574" s="27" t="n"/>
      <c r="D574" s="27" t="n"/>
      <c r="E574" s="27" t="n"/>
      <c r="F574" s="27" t="n"/>
      <c r="G574" s="27" t="n"/>
      <c r="H574" s="27" t="n"/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</row>
    <row r="575">
      <c r="B575" s="27" t="n"/>
      <c r="C575" s="27" t="n"/>
      <c r="D575" s="27" t="n"/>
      <c r="E575" s="27" t="n"/>
      <c r="F575" s="27" t="n"/>
      <c r="G575" s="27" t="n"/>
      <c r="H575" s="27" t="n"/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</row>
    <row r="576">
      <c r="B576" s="27" t="n"/>
      <c r="C576" s="27" t="n"/>
      <c r="D576" s="27" t="n"/>
      <c r="E576" s="27" t="n"/>
      <c r="F576" s="27" t="n"/>
      <c r="G576" s="27" t="n"/>
      <c r="H576" s="27" t="n"/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</row>
    <row r="577">
      <c r="B577" s="27" t="n"/>
      <c r="C577" s="27" t="n"/>
      <c r="D577" s="27" t="n"/>
      <c r="E577" s="27" t="n"/>
      <c r="F577" s="27" t="n"/>
      <c r="G577" s="27" t="n"/>
      <c r="H577" s="27" t="n"/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</row>
    <row r="578">
      <c r="B578" s="27" t="n"/>
      <c r="C578" s="27" t="n"/>
      <c r="D578" s="27" t="n"/>
      <c r="E578" s="27" t="n"/>
      <c r="F578" s="27" t="n"/>
      <c r="G578" s="27" t="n"/>
      <c r="H578" s="27" t="n"/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</row>
    <row r="579">
      <c r="B579" s="27" t="n"/>
      <c r="C579" s="27" t="n"/>
      <c r="D579" s="27" t="n"/>
      <c r="E579" s="27" t="n"/>
      <c r="F579" s="27" t="n"/>
      <c r="G579" s="27" t="n"/>
      <c r="H579" s="27" t="n"/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</row>
    <row r="580">
      <c r="B580" s="27" t="n"/>
      <c r="C580" s="27" t="n"/>
      <c r="D580" s="27" t="n"/>
      <c r="E580" s="27" t="n"/>
      <c r="F580" s="27" t="n"/>
      <c r="G580" s="27" t="n"/>
      <c r="H580" s="27" t="n"/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</row>
    <row r="581">
      <c r="B581" s="27" t="n"/>
      <c r="C581" s="27" t="n"/>
      <c r="D581" s="27" t="n"/>
      <c r="E581" s="27" t="n"/>
      <c r="F581" s="27" t="n"/>
      <c r="G581" s="27" t="n"/>
      <c r="H581" s="27" t="n"/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</row>
    <row r="582">
      <c r="B582" s="27" t="n"/>
      <c r="C582" s="27" t="n"/>
      <c r="D582" s="27" t="n"/>
      <c r="E582" s="27" t="n"/>
      <c r="F582" s="27" t="n"/>
      <c r="G582" s="27" t="n"/>
      <c r="H582" s="27" t="n"/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</row>
    <row r="583">
      <c r="B583" s="27" t="n"/>
      <c r="C583" s="27" t="n"/>
      <c r="D583" s="27" t="n"/>
      <c r="E583" s="27" t="n"/>
      <c r="F583" s="27" t="n"/>
      <c r="G583" s="27" t="n"/>
      <c r="H583" s="27" t="n"/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</row>
    <row r="584">
      <c r="B584" s="27" t="n"/>
      <c r="C584" s="27" t="n"/>
      <c r="D584" s="27" t="n"/>
      <c r="E584" s="27" t="n"/>
      <c r="F584" s="27" t="n"/>
      <c r="G584" s="27" t="n"/>
      <c r="H584" s="27" t="n"/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</row>
    <row r="585">
      <c r="B585" s="27" t="n"/>
      <c r="C585" s="27" t="n"/>
      <c r="D585" s="27" t="n"/>
      <c r="E585" s="27" t="n"/>
      <c r="F585" s="27" t="n"/>
      <c r="G585" s="27" t="n"/>
      <c r="H585" s="27" t="n"/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</row>
    <row r="586">
      <c r="B586" s="27" t="n"/>
      <c r="C586" s="27" t="n"/>
      <c r="D586" s="27" t="n"/>
      <c r="E586" s="27" t="n"/>
      <c r="F586" s="27" t="n"/>
      <c r="G586" s="27" t="n"/>
      <c r="H586" s="27" t="n"/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</row>
    <row r="587">
      <c r="B587" s="27" t="n"/>
      <c r="C587" s="27" t="n"/>
      <c r="D587" s="27" t="n"/>
      <c r="E587" s="27" t="n"/>
      <c r="F587" s="27" t="n"/>
      <c r="G587" s="27" t="n"/>
      <c r="H587" s="27" t="n"/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</row>
    <row r="588">
      <c r="B588" s="27" t="n"/>
      <c r="C588" s="27" t="n"/>
      <c r="D588" s="27" t="n"/>
      <c r="E588" s="27" t="n"/>
      <c r="F588" s="27" t="n"/>
      <c r="G588" s="27" t="n"/>
      <c r="H588" s="27" t="n"/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</row>
    <row r="589">
      <c r="B589" s="27" t="n"/>
      <c r="C589" s="27" t="n"/>
      <c r="D589" s="27" t="n"/>
      <c r="E589" s="27" t="n"/>
      <c r="F589" s="27" t="n"/>
      <c r="G589" s="27" t="n"/>
      <c r="H589" s="27" t="n"/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</row>
    <row r="590">
      <c r="B590" s="27" t="n"/>
      <c r="C590" s="27" t="n"/>
      <c r="D590" s="27" t="n"/>
      <c r="E590" s="27" t="n"/>
      <c r="F590" s="27" t="n"/>
      <c r="G590" s="27" t="n"/>
      <c r="H590" s="27" t="n"/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</row>
    <row r="591">
      <c r="B591" s="27" t="n"/>
      <c r="C591" s="27" t="n"/>
      <c r="D591" s="27" t="n"/>
      <c r="E591" s="27" t="n"/>
      <c r="F591" s="27" t="n"/>
      <c r="G591" s="27" t="n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</row>
    <row r="592">
      <c r="B592" s="27" t="n"/>
      <c r="C592" s="27" t="n"/>
      <c r="D592" s="27" t="n"/>
      <c r="E592" s="27" t="n"/>
      <c r="F592" s="27" t="n"/>
      <c r="G592" s="27" t="n"/>
      <c r="H592" s="27" t="n"/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</row>
    <row r="593">
      <c r="B593" s="27" t="n"/>
      <c r="C593" s="27" t="n"/>
      <c r="D593" s="27" t="n"/>
      <c r="E593" s="27" t="n"/>
      <c r="F593" s="27" t="n"/>
      <c r="G593" s="27" t="n"/>
      <c r="H593" s="27" t="n"/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</row>
    <row r="594">
      <c r="B594" s="27" t="n"/>
      <c r="C594" s="27" t="n"/>
      <c r="D594" s="27" t="n"/>
      <c r="E594" s="27" t="n"/>
      <c r="F594" s="27" t="n"/>
      <c r="G594" s="27" t="n"/>
      <c r="H594" s="27" t="n"/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</row>
    <row r="595">
      <c r="B595" s="27" t="n"/>
      <c r="C595" s="27" t="n"/>
      <c r="D595" s="27" t="n"/>
      <c r="E595" s="27" t="n"/>
      <c r="F595" s="27" t="n"/>
      <c r="G595" s="27" t="n"/>
      <c r="H595" s="27" t="n"/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</row>
    <row r="596">
      <c r="B596" s="27" t="n"/>
      <c r="C596" s="27" t="n"/>
      <c r="D596" s="27" t="n"/>
      <c r="E596" s="27" t="n"/>
      <c r="F596" s="27" t="n"/>
      <c r="G596" s="27" t="n"/>
      <c r="H596" s="27" t="n"/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</row>
    <row r="597">
      <c r="B597" s="27" t="n"/>
      <c r="C597" s="27" t="n"/>
      <c r="D597" s="27" t="n"/>
      <c r="E597" s="27" t="n"/>
      <c r="F597" s="27" t="n"/>
      <c r="G597" s="27" t="n"/>
      <c r="H597" s="27" t="n"/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</row>
    <row r="598">
      <c r="B598" s="27" t="n"/>
      <c r="C598" s="27" t="n"/>
      <c r="D598" s="27" t="n"/>
      <c r="E598" s="27" t="n"/>
      <c r="F598" s="27" t="n"/>
      <c r="G598" s="27" t="n"/>
      <c r="H598" s="27" t="n"/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</row>
    <row r="599">
      <c r="B599" s="27" t="n"/>
      <c r="C599" s="27" t="n"/>
      <c r="D599" s="27" t="n"/>
      <c r="E599" s="27" t="n"/>
      <c r="F599" s="27" t="n"/>
      <c r="G599" s="27" t="n"/>
      <c r="H599" s="27" t="n"/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</row>
    <row r="600">
      <c r="B600" s="27" t="n"/>
      <c r="C600" s="27" t="n"/>
      <c r="D600" s="27" t="n"/>
      <c r="E600" s="27" t="n"/>
      <c r="F600" s="27" t="n"/>
      <c r="G600" s="27" t="n"/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</row>
    <row r="601"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</row>
    <row r="602">
      <c r="B602" s="27" t="n"/>
      <c r="C602" s="27" t="n"/>
      <c r="D602" s="27" t="n"/>
      <c r="E602" s="27" t="n"/>
      <c r="F602" s="27" t="n"/>
      <c r="G602" s="27" t="n"/>
      <c r="H602" s="27" t="n"/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</row>
    <row r="603">
      <c r="B603" s="27" t="n"/>
      <c r="C603" s="27" t="n"/>
      <c r="D603" s="27" t="n"/>
      <c r="E603" s="27" t="n"/>
      <c r="F603" s="27" t="n"/>
      <c r="G603" s="27" t="n"/>
      <c r="H603" s="27" t="n"/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</row>
    <row r="604">
      <c r="B604" s="27" t="n"/>
      <c r="C604" s="27" t="n"/>
      <c r="D604" s="27" t="n"/>
      <c r="E604" s="27" t="n"/>
      <c r="F604" s="27" t="n"/>
      <c r="G604" s="27" t="n"/>
      <c r="H604" s="27" t="n"/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</row>
    <row r="605">
      <c r="B605" s="27" t="n"/>
      <c r="C605" s="27" t="n"/>
      <c r="D605" s="27" t="n"/>
      <c r="E605" s="27" t="n"/>
      <c r="F605" s="27" t="n"/>
      <c r="G605" s="27" t="n"/>
      <c r="H605" s="27" t="n"/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</row>
    <row r="606">
      <c r="B606" s="27" t="n"/>
      <c r="C606" s="27" t="n"/>
      <c r="D606" s="27" t="n"/>
      <c r="E606" s="27" t="n"/>
      <c r="F606" s="27" t="n"/>
      <c r="G606" s="27" t="n"/>
      <c r="H606" s="27" t="n"/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</row>
    <row r="607">
      <c r="B607" s="27" t="n"/>
      <c r="C607" s="27" t="n"/>
      <c r="D607" s="27" t="n"/>
      <c r="E607" s="27" t="n"/>
      <c r="F607" s="27" t="n"/>
      <c r="G607" s="27" t="n"/>
      <c r="H607" s="27" t="n"/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</row>
    <row r="608">
      <c r="B608" s="27" t="n"/>
      <c r="C608" s="27" t="n"/>
      <c r="D608" s="27" t="n"/>
      <c r="E608" s="27" t="n"/>
      <c r="F608" s="27" t="n"/>
      <c r="G608" s="27" t="n"/>
      <c r="H608" s="27" t="n"/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</row>
    <row r="609">
      <c r="B609" s="27" t="n"/>
      <c r="C609" s="27" t="n"/>
      <c r="D609" s="27" t="n"/>
      <c r="E609" s="27" t="n"/>
      <c r="F609" s="27" t="n"/>
      <c r="G609" s="27" t="n"/>
      <c r="H609" s="27" t="n"/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</row>
    <row r="610">
      <c r="B610" s="27" t="n"/>
      <c r="C610" s="27" t="n"/>
      <c r="D610" s="27" t="n"/>
      <c r="E610" s="27" t="n"/>
      <c r="F610" s="27" t="n"/>
      <c r="G610" s="27" t="n"/>
      <c r="H610" s="27" t="n"/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</row>
    <row r="611">
      <c r="B611" s="27" t="n"/>
      <c r="C611" s="27" t="n"/>
      <c r="D611" s="27" t="n"/>
      <c r="E611" s="27" t="n"/>
      <c r="F611" s="27" t="n"/>
      <c r="G611" s="27" t="n"/>
      <c r="H611" s="27" t="n"/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</row>
    <row r="612">
      <c r="B612" s="27" t="n"/>
      <c r="C612" s="27" t="n"/>
      <c r="D612" s="27" t="n"/>
      <c r="E612" s="27" t="n"/>
      <c r="F612" s="27" t="n"/>
      <c r="G612" s="27" t="n"/>
      <c r="H612" s="27" t="n"/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</row>
    <row r="613">
      <c r="B613" s="27" t="n"/>
      <c r="C613" s="27" t="n"/>
      <c r="D613" s="27" t="n"/>
      <c r="E613" s="27" t="n"/>
      <c r="F613" s="27" t="n"/>
      <c r="G613" s="27" t="n"/>
      <c r="H613" s="27" t="n"/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</row>
    <row r="614">
      <c r="B614" s="27" t="n"/>
      <c r="C614" s="27" t="n"/>
      <c r="D614" s="27" t="n"/>
      <c r="E614" s="27" t="n"/>
      <c r="F614" s="27" t="n"/>
      <c r="G614" s="27" t="n"/>
      <c r="H614" s="27" t="n"/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</row>
    <row r="615">
      <c r="B615" s="27" t="n"/>
      <c r="C615" s="27" t="n"/>
      <c r="D615" s="27" t="n"/>
      <c r="E615" s="27" t="n"/>
      <c r="F615" s="27" t="n"/>
      <c r="G615" s="27" t="n"/>
      <c r="H615" s="27" t="n"/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</row>
    <row r="616">
      <c r="B616" s="27" t="n"/>
      <c r="C616" s="27" t="n"/>
      <c r="D616" s="27" t="n"/>
      <c r="E616" s="27" t="n"/>
      <c r="F616" s="27" t="n"/>
      <c r="G616" s="27" t="n"/>
      <c r="H616" s="27" t="n"/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</row>
    <row r="617">
      <c r="B617" s="27" t="n"/>
      <c r="C617" s="27" t="n"/>
      <c r="D617" s="27" t="n"/>
      <c r="E617" s="27" t="n"/>
      <c r="F617" s="27" t="n"/>
      <c r="G617" s="27" t="n"/>
      <c r="H617" s="27" t="n"/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</row>
    <row r="618">
      <c r="B618" s="27" t="n"/>
      <c r="C618" s="27" t="n"/>
      <c r="D618" s="27" t="n"/>
      <c r="E618" s="27" t="n"/>
      <c r="F618" s="27" t="n"/>
      <c r="G618" s="27" t="n"/>
      <c r="H618" s="27" t="n"/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</row>
    <row r="619">
      <c r="B619" s="27" t="n"/>
      <c r="C619" s="27" t="n"/>
      <c r="D619" s="27" t="n"/>
      <c r="E619" s="27" t="n"/>
      <c r="F619" s="27" t="n"/>
      <c r="G619" s="27" t="n"/>
      <c r="H619" s="27" t="n"/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</row>
    <row r="620">
      <c r="B620" s="27" t="n"/>
      <c r="C620" s="27" t="n"/>
      <c r="D620" s="27" t="n"/>
      <c r="E620" s="27" t="n"/>
      <c r="F620" s="27" t="n"/>
      <c r="G620" s="27" t="n"/>
      <c r="H620" s="27" t="n"/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</row>
    <row r="621">
      <c r="B621" s="27" t="n"/>
      <c r="C621" s="27" t="n"/>
      <c r="D621" s="27" t="n"/>
      <c r="E621" s="27" t="n"/>
      <c r="F621" s="27" t="n"/>
      <c r="G621" s="27" t="n"/>
      <c r="H621" s="27" t="n"/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</row>
    <row r="622">
      <c r="B622" s="27" t="n"/>
      <c r="C622" s="27" t="n"/>
      <c r="D622" s="27" t="n"/>
      <c r="E622" s="27" t="n"/>
      <c r="F622" s="27" t="n"/>
      <c r="G622" s="27" t="n"/>
      <c r="H622" s="27" t="n"/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</row>
    <row r="623">
      <c r="B623" s="27" t="n"/>
      <c r="C623" s="27" t="n"/>
      <c r="D623" s="27" t="n"/>
      <c r="E623" s="27" t="n"/>
      <c r="F623" s="27" t="n"/>
      <c r="G623" s="27" t="n"/>
      <c r="H623" s="27" t="n"/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</row>
    <row r="624">
      <c r="B624" s="27" t="n"/>
      <c r="C624" s="27" t="n"/>
      <c r="D624" s="27" t="n"/>
      <c r="E624" s="27" t="n"/>
      <c r="F624" s="27" t="n"/>
      <c r="G624" s="27" t="n"/>
      <c r="H624" s="27" t="n"/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</row>
    <row r="625">
      <c r="B625" s="27" t="n"/>
      <c r="C625" s="27" t="n"/>
      <c r="D625" s="27" t="n"/>
      <c r="E625" s="27" t="n"/>
      <c r="F625" s="27" t="n"/>
      <c r="G625" s="27" t="n"/>
      <c r="H625" s="27" t="n"/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</row>
    <row r="626">
      <c r="B626" s="27" t="n"/>
      <c r="C626" s="27" t="n"/>
      <c r="D626" s="27" t="n"/>
      <c r="E626" s="27" t="n"/>
      <c r="F626" s="27" t="n"/>
      <c r="G626" s="27" t="n"/>
      <c r="H626" s="27" t="n"/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</row>
    <row r="627">
      <c r="B627" s="27" t="n"/>
      <c r="C627" s="27" t="n"/>
      <c r="D627" s="27" t="n"/>
      <c r="E627" s="27" t="n"/>
      <c r="F627" s="27" t="n"/>
      <c r="G627" s="27" t="n"/>
      <c r="H627" s="27" t="n"/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</row>
    <row r="628">
      <c r="B628" s="27" t="n"/>
      <c r="C628" s="27" t="n"/>
      <c r="D628" s="27" t="n"/>
      <c r="E628" s="27" t="n"/>
      <c r="F628" s="27" t="n"/>
      <c r="G628" s="27" t="n"/>
      <c r="H628" s="27" t="n"/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</row>
    <row r="629">
      <c r="B629" s="27" t="n"/>
      <c r="C629" s="27" t="n"/>
      <c r="D629" s="27" t="n"/>
      <c r="E629" s="27" t="n"/>
      <c r="F629" s="27" t="n"/>
      <c r="G629" s="27" t="n"/>
      <c r="H629" s="27" t="n"/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</row>
    <row r="630">
      <c r="B630" s="27" t="n"/>
      <c r="C630" s="27" t="n"/>
      <c r="D630" s="27" t="n"/>
      <c r="E630" s="27" t="n"/>
      <c r="F630" s="27" t="n"/>
      <c r="G630" s="27" t="n"/>
      <c r="H630" s="27" t="n"/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</row>
    <row r="631">
      <c r="B631" s="27" t="n"/>
      <c r="C631" s="27" t="n"/>
      <c r="D631" s="27" t="n"/>
      <c r="E631" s="27" t="n"/>
      <c r="F631" s="27" t="n"/>
      <c r="G631" s="27" t="n"/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</row>
    <row r="632">
      <c r="B632" s="27" t="n"/>
      <c r="C632" s="27" t="n"/>
      <c r="D632" s="27" t="n"/>
      <c r="E632" s="27" t="n"/>
      <c r="F632" s="27" t="n"/>
      <c r="G632" s="27" t="n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</row>
    <row r="633">
      <c r="B633" s="27" t="n"/>
      <c r="C633" s="27" t="n"/>
      <c r="D633" s="27" t="n"/>
      <c r="E633" s="27" t="n"/>
      <c r="F633" s="27" t="n"/>
      <c r="G633" s="27" t="n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</row>
    <row r="634">
      <c r="B634" s="27" t="n"/>
      <c r="C634" s="27" t="n"/>
      <c r="D634" s="27" t="n"/>
      <c r="E634" s="27" t="n"/>
      <c r="F634" s="27" t="n"/>
      <c r="G634" s="27" t="n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</row>
    <row r="635">
      <c r="B635" s="27" t="n"/>
      <c r="C635" s="27" t="n"/>
      <c r="D635" s="27" t="n"/>
      <c r="E635" s="27" t="n"/>
      <c r="F635" s="27" t="n"/>
      <c r="G635" s="27" t="n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</row>
    <row r="636">
      <c r="B636" s="27" t="n"/>
      <c r="C636" s="27" t="n"/>
      <c r="D636" s="27" t="n"/>
      <c r="E636" s="27" t="n"/>
      <c r="F636" s="27" t="n"/>
      <c r="G636" s="27" t="n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</row>
    <row r="637">
      <c r="B637" s="27" t="n"/>
      <c r="C637" s="27" t="n"/>
      <c r="D637" s="27" t="n"/>
      <c r="E637" s="27" t="n"/>
      <c r="F637" s="27" t="n"/>
      <c r="G637" s="27" t="n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</row>
    <row r="638">
      <c r="B638" s="27" t="n"/>
      <c r="C638" s="27" t="n"/>
      <c r="D638" s="27" t="n"/>
      <c r="E638" s="27" t="n"/>
      <c r="F638" s="27" t="n"/>
      <c r="G638" s="27" t="n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</row>
    <row r="639">
      <c r="B639" s="27" t="n"/>
      <c r="C639" s="27" t="n"/>
      <c r="D639" s="27" t="n"/>
      <c r="E639" s="27" t="n"/>
      <c r="F639" s="27" t="n"/>
      <c r="G639" s="27" t="n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</row>
    <row r="640">
      <c r="B640" s="27" t="n"/>
      <c r="C640" s="27" t="n"/>
      <c r="D640" s="27" t="n"/>
      <c r="E640" s="27" t="n"/>
      <c r="F640" s="27" t="n"/>
      <c r="G640" s="27" t="n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</row>
    <row r="641"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</row>
    <row r="642">
      <c r="B642" s="27" t="n"/>
      <c r="C642" s="27" t="n"/>
      <c r="D642" s="27" t="n"/>
      <c r="E642" s="27" t="n"/>
      <c r="F642" s="27" t="n"/>
      <c r="G642" s="27" t="n"/>
      <c r="H642" s="27" t="n"/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</row>
    <row r="643">
      <c r="B643" s="27" t="n"/>
      <c r="C643" s="27" t="n"/>
      <c r="D643" s="27" t="n"/>
      <c r="E643" s="27" t="n"/>
      <c r="F643" s="27" t="n"/>
      <c r="G643" s="27" t="n"/>
      <c r="H643" s="27" t="n"/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</row>
    <row r="644">
      <c r="B644" s="27" t="n"/>
      <c r="C644" s="27" t="n"/>
      <c r="D644" s="27" t="n"/>
      <c r="E644" s="27" t="n"/>
      <c r="F644" s="27" t="n"/>
      <c r="G644" s="27" t="n"/>
      <c r="H644" s="27" t="n"/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</row>
    <row r="645">
      <c r="B645" s="27" t="n"/>
      <c r="C645" s="27" t="n"/>
      <c r="D645" s="27" t="n"/>
      <c r="E645" s="27" t="n"/>
      <c r="F645" s="27" t="n"/>
      <c r="G645" s="27" t="n"/>
      <c r="H645" s="27" t="n"/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</row>
    <row r="646">
      <c r="B646" s="27" t="n"/>
      <c r="C646" s="27" t="n"/>
      <c r="D646" s="27" t="n"/>
      <c r="E646" s="27" t="n"/>
      <c r="F646" s="27" t="n"/>
      <c r="G646" s="27" t="n"/>
      <c r="H646" s="27" t="n"/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</row>
    <row r="647">
      <c r="B647" s="27" t="n"/>
      <c r="C647" s="27" t="n"/>
      <c r="D647" s="27" t="n"/>
      <c r="E647" s="27" t="n"/>
      <c r="F647" s="27" t="n"/>
      <c r="G647" s="27" t="n"/>
      <c r="H647" s="27" t="n"/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</row>
    <row r="648">
      <c r="B648" s="27" t="n"/>
      <c r="C648" s="27" t="n"/>
      <c r="D648" s="27" t="n"/>
      <c r="E648" s="27" t="n"/>
      <c r="F648" s="27" t="n"/>
      <c r="G648" s="27" t="n"/>
      <c r="H648" s="27" t="n"/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</row>
    <row r="649">
      <c r="B649" s="27" t="n"/>
      <c r="C649" s="27" t="n"/>
      <c r="D649" s="27" t="n"/>
      <c r="E649" s="27" t="n"/>
      <c r="F649" s="27" t="n"/>
      <c r="G649" s="27" t="n"/>
      <c r="H649" s="27" t="n"/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</row>
    <row r="650">
      <c r="B650" s="27" t="n"/>
      <c r="C650" s="27" t="n"/>
      <c r="D650" s="27" t="n"/>
      <c r="E650" s="27" t="n"/>
      <c r="F650" s="27" t="n"/>
      <c r="G650" s="27" t="n"/>
      <c r="H650" s="27" t="n"/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</row>
    <row r="651">
      <c r="B651" s="27" t="n"/>
      <c r="C651" s="27" t="n"/>
      <c r="D651" s="27" t="n"/>
      <c r="E651" s="27" t="n"/>
      <c r="F651" s="27" t="n"/>
      <c r="G651" s="27" t="n"/>
      <c r="H651" s="27" t="n"/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</row>
    <row r="652">
      <c r="B652" s="27" t="n"/>
      <c r="C652" s="27" t="n"/>
      <c r="D652" s="27" t="n"/>
      <c r="E652" s="27" t="n"/>
      <c r="F652" s="27" t="n"/>
      <c r="G652" s="27" t="n"/>
      <c r="H652" s="27" t="n"/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</row>
    <row r="653">
      <c r="B653" s="27" t="n"/>
      <c r="C653" s="27" t="n"/>
      <c r="D653" s="27" t="n"/>
      <c r="E653" s="27" t="n"/>
      <c r="F653" s="27" t="n"/>
      <c r="G653" s="27" t="n"/>
      <c r="H653" s="27" t="n"/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</row>
    <row r="654">
      <c r="B654" s="27" t="n"/>
      <c r="C654" s="27" t="n"/>
      <c r="D654" s="27" t="n"/>
      <c r="E654" s="27" t="n"/>
      <c r="F654" s="27" t="n"/>
      <c r="G654" s="27" t="n"/>
      <c r="H654" s="27" t="n"/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</row>
    <row r="655">
      <c r="B655" s="27" t="n"/>
      <c r="C655" s="27" t="n"/>
      <c r="D655" s="27" t="n"/>
      <c r="E655" s="27" t="n"/>
      <c r="F655" s="27" t="n"/>
      <c r="G655" s="27" t="n"/>
      <c r="H655" s="27" t="n"/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</row>
    <row r="656">
      <c r="B656" s="27" t="n"/>
      <c r="C656" s="27" t="n"/>
      <c r="D656" s="27" t="n"/>
      <c r="E656" s="27" t="n"/>
      <c r="F656" s="27" t="n"/>
      <c r="G656" s="27" t="n"/>
      <c r="H656" s="27" t="n"/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</row>
    <row r="657">
      <c r="B657" s="27" t="n"/>
      <c r="C657" s="27" t="n"/>
      <c r="D657" s="27" t="n"/>
      <c r="E657" s="27" t="n"/>
      <c r="F657" s="27" t="n"/>
      <c r="G657" s="27" t="n"/>
      <c r="H657" s="27" t="n"/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</row>
    <row r="658">
      <c r="B658" s="27" t="n"/>
      <c r="C658" s="27" t="n"/>
      <c r="D658" s="27" t="n"/>
      <c r="E658" s="27" t="n"/>
      <c r="F658" s="27" t="n"/>
      <c r="G658" s="27" t="n"/>
      <c r="H658" s="27" t="n"/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</row>
    <row r="659">
      <c r="B659" s="27" t="n"/>
      <c r="C659" s="27" t="n"/>
      <c r="D659" s="27" t="n"/>
      <c r="E659" s="27" t="n"/>
      <c r="F659" s="27" t="n"/>
      <c r="G659" s="27" t="n"/>
      <c r="H659" s="27" t="n"/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</row>
    <row r="660">
      <c r="B660" s="27" t="n"/>
      <c r="C660" s="27" t="n"/>
      <c r="D660" s="27" t="n"/>
      <c r="E660" s="27" t="n"/>
      <c r="F660" s="27" t="n"/>
      <c r="G660" s="27" t="n"/>
      <c r="H660" s="27" t="n"/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</row>
    <row r="661">
      <c r="B661" s="27" t="n"/>
      <c r="C661" s="27" t="n"/>
      <c r="D661" s="27" t="n"/>
      <c r="E661" s="27" t="n"/>
      <c r="F661" s="27" t="n"/>
      <c r="G661" s="27" t="n"/>
      <c r="H661" s="27" t="n"/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</row>
    <row r="662">
      <c r="B662" s="27" t="n"/>
      <c r="C662" s="27" t="n"/>
      <c r="D662" s="27" t="n"/>
      <c r="E662" s="27" t="n"/>
      <c r="F662" s="27" t="n"/>
      <c r="G662" s="27" t="n"/>
      <c r="H662" s="27" t="n"/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</row>
    <row r="663">
      <c r="B663" s="27" t="n"/>
      <c r="C663" s="27" t="n"/>
      <c r="D663" s="27" t="n"/>
      <c r="E663" s="27" t="n"/>
      <c r="F663" s="27" t="n"/>
      <c r="G663" s="27" t="n"/>
      <c r="H663" s="27" t="n"/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</row>
    <row r="664">
      <c r="B664" s="27" t="n"/>
      <c r="C664" s="27" t="n"/>
      <c r="D664" s="27" t="n"/>
      <c r="E664" s="27" t="n"/>
      <c r="F664" s="27" t="n"/>
      <c r="G664" s="27" t="n"/>
      <c r="H664" s="27" t="n"/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</row>
    <row r="665">
      <c r="B665" s="27" t="n"/>
      <c r="C665" s="27" t="n"/>
      <c r="D665" s="27" t="n"/>
      <c r="E665" s="27" t="n"/>
      <c r="F665" s="27" t="n"/>
      <c r="G665" s="27" t="n"/>
      <c r="H665" s="27" t="n"/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</row>
    <row r="666">
      <c r="B666" s="27" t="n"/>
      <c r="C666" s="27" t="n"/>
      <c r="D666" s="27" t="n"/>
      <c r="E666" s="27" t="n"/>
      <c r="F666" s="27" t="n"/>
      <c r="G666" s="27" t="n"/>
      <c r="H666" s="27" t="n"/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</row>
    <row r="667">
      <c r="B667" s="27" t="n"/>
      <c r="C667" s="27" t="n"/>
      <c r="D667" s="27" t="n"/>
      <c r="E667" s="27" t="n"/>
      <c r="F667" s="27" t="n"/>
      <c r="G667" s="27" t="n"/>
      <c r="H667" s="27" t="n"/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</row>
    <row r="668">
      <c r="B668" s="27" t="n"/>
      <c r="C668" s="27" t="n"/>
      <c r="D668" s="27" t="n"/>
      <c r="E668" s="27" t="n"/>
      <c r="F668" s="27" t="n"/>
      <c r="G668" s="27" t="n"/>
      <c r="H668" s="27" t="n"/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</row>
    <row r="669">
      <c r="B669" s="27" t="n"/>
      <c r="C669" s="27" t="n"/>
      <c r="D669" s="27" t="n"/>
      <c r="E669" s="27" t="n"/>
      <c r="F669" s="27" t="n"/>
      <c r="G669" s="27" t="n"/>
      <c r="H669" s="27" t="n"/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</row>
    <row r="670">
      <c r="B670" s="27" t="n"/>
      <c r="C670" s="27" t="n"/>
      <c r="D670" s="27" t="n"/>
      <c r="E670" s="27" t="n"/>
      <c r="F670" s="27" t="n"/>
      <c r="G670" s="27" t="n"/>
      <c r="H670" s="27" t="n"/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</row>
    <row r="671">
      <c r="B671" s="27" t="n"/>
      <c r="C671" s="27" t="n"/>
      <c r="D671" s="27" t="n"/>
      <c r="E671" s="27" t="n"/>
      <c r="F671" s="27" t="n"/>
      <c r="G671" s="27" t="n"/>
      <c r="H671" s="27" t="n"/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</row>
    <row r="672">
      <c r="B672" s="27" t="n"/>
      <c r="C672" s="27" t="n"/>
      <c r="D672" s="27" t="n"/>
      <c r="E672" s="27" t="n"/>
      <c r="F672" s="27" t="n"/>
      <c r="G672" s="27" t="n"/>
      <c r="H672" s="27" t="n"/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</row>
    <row r="673">
      <c r="B673" s="27" t="n"/>
      <c r="C673" s="27" t="n"/>
      <c r="D673" s="27" t="n"/>
      <c r="E673" s="27" t="n"/>
      <c r="F673" s="27" t="n"/>
      <c r="G673" s="27" t="n"/>
      <c r="H673" s="27" t="n"/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</row>
    <row r="674">
      <c r="B674" s="27" t="n"/>
      <c r="C674" s="27" t="n"/>
      <c r="D674" s="27" t="n"/>
      <c r="E674" s="27" t="n"/>
      <c r="F674" s="27" t="n"/>
      <c r="G674" s="27" t="n"/>
      <c r="H674" s="27" t="n"/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</row>
    <row r="675">
      <c r="B675" s="27" t="n"/>
      <c r="C675" s="27" t="n"/>
      <c r="D675" s="27" t="n"/>
      <c r="E675" s="27" t="n"/>
      <c r="F675" s="27" t="n"/>
      <c r="G675" s="27" t="n"/>
      <c r="H675" s="27" t="n"/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</row>
    <row r="676">
      <c r="B676" s="27" t="n"/>
      <c r="C676" s="27" t="n"/>
      <c r="D676" s="27" t="n"/>
      <c r="E676" s="27" t="n"/>
      <c r="F676" s="27" t="n"/>
      <c r="G676" s="27" t="n"/>
      <c r="H676" s="27" t="n"/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</row>
    <row r="677">
      <c r="B677" s="27" t="n"/>
      <c r="C677" s="27" t="n"/>
      <c r="D677" s="27" t="n"/>
      <c r="E677" s="27" t="n"/>
      <c r="F677" s="27" t="n"/>
      <c r="G677" s="27" t="n"/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</row>
    <row r="678">
      <c r="B678" s="27" t="n"/>
      <c r="C678" s="27" t="n"/>
      <c r="D678" s="27" t="n"/>
      <c r="E678" s="27" t="n"/>
      <c r="F678" s="27" t="n"/>
      <c r="G678" s="27" t="n"/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</row>
    <row r="679">
      <c r="B679" s="27" t="n"/>
      <c r="C679" s="27" t="n"/>
      <c r="D679" s="27" t="n"/>
      <c r="E679" s="27" t="n"/>
      <c r="F679" s="27" t="n"/>
      <c r="G679" s="27" t="n"/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</row>
    <row r="680">
      <c r="B680" s="27" t="n"/>
      <c r="C680" s="27" t="n"/>
      <c r="D680" s="27" t="n"/>
      <c r="E680" s="27" t="n"/>
      <c r="F680" s="27" t="n"/>
      <c r="G680" s="27" t="n"/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</row>
    <row r="681">
      <c r="B681" s="27" t="n"/>
      <c r="C681" s="27" t="n"/>
      <c r="D681" s="27" t="n"/>
      <c r="E681" s="27" t="n"/>
      <c r="F681" s="27" t="n"/>
      <c r="G681" s="27" t="n"/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</row>
    <row r="682">
      <c r="B682" s="27" t="n"/>
      <c r="C682" s="27" t="n"/>
      <c r="D682" s="27" t="n"/>
      <c r="E682" s="27" t="n"/>
      <c r="F682" s="27" t="n"/>
      <c r="G682" s="27" t="n"/>
      <c r="H682" s="27" t="n"/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</row>
    <row r="683">
      <c r="B683" s="27" t="n"/>
      <c r="C683" s="27" t="n"/>
      <c r="D683" s="27" t="n"/>
      <c r="E683" s="27" t="n"/>
      <c r="F683" s="27" t="n"/>
      <c r="G683" s="27" t="n"/>
      <c r="H683" s="27" t="n"/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</row>
    <row r="684">
      <c r="B684" s="27" t="n"/>
      <c r="C684" s="27" t="n"/>
      <c r="D684" s="27" t="n"/>
      <c r="E684" s="27" t="n"/>
      <c r="F684" s="27" t="n"/>
      <c r="G684" s="27" t="n"/>
      <c r="H684" s="27" t="n"/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</row>
    <row r="685">
      <c r="B685" s="27" t="n"/>
      <c r="C685" s="27" t="n"/>
      <c r="D685" s="27" t="n"/>
      <c r="E685" s="27" t="n"/>
      <c r="F685" s="27" t="n"/>
      <c r="G685" s="27" t="n"/>
      <c r="H685" s="27" t="n"/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</row>
    <row r="686">
      <c r="B686" s="27" t="n"/>
      <c r="C686" s="27" t="n"/>
      <c r="D686" s="27" t="n"/>
      <c r="E686" s="27" t="n"/>
      <c r="F686" s="27" t="n"/>
      <c r="G686" s="27" t="n"/>
      <c r="H686" s="27" t="n"/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</row>
    <row r="687">
      <c r="B687" s="27" t="n"/>
      <c r="C687" s="27" t="n"/>
      <c r="D687" s="27" t="n"/>
      <c r="E687" s="27" t="n"/>
      <c r="F687" s="27" t="n"/>
      <c r="G687" s="27" t="n"/>
      <c r="H687" s="27" t="n"/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</row>
    <row r="688">
      <c r="B688" s="27" t="n"/>
      <c r="C688" s="27" t="n"/>
      <c r="D688" s="27" t="n"/>
      <c r="E688" s="27" t="n"/>
      <c r="F688" s="27" t="n"/>
      <c r="G688" s="27" t="n"/>
      <c r="H688" s="27" t="n"/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</row>
    <row r="689">
      <c r="B689" s="27" t="n"/>
      <c r="C689" s="27" t="n"/>
      <c r="D689" s="27" t="n"/>
      <c r="E689" s="27" t="n"/>
      <c r="F689" s="27" t="n"/>
      <c r="G689" s="27" t="n"/>
      <c r="H689" s="27" t="n"/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</row>
    <row r="690">
      <c r="B690" s="27" t="n"/>
      <c r="C690" s="27" t="n"/>
      <c r="D690" s="27" t="n"/>
      <c r="E690" s="27" t="n"/>
      <c r="F690" s="27" t="n"/>
      <c r="G690" s="27" t="n"/>
      <c r="H690" s="27" t="n"/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</row>
    <row r="691">
      <c r="B691" s="27" t="n"/>
      <c r="C691" s="27" t="n"/>
      <c r="D691" s="27" t="n"/>
      <c r="E691" s="27" t="n"/>
      <c r="F691" s="27" t="n"/>
      <c r="G691" s="27" t="n"/>
      <c r="H691" s="27" t="n"/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</row>
    <row r="692">
      <c r="B692" s="27" t="n"/>
      <c r="C692" s="27" t="n"/>
      <c r="D692" s="27" t="n"/>
      <c r="E692" s="27" t="n"/>
      <c r="F692" s="27" t="n"/>
      <c r="G692" s="27" t="n"/>
      <c r="H692" s="27" t="n"/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</row>
    <row r="693">
      <c r="B693" s="27" t="n"/>
      <c r="C693" s="27" t="n"/>
      <c r="D693" s="27" t="n"/>
      <c r="E693" s="27" t="n"/>
      <c r="F693" s="27" t="n"/>
      <c r="G693" s="27" t="n"/>
      <c r="H693" s="27" t="n"/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</row>
    <row r="694">
      <c r="B694" s="27" t="n"/>
      <c r="C694" s="27" t="n"/>
      <c r="D694" s="27" t="n"/>
      <c r="E694" s="27" t="n"/>
      <c r="F694" s="27" t="n"/>
      <c r="G694" s="27" t="n"/>
      <c r="H694" s="27" t="n"/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</row>
    <row r="695">
      <c r="B695" s="27" t="n"/>
      <c r="C695" s="27" t="n"/>
      <c r="D695" s="27" t="n"/>
      <c r="E695" s="27" t="n"/>
      <c r="F695" s="27" t="n"/>
      <c r="G695" s="27" t="n"/>
      <c r="H695" s="27" t="n"/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</row>
    <row r="696">
      <c r="B696" s="27" t="n"/>
      <c r="C696" s="27" t="n"/>
      <c r="D696" s="27" t="n"/>
      <c r="E696" s="27" t="n"/>
      <c r="F696" s="27" t="n"/>
      <c r="G696" s="27" t="n"/>
      <c r="H696" s="27" t="n"/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</row>
    <row r="697">
      <c r="B697" s="27" t="n"/>
      <c r="C697" s="27" t="n"/>
      <c r="D697" s="27" t="n"/>
      <c r="E697" s="27" t="n"/>
      <c r="F697" s="27" t="n"/>
      <c r="G697" s="27" t="n"/>
      <c r="H697" s="27" t="n"/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</row>
    <row r="698">
      <c r="B698" s="27" t="n"/>
      <c r="C698" s="27" t="n"/>
      <c r="D698" s="27" t="n"/>
      <c r="E698" s="27" t="n"/>
      <c r="F698" s="27" t="n"/>
      <c r="G698" s="27" t="n"/>
      <c r="H698" s="27" t="n"/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</row>
    <row r="699">
      <c r="B699" s="27" t="n"/>
      <c r="C699" s="27" t="n"/>
      <c r="D699" s="27" t="n"/>
      <c r="E699" s="27" t="n"/>
      <c r="F699" s="27" t="n"/>
      <c r="G699" s="27" t="n"/>
      <c r="H699" s="27" t="n"/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</row>
    <row r="700">
      <c r="B700" s="27" t="n"/>
      <c r="C700" s="27" t="n"/>
      <c r="D700" s="27" t="n"/>
      <c r="E700" s="27" t="n"/>
      <c r="F700" s="27" t="n"/>
      <c r="G700" s="27" t="n"/>
      <c r="H700" s="27" t="n"/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</row>
    <row r="701">
      <c r="B701" s="27" t="n"/>
      <c r="C701" s="27" t="n"/>
      <c r="D701" s="27" t="n"/>
      <c r="E701" s="27" t="n"/>
      <c r="F701" s="27" t="n"/>
      <c r="G701" s="27" t="n"/>
      <c r="H701" s="27" t="n"/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</row>
    <row r="702">
      <c r="B702" s="27" t="n"/>
      <c r="C702" s="27" t="n"/>
      <c r="D702" s="27" t="n"/>
      <c r="E702" s="27" t="n"/>
      <c r="F702" s="27" t="n"/>
      <c r="G702" s="27" t="n"/>
      <c r="H702" s="27" t="n"/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</row>
    <row r="703">
      <c r="B703" s="27" t="n"/>
      <c r="C703" s="27" t="n"/>
      <c r="D703" s="27" t="n"/>
      <c r="E703" s="27" t="n"/>
      <c r="F703" s="27" t="n"/>
      <c r="G703" s="27" t="n"/>
      <c r="H703" s="27" t="n"/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</row>
    <row r="704">
      <c r="B704" s="27" t="n"/>
      <c r="C704" s="27" t="n"/>
      <c r="D704" s="27" t="n"/>
      <c r="E704" s="27" t="n"/>
      <c r="F704" s="27" t="n"/>
      <c r="G704" s="27" t="n"/>
      <c r="H704" s="27" t="n"/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27" t="n"/>
    </row>
    <row r="705">
      <c r="B705" s="27" t="n"/>
      <c r="C705" s="27" t="n"/>
      <c r="D705" s="27" t="n"/>
      <c r="E705" s="27" t="n"/>
      <c r="F705" s="27" t="n"/>
      <c r="G705" s="27" t="n"/>
      <c r="H705" s="27" t="n"/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2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A9D08E"/>
    <outlinePr summaryBelow="1" summaryRight="1"/>
    <pageSetUpPr/>
  </sheetPr>
  <dimension ref="B2:D324"/>
  <sheetViews>
    <sheetView workbookViewId="0">
      <selection activeCell="A1" sqref="A1"/>
    </sheetView>
  </sheetViews>
  <sheetFormatPr baseColWidth="8" defaultRowHeight="15"/>
  <cols>
    <col width="18" customWidth="1" min="2" max="2"/>
    <col width="30" customWidth="1" min="3" max="3"/>
    <col width="110" customWidth="1" min="4" max="4"/>
  </cols>
  <sheetData>
    <row r="2">
      <c r="B2" s="29" t="inlineStr">
        <is>
          <t>COLUMN SYNONYM DICTIONARY  (auto-mapping of vendor headers)</t>
        </is>
      </c>
    </row>
    <row r="3">
      <c r="B3" s="30" t="inlineStr">
        <is>
          <t>Add any new header wording your vendors use, separated by ' | '. The HTML consolidator reads the very same list, so keep the two in step.</t>
        </is>
      </c>
    </row>
    <row r="5">
      <c r="B5" s="32" t="inlineStr">
        <is>
          <t>Canonical field</t>
        </is>
      </c>
      <c r="C5" s="32" t="inlineStr">
        <is>
          <t>Standard header</t>
        </is>
      </c>
      <c r="D5" s="32" t="inlineStr">
        <is>
          <t>Accepted vendor headings (| separated)</t>
        </is>
      </c>
    </row>
    <row r="6">
      <c r="B6" s="33" t="inlineStr">
        <is>
          <t>structure</t>
        </is>
      </c>
      <c r="C6" s="34" t="inlineStr">
        <is>
          <t>Name of the Structures</t>
        </is>
      </c>
      <c r="D6" s="27" t="inlineStr">
        <is>
          <t>name of structure | structure | description | activity description | item | work description | particulars | building | location | element</t>
        </is>
      </c>
    </row>
    <row r="7">
      <c r="B7" s="33" t="inlineStr">
        <is>
          <t>area</t>
        </is>
      </c>
      <c r="C7" s="34" t="inlineStr">
        <is>
          <t>Area</t>
        </is>
      </c>
      <c r="D7" s="27" t="inlineStr">
        <is>
          <t>area | zone | unit | block | package | plant area | section</t>
        </is>
      </c>
    </row>
    <row r="8">
      <c r="B8" s="33" t="inlineStr">
        <is>
          <t>activity</t>
        </is>
      </c>
      <c r="C8" s="34" t="inlineStr">
        <is>
          <t>Activity</t>
        </is>
      </c>
      <c r="D8" s="27" t="inlineStr">
        <is>
          <t>activity | discipline | work type | sub head | category of work</t>
        </is>
      </c>
    </row>
    <row r="9">
      <c r="B9" s="33" t="inlineStr">
        <is>
          <t>agency</t>
        </is>
      </c>
      <c r="C9" s="34" t="inlineStr">
        <is>
          <t>Agency / Contractor</t>
        </is>
      </c>
      <c r="D9" s="27" t="inlineStr">
        <is>
          <t>agency | contractor | vendor | sub contractor | agency/contractor | executing agency | party</t>
        </is>
      </c>
    </row>
    <row r="10">
      <c r="B10" s="33" t="inlineStr">
        <is>
          <t>scope</t>
        </is>
      </c>
      <c r="C10" s="34" t="inlineStr">
        <is>
          <t>Scope</t>
        </is>
      </c>
      <c r="D10" s="27" t="inlineStr">
        <is>
          <t>scope | total scope | total qty | boq qty | contract qty | ordered qty | total quantity</t>
        </is>
      </c>
    </row>
    <row r="11">
      <c r="B11" s="33" t="inlineStr">
        <is>
          <t>drawing</t>
        </is>
      </c>
      <c r="C11" s="34" t="inlineStr">
        <is>
          <t>Drawing Released</t>
        </is>
      </c>
      <c r="D11" s="27" t="inlineStr">
        <is>
          <t>drawing released | drg released | drawings issued | gfc released | ifc released</t>
        </is>
      </c>
    </row>
    <row r="12">
      <c r="B12" s="33" t="inlineStr">
        <is>
          <t>front</t>
        </is>
      </c>
      <c r="C12" s="34" t="inlineStr">
        <is>
          <t>Cum Front Available</t>
        </is>
      </c>
      <c r="D12" s="27" t="inlineStr">
        <is>
          <t>front available | cum front available | front | fronts released | work front</t>
        </is>
      </c>
    </row>
    <row r="13">
      <c r="B13" s="33" t="inlineStr">
        <is>
          <t>last_month</t>
        </is>
      </c>
      <c r="C13" s="34" t="inlineStr">
        <is>
          <t>Achieved till last month</t>
        </is>
      </c>
      <c r="D13" s="27" t="inlineStr">
        <is>
          <t>achieved till last month | cum till last month | upto last month | progress till last month | opening balance</t>
        </is>
      </c>
    </row>
    <row r="14">
      <c r="B14" s="33" t="inlineStr">
        <is>
          <t>plan_ftm</t>
        </is>
      </c>
      <c r="C14" s="34" t="inlineStr">
        <is>
          <t>Plan FTM</t>
        </is>
      </c>
      <c r="D14" s="27" t="inlineStr">
        <is>
          <t>plan ftm | plan for the month | monthly plan | mtd plan | target for month | plan month</t>
        </is>
      </c>
    </row>
    <row r="15">
      <c r="B15" s="33" t="inlineStr">
        <is>
          <t>plan_ftd</t>
        </is>
      </c>
      <c r="C15" s="34" t="inlineStr">
        <is>
          <t>Plan FTD</t>
        </is>
      </c>
      <c r="D15" s="27" t="inlineStr">
        <is>
          <t>plan ftd | plan for the day | daily plan | today plan | dpr plan | plan today</t>
        </is>
      </c>
    </row>
    <row r="16">
      <c r="B16" s="33" t="inlineStr">
        <is>
          <t>ach_ftd</t>
        </is>
      </c>
      <c r="C16" s="34" t="inlineStr">
        <is>
          <t>Achieved FTD</t>
        </is>
      </c>
      <c r="D16" s="27" t="inlineStr">
        <is>
          <t>achieved ftd | actual ftd | today achievement | progress today | daily progress | done today | qty today | achievement for the day</t>
        </is>
      </c>
    </row>
    <row r="17">
      <c r="B17" s="33" t="inlineStr">
        <is>
          <t>ach_ftm_prev</t>
        </is>
      </c>
      <c r="C17" s="34" t="inlineStr">
        <is>
          <t>Achieved FTM till previous date</t>
        </is>
      </c>
      <c r="D17" s="27" t="inlineStr">
        <is>
          <t>achieved ftm till previous date | mtd till previous day | month till yesterday | cum month previous</t>
        </is>
      </c>
    </row>
    <row r="18">
      <c r="B18" s="33" t="inlineStr">
        <is>
          <t>reason</t>
        </is>
      </c>
      <c r="C18" s="34" t="inlineStr">
        <is>
          <t>Reason(s) for Variance</t>
        </is>
      </c>
      <c r="D18" s="27" t="inlineStr">
        <is>
          <t>reason | reason for variance | remarks for variance | constraint | hold reason | delay reason</t>
        </is>
      </c>
    </row>
    <row r="19">
      <c r="B19" s="33" t="inlineStr">
        <is>
          <t>remarks</t>
        </is>
      </c>
      <c r="C19" s="34" t="inlineStr">
        <is>
          <t>Remarks</t>
        </is>
      </c>
      <c r="D19" s="27" t="inlineStr">
        <is>
          <t>remarks | comment | notes | observation</t>
        </is>
      </c>
    </row>
    <row r="20">
      <c r="B20" s="33" t="inlineStr">
        <is>
          <t>manpower</t>
        </is>
      </c>
      <c r="C20" s="34" t="inlineStr">
        <is>
          <t>Available Manpower</t>
        </is>
      </c>
      <c r="D20" s="27" t="inlineStr">
        <is>
          <t>manpower | available manpower | labour | workmen | man power | manpower deployed | strength</t>
        </is>
      </c>
    </row>
    <row r="23">
      <c r="B23" s="35" t="inlineStr">
        <is>
          <t>NAME ALIASES  (vendor wording  -&gt;  master wording)</t>
        </is>
      </c>
    </row>
    <row r="24">
      <c r="B24" s="32" t="inlineStr">
        <is>
          <t>Type (area/activity/agency/structure)</t>
        </is>
      </c>
      <c r="C24" s="32" t="inlineStr">
        <is>
          <t>As written by the vendor</t>
        </is>
      </c>
      <c r="D24" s="32" t="inlineStr">
        <is>
          <t>Master value to use</t>
        </is>
      </c>
    </row>
    <row r="25">
      <c r="B25" s="27" t="inlineStr">
        <is>
          <t>agency</t>
        </is>
      </c>
      <c r="C25" s="27" t="inlineStr">
        <is>
          <t>ITD Cementation Ltd.</t>
        </is>
      </c>
      <c r="D25" s="27" t="inlineStr">
        <is>
          <t>ITD Cementation</t>
        </is>
      </c>
    </row>
    <row r="26">
      <c r="B26" s="27" t="inlineStr">
        <is>
          <t>agency</t>
        </is>
      </c>
      <c r="C26" s="27" t="inlineStr">
        <is>
          <t>M/s Meher Foundations Pvt Ltd</t>
        </is>
      </c>
      <c r="D26" s="27" t="inlineStr">
        <is>
          <t>Meher Foundation</t>
        </is>
      </c>
    </row>
    <row r="27">
      <c r="B27" s="27" t="inlineStr">
        <is>
          <t>area</t>
        </is>
      </c>
      <c r="C27" s="27" t="inlineStr">
        <is>
          <t>FILTRATION</t>
        </is>
      </c>
      <c r="D27" s="27" t="inlineStr">
        <is>
          <t>Filtration Unit</t>
        </is>
      </c>
    </row>
    <row r="28">
      <c r="B28" s="27" t="inlineStr">
        <is>
          <t>area</t>
        </is>
      </c>
      <c r="C28" s="27" t="inlineStr">
        <is>
          <t>WTP</t>
        </is>
      </c>
      <c r="D28" s="27" t="inlineStr">
        <is>
          <t>Water Treatment Plant</t>
        </is>
      </c>
    </row>
    <row r="29">
      <c r="B29" s="27" t="n"/>
      <c r="C29" s="27" t="n"/>
      <c r="D29" s="27" t="n"/>
    </row>
    <row r="30">
      <c r="B30" s="27" t="n"/>
      <c r="C30" s="27" t="n"/>
      <c r="D30" s="27" t="n"/>
    </row>
    <row r="31">
      <c r="B31" s="27" t="n"/>
      <c r="C31" s="27" t="n"/>
      <c r="D31" s="27" t="n"/>
    </row>
    <row r="32">
      <c r="B32" s="27" t="n"/>
      <c r="C32" s="27" t="n"/>
      <c r="D32" s="27" t="n"/>
    </row>
    <row r="33">
      <c r="B33" s="27" t="n"/>
      <c r="C33" s="27" t="n"/>
      <c r="D33" s="27" t="n"/>
    </row>
    <row r="34">
      <c r="B34" s="27" t="n"/>
      <c r="C34" s="27" t="n"/>
      <c r="D34" s="27" t="n"/>
    </row>
    <row r="35">
      <c r="B35" s="27" t="n"/>
      <c r="C35" s="27" t="n"/>
      <c r="D35" s="27" t="n"/>
    </row>
    <row r="36">
      <c r="B36" s="27" t="n"/>
      <c r="C36" s="27" t="n"/>
      <c r="D36" s="27" t="n"/>
    </row>
    <row r="37">
      <c r="B37" s="27" t="n"/>
      <c r="C37" s="27" t="n"/>
      <c r="D37" s="27" t="n"/>
    </row>
    <row r="38">
      <c r="B38" s="27" t="n"/>
      <c r="C38" s="27" t="n"/>
      <c r="D38" s="27" t="n"/>
    </row>
    <row r="39">
      <c r="B39" s="27" t="n"/>
      <c r="C39" s="27" t="n"/>
      <c r="D39" s="27" t="n"/>
    </row>
    <row r="40">
      <c r="B40" s="27" t="n"/>
      <c r="C40" s="27" t="n"/>
      <c r="D40" s="27" t="n"/>
    </row>
    <row r="41">
      <c r="B41" s="27" t="n"/>
      <c r="C41" s="27" t="n"/>
      <c r="D41" s="27" t="n"/>
    </row>
    <row r="42">
      <c r="B42" s="27" t="n"/>
      <c r="C42" s="27" t="n"/>
      <c r="D42" s="27" t="n"/>
    </row>
    <row r="43">
      <c r="B43" s="27" t="n"/>
      <c r="C43" s="27" t="n"/>
      <c r="D43" s="27" t="n"/>
    </row>
    <row r="44">
      <c r="B44" s="27" t="n"/>
      <c r="C44" s="27" t="n"/>
      <c r="D44" s="27" t="n"/>
    </row>
    <row r="45">
      <c r="B45" s="27" t="n"/>
      <c r="C45" s="27" t="n"/>
      <c r="D45" s="27" t="n"/>
    </row>
    <row r="46">
      <c r="B46" s="27" t="n"/>
      <c r="C46" s="27" t="n"/>
      <c r="D46" s="27" t="n"/>
    </row>
    <row r="47">
      <c r="B47" s="27" t="n"/>
      <c r="C47" s="27" t="n"/>
      <c r="D47" s="27" t="n"/>
    </row>
    <row r="48">
      <c r="B48" s="27" t="n"/>
      <c r="C48" s="27" t="n"/>
      <c r="D48" s="27" t="n"/>
    </row>
    <row r="49">
      <c r="B49" s="27" t="n"/>
      <c r="C49" s="27" t="n"/>
      <c r="D49" s="27" t="n"/>
    </row>
    <row r="50">
      <c r="B50" s="27" t="n"/>
      <c r="C50" s="27" t="n"/>
      <c r="D50" s="27" t="n"/>
    </row>
    <row r="51">
      <c r="B51" s="27" t="n"/>
      <c r="C51" s="27" t="n"/>
      <c r="D51" s="27" t="n"/>
    </row>
    <row r="52">
      <c r="B52" s="27" t="n"/>
      <c r="C52" s="27" t="n"/>
      <c r="D52" s="27" t="n"/>
    </row>
    <row r="53">
      <c r="B53" s="27" t="n"/>
      <c r="C53" s="27" t="n"/>
      <c r="D53" s="27" t="n"/>
    </row>
    <row r="54">
      <c r="B54" s="27" t="n"/>
      <c r="C54" s="27" t="n"/>
      <c r="D54" s="27" t="n"/>
    </row>
    <row r="55">
      <c r="B55" s="27" t="n"/>
      <c r="C55" s="27" t="n"/>
      <c r="D55" s="27" t="n"/>
    </row>
    <row r="56">
      <c r="B56" s="27" t="n"/>
      <c r="C56" s="27" t="n"/>
      <c r="D56" s="27" t="n"/>
    </row>
    <row r="57">
      <c r="B57" s="27" t="n"/>
      <c r="C57" s="27" t="n"/>
      <c r="D57" s="27" t="n"/>
    </row>
    <row r="58">
      <c r="B58" s="27" t="n"/>
      <c r="C58" s="27" t="n"/>
      <c r="D58" s="27" t="n"/>
    </row>
    <row r="59">
      <c r="B59" s="27" t="n"/>
      <c r="C59" s="27" t="n"/>
      <c r="D59" s="27" t="n"/>
    </row>
    <row r="60">
      <c r="B60" s="27" t="n"/>
      <c r="C60" s="27" t="n"/>
      <c r="D60" s="27" t="n"/>
    </row>
    <row r="61">
      <c r="B61" s="27" t="n"/>
      <c r="C61" s="27" t="n"/>
      <c r="D61" s="27" t="n"/>
    </row>
    <row r="62">
      <c r="B62" s="27" t="n"/>
      <c r="C62" s="27" t="n"/>
      <c r="D62" s="27" t="n"/>
    </row>
    <row r="63">
      <c r="B63" s="27" t="n"/>
      <c r="C63" s="27" t="n"/>
      <c r="D63" s="27" t="n"/>
    </row>
    <row r="64">
      <c r="B64" s="27" t="n"/>
      <c r="C64" s="27" t="n"/>
      <c r="D64" s="27" t="n"/>
    </row>
    <row r="65">
      <c r="B65" s="27" t="n"/>
      <c r="C65" s="27" t="n"/>
      <c r="D65" s="27" t="n"/>
    </row>
    <row r="66">
      <c r="B66" s="27" t="n"/>
      <c r="C66" s="27" t="n"/>
      <c r="D66" s="27" t="n"/>
    </row>
    <row r="67">
      <c r="B67" s="27" t="n"/>
      <c r="C67" s="27" t="n"/>
      <c r="D67" s="27" t="n"/>
    </row>
    <row r="68">
      <c r="B68" s="27" t="n"/>
      <c r="C68" s="27" t="n"/>
      <c r="D68" s="27" t="n"/>
    </row>
    <row r="69">
      <c r="B69" s="27" t="n"/>
      <c r="C69" s="27" t="n"/>
      <c r="D69" s="27" t="n"/>
    </row>
    <row r="70">
      <c r="B70" s="27" t="n"/>
      <c r="C70" s="27" t="n"/>
      <c r="D70" s="27" t="n"/>
    </row>
    <row r="71">
      <c r="B71" s="27" t="n"/>
      <c r="C71" s="27" t="n"/>
      <c r="D71" s="27" t="n"/>
    </row>
    <row r="72">
      <c r="B72" s="27" t="n"/>
      <c r="C72" s="27" t="n"/>
      <c r="D72" s="27" t="n"/>
    </row>
    <row r="73">
      <c r="B73" s="27" t="n"/>
      <c r="C73" s="27" t="n"/>
      <c r="D73" s="27" t="n"/>
    </row>
    <row r="74">
      <c r="B74" s="27" t="n"/>
      <c r="C74" s="27" t="n"/>
      <c r="D74" s="27" t="n"/>
    </row>
    <row r="75">
      <c r="B75" s="27" t="n"/>
      <c r="C75" s="27" t="n"/>
      <c r="D75" s="27" t="n"/>
    </row>
    <row r="76">
      <c r="B76" s="27" t="n"/>
      <c r="C76" s="27" t="n"/>
      <c r="D76" s="27" t="n"/>
    </row>
    <row r="77">
      <c r="B77" s="27" t="n"/>
      <c r="C77" s="27" t="n"/>
      <c r="D77" s="27" t="n"/>
    </row>
    <row r="78">
      <c r="B78" s="27" t="n"/>
      <c r="C78" s="27" t="n"/>
      <c r="D78" s="27" t="n"/>
    </row>
    <row r="79">
      <c r="B79" s="27" t="n"/>
      <c r="C79" s="27" t="n"/>
      <c r="D79" s="27" t="n"/>
    </row>
    <row r="80">
      <c r="B80" s="27" t="n"/>
      <c r="C80" s="27" t="n"/>
      <c r="D80" s="27" t="n"/>
    </row>
    <row r="81">
      <c r="B81" s="27" t="n"/>
      <c r="C81" s="27" t="n"/>
      <c r="D81" s="27" t="n"/>
    </row>
    <row r="82">
      <c r="B82" s="27" t="n"/>
      <c r="C82" s="27" t="n"/>
      <c r="D82" s="27" t="n"/>
    </row>
    <row r="83">
      <c r="B83" s="27" t="n"/>
      <c r="C83" s="27" t="n"/>
      <c r="D83" s="27" t="n"/>
    </row>
    <row r="84">
      <c r="B84" s="27" t="n"/>
      <c r="C84" s="27" t="n"/>
      <c r="D84" s="27" t="n"/>
    </row>
    <row r="85">
      <c r="B85" s="27" t="n"/>
      <c r="C85" s="27" t="n"/>
      <c r="D85" s="27" t="n"/>
    </row>
    <row r="86">
      <c r="B86" s="27" t="n"/>
      <c r="C86" s="27" t="n"/>
      <c r="D86" s="27" t="n"/>
    </row>
    <row r="87">
      <c r="B87" s="27" t="n"/>
      <c r="C87" s="27" t="n"/>
      <c r="D87" s="27" t="n"/>
    </row>
    <row r="88">
      <c r="B88" s="27" t="n"/>
      <c r="C88" s="27" t="n"/>
      <c r="D88" s="27" t="n"/>
    </row>
    <row r="89">
      <c r="B89" s="27" t="n"/>
      <c r="C89" s="27" t="n"/>
      <c r="D89" s="27" t="n"/>
    </row>
    <row r="90">
      <c r="B90" s="27" t="n"/>
      <c r="C90" s="27" t="n"/>
      <c r="D90" s="27" t="n"/>
    </row>
    <row r="91">
      <c r="B91" s="27" t="n"/>
      <c r="C91" s="27" t="n"/>
      <c r="D91" s="27" t="n"/>
    </row>
    <row r="92">
      <c r="B92" s="27" t="n"/>
      <c r="C92" s="27" t="n"/>
      <c r="D92" s="27" t="n"/>
    </row>
    <row r="93">
      <c r="B93" s="27" t="n"/>
      <c r="C93" s="27" t="n"/>
      <c r="D93" s="27" t="n"/>
    </row>
    <row r="94">
      <c r="B94" s="27" t="n"/>
      <c r="C94" s="27" t="n"/>
      <c r="D94" s="27" t="n"/>
    </row>
    <row r="95">
      <c r="B95" s="27" t="n"/>
      <c r="C95" s="27" t="n"/>
      <c r="D95" s="27" t="n"/>
    </row>
    <row r="96">
      <c r="B96" s="27" t="n"/>
      <c r="C96" s="27" t="n"/>
      <c r="D96" s="27" t="n"/>
    </row>
    <row r="97">
      <c r="B97" s="27" t="n"/>
      <c r="C97" s="27" t="n"/>
      <c r="D97" s="27" t="n"/>
    </row>
    <row r="98">
      <c r="B98" s="27" t="n"/>
      <c r="C98" s="27" t="n"/>
      <c r="D98" s="27" t="n"/>
    </row>
    <row r="99">
      <c r="B99" s="27" t="n"/>
      <c r="C99" s="27" t="n"/>
      <c r="D99" s="27" t="n"/>
    </row>
    <row r="100">
      <c r="B100" s="27" t="n"/>
      <c r="C100" s="27" t="n"/>
      <c r="D100" s="27" t="n"/>
    </row>
    <row r="101">
      <c r="B101" s="27" t="n"/>
      <c r="C101" s="27" t="n"/>
      <c r="D101" s="27" t="n"/>
    </row>
    <row r="102">
      <c r="B102" s="27" t="n"/>
      <c r="C102" s="27" t="n"/>
      <c r="D102" s="27" t="n"/>
    </row>
    <row r="103">
      <c r="B103" s="27" t="n"/>
      <c r="C103" s="27" t="n"/>
      <c r="D103" s="27" t="n"/>
    </row>
    <row r="104">
      <c r="B104" s="27" t="n"/>
      <c r="C104" s="27" t="n"/>
      <c r="D104" s="27" t="n"/>
    </row>
    <row r="105">
      <c r="B105" s="27" t="n"/>
      <c r="C105" s="27" t="n"/>
      <c r="D105" s="27" t="n"/>
    </row>
    <row r="106">
      <c r="B106" s="27" t="n"/>
      <c r="C106" s="27" t="n"/>
      <c r="D106" s="27" t="n"/>
    </row>
    <row r="107">
      <c r="B107" s="27" t="n"/>
      <c r="C107" s="27" t="n"/>
      <c r="D107" s="27" t="n"/>
    </row>
    <row r="108">
      <c r="B108" s="27" t="n"/>
      <c r="C108" s="27" t="n"/>
      <c r="D108" s="27" t="n"/>
    </row>
    <row r="109">
      <c r="B109" s="27" t="n"/>
      <c r="C109" s="27" t="n"/>
      <c r="D109" s="27" t="n"/>
    </row>
    <row r="110">
      <c r="B110" s="27" t="n"/>
      <c r="C110" s="27" t="n"/>
      <c r="D110" s="27" t="n"/>
    </row>
    <row r="111">
      <c r="B111" s="27" t="n"/>
      <c r="C111" s="27" t="n"/>
      <c r="D111" s="27" t="n"/>
    </row>
    <row r="112">
      <c r="B112" s="27" t="n"/>
      <c r="C112" s="27" t="n"/>
      <c r="D112" s="27" t="n"/>
    </row>
    <row r="113">
      <c r="B113" s="27" t="n"/>
      <c r="C113" s="27" t="n"/>
      <c r="D113" s="27" t="n"/>
    </row>
    <row r="114">
      <c r="B114" s="27" t="n"/>
      <c r="C114" s="27" t="n"/>
      <c r="D114" s="27" t="n"/>
    </row>
    <row r="115">
      <c r="B115" s="27" t="n"/>
      <c r="C115" s="27" t="n"/>
      <c r="D115" s="27" t="n"/>
    </row>
    <row r="116">
      <c r="B116" s="27" t="n"/>
      <c r="C116" s="27" t="n"/>
      <c r="D116" s="27" t="n"/>
    </row>
    <row r="117">
      <c r="B117" s="27" t="n"/>
      <c r="C117" s="27" t="n"/>
      <c r="D117" s="27" t="n"/>
    </row>
    <row r="118">
      <c r="B118" s="27" t="n"/>
      <c r="C118" s="27" t="n"/>
      <c r="D118" s="27" t="n"/>
    </row>
    <row r="119">
      <c r="B119" s="27" t="n"/>
      <c r="C119" s="27" t="n"/>
      <c r="D119" s="27" t="n"/>
    </row>
    <row r="120">
      <c r="B120" s="27" t="n"/>
      <c r="C120" s="27" t="n"/>
      <c r="D120" s="27" t="n"/>
    </row>
    <row r="121">
      <c r="B121" s="27" t="n"/>
      <c r="C121" s="27" t="n"/>
      <c r="D121" s="27" t="n"/>
    </row>
    <row r="122">
      <c r="B122" s="27" t="n"/>
      <c r="C122" s="27" t="n"/>
      <c r="D122" s="27" t="n"/>
    </row>
    <row r="123">
      <c r="B123" s="27" t="n"/>
      <c r="C123" s="27" t="n"/>
      <c r="D123" s="27" t="n"/>
    </row>
    <row r="124">
      <c r="B124" s="27" t="n"/>
      <c r="C124" s="27" t="n"/>
      <c r="D124" s="27" t="n"/>
    </row>
    <row r="125">
      <c r="B125" s="27" t="n"/>
      <c r="C125" s="27" t="n"/>
      <c r="D125" s="27" t="n"/>
    </row>
    <row r="126">
      <c r="B126" s="27" t="n"/>
      <c r="C126" s="27" t="n"/>
      <c r="D126" s="27" t="n"/>
    </row>
    <row r="127">
      <c r="B127" s="27" t="n"/>
      <c r="C127" s="27" t="n"/>
      <c r="D127" s="27" t="n"/>
    </row>
    <row r="128">
      <c r="B128" s="27" t="n"/>
      <c r="C128" s="27" t="n"/>
      <c r="D128" s="27" t="n"/>
    </row>
    <row r="129">
      <c r="B129" s="27" t="n"/>
      <c r="C129" s="27" t="n"/>
      <c r="D129" s="27" t="n"/>
    </row>
    <row r="130">
      <c r="B130" s="27" t="n"/>
      <c r="C130" s="27" t="n"/>
      <c r="D130" s="27" t="n"/>
    </row>
    <row r="131">
      <c r="B131" s="27" t="n"/>
      <c r="C131" s="27" t="n"/>
      <c r="D131" s="27" t="n"/>
    </row>
    <row r="132">
      <c r="B132" s="27" t="n"/>
      <c r="C132" s="27" t="n"/>
      <c r="D132" s="27" t="n"/>
    </row>
    <row r="133">
      <c r="B133" s="27" t="n"/>
      <c r="C133" s="27" t="n"/>
      <c r="D133" s="27" t="n"/>
    </row>
    <row r="134">
      <c r="B134" s="27" t="n"/>
      <c r="C134" s="27" t="n"/>
      <c r="D134" s="27" t="n"/>
    </row>
    <row r="135">
      <c r="B135" s="27" t="n"/>
      <c r="C135" s="27" t="n"/>
      <c r="D135" s="27" t="n"/>
    </row>
    <row r="136">
      <c r="B136" s="27" t="n"/>
      <c r="C136" s="27" t="n"/>
      <c r="D136" s="27" t="n"/>
    </row>
    <row r="137">
      <c r="B137" s="27" t="n"/>
      <c r="C137" s="27" t="n"/>
      <c r="D137" s="27" t="n"/>
    </row>
    <row r="138">
      <c r="B138" s="27" t="n"/>
      <c r="C138" s="27" t="n"/>
      <c r="D138" s="27" t="n"/>
    </row>
    <row r="139">
      <c r="B139" s="27" t="n"/>
      <c r="C139" s="27" t="n"/>
      <c r="D139" s="27" t="n"/>
    </row>
    <row r="140">
      <c r="B140" s="27" t="n"/>
      <c r="C140" s="27" t="n"/>
      <c r="D140" s="27" t="n"/>
    </row>
    <row r="141">
      <c r="B141" s="27" t="n"/>
      <c r="C141" s="27" t="n"/>
      <c r="D141" s="27" t="n"/>
    </row>
    <row r="142">
      <c r="B142" s="27" t="n"/>
      <c r="C142" s="27" t="n"/>
      <c r="D142" s="27" t="n"/>
    </row>
    <row r="143">
      <c r="B143" s="27" t="n"/>
      <c r="C143" s="27" t="n"/>
      <c r="D143" s="27" t="n"/>
    </row>
    <row r="144">
      <c r="B144" s="27" t="n"/>
      <c r="C144" s="27" t="n"/>
      <c r="D144" s="27" t="n"/>
    </row>
    <row r="145">
      <c r="B145" s="27" t="n"/>
      <c r="C145" s="27" t="n"/>
      <c r="D145" s="27" t="n"/>
    </row>
    <row r="146">
      <c r="B146" s="27" t="n"/>
      <c r="C146" s="27" t="n"/>
      <c r="D146" s="27" t="n"/>
    </row>
    <row r="147">
      <c r="B147" s="27" t="n"/>
      <c r="C147" s="27" t="n"/>
      <c r="D147" s="27" t="n"/>
    </row>
    <row r="148">
      <c r="B148" s="27" t="n"/>
      <c r="C148" s="27" t="n"/>
      <c r="D148" s="27" t="n"/>
    </row>
    <row r="149">
      <c r="B149" s="27" t="n"/>
      <c r="C149" s="27" t="n"/>
      <c r="D149" s="27" t="n"/>
    </row>
    <row r="150">
      <c r="B150" s="27" t="n"/>
      <c r="C150" s="27" t="n"/>
      <c r="D150" s="27" t="n"/>
    </row>
    <row r="151">
      <c r="B151" s="27" t="n"/>
      <c r="C151" s="27" t="n"/>
      <c r="D151" s="27" t="n"/>
    </row>
    <row r="152">
      <c r="B152" s="27" t="n"/>
      <c r="C152" s="27" t="n"/>
      <c r="D152" s="27" t="n"/>
    </row>
    <row r="153">
      <c r="B153" s="27" t="n"/>
      <c r="C153" s="27" t="n"/>
      <c r="D153" s="27" t="n"/>
    </row>
    <row r="154">
      <c r="B154" s="27" t="n"/>
      <c r="C154" s="27" t="n"/>
      <c r="D154" s="27" t="n"/>
    </row>
    <row r="155">
      <c r="B155" s="27" t="n"/>
      <c r="C155" s="27" t="n"/>
      <c r="D155" s="27" t="n"/>
    </row>
    <row r="156">
      <c r="B156" s="27" t="n"/>
      <c r="C156" s="27" t="n"/>
      <c r="D156" s="27" t="n"/>
    </row>
    <row r="157">
      <c r="B157" s="27" t="n"/>
      <c r="C157" s="27" t="n"/>
      <c r="D157" s="27" t="n"/>
    </row>
    <row r="158">
      <c r="B158" s="27" t="n"/>
      <c r="C158" s="27" t="n"/>
      <c r="D158" s="27" t="n"/>
    </row>
    <row r="159">
      <c r="B159" s="27" t="n"/>
      <c r="C159" s="27" t="n"/>
      <c r="D159" s="27" t="n"/>
    </row>
    <row r="160">
      <c r="B160" s="27" t="n"/>
      <c r="C160" s="27" t="n"/>
      <c r="D160" s="27" t="n"/>
    </row>
    <row r="161">
      <c r="B161" s="27" t="n"/>
      <c r="C161" s="27" t="n"/>
      <c r="D161" s="27" t="n"/>
    </row>
    <row r="162">
      <c r="B162" s="27" t="n"/>
      <c r="C162" s="27" t="n"/>
      <c r="D162" s="27" t="n"/>
    </row>
    <row r="163">
      <c r="B163" s="27" t="n"/>
      <c r="C163" s="27" t="n"/>
      <c r="D163" s="27" t="n"/>
    </row>
    <row r="164">
      <c r="B164" s="27" t="n"/>
      <c r="C164" s="27" t="n"/>
      <c r="D164" s="27" t="n"/>
    </row>
    <row r="165">
      <c r="B165" s="27" t="n"/>
      <c r="C165" s="27" t="n"/>
      <c r="D165" s="27" t="n"/>
    </row>
    <row r="166">
      <c r="B166" s="27" t="n"/>
      <c r="C166" s="27" t="n"/>
      <c r="D166" s="27" t="n"/>
    </row>
    <row r="167">
      <c r="B167" s="27" t="n"/>
      <c r="C167" s="27" t="n"/>
      <c r="D167" s="27" t="n"/>
    </row>
    <row r="168">
      <c r="B168" s="27" t="n"/>
      <c r="C168" s="27" t="n"/>
      <c r="D168" s="27" t="n"/>
    </row>
    <row r="169">
      <c r="B169" s="27" t="n"/>
      <c r="C169" s="27" t="n"/>
      <c r="D169" s="27" t="n"/>
    </row>
    <row r="170">
      <c r="B170" s="27" t="n"/>
      <c r="C170" s="27" t="n"/>
      <c r="D170" s="27" t="n"/>
    </row>
    <row r="171">
      <c r="B171" s="27" t="n"/>
      <c r="C171" s="27" t="n"/>
      <c r="D171" s="27" t="n"/>
    </row>
    <row r="172">
      <c r="B172" s="27" t="n"/>
      <c r="C172" s="27" t="n"/>
      <c r="D172" s="27" t="n"/>
    </row>
    <row r="173">
      <c r="B173" s="27" t="n"/>
      <c r="C173" s="27" t="n"/>
      <c r="D173" s="27" t="n"/>
    </row>
    <row r="174">
      <c r="B174" s="27" t="n"/>
      <c r="C174" s="27" t="n"/>
      <c r="D174" s="27" t="n"/>
    </row>
    <row r="175">
      <c r="B175" s="27" t="n"/>
      <c r="C175" s="27" t="n"/>
      <c r="D175" s="27" t="n"/>
    </row>
    <row r="176">
      <c r="B176" s="27" t="n"/>
      <c r="C176" s="27" t="n"/>
      <c r="D176" s="27" t="n"/>
    </row>
    <row r="177">
      <c r="B177" s="27" t="n"/>
      <c r="C177" s="27" t="n"/>
      <c r="D177" s="27" t="n"/>
    </row>
    <row r="178">
      <c r="B178" s="27" t="n"/>
      <c r="C178" s="27" t="n"/>
      <c r="D178" s="27" t="n"/>
    </row>
    <row r="179">
      <c r="B179" s="27" t="n"/>
      <c r="C179" s="27" t="n"/>
      <c r="D179" s="27" t="n"/>
    </row>
    <row r="180">
      <c r="B180" s="27" t="n"/>
      <c r="C180" s="27" t="n"/>
      <c r="D180" s="27" t="n"/>
    </row>
    <row r="181">
      <c r="B181" s="27" t="n"/>
      <c r="C181" s="27" t="n"/>
      <c r="D181" s="27" t="n"/>
    </row>
    <row r="182">
      <c r="B182" s="27" t="n"/>
      <c r="C182" s="27" t="n"/>
      <c r="D182" s="27" t="n"/>
    </row>
    <row r="183">
      <c r="B183" s="27" t="n"/>
      <c r="C183" s="27" t="n"/>
      <c r="D183" s="27" t="n"/>
    </row>
    <row r="184">
      <c r="B184" s="27" t="n"/>
      <c r="C184" s="27" t="n"/>
      <c r="D184" s="27" t="n"/>
    </row>
    <row r="185">
      <c r="B185" s="27" t="n"/>
      <c r="C185" s="27" t="n"/>
      <c r="D185" s="27" t="n"/>
    </row>
    <row r="186">
      <c r="B186" s="27" t="n"/>
      <c r="C186" s="27" t="n"/>
      <c r="D186" s="27" t="n"/>
    </row>
    <row r="187">
      <c r="B187" s="27" t="n"/>
      <c r="C187" s="27" t="n"/>
      <c r="D187" s="27" t="n"/>
    </row>
    <row r="188">
      <c r="B188" s="27" t="n"/>
      <c r="C188" s="27" t="n"/>
      <c r="D188" s="27" t="n"/>
    </row>
    <row r="189">
      <c r="B189" s="27" t="n"/>
      <c r="C189" s="27" t="n"/>
      <c r="D189" s="27" t="n"/>
    </row>
    <row r="190">
      <c r="B190" s="27" t="n"/>
      <c r="C190" s="27" t="n"/>
      <c r="D190" s="27" t="n"/>
    </row>
    <row r="191">
      <c r="B191" s="27" t="n"/>
      <c r="C191" s="27" t="n"/>
      <c r="D191" s="27" t="n"/>
    </row>
    <row r="192">
      <c r="B192" s="27" t="n"/>
      <c r="C192" s="27" t="n"/>
      <c r="D192" s="27" t="n"/>
    </row>
    <row r="193">
      <c r="B193" s="27" t="n"/>
      <c r="C193" s="27" t="n"/>
      <c r="D193" s="27" t="n"/>
    </row>
    <row r="194">
      <c r="B194" s="27" t="n"/>
      <c r="C194" s="27" t="n"/>
      <c r="D194" s="27" t="n"/>
    </row>
    <row r="195">
      <c r="B195" s="27" t="n"/>
      <c r="C195" s="27" t="n"/>
      <c r="D195" s="27" t="n"/>
    </row>
    <row r="196">
      <c r="B196" s="27" t="n"/>
      <c r="C196" s="27" t="n"/>
      <c r="D196" s="27" t="n"/>
    </row>
    <row r="197">
      <c r="B197" s="27" t="n"/>
      <c r="C197" s="27" t="n"/>
      <c r="D197" s="27" t="n"/>
    </row>
    <row r="198">
      <c r="B198" s="27" t="n"/>
      <c r="C198" s="27" t="n"/>
      <c r="D198" s="27" t="n"/>
    </row>
    <row r="199">
      <c r="B199" s="27" t="n"/>
      <c r="C199" s="27" t="n"/>
      <c r="D199" s="27" t="n"/>
    </row>
    <row r="200">
      <c r="B200" s="27" t="n"/>
      <c r="C200" s="27" t="n"/>
      <c r="D200" s="27" t="n"/>
    </row>
    <row r="201">
      <c r="B201" s="27" t="n"/>
      <c r="C201" s="27" t="n"/>
      <c r="D201" s="27" t="n"/>
    </row>
    <row r="202">
      <c r="B202" s="27" t="n"/>
      <c r="C202" s="27" t="n"/>
      <c r="D202" s="27" t="n"/>
    </row>
    <row r="203">
      <c r="B203" s="27" t="n"/>
      <c r="C203" s="27" t="n"/>
      <c r="D203" s="27" t="n"/>
    </row>
    <row r="204">
      <c r="B204" s="27" t="n"/>
      <c r="C204" s="27" t="n"/>
      <c r="D204" s="27" t="n"/>
    </row>
    <row r="205">
      <c r="B205" s="27" t="n"/>
      <c r="C205" s="27" t="n"/>
      <c r="D205" s="27" t="n"/>
    </row>
    <row r="206">
      <c r="B206" s="27" t="n"/>
      <c r="C206" s="27" t="n"/>
      <c r="D206" s="27" t="n"/>
    </row>
    <row r="207">
      <c r="B207" s="27" t="n"/>
      <c r="C207" s="27" t="n"/>
      <c r="D207" s="27" t="n"/>
    </row>
    <row r="208">
      <c r="B208" s="27" t="n"/>
      <c r="C208" s="27" t="n"/>
      <c r="D208" s="27" t="n"/>
    </row>
    <row r="209">
      <c r="B209" s="27" t="n"/>
      <c r="C209" s="27" t="n"/>
      <c r="D209" s="27" t="n"/>
    </row>
    <row r="210">
      <c r="B210" s="27" t="n"/>
      <c r="C210" s="27" t="n"/>
      <c r="D210" s="27" t="n"/>
    </row>
    <row r="211">
      <c r="B211" s="27" t="n"/>
      <c r="C211" s="27" t="n"/>
      <c r="D211" s="27" t="n"/>
    </row>
    <row r="212">
      <c r="B212" s="27" t="n"/>
      <c r="C212" s="27" t="n"/>
      <c r="D212" s="27" t="n"/>
    </row>
    <row r="213">
      <c r="B213" s="27" t="n"/>
      <c r="C213" s="27" t="n"/>
      <c r="D213" s="27" t="n"/>
    </row>
    <row r="214">
      <c r="B214" s="27" t="n"/>
      <c r="C214" s="27" t="n"/>
      <c r="D214" s="27" t="n"/>
    </row>
    <row r="215">
      <c r="B215" s="27" t="n"/>
      <c r="C215" s="27" t="n"/>
      <c r="D215" s="27" t="n"/>
    </row>
    <row r="216">
      <c r="B216" s="27" t="n"/>
      <c r="C216" s="27" t="n"/>
      <c r="D216" s="27" t="n"/>
    </row>
    <row r="217">
      <c r="B217" s="27" t="n"/>
      <c r="C217" s="27" t="n"/>
      <c r="D217" s="27" t="n"/>
    </row>
    <row r="218">
      <c r="B218" s="27" t="n"/>
      <c r="C218" s="27" t="n"/>
      <c r="D218" s="27" t="n"/>
    </row>
    <row r="219">
      <c r="B219" s="27" t="n"/>
      <c r="C219" s="27" t="n"/>
      <c r="D219" s="27" t="n"/>
    </row>
    <row r="220">
      <c r="B220" s="27" t="n"/>
      <c r="C220" s="27" t="n"/>
      <c r="D220" s="27" t="n"/>
    </row>
    <row r="221">
      <c r="B221" s="27" t="n"/>
      <c r="C221" s="27" t="n"/>
      <c r="D221" s="27" t="n"/>
    </row>
    <row r="222">
      <c r="B222" s="27" t="n"/>
      <c r="C222" s="27" t="n"/>
      <c r="D222" s="27" t="n"/>
    </row>
    <row r="223">
      <c r="B223" s="27" t="n"/>
      <c r="C223" s="27" t="n"/>
      <c r="D223" s="27" t="n"/>
    </row>
    <row r="224">
      <c r="B224" s="27" t="n"/>
      <c r="C224" s="27" t="n"/>
      <c r="D224" s="27" t="n"/>
    </row>
    <row r="225">
      <c r="B225" s="27" t="n"/>
      <c r="C225" s="27" t="n"/>
      <c r="D225" s="27" t="n"/>
    </row>
    <row r="226">
      <c r="B226" s="27" t="n"/>
      <c r="C226" s="27" t="n"/>
      <c r="D226" s="27" t="n"/>
    </row>
    <row r="227">
      <c r="B227" s="27" t="n"/>
      <c r="C227" s="27" t="n"/>
      <c r="D227" s="27" t="n"/>
    </row>
    <row r="228">
      <c r="B228" s="27" t="n"/>
      <c r="C228" s="27" t="n"/>
      <c r="D228" s="27" t="n"/>
    </row>
    <row r="229">
      <c r="B229" s="27" t="n"/>
      <c r="C229" s="27" t="n"/>
      <c r="D229" s="27" t="n"/>
    </row>
    <row r="230">
      <c r="B230" s="27" t="n"/>
      <c r="C230" s="27" t="n"/>
      <c r="D230" s="27" t="n"/>
    </row>
    <row r="231">
      <c r="B231" s="27" t="n"/>
      <c r="C231" s="27" t="n"/>
      <c r="D231" s="27" t="n"/>
    </row>
    <row r="232">
      <c r="B232" s="27" t="n"/>
      <c r="C232" s="27" t="n"/>
      <c r="D232" s="27" t="n"/>
    </row>
    <row r="233">
      <c r="B233" s="27" t="n"/>
      <c r="C233" s="27" t="n"/>
      <c r="D233" s="27" t="n"/>
    </row>
    <row r="234">
      <c r="B234" s="27" t="n"/>
      <c r="C234" s="27" t="n"/>
      <c r="D234" s="27" t="n"/>
    </row>
    <row r="235">
      <c r="B235" s="27" t="n"/>
      <c r="C235" s="27" t="n"/>
      <c r="D235" s="27" t="n"/>
    </row>
    <row r="236">
      <c r="B236" s="27" t="n"/>
      <c r="C236" s="27" t="n"/>
      <c r="D236" s="27" t="n"/>
    </row>
    <row r="237">
      <c r="B237" s="27" t="n"/>
      <c r="C237" s="27" t="n"/>
      <c r="D237" s="27" t="n"/>
    </row>
    <row r="238">
      <c r="B238" s="27" t="n"/>
      <c r="C238" s="27" t="n"/>
      <c r="D238" s="27" t="n"/>
    </row>
    <row r="239">
      <c r="B239" s="27" t="n"/>
      <c r="C239" s="27" t="n"/>
      <c r="D239" s="27" t="n"/>
    </row>
    <row r="240">
      <c r="B240" s="27" t="n"/>
      <c r="C240" s="27" t="n"/>
      <c r="D240" s="27" t="n"/>
    </row>
    <row r="241">
      <c r="B241" s="27" t="n"/>
      <c r="C241" s="27" t="n"/>
      <c r="D241" s="27" t="n"/>
    </row>
    <row r="242">
      <c r="B242" s="27" t="n"/>
      <c r="C242" s="27" t="n"/>
      <c r="D242" s="27" t="n"/>
    </row>
    <row r="243">
      <c r="B243" s="27" t="n"/>
      <c r="C243" s="27" t="n"/>
      <c r="D243" s="27" t="n"/>
    </row>
    <row r="244">
      <c r="B244" s="27" t="n"/>
      <c r="C244" s="27" t="n"/>
      <c r="D244" s="27" t="n"/>
    </row>
    <row r="245">
      <c r="B245" s="27" t="n"/>
      <c r="C245" s="27" t="n"/>
      <c r="D245" s="27" t="n"/>
    </row>
    <row r="246">
      <c r="B246" s="27" t="n"/>
      <c r="C246" s="27" t="n"/>
      <c r="D246" s="27" t="n"/>
    </row>
    <row r="247">
      <c r="B247" s="27" t="n"/>
      <c r="C247" s="27" t="n"/>
      <c r="D247" s="27" t="n"/>
    </row>
    <row r="248">
      <c r="B248" s="27" t="n"/>
      <c r="C248" s="27" t="n"/>
      <c r="D248" s="27" t="n"/>
    </row>
    <row r="249">
      <c r="B249" s="27" t="n"/>
      <c r="C249" s="27" t="n"/>
      <c r="D249" s="27" t="n"/>
    </row>
    <row r="250">
      <c r="B250" s="27" t="n"/>
      <c r="C250" s="27" t="n"/>
      <c r="D250" s="27" t="n"/>
    </row>
    <row r="251">
      <c r="B251" s="27" t="n"/>
      <c r="C251" s="27" t="n"/>
      <c r="D251" s="27" t="n"/>
    </row>
    <row r="252">
      <c r="B252" s="27" t="n"/>
      <c r="C252" s="27" t="n"/>
      <c r="D252" s="27" t="n"/>
    </row>
    <row r="253">
      <c r="B253" s="27" t="n"/>
      <c r="C253" s="27" t="n"/>
      <c r="D253" s="27" t="n"/>
    </row>
    <row r="254">
      <c r="B254" s="27" t="n"/>
      <c r="C254" s="27" t="n"/>
      <c r="D254" s="27" t="n"/>
    </row>
    <row r="255">
      <c r="B255" s="27" t="n"/>
      <c r="C255" s="27" t="n"/>
      <c r="D255" s="27" t="n"/>
    </row>
    <row r="256">
      <c r="B256" s="27" t="n"/>
      <c r="C256" s="27" t="n"/>
      <c r="D256" s="27" t="n"/>
    </row>
    <row r="257">
      <c r="B257" s="27" t="n"/>
      <c r="C257" s="27" t="n"/>
      <c r="D257" s="27" t="n"/>
    </row>
    <row r="258">
      <c r="B258" s="27" t="n"/>
      <c r="C258" s="27" t="n"/>
      <c r="D258" s="27" t="n"/>
    </row>
    <row r="259">
      <c r="B259" s="27" t="n"/>
      <c r="C259" s="27" t="n"/>
      <c r="D259" s="27" t="n"/>
    </row>
    <row r="260">
      <c r="B260" s="27" t="n"/>
      <c r="C260" s="27" t="n"/>
      <c r="D260" s="27" t="n"/>
    </row>
    <row r="261">
      <c r="B261" s="27" t="n"/>
      <c r="C261" s="27" t="n"/>
      <c r="D261" s="27" t="n"/>
    </row>
    <row r="262">
      <c r="B262" s="27" t="n"/>
      <c r="C262" s="27" t="n"/>
      <c r="D262" s="27" t="n"/>
    </row>
    <row r="263">
      <c r="B263" s="27" t="n"/>
      <c r="C263" s="27" t="n"/>
      <c r="D263" s="27" t="n"/>
    </row>
    <row r="264">
      <c r="B264" s="27" t="n"/>
      <c r="C264" s="27" t="n"/>
      <c r="D264" s="27" t="n"/>
    </row>
    <row r="265">
      <c r="B265" s="27" t="n"/>
      <c r="C265" s="27" t="n"/>
      <c r="D265" s="27" t="n"/>
    </row>
    <row r="266">
      <c r="B266" s="27" t="n"/>
      <c r="C266" s="27" t="n"/>
      <c r="D266" s="27" t="n"/>
    </row>
    <row r="267">
      <c r="B267" s="27" t="n"/>
      <c r="C267" s="27" t="n"/>
      <c r="D267" s="27" t="n"/>
    </row>
    <row r="268">
      <c r="B268" s="27" t="n"/>
      <c r="C268" s="27" t="n"/>
      <c r="D268" s="27" t="n"/>
    </row>
    <row r="269">
      <c r="B269" s="27" t="n"/>
      <c r="C269" s="27" t="n"/>
      <c r="D269" s="27" t="n"/>
    </row>
    <row r="270">
      <c r="B270" s="27" t="n"/>
      <c r="C270" s="27" t="n"/>
      <c r="D270" s="27" t="n"/>
    </row>
    <row r="271">
      <c r="B271" s="27" t="n"/>
      <c r="C271" s="27" t="n"/>
      <c r="D271" s="27" t="n"/>
    </row>
    <row r="272">
      <c r="B272" s="27" t="n"/>
      <c r="C272" s="27" t="n"/>
      <c r="D272" s="27" t="n"/>
    </row>
    <row r="273">
      <c r="B273" s="27" t="n"/>
      <c r="C273" s="27" t="n"/>
      <c r="D273" s="27" t="n"/>
    </row>
    <row r="274">
      <c r="B274" s="27" t="n"/>
      <c r="C274" s="27" t="n"/>
      <c r="D274" s="27" t="n"/>
    </row>
    <row r="275">
      <c r="B275" s="27" t="n"/>
      <c r="C275" s="27" t="n"/>
      <c r="D275" s="27" t="n"/>
    </row>
    <row r="276">
      <c r="B276" s="27" t="n"/>
      <c r="C276" s="27" t="n"/>
      <c r="D276" s="27" t="n"/>
    </row>
    <row r="277">
      <c r="B277" s="27" t="n"/>
      <c r="C277" s="27" t="n"/>
      <c r="D277" s="27" t="n"/>
    </row>
    <row r="278">
      <c r="B278" s="27" t="n"/>
      <c r="C278" s="27" t="n"/>
      <c r="D278" s="27" t="n"/>
    </row>
    <row r="279">
      <c r="B279" s="27" t="n"/>
      <c r="C279" s="27" t="n"/>
      <c r="D279" s="27" t="n"/>
    </row>
    <row r="280">
      <c r="B280" s="27" t="n"/>
      <c r="C280" s="27" t="n"/>
      <c r="D280" s="27" t="n"/>
    </row>
    <row r="281">
      <c r="B281" s="27" t="n"/>
      <c r="C281" s="27" t="n"/>
      <c r="D281" s="27" t="n"/>
    </row>
    <row r="282">
      <c r="B282" s="27" t="n"/>
      <c r="C282" s="27" t="n"/>
      <c r="D282" s="27" t="n"/>
    </row>
    <row r="283">
      <c r="B283" s="27" t="n"/>
      <c r="C283" s="27" t="n"/>
      <c r="D283" s="27" t="n"/>
    </row>
    <row r="284">
      <c r="B284" s="27" t="n"/>
      <c r="C284" s="27" t="n"/>
      <c r="D284" s="27" t="n"/>
    </row>
    <row r="285">
      <c r="B285" s="27" t="n"/>
      <c r="C285" s="27" t="n"/>
      <c r="D285" s="27" t="n"/>
    </row>
    <row r="286">
      <c r="B286" s="27" t="n"/>
      <c r="C286" s="27" t="n"/>
      <c r="D286" s="27" t="n"/>
    </row>
    <row r="287">
      <c r="B287" s="27" t="n"/>
      <c r="C287" s="27" t="n"/>
      <c r="D287" s="27" t="n"/>
    </row>
    <row r="288">
      <c r="B288" s="27" t="n"/>
      <c r="C288" s="27" t="n"/>
      <c r="D288" s="27" t="n"/>
    </row>
    <row r="289">
      <c r="B289" s="27" t="n"/>
      <c r="C289" s="27" t="n"/>
      <c r="D289" s="27" t="n"/>
    </row>
    <row r="290">
      <c r="B290" s="27" t="n"/>
      <c r="C290" s="27" t="n"/>
      <c r="D290" s="27" t="n"/>
    </row>
    <row r="291">
      <c r="B291" s="27" t="n"/>
      <c r="C291" s="27" t="n"/>
      <c r="D291" s="27" t="n"/>
    </row>
    <row r="292">
      <c r="B292" s="27" t="n"/>
      <c r="C292" s="27" t="n"/>
      <c r="D292" s="27" t="n"/>
    </row>
    <row r="293">
      <c r="B293" s="27" t="n"/>
      <c r="C293" s="27" t="n"/>
      <c r="D293" s="27" t="n"/>
    </row>
    <row r="294">
      <c r="B294" s="27" t="n"/>
      <c r="C294" s="27" t="n"/>
      <c r="D294" s="27" t="n"/>
    </row>
    <row r="295">
      <c r="B295" s="27" t="n"/>
      <c r="C295" s="27" t="n"/>
      <c r="D295" s="27" t="n"/>
    </row>
    <row r="296">
      <c r="B296" s="27" t="n"/>
      <c r="C296" s="27" t="n"/>
      <c r="D296" s="27" t="n"/>
    </row>
    <row r="297">
      <c r="B297" s="27" t="n"/>
      <c r="C297" s="27" t="n"/>
      <c r="D297" s="27" t="n"/>
    </row>
    <row r="298">
      <c r="B298" s="27" t="n"/>
      <c r="C298" s="27" t="n"/>
      <c r="D298" s="27" t="n"/>
    </row>
    <row r="299">
      <c r="B299" s="27" t="n"/>
      <c r="C299" s="27" t="n"/>
      <c r="D299" s="27" t="n"/>
    </row>
    <row r="300">
      <c r="B300" s="27" t="n"/>
      <c r="C300" s="27" t="n"/>
      <c r="D300" s="27" t="n"/>
    </row>
    <row r="301">
      <c r="B301" s="27" t="n"/>
      <c r="C301" s="27" t="n"/>
      <c r="D301" s="27" t="n"/>
    </row>
    <row r="302">
      <c r="B302" s="27" t="n"/>
      <c r="C302" s="27" t="n"/>
      <c r="D302" s="27" t="n"/>
    </row>
    <row r="303">
      <c r="B303" s="27" t="n"/>
      <c r="C303" s="27" t="n"/>
      <c r="D303" s="27" t="n"/>
    </row>
    <row r="304">
      <c r="B304" s="27" t="n"/>
      <c r="C304" s="27" t="n"/>
      <c r="D304" s="27" t="n"/>
    </row>
    <row r="305">
      <c r="B305" s="27" t="n"/>
      <c r="C305" s="27" t="n"/>
      <c r="D305" s="27" t="n"/>
    </row>
    <row r="306">
      <c r="B306" s="27" t="n"/>
      <c r="C306" s="27" t="n"/>
      <c r="D306" s="27" t="n"/>
    </row>
    <row r="307">
      <c r="B307" s="27" t="n"/>
      <c r="C307" s="27" t="n"/>
      <c r="D307" s="27" t="n"/>
    </row>
    <row r="308">
      <c r="B308" s="27" t="n"/>
      <c r="C308" s="27" t="n"/>
      <c r="D308" s="27" t="n"/>
    </row>
    <row r="309">
      <c r="B309" s="27" t="n"/>
      <c r="C309" s="27" t="n"/>
      <c r="D309" s="27" t="n"/>
    </row>
    <row r="310">
      <c r="B310" s="27" t="n"/>
      <c r="C310" s="27" t="n"/>
      <c r="D310" s="27" t="n"/>
    </row>
    <row r="311">
      <c r="B311" s="27" t="n"/>
      <c r="C311" s="27" t="n"/>
      <c r="D311" s="27" t="n"/>
    </row>
    <row r="312">
      <c r="B312" s="27" t="n"/>
      <c r="C312" s="27" t="n"/>
      <c r="D312" s="27" t="n"/>
    </row>
    <row r="313">
      <c r="B313" s="27" t="n"/>
      <c r="C313" s="27" t="n"/>
      <c r="D313" s="27" t="n"/>
    </row>
    <row r="314">
      <c r="B314" s="27" t="n"/>
      <c r="C314" s="27" t="n"/>
      <c r="D314" s="27" t="n"/>
    </row>
    <row r="315">
      <c r="B315" s="27" t="n"/>
      <c r="C315" s="27" t="n"/>
      <c r="D315" s="27" t="n"/>
    </row>
    <row r="316">
      <c r="B316" s="27" t="n"/>
      <c r="C316" s="27" t="n"/>
      <c r="D316" s="27" t="n"/>
    </row>
    <row r="317">
      <c r="B317" s="27" t="n"/>
      <c r="C317" s="27" t="n"/>
      <c r="D317" s="27" t="n"/>
    </row>
    <row r="318">
      <c r="B318" s="27" t="n"/>
      <c r="C318" s="27" t="n"/>
      <c r="D318" s="27" t="n"/>
    </row>
    <row r="319">
      <c r="B319" s="27" t="n"/>
      <c r="C319" s="27" t="n"/>
      <c r="D319" s="27" t="n"/>
    </row>
    <row r="320">
      <c r="B320" s="27" t="n"/>
      <c r="C320" s="27" t="n"/>
      <c r="D320" s="27" t="n"/>
    </row>
    <row r="321">
      <c r="B321" s="27" t="n"/>
      <c r="C321" s="27" t="n"/>
      <c r="D321" s="27" t="n"/>
    </row>
    <row r="322">
      <c r="B322" s="27" t="n"/>
      <c r="C322" s="27" t="n"/>
      <c r="D322" s="27" t="n"/>
    </row>
    <row r="323">
      <c r="B323" s="27" t="n"/>
      <c r="C323" s="27" t="n"/>
      <c r="D323" s="27" t="n"/>
    </row>
    <row r="324">
      <c r="B324" s="27" t="n"/>
      <c r="C324" s="27" t="n"/>
      <c r="D324" s="2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08080"/>
    <outlinePr summaryBelow="1" summaryRight="1"/>
    <pageSetUpPr/>
  </sheetPr>
  <dimension ref="B2:D30"/>
  <sheetViews>
    <sheetView workbookViewId="0">
      <selection activeCell="A1" sqref="A1"/>
    </sheetView>
  </sheetViews>
  <sheetFormatPr baseColWidth="8" defaultRowHeight="15"/>
  <cols>
    <col width="26" customWidth="1" min="2" max="2"/>
    <col width="46" customWidth="1" min="3" max="3"/>
    <col width="30" customWidth="1" min="4" max="4"/>
  </cols>
  <sheetData>
    <row r="2">
      <c r="B2" s="29" t="inlineStr">
        <is>
          <t>DPR CONFIGURATION</t>
        </is>
      </c>
    </row>
    <row r="4">
      <c r="B4" s="36" t="inlineStr">
        <is>
          <t>Project title</t>
        </is>
      </c>
      <c r="C4" s="37" t="inlineStr">
        <is>
          <t>Phase-1 Greenfield Expansion Projects, JSW Utkal Steel Limited</t>
        </is>
      </c>
    </row>
    <row r="5">
      <c r="B5" s="36" t="inlineStr">
        <is>
          <t>Report name</t>
        </is>
      </c>
      <c r="C5" s="37" t="inlineStr">
        <is>
          <t>Daily Progress Report</t>
        </is>
      </c>
    </row>
    <row r="6">
      <c r="B6" s="36" t="inlineStr">
        <is>
          <t>Data date</t>
        </is>
      </c>
      <c r="C6" s="38">
        <f>TODAY()-1</f>
        <v/>
      </c>
    </row>
    <row r="7">
      <c r="B7" s="36" t="inlineStr">
        <is>
          <t>Reporting date</t>
        </is>
      </c>
      <c r="C7" s="38">
        <f>TODAY()</f>
        <v/>
      </c>
    </row>
    <row r="8">
      <c r="B8" s="36" t="inlineStr">
        <is>
          <t>Reporting month label</t>
        </is>
      </c>
      <c r="C8" s="37">
        <f>TEXT(Config!$C$6,"mmm-yy")</f>
        <v/>
      </c>
    </row>
    <row r="9">
      <c r="B9" s="36" t="inlineStr">
        <is>
          <t>Prepared by</t>
        </is>
      </c>
      <c r="C9" s="37" t="n"/>
    </row>
    <row r="10">
      <c r="B10" s="36" t="inlineStr">
        <is>
          <t>Reviewed by</t>
        </is>
      </c>
      <c r="C10" s="37" t="n"/>
    </row>
    <row r="13">
      <c r="B13" s="39" t="inlineStr">
        <is>
          <t>MASTER LISTS  (used by the drop-downs on every sheet)</t>
        </is>
      </c>
    </row>
    <row r="14">
      <c r="B14" s="40" t="inlineStr">
        <is>
          <t>Areas</t>
        </is>
      </c>
      <c r="C14" s="40" t="inlineStr">
        <is>
          <t>Activities</t>
        </is>
      </c>
      <c r="D14" s="40" t="inlineStr">
        <is>
          <t>Agencies / Contractors</t>
        </is>
      </c>
    </row>
    <row r="15">
      <c r="B15" s="41" t="inlineStr">
        <is>
          <t>Filtration Unit</t>
        </is>
      </c>
      <c r="C15" s="41" t="inlineStr">
        <is>
          <t>Piling Works (Nos)</t>
        </is>
      </c>
      <c r="D15" s="41" t="inlineStr">
        <is>
          <t>ITD Cementation</t>
        </is>
      </c>
    </row>
    <row r="16">
      <c r="B16" s="41" t="inlineStr">
        <is>
          <t>Water Treatment Plant</t>
        </is>
      </c>
      <c r="C16" s="41" t="inlineStr">
        <is>
          <t>Civil Works (Cum)</t>
        </is>
      </c>
      <c r="D16" s="41" t="inlineStr">
        <is>
          <t>Meher Foundation</t>
        </is>
      </c>
    </row>
    <row r="17">
      <c r="B17" s="41" t="inlineStr">
        <is>
          <t>Material Handling Facilities</t>
        </is>
      </c>
      <c r="C17" s="41" t="inlineStr">
        <is>
          <t>Structural Supply (MT)</t>
        </is>
      </c>
      <c r="D17" s="41" t="inlineStr">
        <is>
          <t>Vensar Constructions</t>
        </is>
      </c>
    </row>
    <row r="18">
      <c r="B18" s="41" t="inlineStr">
        <is>
          <t>Stacker &amp; Reclaimer</t>
        </is>
      </c>
      <c r="C18" s="41" t="inlineStr">
        <is>
          <t>Structural Erection (MT)</t>
        </is>
      </c>
      <c r="D18" s="41" t="inlineStr">
        <is>
          <t>Sreehita Constructions</t>
        </is>
      </c>
    </row>
    <row r="19">
      <c r="B19" s="41" t="inlineStr">
        <is>
          <t>Substation</t>
        </is>
      </c>
      <c r="C19" s="41" t="inlineStr">
        <is>
          <t>Equipment Supply (MT)</t>
        </is>
      </c>
      <c r="D19" s="41" t="inlineStr">
        <is>
          <t>Surya Enterprises</t>
        </is>
      </c>
    </row>
    <row r="20">
      <c r="B20" s="41" t="inlineStr">
        <is>
          <t>Tanks &amp; Launders (IDT)</t>
        </is>
      </c>
      <c r="C20" s="41" t="inlineStr">
        <is>
          <t>Equipment Erection (MT)</t>
        </is>
      </c>
      <c r="D20" s="41" t="inlineStr">
        <is>
          <t>Goel Constructions</t>
        </is>
      </c>
    </row>
    <row r="21">
      <c r="B21" s="41" t="inlineStr">
        <is>
          <t>Dump Pond &amp; Terminal</t>
        </is>
      </c>
      <c r="C21" s="41" t="inlineStr">
        <is>
          <t>Piping (Inch-Mtr)</t>
        </is>
      </c>
      <c r="D21" s="41" t="inlineStr">
        <is>
          <t>SPD</t>
        </is>
      </c>
    </row>
    <row r="22">
      <c r="B22" s="41" t="inlineStr">
        <is>
          <t>Roads &amp; Drains</t>
        </is>
      </c>
      <c r="C22" s="41" t="inlineStr">
        <is>
          <t>Cable Trays (Km)</t>
        </is>
      </c>
      <c r="D22" s="41" t="inlineStr">
        <is>
          <t>Vaishnavi</t>
        </is>
      </c>
    </row>
    <row r="23">
      <c r="B23" s="41" t="inlineStr">
        <is>
          <t>Plant General</t>
        </is>
      </c>
      <c r="C23" s="41" t="inlineStr">
        <is>
          <t>Cabling (Km)</t>
        </is>
      </c>
      <c r="D23" s="41" t="inlineStr">
        <is>
          <t>Shobha</t>
        </is>
      </c>
    </row>
    <row r="24">
      <c r="C24" s="41" t="inlineStr">
        <is>
          <t>Panels (Nos)</t>
        </is>
      </c>
      <c r="D24" s="41" t="inlineStr">
        <is>
          <t>Ganesh</t>
        </is>
      </c>
    </row>
    <row r="25">
      <c r="D25" s="41" t="inlineStr">
        <is>
          <t>NKS</t>
        </is>
      </c>
    </row>
    <row r="26">
      <c r="D26" s="41" t="inlineStr">
        <is>
          <t>Sri Balaji Constructions</t>
        </is>
      </c>
    </row>
    <row r="27">
      <c r="D27" s="41" t="inlineStr">
        <is>
          <t>ARDEE</t>
        </is>
      </c>
    </row>
    <row r="28">
      <c r="D28" s="41" t="inlineStr">
        <is>
          <t>VSI</t>
        </is>
      </c>
    </row>
    <row r="29">
      <c r="D29" s="41" t="inlineStr">
        <is>
          <t>Jagdamba</t>
        </is>
      </c>
    </row>
    <row r="30">
      <c r="D30" s="41" t="inlineStr">
        <is>
          <t>Rohan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2026-09-12T06:47:23Z</dcterms:created>
  <dcterms:modified xsi:type="dcterms:W3CDTF">2026-09-12T06:47:31Z</dcterms:modified>
</cp:coreProperties>
</file>