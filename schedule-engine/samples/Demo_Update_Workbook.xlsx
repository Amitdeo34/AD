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Building x EPC" state="visible" r:id="rId5"/>
    <sheet sheetId="3" name="Schedule" state="visible" r:id="rId6"/>
    <sheet sheetId="4" name="Gantt" state="visible" r:id="rId7"/>
    <sheet sheetId="5" name="Update Sheet" state="visible" r:id="rId8"/>
    <sheet sheetId="6" name="Look-ahead" state="visible" r:id="rId9"/>
    <sheet sheetId="7" name="Attention" state="visible" r:id="rId10"/>
    <sheet sheetId="8" name="Concerns" state="visible" r:id="rId11"/>
    <sheet sheetId="9" name="Health Check" state="visible" r:id="rId12"/>
    <sheet sheetId="10" name="Change Log" state="visible" r:id="rId13"/>
    <sheet sheetId="11" name="Relationships" state="visible" r:id="rId14"/>
  </sheets>
  <calcPr calcId="171027"/>
</workbook>
</file>

<file path=xl/sharedStrings.xml><?xml version="1.0" encoding="utf-8"?>
<sst xmlns="http://schemas.openxmlformats.org/spreadsheetml/2006/main" count="3558" uniqueCount="404">
  <si>
    <t>Schedule Engine  |  Monthly Progress Dashboard</t>
  </si>
  <si>
    <t>Industrial Plant Expansion - Phase 2 (Demo)   |   Data Date: 01-Oct-2026   |   Generated 28/9/2026, 9:07:00 am by Schedule Engine</t>
  </si>
  <si>
    <t>KEY FIGURES</t>
  </si>
  <si>
    <t>Total activities</t>
  </si>
  <si>
    <t>Completed</t>
  </si>
  <si>
    <t>In progress</t>
  </si>
  <si>
    <t>Not started</t>
  </si>
  <si>
    <t>Planned %</t>
  </si>
  <si>
    <t>Actual %</t>
  </si>
  <si>
    <t>Variance</t>
  </si>
  <si>
    <t>Forecast finish</t>
  </si>
  <si>
    <t>Critical</t>
  </si>
  <si>
    <t>Late start</t>
  </si>
  <si>
    <t>Overdue</t>
  </si>
  <si>
    <t>Pending update</t>
  </si>
  <si>
    <t>Building-wise progress</t>
  </si>
  <si>
    <t>Building-wise</t>
  </si>
  <si>
    <t>Activities</t>
  </si>
  <si>
    <t>Gained this period</t>
  </si>
  <si>
    <t>Project Milestones</t>
  </si>
  <si>
    <t>Admin Building</t>
  </si>
  <si>
    <t>Main Process Building</t>
  </si>
  <si>
    <t>Warehouse Block</t>
  </si>
  <si>
    <t>33kV Substation</t>
  </si>
  <si>
    <t>Utility Building</t>
  </si>
  <si>
    <t>STP &amp; Pump House</t>
  </si>
  <si>
    <t>EPC-wise progress</t>
  </si>
  <si>
    <t>EPC-wise</t>
  </si>
  <si>
    <t>Engineering</t>
  </si>
  <si>
    <t>Procurement</t>
  </si>
  <si>
    <t>Construction</t>
  </si>
  <si>
    <t>Others</t>
  </si>
  <si>
    <t>ENGINE INSIGHTS</t>
  </si>
  <si>
    <t>•  Overall progress is 57.3% against a planned 75.9% as of 01-Oct-2026 (-18.6%). Progress gained this period: 4.4%.</t>
  </si>
  <si>
    <t>•  8 activities were due to start before the Data Date but have not started.</t>
  </si>
  <si>
    <t>•  9 activities are past their finish date and still open.</t>
  </si>
  <si>
    <t>•  2 future activities show progress - check these were really started early.</t>
  </si>
  <si>
    <t>•  16 activities still need your update this month.</t>
  </si>
  <si>
    <t>•  2 activities are progressing out of sequence.</t>
  </si>
  <si>
    <t>•  33kV Substation is the most behind: 57.5% vs 85.6% planned (-28.1%).</t>
  </si>
  <si>
    <t>•  EPC progress: Engineering 99%, Procurement 59%, Construction 42%.</t>
  </si>
  <si>
    <t>•  Forecast project finish: 17-May-2027 - 41 working days later than baseline.</t>
  </si>
  <si>
    <t>•  7 milestones are forecast late; worst: ADM-C1190 Building handover to client (11-Sep-26 → 10-Nov-26).</t>
  </si>
  <si>
    <t>•  5 activities are critical. Watch them in the look-ahead.</t>
  </si>
  <si>
    <t>Progress matrix - Building x EPC (Actual % / Planned %)</t>
  </si>
  <si>
    <t>Building</t>
  </si>
  <si>
    <t>Engineering Actual</t>
  </si>
  <si>
    <t>Engineering Planned</t>
  </si>
  <si>
    <t>Procurement Actual</t>
  </si>
  <si>
    <t>Procurement Planned</t>
  </si>
  <si>
    <t>Construction Actual</t>
  </si>
  <si>
    <t>Construction Planned</t>
  </si>
  <si>
    <t>Others Actual</t>
  </si>
  <si>
    <t>Others Planned</t>
  </si>
  <si>
    <t>Overall Actual</t>
  </si>
  <si>
    <t>Overall Planned</t>
  </si>
  <si>
    <t>Schedule - Industrial Plant Expansion - Phase 2 (Demo)</t>
  </si>
  <si>
    <t>Activity ID</t>
  </si>
  <si>
    <t>Activity Name</t>
  </si>
  <si>
    <t>EPC</t>
  </si>
  <si>
    <t>Status</t>
  </si>
  <si>
    <t>Orig Dur</t>
  </si>
  <si>
    <t>Rem Dur</t>
  </si>
  <si>
    <t>% Complete</t>
  </si>
  <si>
    <t>Start</t>
  </si>
  <si>
    <t>Finish</t>
  </si>
  <si>
    <t>Actual Start</t>
  </si>
  <si>
    <t>Actual Finish</t>
  </si>
  <si>
    <t>BL Start</t>
  </si>
  <si>
    <t>BL Finish</t>
  </si>
  <si>
    <t>Finish Var (d)</t>
  </si>
  <si>
    <t>Total Float</t>
  </si>
  <si>
    <t>Flags</t>
  </si>
  <si>
    <t>Remarks</t>
  </si>
  <si>
    <t>IPX-P2</t>
  </si>
  <si>
    <t>Industrial Plant Expansion - Phase 2 (Demo)</t>
  </si>
  <si>
    <t/>
  </si>
  <si>
    <t>In Progress</t>
  </si>
  <si>
    <t>116 activities</t>
  </si>
  <si>
    <t>GEN</t>
  </si>
  <si>
    <t>2 activities</t>
  </si>
  <si>
    <t>MS-1000</t>
  </si>
  <si>
    <t>Notice to proceed / Project start</t>
  </si>
  <si>
    <t>MS-9000</t>
  </si>
  <si>
    <t>Plant mechanical completion</t>
  </si>
  <si>
    <t>Not Started</t>
  </si>
  <si>
    <t>Yes</t>
  </si>
  <si>
    <t>ADM</t>
  </si>
  <si>
    <t>19 activities</t>
  </si>
  <si>
    <t>ADM.E</t>
  </si>
  <si>
    <t>4 activities</t>
  </si>
  <si>
    <t>ADM-E1010</t>
  </si>
  <si>
    <t>Design basis &amp; architectural layout</t>
  </si>
  <si>
    <t>ADM-E1020</t>
  </si>
  <si>
    <t>Structural design &amp; IFC drawings</t>
  </si>
  <si>
    <t>ADM-E1030</t>
  </si>
  <si>
    <t>MEP design &amp; drawings</t>
  </si>
  <si>
    <t>ADM-E1040</t>
  </si>
  <si>
    <t>Drawing approval by client</t>
  </si>
  <si>
    <t>ADM.P</t>
  </si>
  <si>
    <t>ADM-P1050</t>
  </si>
  <si>
    <t>Structural steel - PO placement</t>
  </si>
  <si>
    <t>ADM-P1060</t>
  </si>
  <si>
    <t>Structural steel - fabrication &amp; supply to site</t>
  </si>
  <si>
    <t>ADM-P1070</t>
  </si>
  <si>
    <t>MEP equipment - PO placement</t>
  </si>
  <si>
    <t>ADM-P1080</t>
  </si>
  <si>
    <t>MEP equipment - manufacturing &amp; delivery</t>
  </si>
  <si>
    <t>ADM.C</t>
  </si>
  <si>
    <t>11 activities</t>
  </si>
  <si>
    <t>ADM-C1090</t>
  </si>
  <si>
    <t>Site mobilisation &amp; survey</t>
  </si>
  <si>
    <t>ADM-C1100</t>
  </si>
  <si>
    <t>Excavation</t>
  </si>
  <si>
    <t>ADM-C1110</t>
  </si>
  <si>
    <t>PCC &amp; foundation concreting</t>
  </si>
  <si>
    <t>ADM-C1120</t>
  </si>
  <si>
    <t>Plinth beam &amp; backfilling</t>
  </si>
  <si>
    <t>ADM-C1130</t>
  </si>
  <si>
    <t>Superstructure - RCC / steel erection</t>
  </si>
  <si>
    <t>ADM-C1150</t>
  </si>
  <si>
    <t>Masonry &amp; plastering</t>
  </si>
  <si>
    <t>ADM-C1140</t>
  </si>
  <si>
    <t>Roofing &amp; cladding</t>
  </si>
  <si>
    <t>ADM-C1160</t>
  </si>
  <si>
    <t>MEP installation</t>
  </si>
  <si>
    <t>ADM-C1170</t>
  </si>
  <si>
    <t>Finishes - flooring &amp; painting</t>
  </si>
  <si>
    <t>Overdue, Due this period, In progress, No concern yet</t>
  </si>
  <si>
    <t>ADM-C1180</t>
  </si>
  <si>
    <t>Testing &amp; commissioning</t>
  </si>
  <si>
    <t>ADM-C1190</t>
  </si>
  <si>
    <t>Building handover to client</t>
  </si>
  <si>
    <t>MPB</t>
  </si>
  <si>
    <t>MPB.E</t>
  </si>
  <si>
    <t>MPB-E1010</t>
  </si>
  <si>
    <t>MPB-E1020</t>
  </si>
  <si>
    <t>MPB-E1030</t>
  </si>
  <si>
    <t>MPB-E1040</t>
  </si>
  <si>
    <t>MPB.P</t>
  </si>
  <si>
    <t>MPB-P1050</t>
  </si>
  <si>
    <t>MPB-P1060</t>
  </si>
  <si>
    <t>MPB-P1070</t>
  </si>
  <si>
    <t>MPB-P1080</t>
  </si>
  <si>
    <t>In progress, Critical</t>
  </si>
  <si>
    <t>MPB.C</t>
  </si>
  <si>
    <t>MPB-C1090</t>
  </si>
  <si>
    <t>MPB-C1100</t>
  </si>
  <si>
    <t>MPB-C1110</t>
  </si>
  <si>
    <t>MPB-C1120</t>
  </si>
  <si>
    <t>MPB-C1130</t>
  </si>
  <si>
    <t>MPB-C1150</t>
  </si>
  <si>
    <t>MPB-C1140</t>
  </si>
  <si>
    <t>MPB-C1170</t>
  </si>
  <si>
    <t>MPB-C1160</t>
  </si>
  <si>
    <t>MPB-C1180</t>
  </si>
  <si>
    <t>MPB-C1190</t>
  </si>
  <si>
    <t>WHS</t>
  </si>
  <si>
    <t>WHS.E</t>
  </si>
  <si>
    <t>WHS-E1010</t>
  </si>
  <si>
    <t>WHS-E1020</t>
  </si>
  <si>
    <t>WHS-E1030</t>
  </si>
  <si>
    <t>WHS-E1040</t>
  </si>
  <si>
    <t>WHS.P</t>
  </si>
  <si>
    <t>WHS-P1050</t>
  </si>
  <si>
    <t>WHS-P1060</t>
  </si>
  <si>
    <t>WHS-P1070</t>
  </si>
  <si>
    <t>WHS-P1080</t>
  </si>
  <si>
    <t>WHS.C</t>
  </si>
  <si>
    <t>WHS-C1090</t>
  </si>
  <si>
    <t>WHS-C1100</t>
  </si>
  <si>
    <t>WHS-C1110</t>
  </si>
  <si>
    <t>WHS-C1120</t>
  </si>
  <si>
    <t>WHS-C1130</t>
  </si>
  <si>
    <t>WHS-C1150</t>
  </si>
  <si>
    <t>WHS-C1140</t>
  </si>
  <si>
    <t>Late start, Due this period, Pending update, No concern yet</t>
  </si>
  <si>
    <t>WHS-C1160</t>
  </si>
  <si>
    <t>WHS-C1170</t>
  </si>
  <si>
    <t>WHS-C1180</t>
  </si>
  <si>
    <t>WHS-C1190</t>
  </si>
  <si>
    <t>SUB</t>
  </si>
  <si>
    <t>SUB.E</t>
  </si>
  <si>
    <t>SUB-E1010</t>
  </si>
  <si>
    <t>SUB-E1020</t>
  </si>
  <si>
    <t>SUB-E1030</t>
  </si>
  <si>
    <t>SUB-E1040</t>
  </si>
  <si>
    <t>SUB.P</t>
  </si>
  <si>
    <t>SUB-P1050</t>
  </si>
  <si>
    <t>SUB-P1060</t>
  </si>
  <si>
    <t>SUB-P1070</t>
  </si>
  <si>
    <t>SUB-P1080</t>
  </si>
  <si>
    <t>SUB.C</t>
  </si>
  <si>
    <t>SUB-C1090</t>
  </si>
  <si>
    <t>SUB-C1100</t>
  </si>
  <si>
    <t>SUB-C1110</t>
  </si>
  <si>
    <t>SUB-C1120</t>
  </si>
  <si>
    <t>SUB-C1130</t>
  </si>
  <si>
    <t>SUB-C1150</t>
  </si>
  <si>
    <t>SUB-C1140</t>
  </si>
  <si>
    <t>SUB-C1160</t>
  </si>
  <si>
    <t>SUB-C1170</t>
  </si>
  <si>
    <t>SUB-C1180</t>
  </si>
  <si>
    <t>SUB-C1190</t>
  </si>
  <si>
    <t>UTL</t>
  </si>
  <si>
    <t>UTL.E</t>
  </si>
  <si>
    <t>UTL-E1010</t>
  </si>
  <si>
    <t>UTL-E1020</t>
  </si>
  <si>
    <t>UTL-E1030</t>
  </si>
  <si>
    <t>UTL-E1040</t>
  </si>
  <si>
    <t>UTL.P</t>
  </si>
  <si>
    <t>UTL-P1050</t>
  </si>
  <si>
    <t>UTL-P1060</t>
  </si>
  <si>
    <t>In progress, Pending update</t>
  </si>
  <si>
    <t>UTL-P1070</t>
  </si>
  <si>
    <t>Overdue, Due this period, In progress, Pending update, No concern yet</t>
  </si>
  <si>
    <t>UTL-P1080</t>
  </si>
  <si>
    <t>UTL.C</t>
  </si>
  <si>
    <t>UTL-C1090</t>
  </si>
  <si>
    <t>UTL-C1100</t>
  </si>
  <si>
    <t>UTL-C1110</t>
  </si>
  <si>
    <t>UTL-C1120</t>
  </si>
  <si>
    <t>UTL-C1130</t>
  </si>
  <si>
    <t>UTL-C1150</t>
  </si>
  <si>
    <t>UTL-C1140</t>
  </si>
  <si>
    <t>UTL-C1170</t>
  </si>
  <si>
    <t>UTL-C1160</t>
  </si>
  <si>
    <t>UTL-C1180</t>
  </si>
  <si>
    <t>UTL-C1190</t>
  </si>
  <si>
    <t>STP</t>
  </si>
  <si>
    <t>STP.E</t>
  </si>
  <si>
    <t>STP-E1010</t>
  </si>
  <si>
    <t>STP-E1020</t>
  </si>
  <si>
    <t>STP-E1030</t>
  </si>
  <si>
    <t>STP-E1040</t>
  </si>
  <si>
    <t>STP.P</t>
  </si>
  <si>
    <t>STP-P1050</t>
  </si>
  <si>
    <t>STP-P1060</t>
  </si>
  <si>
    <t>STP-P1070</t>
  </si>
  <si>
    <t>Late start, Overdue, Due this period, Pending update, No concern yet</t>
  </si>
  <si>
    <t>STP-P1080</t>
  </si>
  <si>
    <t>STP.C</t>
  </si>
  <si>
    <t>STP-C1090</t>
  </si>
  <si>
    <t>STP-C1100</t>
  </si>
  <si>
    <t>STP-C1110</t>
  </si>
  <si>
    <t>STP-C1150</t>
  </si>
  <si>
    <t>Future progress, In progress, Pending update, Out of sequence, No concern yet</t>
  </si>
  <si>
    <t>STP-C1160</t>
  </si>
  <si>
    <t>STP-C1120</t>
  </si>
  <si>
    <t>STP-C1130</t>
  </si>
  <si>
    <t>STP-C1140</t>
  </si>
  <si>
    <t>STP-C1170</t>
  </si>
  <si>
    <t>STP-C1180</t>
  </si>
  <si>
    <t>STP-C1190</t>
  </si>
  <si>
    <t>Gantt chart - weekly timescale  (dark = actual, blue = remaining, red = critical, ◆ = milestone, red line = Data Date)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</si>
  <si>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</si>
  <si>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</si>
  <si>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</si>
  <si>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</si>
  <si>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</si>
  <si>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</si>
  <si>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</si>
  <si>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</si>
  <si>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</si>
  <si>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</si>
  <si>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</si>
  <si>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</si>
  <si>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</si>
  <si>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</si>
  <si>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</si>
  <si>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</si>
  <si>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</si>
  <si>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%</t>
  </si>
  <si>
    <t xml:space="preserve">  Project Milestones</t>
  </si>
  <si>
    <t xml:space="preserve">    Notice to proceed / Project start</t>
  </si>
  <si>
    <t>◆</t>
  </si>
  <si>
    <t xml:space="preserve">    Plant mechanical completion</t>
  </si>
  <si>
    <t xml:space="preserve">  Admin Building</t>
  </si>
  <si>
    <t xml:space="preserve">    Engineering</t>
  </si>
  <si>
    <t xml:space="preserve">      Design basis &amp; architectural layout</t>
  </si>
  <si>
    <t xml:space="preserve">      Structural design &amp; IFC drawings</t>
  </si>
  <si>
    <t xml:space="preserve">      MEP design &amp; drawings</t>
  </si>
  <si>
    <t xml:space="preserve">      Drawing approval by client</t>
  </si>
  <si>
    <t xml:space="preserve">    Procurement</t>
  </si>
  <si>
    <t xml:space="preserve">      Structural steel - PO placement</t>
  </si>
  <si>
    <t xml:space="preserve">      Structural steel - fabrication &amp; supply to site</t>
  </si>
  <si>
    <t xml:space="preserve">      MEP equipment - PO placement</t>
  </si>
  <si>
    <t xml:space="preserve">      MEP equipment - manufacturing &amp; delivery</t>
  </si>
  <si>
    <t xml:space="preserve">    Construction</t>
  </si>
  <si>
    <t xml:space="preserve">      Site mobilisation &amp; survey</t>
  </si>
  <si>
    <t xml:space="preserve">      Excavation</t>
  </si>
  <si>
    <t xml:space="preserve">      PCC &amp; foundation concreting</t>
  </si>
  <si>
    <t xml:space="preserve">      Plinth beam &amp; backfilling</t>
  </si>
  <si>
    <t xml:space="preserve">      Superstructure - RCC / steel erection</t>
  </si>
  <si>
    <t xml:space="preserve">      Masonry &amp; plastering</t>
  </si>
  <si>
    <t xml:space="preserve">      Roofing &amp; cladding</t>
  </si>
  <si>
    <t xml:space="preserve">      MEP installation</t>
  </si>
  <si>
    <t xml:space="preserve">      Finishes - flooring &amp; painting</t>
  </si>
  <si>
    <t xml:space="preserve">      Testing &amp; commissioning</t>
  </si>
  <si>
    <t xml:space="preserve">      Building handover to client</t>
  </si>
  <si>
    <t xml:space="preserve">  Main Process Building</t>
  </si>
  <si>
    <t xml:space="preserve">  Warehouse Block</t>
  </si>
  <si>
    <t xml:space="preserve">  33kV Substation</t>
  </si>
  <si>
    <t xml:space="preserve">  Utility Building</t>
  </si>
  <si>
    <t xml:space="preserve">  STP &amp; Pump House</t>
  </si>
  <si>
    <t>UPDATE SHEET  -  fill the orange columns, then File &gt; Import Update Sheet in Schedule Engine</t>
  </si>
  <si>
    <t>Data Date 01-Oct-2026: actual dates must be BEFORE 01-Oct-2026.  % is 0-100.  Leave a cell blank to keep the current value.  Qty % = Done ÷ Scope (use it to decide the % complete).</t>
  </si>
  <si>
    <t>Planned Start</t>
  </si>
  <si>
    <t>Planned Finish</t>
  </si>
  <si>
    <t>Current Actual Start</t>
  </si>
  <si>
    <t>Current Actual Finish</t>
  </si>
  <si>
    <t>Current %</t>
  </si>
  <si>
    <t>Current Rem Dur</t>
  </si>
  <si>
    <t>New Actual Start</t>
  </si>
  <si>
    <t>New Actual Finish</t>
  </si>
  <si>
    <t>New % Complete</t>
  </si>
  <si>
    <t>New Remaining Dur</t>
  </si>
  <si>
    <t>Expected Finish</t>
  </si>
  <si>
    <t>Unit</t>
  </si>
  <si>
    <t>Scope Qty</t>
  </si>
  <si>
    <t>Done Qty</t>
  </si>
  <si>
    <t>Qty %</t>
  </si>
  <si>
    <t>Check</t>
  </si>
  <si>
    <t>Nos</t>
  </si>
  <si>
    <t>MT</t>
  </si>
  <si>
    <t>Cum</t>
  </si>
  <si>
    <t>8-week look-ahead from 01-Oct-2026</t>
  </si>
  <si>
    <t>Window</t>
  </si>
  <si>
    <t>Ongoing</t>
  </si>
  <si>
    <t>0-2 weeks</t>
  </si>
  <si>
    <t>2-4 weeks</t>
  </si>
  <si>
    <t>4-8 weeks</t>
  </si>
  <si>
    <t>Activities needing attention (flag + concern raised)</t>
  </si>
  <si>
    <t>Flag</t>
  </si>
  <si>
    <t>Ref Start</t>
  </si>
  <si>
    <t>Ref Finish</t>
  </si>
  <si>
    <t>TF</t>
  </si>
  <si>
    <t>Concern category</t>
  </si>
  <si>
    <t>Concern</t>
  </si>
  <si>
    <t>Action</t>
  </si>
  <si>
    <t>Owner</t>
  </si>
  <si>
    <t>NOT RAISED</t>
  </si>
  <si>
    <t>Future progress</t>
  </si>
  <si>
    <t>Out of sequence</t>
  </si>
  <si>
    <t>Concerns register - 0 concerns as of 01-Oct-2026</t>
  </si>
  <si>
    <t>Category</t>
  </si>
  <si>
    <t>Target date</t>
  </si>
  <si>
    <t>Raised</t>
  </si>
  <si>
    <t>Schedule health check - score 46%</t>
  </si>
  <si>
    <t>Result</t>
  </si>
  <si>
    <t>Count</t>
  </si>
  <si>
    <t>Of</t>
  </si>
  <si>
    <t>Guideline</t>
  </si>
  <si>
    <t>Missing logic (open ends)</t>
  </si>
  <si>
    <t>PASS</t>
  </si>
  <si>
    <t>Activities without a predecessor or a successor (first/last milestones excepted). Target ≤ 5%.</t>
  </si>
  <si>
    <t>Leads (negative lags)</t>
  </si>
  <si>
    <t>FAIL</t>
  </si>
  <si>
    <t>Relationships with a negative lag hide logic. Target 0.</t>
  </si>
  <si>
    <t>Positive lags</t>
  </si>
  <si>
    <t>Lags should be replaced with activities where possible. Target ≤ 5%.</t>
  </si>
  <si>
    <t>Relationship types (FS ≥ 90%)</t>
  </si>
  <si>
    <t>Finish-to-Start should dominate. Shows the share of FS links.</t>
  </si>
  <si>
    <t>Hard constraints</t>
  </si>
  <si>
    <t>Must/finish-on or before constraints block logic. Target ≤ 5%.</t>
  </si>
  <si>
    <t>High float (&gt; 44 days)</t>
  </si>
  <si>
    <t>Usually means missing successors. Target ≤ 5%.</t>
  </si>
  <si>
    <t>Negative float</t>
  </si>
  <si>
    <t>Project is late against a constraint / must-finish date. Target 0.</t>
  </si>
  <si>
    <t>High duration (&gt; 44 days)</t>
  </si>
  <si>
    <t>Break long activities down for better control. Target ≤ 5%.</t>
  </si>
  <si>
    <t>Invalid dates</t>
  </si>
  <si>
    <t>Actuals after the Data Date or forecasts before it. Target 0.</t>
  </si>
  <si>
    <t>Missed activities (finished late vs baseline)</t>
  </si>
  <si>
    <t>Planned to finish by the Data Date but finished late or not at all. Target ≤ 5%.</t>
  </si>
  <si>
    <t>Critical path exists</t>
  </si>
  <si>
    <t>A continuous critical path should drive the finish.</t>
  </si>
  <si>
    <t>Baseline Execution Index (BEI ≥ 0.95)</t>
  </si>
  <si>
    <t>Activities completed ÷ activities that should have been completed. 0.73</t>
  </si>
  <si>
    <t>Logic loops</t>
  </si>
  <si>
    <t>No circular logic.</t>
  </si>
  <si>
    <t>Changes vs previous update (01-Sep-2026 → 01-Oct-2026)</t>
  </si>
  <si>
    <t>Changes this period</t>
  </si>
  <si>
    <t>Finish movement (d)</t>
  </si>
  <si>
    <t>% 42 → 62</t>
  </si>
  <si>
    <t>% 53 → 73</t>
  </si>
  <si>
    <t>% 62 → 82</t>
  </si>
  <si>
    <t>% 7 → 27</t>
  </si>
  <si>
    <t>% 32 → 52</t>
  </si>
  <si>
    <t>% 29 → 49</t>
  </si>
  <si>
    <t>% 89 → 99</t>
  </si>
  <si>
    <t>% 57 → 77</t>
  </si>
  <si>
    <t>% 78 → 98</t>
  </si>
  <si>
    <t>% 21 → 41</t>
  </si>
  <si>
    <t>Relationships</t>
  </si>
  <si>
    <t>Predecessor</t>
  </si>
  <si>
    <t>Predecessor Name</t>
  </si>
  <si>
    <t>Type</t>
  </si>
  <si>
    <t>Lag (d)</t>
  </si>
  <si>
    <t>Successor</t>
  </si>
  <si>
    <t>Successor Name</t>
  </si>
  <si>
    <t>FS</t>
  </si>
  <si>
    <t>SS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</si>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</sst>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-mmm-yy"/>
  </numFmts>
  <fonts count="24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FFFFFF"/>
      <sz val="9"/>
      <name val="Arial"/>
    </font>
    <font>
      <b/>
      <color rgb="FF00338D"/>
      <sz val="11"/>
    </font>
    <font>
      <color rgb="FF595959"/>
      <sz val="8"/>
    </font>
    <font>
      <b/>
      <color rgb="FF00338D"/>
      <sz val="16"/>
    </font>
    <font>
      <b/>
      <color rgb="FFBC204B"/>
      <sz val="16"/>
    </font>
    <font>
      <b/>
      <color rgb="FFFFFFFF"/>
      <sz val="9"/>
      <name val="Arial"/>
    </font>
    <font>
      <b/>
      <color rgb="FF009A44"/>
    </font>
    <font>
      <b/>
      <color rgb="FFBC204B"/>
    </font>
    <font>
      <color rgb="FFBC204B"/>
      <sz val="10"/>
    </font>
    <font>
      <color rgb="FF262626"/>
      <sz val="10"/>
    </font>
    <font>
      <b/>
      <color rgb="FFFFFFFF"/>
      <sz val="9"/>
    </font>
    <font>
      <sz val="9"/>
    </font>
    <font>
      <color rgb="FFBC204B"/>
      <sz val="9"/>
    </font>
    <font>
      <b/>
      <color rgb="FFBC204B"/>
      <sz val="9"/>
    </font>
    <font>
      <b/>
      <color rgb="FF1D1D1B"/>
      <sz val="9"/>
    </font>
    <font>
      <b/>
      <color rgb="FFFFFFFF"/>
      <sz val="8"/>
    </font>
    <font>
      <b/>
      <color rgb="FFFFFFFF"/>
      <sz val="7"/>
    </font>
    <font>
      <b/>
      <color rgb="FF00338D"/>
      <sz val="8"/>
    </font>
    <font>
      <sz val="8"/>
    </font>
    <font>
      <b/>
      <color rgb="FF00338D"/>
      <sz val="9"/>
    </font>
    <font>
      <b/>
      <color rgb="FF1D1D1B"/>
      <sz val="8"/>
    </font>
    <font>
      <b/>
      <color rgb="FF470A68"/>
      <sz val="9"/>
    </font>
  </fonts>
  <fills count="23">
    <fill>
      <patternFill patternType="none"/>
    </fill>
    <fill>
      <patternFill patternType="gray125"/>
    </fill>
    <fill>
      <patternFill patternType="solid">
        <fgColor rgb="FF00338D"/>
      </patternFill>
    </fill>
    <fill>
      <patternFill patternType="solid">
        <fgColor rgb="FF005EB8"/>
      </patternFill>
    </fill>
    <fill>
      <patternFill patternType="solid">
        <fgColor rgb="FFF2F5FB"/>
      </patternFill>
    </fill>
    <fill>
      <patternFill patternType="solid">
        <fgColor rgb="FF00A3A1"/>
      </patternFill>
    </fill>
    <fill>
      <patternFill patternType="solid">
        <fgColor rgb="FFDCE6F4"/>
      </patternFill>
    </fill>
    <fill>
      <patternFill patternType="solid">
        <fgColor rgb="FFFBE3E8"/>
      </patternFill>
    </fill>
    <fill>
      <patternFill patternType="solid">
        <fgColor rgb="FFFFF1CC"/>
      </patternFill>
    </fill>
    <fill>
      <patternFill patternType="solid">
        <fgColor rgb="FFEFE3F7"/>
      </patternFill>
    </fill>
    <fill>
      <patternFill patternType="solid">
        <fgColor rgb="FFBC204B"/>
      </patternFill>
    </fill>
    <fill>
      <patternFill patternType="solid">
        <fgColor rgb="FFEEF3FA"/>
      </patternFill>
    </fill>
    <fill>
      <patternFill patternType="darkHorizontal">
        <fgColor rgb="FF404040"/>
        <bgColor rgb="FFFFFFFF"/>
      </patternFill>
    </fill>
    <fill>
      <patternFill patternType="solid">
        <fgColor rgb="FF00338D"/>
        <bgColor rgb="FFFFFFFF"/>
      </patternFill>
    </fill>
    <fill>
      <patternFill patternType="solid">
        <fgColor rgb="FF0091DA"/>
        <bgColor rgb="FFFFFFFF"/>
      </patternFill>
    </fill>
    <fill>
      <patternFill patternType="solid">
        <fgColor rgb="FFBC204B"/>
        <bgColor rgb="FFFFFFFF"/>
      </patternFill>
    </fill>
    <fill>
      <patternFill patternType="solid">
        <fgColor rgb="FFF68D2E"/>
      </patternFill>
    </fill>
    <fill>
      <patternFill patternType="solid">
        <fgColor rgb="FFFFF4E5"/>
      </patternFill>
    </fill>
    <fill>
      <patternFill patternType="solid">
        <fgColor rgb="FF0091DA"/>
      </patternFill>
    </fill>
    <fill>
      <patternFill patternType="solid">
        <fgColor rgb="FFC6007E"/>
      </patternFill>
    </fill>
    <fill>
      <patternFill patternType="solid">
        <fgColor rgb="FF483698"/>
      </patternFill>
    </fill>
    <fill>
      <patternFill patternType="solid">
        <fgColor rgb="FF7F7F7F"/>
      </patternFill>
    </fill>
    <fill>
      <patternFill patternType="solid">
        <fgColor rgb="FF470A68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  <border>
      <left style="medium">
        <color rgb="FFBC204B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164" fontId="5" fillId="4" borderId="0" xfId="0" applyNumberFormat="1" applyFont="1" applyFill="1"/>
    <xf numFmtId="164" fontId="6" fillId="4" borderId="0" xfId="0" applyNumberFormat="1" applyFont="1" applyFill="1"/>
    <xf numFmtId="165" fontId="5" fillId="4" borderId="0" xfId="0" applyNumberFormat="1" applyFont="1" applyFill="1"/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164" fontId="8" fillId="0" borderId="2" xfId="0" applyNumberFormat="1" applyFont="1" applyBorder="1"/>
    <xf numFmtId="165" fontId="0" fillId="0" borderId="2" xfId="0" applyNumberFormat="1" applyBorder="1"/>
    <xf numFmtId="164" fontId="9" fillId="0" borderId="2" xfId="0" applyNumberFormat="1" applyFont="1" applyBorder="1"/>
    <xf numFmtId="0" fontId="10" fillId="0" borderId="0" xfId="0" applyFont="1"/>
    <xf numFmtId="0" fontId="11" fillId="0" borderId="0" xfId="0" applyFont="1"/>
    <xf numFmtId="0" fontId="7" fillId="5" borderId="1" xfId="0" applyFont="1" applyFill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/>
    </xf>
    <xf numFmtId="0" fontId="12" fillId="2" borderId="2" xfId="0" applyFont="1" applyFill="1" applyBorder="1"/>
    <xf numFmtId="0" fontId="12" fillId="2" borderId="2" xfId="0" applyFont="1" applyFill="1" applyBorder="1" applyAlignment="1"/>
    <xf numFmtId="9" fontId="12" fillId="2" borderId="2" xfId="0" applyNumberFormat="1" applyFont="1" applyFill="1" applyBorder="1"/>
    <xf numFmtId="165" fontId="12" fillId="2" borderId="2" xfId="0" applyNumberFormat="1" applyFont="1" applyFill="1" applyBorder="1"/>
    <xf numFmtId="0" fontId="12" fillId="3" borderId="2" xfId="0" applyFont="1" applyFill="1" applyBorder="1"/>
    <xf numFmtId="0" fontId="12" fillId="3" borderId="2" xfId="0" applyFont="1" applyFill="1" applyBorder="1" applyAlignment="1">
      <alignment indent="1"/>
    </xf>
    <xf numFmtId="9" fontId="12" fillId="3" borderId="2" xfId="0" applyNumberFormat="1" applyFont="1" applyFill="1" applyBorder="1"/>
    <xf numFmtId="165" fontId="12" fillId="3" borderId="2" xfId="0" applyNumberFormat="1" applyFont="1" applyFill="1" applyBorder="1"/>
    <xf numFmtId="0" fontId="13" fillId="0" borderId="0" xfId="0" applyFont="1"/>
    <xf numFmtId="0" fontId="13" fillId="0" borderId="2" xfId="0" applyFont="1" applyBorder="1"/>
    <xf numFmtId="0" fontId="13" fillId="0" borderId="2" xfId="0" applyFont="1" applyBorder="1" applyAlignment="1">
      <alignment indent="2"/>
    </xf>
    <xf numFmtId="9" fontId="13" fillId="0" borderId="2" xfId="0" applyNumberFormat="1" applyFont="1" applyBorder="1"/>
    <xf numFmtId="165" fontId="13" fillId="0" borderId="2" xfId="0" applyNumberFormat="1" applyFont="1" applyBorder="1"/>
    <xf numFmtId="0" fontId="14" fillId="0" borderId="2" xfId="0" applyFont="1" applyBorder="1"/>
    <xf numFmtId="0" fontId="15" fillId="0" borderId="2" xfId="0" applyFont="1" applyBorder="1"/>
    <xf numFmtId="0" fontId="16" fillId="6" borderId="2" xfId="0" applyFont="1" applyFill="1" applyBorder="1"/>
    <xf numFmtId="0" fontId="16" fillId="6" borderId="2" xfId="0" applyFont="1" applyFill="1" applyBorder="1" applyAlignment="1">
      <alignment indent="2"/>
    </xf>
    <xf numFmtId="9" fontId="16" fillId="6" borderId="2" xfId="0" applyNumberFormat="1" applyFont="1" applyFill="1" applyBorder="1"/>
    <xf numFmtId="165" fontId="16" fillId="6" borderId="2" xfId="0" applyNumberFormat="1" applyFont="1" applyFill="1" applyBorder="1"/>
    <xf numFmtId="0" fontId="13" fillId="0" borderId="2" xfId="0" applyFont="1" applyBorder="1" applyAlignment="1">
      <alignment indent="3"/>
    </xf>
    <xf numFmtId="0" fontId="13" fillId="7" borderId="2" xfId="0" applyFont="1" applyFill="1" applyBorder="1"/>
    <xf numFmtId="0" fontId="13" fillId="7" borderId="2" xfId="0" applyFont="1" applyFill="1" applyBorder="1" applyAlignment="1">
      <alignment indent="3"/>
    </xf>
    <xf numFmtId="9" fontId="13" fillId="7" borderId="2" xfId="0" applyNumberFormat="1" applyFont="1" applyFill="1" applyBorder="1"/>
    <xf numFmtId="165" fontId="13" fillId="7" borderId="2" xfId="0" applyNumberFormat="1" applyFont="1" applyFill="1" applyBorder="1"/>
    <xf numFmtId="0" fontId="14" fillId="7" borderId="2" xfId="0" applyFont="1" applyFill="1" applyBorder="1"/>
    <xf numFmtId="0" fontId="13" fillId="8" borderId="2" xfId="0" applyFont="1" applyFill="1" applyBorder="1"/>
    <xf numFmtId="0" fontId="13" fillId="8" borderId="2" xfId="0" applyFont="1" applyFill="1" applyBorder="1" applyAlignment="1">
      <alignment indent="3"/>
    </xf>
    <xf numFmtId="9" fontId="13" fillId="8" borderId="2" xfId="0" applyNumberFormat="1" applyFont="1" applyFill="1" applyBorder="1"/>
    <xf numFmtId="165" fontId="13" fillId="8" borderId="2" xfId="0" applyNumberFormat="1" applyFont="1" applyFill="1" applyBorder="1"/>
    <xf numFmtId="0" fontId="14" fillId="8" borderId="2" xfId="0" applyFont="1" applyFill="1" applyBorder="1"/>
    <xf numFmtId="0" fontId="13" fillId="9" borderId="2" xfId="0" applyFont="1" applyFill="1" applyBorder="1"/>
    <xf numFmtId="0" fontId="13" fillId="9" borderId="2" xfId="0" applyFont="1" applyFill="1" applyBorder="1" applyAlignment="1">
      <alignment indent="3"/>
    </xf>
    <xf numFmtId="9" fontId="13" fillId="9" borderId="2" xfId="0" applyNumberFormat="1" applyFont="1" applyFill="1" applyBorder="1"/>
    <xf numFmtId="165" fontId="13" fillId="9" borderId="2" xfId="0" applyNumberFormat="1" applyFont="1" applyFill="1" applyBorder="1"/>
    <xf numFmtId="0" fontId="14" fillId="9" borderId="2" xfId="0" applyFont="1" applyFill="1" applyBorder="1"/>
    <xf numFmtId="0" fontId="17" fillId="2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18" fillId="10" borderId="0" xfId="0" applyFont="1" applyFill="1" applyAlignment="1">
      <alignment horizontal="center"/>
    </xf>
    <xf numFmtId="0" fontId="19" fillId="11" borderId="0" xfId="0" applyFont="1" applyFill="1"/>
    <xf numFmtId="165" fontId="19" fillId="11" borderId="0" xfId="0" applyNumberFormat="1" applyFont="1" applyFill="1"/>
    <xf numFmtId="9" fontId="19" fillId="11" borderId="0" xfId="0" applyNumberFormat="1" applyFont="1" applyFill="1"/>
    <xf numFmtId="0" fontId="0" fillId="12" borderId="0" xfId="0" applyFill="1"/>
    <xf numFmtId="0" fontId="0" fillId="12" borderId="3" xfId="0" applyFill="1" applyBorder="1"/>
    <xf numFmtId="0" fontId="20" fillId="0" borderId="0" xfId="0" applyFont="1"/>
    <xf numFmtId="165" fontId="20" fillId="0" borderId="0" xfId="0" applyNumberFormat="1" applyFont="1"/>
    <xf numFmtId="9" fontId="20" fillId="0" borderId="0" xfId="0" applyNumberFormat="1" applyFont="1"/>
    <xf numFmtId="0" fontId="21" fillId="0" borderId="0" xfId="0" applyFont="1" applyAlignment="1">
      <alignment horizontal="center"/>
    </xf>
    <xf numFmtId="0" fontId="20" fillId="0" borderId="3" xfId="0" applyFont="1" applyBorder="1"/>
    <xf numFmtId="0" fontId="15" fillId="0" borderId="0" xfId="0" applyFont="1" applyAlignment="1">
      <alignment horizontal="center"/>
    </xf>
    <xf numFmtId="0" fontId="22" fillId="11" borderId="0" xfId="0" applyFont="1" applyFill="1"/>
    <xf numFmtId="165" fontId="22" fillId="11" borderId="0" xfId="0" applyNumberFormat="1" applyFont="1" applyFill="1"/>
    <xf numFmtId="9" fontId="22" fillId="11" borderId="0" xfId="0" applyNumberFormat="1" applyFont="1" applyFill="1"/>
    <xf numFmtId="0" fontId="0" fillId="0" borderId="3" xfId="0" applyBorder="1"/>
    <xf numFmtId="0" fontId="20" fillId="13" borderId="0" xfId="0" applyFont="1" applyFill="1"/>
    <xf numFmtId="0" fontId="20" fillId="14" borderId="3" xfId="0" applyFont="1" applyFill="1" applyBorder="1"/>
    <xf numFmtId="0" fontId="20" fillId="14" borderId="0" xfId="0" applyFont="1" applyFill="1"/>
    <xf numFmtId="0" fontId="23" fillId="0" borderId="0" xfId="0" applyFont="1" applyAlignment="1">
      <alignment horizontal="center"/>
    </xf>
    <xf numFmtId="0" fontId="20" fillId="15" borderId="3" xfId="0" applyFont="1" applyFill="1" applyBorder="1"/>
    <xf numFmtId="0" fontId="20" fillId="15" borderId="0" xfId="0" applyFont="1" applyFill="1"/>
    <xf numFmtId="0" fontId="7" fillId="16" borderId="1" xfId="0" applyFont="1" applyFill="1" applyBorder="1" applyAlignment="1">
      <alignment horizontal="center" vertical="center" wrapText="1"/>
    </xf>
    <xf numFmtId="165" fontId="13" fillId="0" borderId="0" xfId="0" applyNumberFormat="1" applyFont="1"/>
    <xf numFmtId="9" fontId="13" fillId="0" borderId="0" xfId="0" applyNumberFormat="1" applyFont="1"/>
    <xf numFmtId="165" fontId="13" fillId="17" borderId="2" xfId="0" applyNumberFormat="1" applyFont="1" applyFill="1" applyBorder="1"/>
    <xf numFmtId="0" fontId="13" fillId="17" borderId="2" xfId="0" applyFont="1" applyFill="1" applyBorder="1"/>
    <xf numFmtId="164" fontId="13" fillId="0" borderId="0" xfId="0" applyNumberFormat="1" applyFont="1"/>
    <xf numFmtId="0" fontId="13" fillId="7" borderId="0" xfId="0" applyFont="1" applyFill="1"/>
    <xf numFmtId="0" fontId="13" fillId="8" borderId="0" xfId="0" applyFont="1" applyFill="1"/>
    <xf numFmtId="0" fontId="13" fillId="9" borderId="0" xfId="0" applyFont="1" applyFill="1"/>
    <xf numFmtId="0" fontId="7" fillId="1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009A44"/>
      </font>
    </dxf>
    <dxf>
      <font>
        <b/>
        <color rgb="FFBC204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8D"/>
  </sheetPr>
  <dimension ref="A1:M40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2" customWidth="1"/>
    <col min="3" max="5" width="10" customWidth="1"/>
    <col min="6" max="8" width="12" customWidth="1"/>
    <col min="9" max="9" width="13" customWidth="1"/>
    <col min="10" max="12" width="11" customWidth="1"/>
    <col min="13" max="13" width="14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" x14ac:dyDescent="0.25">
      <c r="A4" s="3" t="s">
        <v>2</v>
      </c>
    </row>
    <row r="5" spans="1:11" x14ac:dyDescent="0.25">
      <c r="A5" s="4" t="s">
        <v>3</v>
      </c>
      <c r="C5" s="4" t="s">
        <v>4</v>
      </c>
      <c r="E5" s="4" t="s">
        <v>5</v>
      </c>
      <c r="G5" s="4" t="s">
        <v>6</v>
      </c>
      <c r="I5" s="4" t="s">
        <v>7</v>
      </c>
      <c r="K5" s="4" t="s">
        <v>8</v>
      </c>
    </row>
    <row r="6" spans="1:11" x14ac:dyDescent="0.25">
      <c r="A6" s="5">
        <v>116</v>
      </c>
      <c r="C6" s="5">
        <v>61</v>
      </c>
      <c r="E6" s="5">
        <v>20</v>
      </c>
      <c r="G6" s="5">
        <v>35</v>
      </c>
      <c r="I6" s="6">
        <v>0.759</v>
      </c>
      <c r="K6" s="6">
        <v>0.573</v>
      </c>
    </row>
    <row r="7" spans="1:11" x14ac:dyDescent="0.25">
      <c r="A7" s="4" t="s">
        <v>9</v>
      </c>
      <c r="C7" s="4" t="s">
        <v>10</v>
      </c>
      <c r="E7" s="4" t="s">
        <v>11</v>
      </c>
      <c r="G7" s="4" t="s">
        <v>12</v>
      </c>
      <c r="I7" s="4" t="s">
        <v>13</v>
      </c>
      <c r="K7" s="4" t="s">
        <v>14</v>
      </c>
    </row>
    <row r="8" spans="1:11" x14ac:dyDescent="0.25">
      <c r="A8" s="7">
        <v>-0.18591169255928058</v>
      </c>
      <c r="C8" s="8">
        <v>46524</v>
      </c>
      <c r="E8" s="5">
        <v>5</v>
      </c>
      <c r="G8" s="5">
        <v>8</v>
      </c>
      <c r="I8" s="5">
        <v>9</v>
      </c>
      <c r="K8" s="5">
        <v>16</v>
      </c>
    </row>
    <row r="10" spans="1:1" x14ac:dyDescent="0.25">
      <c r="A10" s="3" t="s">
        <v>15</v>
      </c>
    </row>
    <row r="11" ht="30" customHeight="1" spans="1:13" x14ac:dyDescent="0.25">
      <c r="A11" s="9" t="s">
        <v>16</v>
      </c>
      <c r="B11" s="9" t="s">
        <v>17</v>
      </c>
      <c r="C11" s="9" t="s">
        <v>6</v>
      </c>
      <c r="D11" s="9" t="s">
        <v>5</v>
      </c>
      <c r="E11" s="9" t="s">
        <v>4</v>
      </c>
      <c r="F11" s="9" t="s">
        <v>7</v>
      </c>
      <c r="G11" s="9" t="s">
        <v>8</v>
      </c>
      <c r="H11" s="9" t="s">
        <v>9</v>
      </c>
      <c r="I11" s="9" t="s">
        <v>18</v>
      </c>
      <c r="J11" s="9" t="s">
        <v>12</v>
      </c>
      <c r="K11" s="9" t="s">
        <v>13</v>
      </c>
      <c r="L11" s="9" t="s">
        <v>11</v>
      </c>
      <c r="M11" s="9" t="s">
        <v>10</v>
      </c>
    </row>
    <row r="12" spans="1:13" x14ac:dyDescent="0.25">
      <c r="A12" s="10" t="s">
        <v>19</v>
      </c>
      <c r="B12" s="10">
        <v>2</v>
      </c>
      <c r="C12" s="10">
        <v>1</v>
      </c>
      <c r="D12" s="10">
        <v>0</v>
      </c>
      <c r="E12" s="10">
        <v>1</v>
      </c>
      <c r="F12" s="11">
        <v>0</v>
      </c>
      <c r="G12" s="11">
        <v>0</v>
      </c>
      <c r="H12" s="12">
        <v>0</v>
      </c>
      <c r="I12" s="11">
        <v>0</v>
      </c>
      <c r="J12" s="10">
        <v>0</v>
      </c>
      <c r="K12" s="10">
        <v>0</v>
      </c>
      <c r="L12" s="10">
        <v>1</v>
      </c>
      <c r="M12" s="13">
        <v>46524</v>
      </c>
    </row>
    <row r="13" spans="1:13" x14ac:dyDescent="0.25">
      <c r="A13" s="10" t="s">
        <v>20</v>
      </c>
      <c r="B13" s="10">
        <v>19</v>
      </c>
      <c r="C13" s="10">
        <v>2</v>
      </c>
      <c r="D13" s="10">
        <v>2</v>
      </c>
      <c r="E13" s="10">
        <v>15</v>
      </c>
      <c r="F13" s="11">
        <v>1</v>
      </c>
      <c r="G13" s="11">
        <v>0.919851024208566</v>
      </c>
      <c r="H13" s="14">
        <v>-0.08014897579143394</v>
      </c>
      <c r="I13" s="11">
        <v>0.03277467411545615</v>
      </c>
      <c r="J13" s="10">
        <v>0</v>
      </c>
      <c r="K13" s="10">
        <v>1</v>
      </c>
      <c r="L13" s="10">
        <v>0</v>
      </c>
      <c r="M13" s="13">
        <v>46336</v>
      </c>
    </row>
    <row r="14" spans="1:13" x14ac:dyDescent="0.25">
      <c r="A14" s="10" t="s">
        <v>21</v>
      </c>
      <c r="B14" s="10">
        <v>19</v>
      </c>
      <c r="C14" s="10">
        <v>5</v>
      </c>
      <c r="D14" s="10">
        <v>4</v>
      </c>
      <c r="E14" s="10">
        <v>10</v>
      </c>
      <c r="F14" s="11">
        <v>0.747014115092291</v>
      </c>
      <c r="G14" s="11">
        <v>0.578186753528773</v>
      </c>
      <c r="H14" s="14">
        <v>-0.16882736156351805</v>
      </c>
      <c r="I14" s="11">
        <v>0.08555917480998908</v>
      </c>
      <c r="J14" s="10">
        <v>0</v>
      </c>
      <c r="K14" s="10">
        <v>0</v>
      </c>
      <c r="L14" s="10">
        <v>4</v>
      </c>
      <c r="M14" s="13">
        <v>46524</v>
      </c>
    </row>
    <row r="15" spans="1:13" x14ac:dyDescent="0.25">
      <c r="A15" s="10" t="s">
        <v>22</v>
      </c>
      <c r="B15" s="10">
        <v>19</v>
      </c>
      <c r="C15" s="10">
        <v>5</v>
      </c>
      <c r="D15" s="10">
        <v>3</v>
      </c>
      <c r="E15" s="10">
        <v>11</v>
      </c>
      <c r="F15" s="11">
        <v>0.816</v>
      </c>
      <c r="G15" s="11">
        <v>0.6853920000000001</v>
      </c>
      <c r="H15" s="14">
        <v>-0.13060799999999986</v>
      </c>
      <c r="I15" s="11">
        <v>0.05024000000000001</v>
      </c>
      <c r="J15" s="10">
        <v>1</v>
      </c>
      <c r="K15" s="10">
        <v>2</v>
      </c>
      <c r="L15" s="10">
        <v>0</v>
      </c>
      <c r="M15" s="13">
        <v>46433</v>
      </c>
    </row>
    <row r="16" spans="1:13" x14ac:dyDescent="0.25">
      <c r="A16" s="10" t="s">
        <v>23</v>
      </c>
      <c r="B16" s="10">
        <v>19</v>
      </c>
      <c r="C16" s="10">
        <v>6</v>
      </c>
      <c r="D16" s="10">
        <v>3</v>
      </c>
      <c r="E16" s="10">
        <v>10</v>
      </c>
      <c r="F16" s="11">
        <v>0.8557692307692306</v>
      </c>
      <c r="G16" s="11">
        <v>0.5748653846153846</v>
      </c>
      <c r="H16" s="14">
        <v>-0.28090384615384606</v>
      </c>
      <c r="I16" s="11">
        <v>0.06692307692307693</v>
      </c>
      <c r="J16" s="10">
        <v>1</v>
      </c>
      <c r="K16" s="10">
        <v>1</v>
      </c>
      <c r="L16" s="10">
        <v>0</v>
      </c>
      <c r="M16" s="13">
        <v>46409</v>
      </c>
    </row>
    <row r="17" spans="1:13" x14ac:dyDescent="0.25">
      <c r="A17" s="10" t="s">
        <v>24</v>
      </c>
      <c r="B17" s="10">
        <v>19</v>
      </c>
      <c r="C17" s="10">
        <v>8</v>
      </c>
      <c r="D17" s="10">
        <v>2</v>
      </c>
      <c r="E17" s="10">
        <v>9</v>
      </c>
      <c r="F17" s="11">
        <v>0.5886075949367089</v>
      </c>
      <c r="G17" s="11">
        <v>0.36577531645569616</v>
      </c>
      <c r="H17" s="14">
        <v>-0.22283227848101275</v>
      </c>
      <c r="I17" s="11">
        <v>0</v>
      </c>
      <c r="J17" s="10">
        <v>3</v>
      </c>
      <c r="K17" s="10">
        <v>1</v>
      </c>
      <c r="L17" s="10">
        <v>0</v>
      </c>
      <c r="M17" s="13">
        <v>46511</v>
      </c>
    </row>
    <row r="18" spans="1:13" x14ac:dyDescent="0.25">
      <c r="A18" s="10" t="s">
        <v>25</v>
      </c>
      <c r="B18" s="10">
        <v>19</v>
      </c>
      <c r="C18" s="10">
        <v>8</v>
      </c>
      <c r="D18" s="10">
        <v>6</v>
      </c>
      <c r="E18" s="10">
        <v>5</v>
      </c>
      <c r="F18" s="11">
        <v>0.5391705069124424</v>
      </c>
      <c r="G18" s="11">
        <v>0.2740783410138249</v>
      </c>
      <c r="H18" s="14">
        <v>-0.26509216589861756</v>
      </c>
      <c r="I18" s="11">
        <v>0</v>
      </c>
      <c r="J18" s="10">
        <v>3</v>
      </c>
      <c r="K18" s="10">
        <v>4</v>
      </c>
      <c r="L18" s="10">
        <v>0</v>
      </c>
      <c r="M18" s="13">
        <v>46450</v>
      </c>
    </row>
    <row r="21" spans="1:1" x14ac:dyDescent="0.25">
      <c r="A21" s="3" t="s">
        <v>26</v>
      </c>
    </row>
    <row r="22" ht="30" customHeight="1" spans="1:13" x14ac:dyDescent="0.25">
      <c r="A22" s="9" t="s">
        <v>27</v>
      </c>
      <c r="B22" s="9" t="s">
        <v>17</v>
      </c>
      <c r="C22" s="9" t="s">
        <v>6</v>
      </c>
      <c r="D22" s="9" t="s">
        <v>5</v>
      </c>
      <c r="E22" s="9" t="s">
        <v>4</v>
      </c>
      <c r="F22" s="9" t="s">
        <v>7</v>
      </c>
      <c r="G22" s="9" t="s">
        <v>8</v>
      </c>
      <c r="H22" s="9" t="s">
        <v>9</v>
      </c>
      <c r="I22" s="9" t="s">
        <v>18</v>
      </c>
      <c r="J22" s="9" t="s">
        <v>12</v>
      </c>
      <c r="K22" s="9" t="s">
        <v>13</v>
      </c>
      <c r="L22" s="9" t="s">
        <v>11</v>
      </c>
      <c r="M22" s="9" t="s">
        <v>10</v>
      </c>
    </row>
    <row r="23" spans="1:13" x14ac:dyDescent="0.25">
      <c r="A23" s="10" t="s">
        <v>28</v>
      </c>
      <c r="B23" s="10">
        <v>24</v>
      </c>
      <c r="C23" s="10">
        <v>0</v>
      </c>
      <c r="D23" s="10">
        <v>2</v>
      </c>
      <c r="E23" s="10">
        <v>22</v>
      </c>
      <c r="F23" s="11">
        <v>1</v>
      </c>
      <c r="G23" s="11">
        <v>0.9922171253822628</v>
      </c>
      <c r="H23" s="14">
        <v>-0.00778287461773715</v>
      </c>
      <c r="I23" s="11">
        <v>0</v>
      </c>
      <c r="J23" s="10">
        <v>0</v>
      </c>
      <c r="K23" s="10">
        <v>2</v>
      </c>
      <c r="L23" s="10">
        <v>0</v>
      </c>
      <c r="M23" s="13">
        <v>46304</v>
      </c>
    </row>
    <row r="24" spans="1:13" x14ac:dyDescent="0.25">
      <c r="A24" s="10" t="s">
        <v>29</v>
      </c>
      <c r="B24" s="10">
        <v>24</v>
      </c>
      <c r="C24" s="10">
        <v>3</v>
      </c>
      <c r="D24" s="10">
        <v>8</v>
      </c>
      <c r="E24" s="10">
        <v>13</v>
      </c>
      <c r="F24" s="11">
        <v>0.8519230769230769</v>
      </c>
      <c r="G24" s="11">
        <v>0.5927788461538461</v>
      </c>
      <c r="H24" s="14">
        <v>-0.25914423076923077</v>
      </c>
      <c r="I24" s="11">
        <v>0.0821153846153846</v>
      </c>
      <c r="J24" s="10">
        <v>3</v>
      </c>
      <c r="K24" s="10">
        <v>3</v>
      </c>
      <c r="L24" s="10">
        <v>1</v>
      </c>
      <c r="M24" s="13">
        <v>46423</v>
      </c>
    </row>
    <row r="25" spans="1:13" x14ac:dyDescent="0.25">
      <c r="A25" s="10" t="s">
        <v>30</v>
      </c>
      <c r="B25" s="10">
        <v>66</v>
      </c>
      <c r="C25" s="10">
        <v>31</v>
      </c>
      <c r="D25" s="10">
        <v>10</v>
      </c>
      <c r="E25" s="10">
        <v>25</v>
      </c>
      <c r="F25" s="11">
        <v>0.6308860759493671</v>
      </c>
      <c r="G25" s="11">
        <v>0.4245518987341772</v>
      </c>
      <c r="H25" s="14">
        <v>-0.20633417721518982</v>
      </c>
      <c r="I25" s="11">
        <v>0.0390886075949367</v>
      </c>
      <c r="J25" s="10">
        <v>5</v>
      </c>
      <c r="K25" s="10">
        <v>4</v>
      </c>
      <c r="L25" s="10">
        <v>3</v>
      </c>
      <c r="M25" s="13">
        <v>46524</v>
      </c>
    </row>
    <row r="26" spans="1:13" x14ac:dyDescent="0.25">
      <c r="A26" s="10" t="s">
        <v>31</v>
      </c>
      <c r="B26" s="10">
        <v>2</v>
      </c>
      <c r="C26" s="10">
        <v>1</v>
      </c>
      <c r="D26" s="10">
        <v>0</v>
      </c>
      <c r="E26" s="10">
        <v>1</v>
      </c>
      <c r="F26" s="11">
        <v>0</v>
      </c>
      <c r="G26" s="11">
        <v>0</v>
      </c>
      <c r="H26" s="12">
        <v>0</v>
      </c>
      <c r="I26" s="11">
        <v>0</v>
      </c>
      <c r="J26" s="10">
        <v>0</v>
      </c>
      <c r="K26" s="10">
        <v>0</v>
      </c>
      <c r="L26" s="10">
        <v>1</v>
      </c>
      <c r="M26" s="13">
        <v>46524</v>
      </c>
    </row>
    <row r="29" spans="1:1" x14ac:dyDescent="0.25">
      <c r="A29" s="3" t="s">
        <v>32</v>
      </c>
    </row>
    <row r="30" spans="1:13" x14ac:dyDescent="0.25">
      <c r="A30" s="15" t="s">
        <v>33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 x14ac:dyDescent="0.25">
      <c r="A31" s="16" t="s">
        <v>34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13" x14ac:dyDescent="0.25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x14ac:dyDescent="0.25">
      <c r="A33" s="16" t="s">
        <v>36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x14ac:dyDescent="0.25">
      <c r="A34" s="16" t="s">
        <v>37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x14ac:dyDescent="0.25">
      <c r="A35" s="16" t="s">
        <v>38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x14ac:dyDescent="0.25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x14ac:dyDescent="0.25">
      <c r="A37" s="16" t="s">
        <v>40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x14ac:dyDescent="0.25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x14ac:dyDescent="0.25">
      <c r="A39" s="16" t="s">
        <v>42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 x14ac:dyDescent="0.25">
      <c r="A40" s="16" t="s">
        <v>43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</sheetData>
  <mergeCells count="13">
    <mergeCell ref="A1:M1"/>
    <mergeCell ref="A2:M2"/>
    <mergeCell ref="A30:M30"/>
    <mergeCell ref="A31:M31"/>
    <mergeCell ref="A32:M32"/>
    <mergeCell ref="A33:M33"/>
    <mergeCell ref="A34:M34"/>
    <mergeCell ref="A35:M35"/>
    <mergeCell ref="A36:M36"/>
    <mergeCell ref="A37:M37"/>
    <mergeCell ref="A38:M38"/>
    <mergeCell ref="A39:M39"/>
    <mergeCell ref="A40:M40"/>
  </mergeCells>
  <conditionalFormatting sqref="G12:G18">
    <cfRule type="dataBar" priority="1">
      <dataBar>
        <cfvo type="num" val="0"/>
        <cfvo type="num" val="1"/>
        <color rgb="FF0091DA"/>
      </dataBar>
      <extLst>
        <ext xmlns:x14="http://schemas.microsoft.com/office/spreadsheetml/2009/9/main" uri="{B025F937-C7B1-47D3-B67F-A62EFF666E3E}">
          <x14:id>{477AEEBF-9112-4A83-96EE-6C8C3D22BBFA}</x14:id>
        </ext>
      </extLst>
    </cfRule>
  </conditionalFormatting>
  <conditionalFormatting sqref="G23:G26">
    <cfRule type="dataBar" priority="2">
      <dataBar>
        <cfvo type="num" val="0"/>
        <cfvo type="num" val="1"/>
        <color rgb="FF0091DA"/>
      </dataBar>
      <extLst>
        <ext xmlns:x14="http://schemas.microsoft.com/office/spreadsheetml/2009/9/main" uri="{B025F937-C7B1-47D3-B67F-A62EFF666E3E}">
          <x14:id>{30C8800E-545B-4F93-BF2B-F2A38DF7ABAB}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7AEEBF-9112-4A83-96EE-6C8C3D22BBFA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G12:G18</xm:sqref>
        </x14:conditionalFormatting>
        <x14:conditionalFormatting xmlns:xm="http://schemas.microsoft.com/office/excel/2006/main">
          <x14:cfRule type="dataBar" id="{30C8800E-545B-4F93-BF2B-F2A38DF7ABAB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G23:G26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3A1"/>
  </sheetPr>
  <dimension ref="A1:K11"/>
  <sheetViews>
    <sheetView workbookViewId="0" showGridLines="0"/>
  </sheetViews>
  <sheetFormatPr defaultRowHeight="15" outlineLevelRow="0" outlineLevelCol="0" x14ac:dyDescent="55"/>
  <cols>
    <col min="1" max="1" width="30" customWidth="1"/>
    <col min="2" max="11" width="13" customWidth="1"/>
  </cols>
  <sheetData>
    <row r="1" ht="30" customHeight="1" spans="1:10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1" x14ac:dyDescent="0.25">
      <c r="A4" s="17" t="s">
        <v>45</v>
      </c>
      <c r="B4" s="17" t="s">
        <v>46</v>
      </c>
      <c r="C4" s="17" t="s">
        <v>47</v>
      </c>
      <c r="D4" s="17" t="s">
        <v>48</v>
      </c>
      <c r="E4" s="17" t="s">
        <v>49</v>
      </c>
      <c r="F4" s="17" t="s">
        <v>50</v>
      </c>
      <c r="G4" s="17" t="s">
        <v>51</v>
      </c>
      <c r="H4" s="17" t="s">
        <v>52</v>
      </c>
      <c r="I4" s="17" t="s">
        <v>53</v>
      </c>
      <c r="J4" s="17" t="s">
        <v>54</v>
      </c>
      <c r="K4" s="17" t="s">
        <v>55</v>
      </c>
    </row>
    <row r="5" spans="1:11" x14ac:dyDescent="0.25">
      <c r="A5" s="10" t="s">
        <v>19</v>
      </c>
      <c r="B5" s="18"/>
      <c r="C5" s="18"/>
      <c r="D5" s="18"/>
      <c r="E5" s="18"/>
      <c r="F5" s="18"/>
      <c r="G5" s="18"/>
      <c r="H5" s="18">
        <v>0</v>
      </c>
      <c r="I5" s="18">
        <v>0</v>
      </c>
      <c r="J5" s="18">
        <v>0</v>
      </c>
      <c r="K5" s="18">
        <v>0</v>
      </c>
    </row>
    <row r="6" spans="1:11" x14ac:dyDescent="0.25">
      <c r="A6" s="10" t="s">
        <v>20</v>
      </c>
      <c r="B6" s="18">
        <v>1</v>
      </c>
      <c r="C6" s="18">
        <v>1</v>
      </c>
      <c r="D6" s="18">
        <v>1</v>
      </c>
      <c r="E6" s="18">
        <v>1</v>
      </c>
      <c r="F6" s="18">
        <v>0.8495104895104895</v>
      </c>
      <c r="G6" s="18">
        <v>1</v>
      </c>
      <c r="H6" s="18"/>
      <c r="I6" s="18"/>
      <c r="J6" s="18">
        <v>0.919851024208566</v>
      </c>
      <c r="K6" s="18">
        <v>1</v>
      </c>
    </row>
    <row r="7" spans="1:11" x14ac:dyDescent="0.25">
      <c r="A7" s="10" t="s">
        <v>21</v>
      </c>
      <c r="B7" s="18">
        <v>1</v>
      </c>
      <c r="C7" s="18">
        <v>1</v>
      </c>
      <c r="D7" s="18">
        <v>0.5942322097378278</v>
      </c>
      <c r="E7" s="18">
        <v>0.8127340823970037</v>
      </c>
      <c r="F7" s="18">
        <v>0.4187759336099585</v>
      </c>
      <c r="G7" s="18">
        <v>0.6203319502074689</v>
      </c>
      <c r="H7" s="18"/>
      <c r="I7" s="18"/>
      <c r="J7" s="18">
        <v>0.578186753528773</v>
      </c>
      <c r="K7" s="18">
        <v>0.747014115092291</v>
      </c>
    </row>
    <row r="8" spans="1:11" x14ac:dyDescent="0.25">
      <c r="A8" s="10" t="s">
        <v>22</v>
      </c>
      <c r="B8" s="18">
        <v>1</v>
      </c>
      <c r="C8" s="18">
        <v>1</v>
      </c>
      <c r="D8" s="18">
        <v>0.8166279069767443</v>
      </c>
      <c r="E8" s="18">
        <v>1</v>
      </c>
      <c r="F8" s="18">
        <v>0.5228612716763006</v>
      </c>
      <c r="G8" s="18">
        <v>0.6676300578034682</v>
      </c>
      <c r="H8" s="18"/>
      <c r="I8" s="18"/>
      <c r="J8" s="18">
        <v>0.6853920000000001</v>
      </c>
      <c r="K8" s="18">
        <v>0.816</v>
      </c>
    </row>
    <row r="9" spans="1:11" x14ac:dyDescent="0.25">
      <c r="A9" s="10" t="s">
        <v>23</v>
      </c>
      <c r="B9" s="18">
        <v>1</v>
      </c>
      <c r="C9" s="18">
        <v>1</v>
      </c>
      <c r="D9" s="18">
        <v>0.7783783783783782</v>
      </c>
      <c r="E9" s="18">
        <v>1</v>
      </c>
      <c r="F9" s="18">
        <v>0.32519713261648747</v>
      </c>
      <c r="G9" s="18">
        <v>0.7311827956989247</v>
      </c>
      <c r="H9" s="18"/>
      <c r="I9" s="18"/>
      <c r="J9" s="18">
        <v>0.5748653846153846</v>
      </c>
      <c r="K9" s="18">
        <v>0.8557692307692306</v>
      </c>
    </row>
    <row r="10" spans="1:11" x14ac:dyDescent="0.25">
      <c r="A10" s="10" t="s">
        <v>24</v>
      </c>
      <c r="B10" s="18">
        <v>1</v>
      </c>
      <c r="C10" s="18">
        <v>1</v>
      </c>
      <c r="D10" s="18">
        <v>0.2117297297297297</v>
      </c>
      <c r="E10" s="18">
        <v>0.6270270270270271</v>
      </c>
      <c r="F10" s="18">
        <v>0.2433234421364985</v>
      </c>
      <c r="G10" s="18">
        <v>0.4332344213649852</v>
      </c>
      <c r="H10" s="18"/>
      <c r="I10" s="18"/>
      <c r="J10" s="18">
        <v>0.36577531645569616</v>
      </c>
      <c r="K10" s="18">
        <v>0.5886075949367089</v>
      </c>
    </row>
    <row r="11" spans="1:11" x14ac:dyDescent="0.25">
      <c r="A11" s="10" t="s">
        <v>25</v>
      </c>
      <c r="B11" s="18">
        <v>0.9302739726027397</v>
      </c>
      <c r="C11" s="18">
        <v>1</v>
      </c>
      <c r="D11" s="18">
        <v>0.09482758620689655</v>
      </c>
      <c r="E11" s="18">
        <v>0.6982758620689655</v>
      </c>
      <c r="F11" s="18">
        <v>0.16342857142857137</v>
      </c>
      <c r="G11" s="18">
        <v>0.326530612244898</v>
      </c>
      <c r="H11" s="18"/>
      <c r="I11" s="18"/>
      <c r="J11" s="18">
        <v>0.2740783410138249</v>
      </c>
      <c r="K11" s="18">
        <v>0.5391705069124424</v>
      </c>
    </row>
  </sheetData>
  <mergeCells count="2">
    <mergeCell ref="A1:J1"/>
    <mergeCell ref="A2:J2"/>
  </mergeCells>
  <conditionalFormatting sqref="B5:K11">
    <cfRule type="colorScale" priority="1">
      <colorScale>
        <cfvo type="num" val="0"/>
        <cfvo type="num" val="0.5"/>
        <cfvo type="num" val="1"/>
        <color rgb="FFF8D7DD"/>
        <color rgb="FFFFF2CC"/>
        <color rgb="FFD5EFDF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EB8"/>
    <outlinePr summaryBelow="0" summaryRight="0"/>
  </sheetPr>
  <dimension ref="A1:S146"/>
  <sheetViews>
    <sheetView workbookViewId="0">
      <pane xSplit="2" ySplit="4" topLeftCell="C5" activePane="bottomRight" state="frozen"/>
      <selection pane="bottomRight"/>
    </sheetView>
  </sheetViews>
  <sheetFormatPr defaultRowHeight="15" outlineLevelRow="1" outlineLevelCol="0" x14ac:dyDescent="55"/>
  <cols>
    <col min="1" max="1" width="16" customWidth="1"/>
    <col min="2" max="2" width="48" customWidth="1"/>
    <col min="3" max="3" width="18" customWidth="1"/>
    <col min="4" max="4" width="14" customWidth="1"/>
    <col min="5" max="5" width="12" customWidth="1"/>
    <col min="6" max="7" width="8" customWidth="1"/>
    <col min="9" max="14" width="11" customWidth="1"/>
    <col min="16" max="16" width="8" customWidth="1"/>
    <col min="17" max="17" width="7" customWidth="1"/>
    <col min="18" max="19" width="30" customWidth="1"/>
  </cols>
  <sheetData>
    <row r="1" ht="30" customHeight="1" spans="1:19" x14ac:dyDescent="0.25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30" customHeight="1" spans="1:19" x14ac:dyDescent="0.25">
      <c r="A4" s="9" t="s">
        <v>57</v>
      </c>
      <c r="B4" s="9" t="s">
        <v>58</v>
      </c>
      <c r="C4" s="9" t="s">
        <v>45</v>
      </c>
      <c r="D4" s="9" t="s">
        <v>59</v>
      </c>
      <c r="E4" s="9" t="s">
        <v>60</v>
      </c>
      <c r="F4" s="9" t="s">
        <v>61</v>
      </c>
      <c r="G4" s="9" t="s">
        <v>62</v>
      </c>
      <c r="H4" s="9" t="s">
        <v>63</v>
      </c>
      <c r="I4" s="9" t="s">
        <v>64</v>
      </c>
      <c r="J4" s="9" t="s">
        <v>65</v>
      </c>
      <c r="K4" s="9" t="s">
        <v>66</v>
      </c>
      <c r="L4" s="9" t="s">
        <v>67</v>
      </c>
      <c r="M4" s="9" t="s">
        <v>68</v>
      </c>
      <c r="N4" s="9" t="s">
        <v>69</v>
      </c>
      <c r="O4" s="9" t="s">
        <v>70</v>
      </c>
      <c r="P4" s="9" t="s">
        <v>71</v>
      </c>
      <c r="Q4" s="9" t="s">
        <v>11</v>
      </c>
      <c r="R4" s="9" t="s">
        <v>72</v>
      </c>
      <c r="S4" s="9" t="s">
        <v>73</v>
      </c>
    </row>
    <row r="5" spans="1:19" x14ac:dyDescent="0.25">
      <c r="A5" s="19" t="s">
        <v>74</v>
      </c>
      <c r="B5" s="20" t="s">
        <v>75</v>
      </c>
      <c r="C5" s="19" t="s">
        <v>76</v>
      </c>
      <c r="D5" s="19" t="s">
        <v>76</v>
      </c>
      <c r="E5" s="19" t="s">
        <v>77</v>
      </c>
      <c r="F5" s="19">
        <v>417</v>
      </c>
      <c r="G5" s="19"/>
      <c r="H5" s="21">
        <v>0.5734232760970291</v>
      </c>
      <c r="I5" s="22">
        <v>46027</v>
      </c>
      <c r="J5" s="22">
        <v>46524</v>
      </c>
      <c r="K5" s="22">
        <v>46027</v>
      </c>
      <c r="L5" s="22"/>
      <c r="M5" s="22">
        <v>46027</v>
      </c>
      <c r="N5" s="22">
        <v>46476</v>
      </c>
      <c r="O5" s="19">
        <v>41</v>
      </c>
      <c r="P5" s="19">
        <v>0</v>
      </c>
      <c r="Q5" s="19" t="s">
        <v>76</v>
      </c>
      <c r="R5" s="19" t="s">
        <v>78</v>
      </c>
      <c r="S5" s="19" t="s">
        <v>76</v>
      </c>
    </row>
    <row r="6" spans="1:19" x14ac:dyDescent="0.25">
      <c r="A6" s="23" t="s">
        <v>79</v>
      </c>
      <c r="B6" s="24" t="s">
        <v>19</v>
      </c>
      <c r="C6" s="23" t="s">
        <v>76</v>
      </c>
      <c r="D6" s="23" t="s">
        <v>76</v>
      </c>
      <c r="E6" s="23" t="s">
        <v>77</v>
      </c>
      <c r="F6" s="23">
        <v>417</v>
      </c>
      <c r="G6" s="23"/>
      <c r="H6" s="25">
        <v>0</v>
      </c>
      <c r="I6" s="26">
        <v>46027</v>
      </c>
      <c r="J6" s="26">
        <v>46524</v>
      </c>
      <c r="K6" s="26">
        <v>46027</v>
      </c>
      <c r="L6" s="26"/>
      <c r="M6" s="26">
        <v>46027</v>
      </c>
      <c r="N6" s="26">
        <v>46476</v>
      </c>
      <c r="O6" s="23">
        <v>41</v>
      </c>
      <c r="P6" s="23">
        <v>0</v>
      </c>
      <c r="Q6" s="23" t="s">
        <v>76</v>
      </c>
      <c r="R6" s="23" t="s">
        <v>80</v>
      </c>
      <c r="S6" s="23" t="s">
        <v>76</v>
      </c>
    </row>
    <row r="7" spans="1:19" s="27" customFormat="1" x14ac:dyDescent="0.25" outlineLevel="1" collapsed="1">
      <c r="A7" s="28" t="s">
        <v>81</v>
      </c>
      <c r="B7" s="29" t="s">
        <v>82</v>
      </c>
      <c r="C7" s="28" t="s">
        <v>19</v>
      </c>
      <c r="D7" s="28" t="s">
        <v>31</v>
      </c>
      <c r="E7" s="28" t="s">
        <v>4</v>
      </c>
      <c r="F7" s="28">
        <v>0</v>
      </c>
      <c r="G7" s="28">
        <v>0</v>
      </c>
      <c r="H7" s="30">
        <v>1</v>
      </c>
      <c r="I7" s="31">
        <v>46027</v>
      </c>
      <c r="J7" s="31">
        <v>46027</v>
      </c>
      <c r="K7" s="31">
        <v>46027</v>
      </c>
      <c r="L7" s="31">
        <v>46027</v>
      </c>
      <c r="M7" s="31">
        <v>46027</v>
      </c>
      <c r="N7" s="31">
        <v>46027</v>
      </c>
      <c r="O7" s="28">
        <v>0</v>
      </c>
      <c r="P7" s="28"/>
      <c r="Q7" s="28" t="s">
        <v>76</v>
      </c>
      <c r="R7" s="28" t="s">
        <v>76</v>
      </c>
      <c r="S7" s="28" t="s">
        <v>76</v>
      </c>
    </row>
    <row r="8" spans="1:19" s="27" customFormat="1" x14ac:dyDescent="0.25" outlineLevel="1" collapsed="1">
      <c r="A8" s="28" t="s">
        <v>83</v>
      </c>
      <c r="B8" s="29" t="s">
        <v>84</v>
      </c>
      <c r="C8" s="28" t="s">
        <v>19</v>
      </c>
      <c r="D8" s="28" t="s">
        <v>31</v>
      </c>
      <c r="E8" s="28" t="s">
        <v>85</v>
      </c>
      <c r="F8" s="28">
        <v>0</v>
      </c>
      <c r="G8" s="28">
        <v>0</v>
      </c>
      <c r="H8" s="30">
        <v>0</v>
      </c>
      <c r="I8" s="31">
        <v>46524</v>
      </c>
      <c r="J8" s="31">
        <v>46524</v>
      </c>
      <c r="K8" s="31"/>
      <c r="L8" s="31"/>
      <c r="M8" s="31">
        <v>46476</v>
      </c>
      <c r="N8" s="31">
        <v>46476</v>
      </c>
      <c r="O8" s="32">
        <v>41</v>
      </c>
      <c r="P8" s="28">
        <v>0</v>
      </c>
      <c r="Q8" s="33" t="s">
        <v>86</v>
      </c>
      <c r="R8" s="28" t="s">
        <v>11</v>
      </c>
      <c r="S8" s="28" t="s">
        <v>76</v>
      </c>
    </row>
    <row r="9" spans="1:19" x14ac:dyDescent="0.25">
      <c r="A9" s="23" t="s">
        <v>87</v>
      </c>
      <c r="B9" s="24" t="s">
        <v>20</v>
      </c>
      <c r="C9" s="23" t="s">
        <v>76</v>
      </c>
      <c r="D9" s="23" t="s">
        <v>76</v>
      </c>
      <c r="E9" s="23" t="s">
        <v>77</v>
      </c>
      <c r="F9" s="23">
        <v>256</v>
      </c>
      <c r="G9" s="23"/>
      <c r="H9" s="25">
        <v>0.919851024208566</v>
      </c>
      <c r="I9" s="26">
        <v>46030</v>
      </c>
      <c r="J9" s="26">
        <v>46336</v>
      </c>
      <c r="K9" s="26">
        <v>46030</v>
      </c>
      <c r="L9" s="26"/>
      <c r="M9" s="26">
        <v>46027</v>
      </c>
      <c r="N9" s="26">
        <v>46276</v>
      </c>
      <c r="O9" s="23">
        <v>48</v>
      </c>
      <c r="P9" s="23">
        <v>158</v>
      </c>
      <c r="Q9" s="23" t="s">
        <v>76</v>
      </c>
      <c r="R9" s="23" t="s">
        <v>88</v>
      </c>
      <c r="S9" s="23" t="s">
        <v>76</v>
      </c>
    </row>
    <row r="10" spans="1:19" x14ac:dyDescent="0.25">
      <c r="A10" s="34" t="s">
        <v>89</v>
      </c>
      <c r="B10" s="35" t="s">
        <v>28</v>
      </c>
      <c r="C10" s="34" t="s">
        <v>76</v>
      </c>
      <c r="D10" s="34" t="s">
        <v>76</v>
      </c>
      <c r="E10" s="34" t="s">
        <v>4</v>
      </c>
      <c r="F10" s="34">
        <v>80</v>
      </c>
      <c r="G10" s="34"/>
      <c r="H10" s="36">
        <v>1</v>
      </c>
      <c r="I10" s="37">
        <v>46030</v>
      </c>
      <c r="J10" s="37">
        <v>46126</v>
      </c>
      <c r="K10" s="37">
        <v>46030</v>
      </c>
      <c r="L10" s="37">
        <v>46126</v>
      </c>
      <c r="M10" s="37">
        <v>46027</v>
      </c>
      <c r="N10" s="37">
        <v>46105</v>
      </c>
      <c r="O10" s="34">
        <v>17</v>
      </c>
      <c r="P10" s="34"/>
      <c r="Q10" s="34" t="s">
        <v>76</v>
      </c>
      <c r="R10" s="34" t="s">
        <v>90</v>
      </c>
      <c r="S10" s="34" t="s">
        <v>76</v>
      </c>
    </row>
    <row r="11" spans="1:19" s="27" customFormat="1" x14ac:dyDescent="0.25" outlineLevel="1" collapsed="1">
      <c r="A11" s="28" t="s">
        <v>91</v>
      </c>
      <c r="B11" s="38" t="s">
        <v>92</v>
      </c>
      <c r="C11" s="28" t="s">
        <v>20</v>
      </c>
      <c r="D11" s="28" t="s">
        <v>28</v>
      </c>
      <c r="E11" s="28" t="s">
        <v>4</v>
      </c>
      <c r="F11" s="28">
        <v>19</v>
      </c>
      <c r="G11" s="28">
        <v>0</v>
      </c>
      <c r="H11" s="30">
        <v>1</v>
      </c>
      <c r="I11" s="31">
        <v>46030</v>
      </c>
      <c r="J11" s="31">
        <v>46063</v>
      </c>
      <c r="K11" s="31">
        <v>46030</v>
      </c>
      <c r="L11" s="31">
        <v>46063</v>
      </c>
      <c r="M11" s="31">
        <v>46027</v>
      </c>
      <c r="N11" s="31">
        <v>46052</v>
      </c>
      <c r="O11" s="32">
        <v>7</v>
      </c>
      <c r="P11" s="28"/>
      <c r="Q11" s="28" t="s">
        <v>76</v>
      </c>
      <c r="R11" s="28" t="s">
        <v>76</v>
      </c>
      <c r="S11" s="28" t="s">
        <v>76</v>
      </c>
    </row>
    <row r="12" spans="1:19" s="27" customFormat="1" x14ac:dyDescent="0.25" outlineLevel="1" collapsed="1">
      <c r="A12" s="28" t="s">
        <v>93</v>
      </c>
      <c r="B12" s="38" t="s">
        <v>94</v>
      </c>
      <c r="C12" s="28" t="s">
        <v>20</v>
      </c>
      <c r="D12" s="28" t="s">
        <v>28</v>
      </c>
      <c r="E12" s="28" t="s">
        <v>4</v>
      </c>
      <c r="F12" s="28">
        <v>34</v>
      </c>
      <c r="G12" s="28">
        <v>0</v>
      </c>
      <c r="H12" s="30">
        <v>1</v>
      </c>
      <c r="I12" s="31">
        <v>46043</v>
      </c>
      <c r="J12" s="31">
        <v>46101</v>
      </c>
      <c r="K12" s="31">
        <v>46043</v>
      </c>
      <c r="L12" s="31">
        <v>46101</v>
      </c>
      <c r="M12" s="31">
        <v>46034</v>
      </c>
      <c r="N12" s="31">
        <v>46080</v>
      </c>
      <c r="O12" s="32">
        <v>14</v>
      </c>
      <c r="P12" s="28"/>
      <c r="Q12" s="28" t="s">
        <v>76</v>
      </c>
      <c r="R12" s="28" t="s">
        <v>76</v>
      </c>
      <c r="S12" s="28" t="s">
        <v>76</v>
      </c>
    </row>
    <row r="13" spans="1:19" s="27" customFormat="1" x14ac:dyDescent="0.25" outlineLevel="1" collapsed="1">
      <c r="A13" s="28" t="s">
        <v>95</v>
      </c>
      <c r="B13" s="38" t="s">
        <v>96</v>
      </c>
      <c r="C13" s="28" t="s">
        <v>20</v>
      </c>
      <c r="D13" s="28" t="s">
        <v>28</v>
      </c>
      <c r="E13" s="28" t="s">
        <v>4</v>
      </c>
      <c r="F13" s="28">
        <v>36</v>
      </c>
      <c r="G13" s="28">
        <v>0</v>
      </c>
      <c r="H13" s="30">
        <v>1</v>
      </c>
      <c r="I13" s="31">
        <v>46070</v>
      </c>
      <c r="J13" s="31">
        <v>46126</v>
      </c>
      <c r="K13" s="31">
        <v>46070</v>
      </c>
      <c r="L13" s="31">
        <v>46126</v>
      </c>
      <c r="M13" s="31">
        <v>46055</v>
      </c>
      <c r="N13" s="31">
        <v>46105</v>
      </c>
      <c r="O13" s="32">
        <v>14</v>
      </c>
      <c r="P13" s="28"/>
      <c r="Q13" s="28" t="s">
        <v>76</v>
      </c>
      <c r="R13" s="28" t="s">
        <v>76</v>
      </c>
      <c r="S13" s="28" t="s">
        <v>76</v>
      </c>
    </row>
    <row r="14" spans="1:19" s="27" customFormat="1" x14ac:dyDescent="0.25" outlineLevel="1" collapsed="1">
      <c r="A14" s="28" t="s">
        <v>97</v>
      </c>
      <c r="B14" s="38" t="s">
        <v>98</v>
      </c>
      <c r="C14" s="28" t="s">
        <v>20</v>
      </c>
      <c r="D14" s="28" t="s">
        <v>28</v>
      </c>
      <c r="E14" s="28" t="s">
        <v>4</v>
      </c>
      <c r="F14" s="28">
        <v>10</v>
      </c>
      <c r="G14" s="28">
        <v>0</v>
      </c>
      <c r="H14" s="30">
        <v>1</v>
      </c>
      <c r="I14" s="31">
        <v>46105</v>
      </c>
      <c r="J14" s="31">
        <v>46126</v>
      </c>
      <c r="K14" s="31">
        <v>46105</v>
      </c>
      <c r="L14" s="31">
        <v>46126</v>
      </c>
      <c r="M14" s="31">
        <v>46092</v>
      </c>
      <c r="N14" s="31">
        <v>46105</v>
      </c>
      <c r="O14" s="32">
        <v>14</v>
      </c>
      <c r="P14" s="28"/>
      <c r="Q14" s="28" t="s">
        <v>76</v>
      </c>
      <c r="R14" s="28" t="s">
        <v>76</v>
      </c>
      <c r="S14" s="28" t="s">
        <v>76</v>
      </c>
    </row>
    <row r="15" spans="1:19" x14ac:dyDescent="0.25">
      <c r="A15" s="34" t="s">
        <v>99</v>
      </c>
      <c r="B15" s="35" t="s">
        <v>29</v>
      </c>
      <c r="C15" s="34" t="s">
        <v>76</v>
      </c>
      <c r="D15" s="34" t="s">
        <v>76</v>
      </c>
      <c r="E15" s="34" t="s">
        <v>4</v>
      </c>
      <c r="F15" s="34">
        <v>110</v>
      </c>
      <c r="G15" s="34"/>
      <c r="H15" s="36">
        <v>1</v>
      </c>
      <c r="I15" s="37">
        <v>46106</v>
      </c>
      <c r="J15" s="37">
        <v>46234</v>
      </c>
      <c r="K15" s="37">
        <v>46106</v>
      </c>
      <c r="L15" s="37">
        <v>46234</v>
      </c>
      <c r="M15" s="37">
        <v>46081</v>
      </c>
      <c r="N15" s="37">
        <v>46203</v>
      </c>
      <c r="O15" s="34">
        <v>27</v>
      </c>
      <c r="P15" s="34"/>
      <c r="Q15" s="34" t="s">
        <v>76</v>
      </c>
      <c r="R15" s="34" t="s">
        <v>90</v>
      </c>
      <c r="S15" s="34" t="s">
        <v>76</v>
      </c>
    </row>
    <row r="16" spans="1:19" s="27" customFormat="1" x14ac:dyDescent="0.25" outlineLevel="1" collapsed="1">
      <c r="A16" s="28" t="s">
        <v>100</v>
      </c>
      <c r="B16" s="38" t="s">
        <v>101</v>
      </c>
      <c r="C16" s="28" t="s">
        <v>20</v>
      </c>
      <c r="D16" s="28" t="s">
        <v>29</v>
      </c>
      <c r="E16" s="28" t="s">
        <v>4</v>
      </c>
      <c r="F16" s="28">
        <v>11</v>
      </c>
      <c r="G16" s="28">
        <v>0</v>
      </c>
      <c r="H16" s="30">
        <v>1</v>
      </c>
      <c r="I16" s="31">
        <v>46106</v>
      </c>
      <c r="J16" s="31">
        <v>46119</v>
      </c>
      <c r="K16" s="31">
        <v>46106</v>
      </c>
      <c r="L16" s="31">
        <v>46119</v>
      </c>
      <c r="M16" s="31">
        <v>46081</v>
      </c>
      <c r="N16" s="31">
        <v>46094</v>
      </c>
      <c r="O16" s="32">
        <v>20</v>
      </c>
      <c r="P16" s="28"/>
      <c r="Q16" s="28" t="s">
        <v>76</v>
      </c>
      <c r="R16" s="28" t="s">
        <v>76</v>
      </c>
      <c r="S16" s="28" t="s">
        <v>76</v>
      </c>
    </row>
    <row r="17" spans="1:19" s="27" customFormat="1" x14ac:dyDescent="0.25" outlineLevel="1" collapsed="1">
      <c r="A17" s="28" t="s">
        <v>102</v>
      </c>
      <c r="B17" s="38" t="s">
        <v>103</v>
      </c>
      <c r="C17" s="28" t="s">
        <v>20</v>
      </c>
      <c r="D17" s="28" t="s">
        <v>29</v>
      </c>
      <c r="E17" s="28" t="s">
        <v>4</v>
      </c>
      <c r="F17" s="28">
        <v>58</v>
      </c>
      <c r="G17" s="28">
        <v>0</v>
      </c>
      <c r="H17" s="30">
        <v>1</v>
      </c>
      <c r="I17" s="31">
        <v>46125</v>
      </c>
      <c r="J17" s="31">
        <v>46204</v>
      </c>
      <c r="K17" s="31">
        <v>46125</v>
      </c>
      <c r="L17" s="31">
        <v>46204</v>
      </c>
      <c r="M17" s="31">
        <v>46095</v>
      </c>
      <c r="N17" s="31">
        <v>46163</v>
      </c>
      <c r="O17" s="32">
        <v>35</v>
      </c>
      <c r="P17" s="28"/>
      <c r="Q17" s="28" t="s">
        <v>76</v>
      </c>
      <c r="R17" s="28" t="s">
        <v>76</v>
      </c>
      <c r="S17" s="28" t="s">
        <v>76</v>
      </c>
    </row>
    <row r="18" spans="1:19" s="27" customFormat="1" x14ac:dyDescent="0.25" outlineLevel="1" collapsed="1">
      <c r="A18" s="28" t="s">
        <v>104</v>
      </c>
      <c r="B18" s="38" t="s">
        <v>105</v>
      </c>
      <c r="C18" s="28" t="s">
        <v>20</v>
      </c>
      <c r="D18" s="28" t="s">
        <v>29</v>
      </c>
      <c r="E18" s="28" t="s">
        <v>4</v>
      </c>
      <c r="F18" s="28">
        <v>13</v>
      </c>
      <c r="G18" s="28">
        <v>0</v>
      </c>
      <c r="H18" s="30">
        <v>1</v>
      </c>
      <c r="I18" s="31">
        <v>46127</v>
      </c>
      <c r="J18" s="31">
        <v>46140</v>
      </c>
      <c r="K18" s="31">
        <v>46127</v>
      </c>
      <c r="L18" s="31">
        <v>46140</v>
      </c>
      <c r="M18" s="31">
        <v>46106</v>
      </c>
      <c r="N18" s="31">
        <v>46121</v>
      </c>
      <c r="O18" s="32">
        <v>16</v>
      </c>
      <c r="P18" s="28"/>
      <c r="Q18" s="28" t="s">
        <v>76</v>
      </c>
      <c r="R18" s="28" t="s">
        <v>76</v>
      </c>
      <c r="S18" s="28" t="s">
        <v>76</v>
      </c>
    </row>
    <row r="19" spans="1:19" s="27" customFormat="1" x14ac:dyDescent="0.25" outlineLevel="1" collapsed="1">
      <c r="A19" s="28" t="s">
        <v>106</v>
      </c>
      <c r="B19" s="38" t="s">
        <v>107</v>
      </c>
      <c r="C19" s="28" t="s">
        <v>20</v>
      </c>
      <c r="D19" s="28" t="s">
        <v>29</v>
      </c>
      <c r="E19" s="28" t="s">
        <v>4</v>
      </c>
      <c r="F19" s="28">
        <v>70</v>
      </c>
      <c r="G19" s="28">
        <v>0</v>
      </c>
      <c r="H19" s="30">
        <v>1</v>
      </c>
      <c r="I19" s="31">
        <v>46146</v>
      </c>
      <c r="J19" s="31">
        <v>46234</v>
      </c>
      <c r="K19" s="31">
        <v>46146</v>
      </c>
      <c r="L19" s="31">
        <v>46234</v>
      </c>
      <c r="M19" s="31">
        <v>46122</v>
      </c>
      <c r="N19" s="31">
        <v>46203</v>
      </c>
      <c r="O19" s="32">
        <v>27</v>
      </c>
      <c r="P19" s="28"/>
      <c r="Q19" s="28" t="s">
        <v>76</v>
      </c>
      <c r="R19" s="28" t="s">
        <v>76</v>
      </c>
      <c r="S19" s="28" t="s">
        <v>76</v>
      </c>
    </row>
    <row r="20" spans="1:19" x14ac:dyDescent="0.25">
      <c r="A20" s="34" t="s">
        <v>108</v>
      </c>
      <c r="B20" s="35" t="s">
        <v>30</v>
      </c>
      <c r="C20" s="34" t="s">
        <v>76</v>
      </c>
      <c r="D20" s="34" t="s">
        <v>76</v>
      </c>
      <c r="E20" s="34" t="s">
        <v>77</v>
      </c>
      <c r="F20" s="34">
        <v>256</v>
      </c>
      <c r="G20" s="34"/>
      <c r="H20" s="36">
        <v>0.8495104895104895</v>
      </c>
      <c r="I20" s="37">
        <v>46030</v>
      </c>
      <c r="J20" s="37">
        <v>46336</v>
      </c>
      <c r="K20" s="37">
        <v>46030</v>
      </c>
      <c r="L20" s="37"/>
      <c r="M20" s="37">
        <v>46027</v>
      </c>
      <c r="N20" s="37">
        <v>46276</v>
      </c>
      <c r="O20" s="34">
        <v>48</v>
      </c>
      <c r="P20" s="34">
        <v>158</v>
      </c>
      <c r="Q20" s="34" t="s">
        <v>76</v>
      </c>
      <c r="R20" s="34" t="s">
        <v>109</v>
      </c>
      <c r="S20" s="34" t="s">
        <v>76</v>
      </c>
    </row>
    <row r="21" spans="1:19" s="27" customFormat="1" x14ac:dyDescent="0.25" outlineLevel="1" collapsed="1">
      <c r="A21" s="28" t="s">
        <v>110</v>
      </c>
      <c r="B21" s="38" t="s">
        <v>111</v>
      </c>
      <c r="C21" s="28" t="s">
        <v>20</v>
      </c>
      <c r="D21" s="28" t="s">
        <v>30</v>
      </c>
      <c r="E21" s="28" t="s">
        <v>4</v>
      </c>
      <c r="F21" s="28">
        <v>5</v>
      </c>
      <c r="G21" s="28">
        <v>0</v>
      </c>
      <c r="H21" s="30">
        <v>1</v>
      </c>
      <c r="I21" s="31">
        <v>46030</v>
      </c>
      <c r="J21" s="31">
        <v>46036</v>
      </c>
      <c r="K21" s="31">
        <v>46030</v>
      </c>
      <c r="L21" s="31">
        <v>46036</v>
      </c>
      <c r="M21" s="31">
        <v>46027</v>
      </c>
      <c r="N21" s="31">
        <v>46031</v>
      </c>
      <c r="O21" s="32">
        <v>4</v>
      </c>
      <c r="P21" s="28"/>
      <c r="Q21" s="28" t="s">
        <v>76</v>
      </c>
      <c r="R21" s="28" t="s">
        <v>76</v>
      </c>
      <c r="S21" s="28" t="s">
        <v>76</v>
      </c>
    </row>
    <row r="22" spans="1:19" s="27" customFormat="1" x14ac:dyDescent="0.25" outlineLevel="1" collapsed="1">
      <c r="A22" s="28" t="s">
        <v>112</v>
      </c>
      <c r="B22" s="38" t="s">
        <v>113</v>
      </c>
      <c r="C22" s="28" t="s">
        <v>20</v>
      </c>
      <c r="D22" s="28" t="s">
        <v>30</v>
      </c>
      <c r="E22" s="28" t="s">
        <v>4</v>
      </c>
      <c r="F22" s="28">
        <v>17</v>
      </c>
      <c r="G22" s="28">
        <v>0</v>
      </c>
      <c r="H22" s="30">
        <v>1</v>
      </c>
      <c r="I22" s="31">
        <v>46057</v>
      </c>
      <c r="J22" s="31">
        <v>46079</v>
      </c>
      <c r="K22" s="31">
        <v>46057</v>
      </c>
      <c r="L22" s="31">
        <v>46079</v>
      </c>
      <c r="M22" s="31">
        <v>46045</v>
      </c>
      <c r="N22" s="31">
        <v>46065</v>
      </c>
      <c r="O22" s="32">
        <v>12</v>
      </c>
      <c r="P22" s="28"/>
      <c r="Q22" s="28" t="s">
        <v>76</v>
      </c>
      <c r="R22" s="28" t="s">
        <v>76</v>
      </c>
      <c r="S22" s="28" t="s">
        <v>76</v>
      </c>
    </row>
    <row r="23" spans="1:19" s="27" customFormat="1" x14ac:dyDescent="0.25" outlineLevel="1" collapsed="1">
      <c r="A23" s="28" t="s">
        <v>114</v>
      </c>
      <c r="B23" s="38" t="s">
        <v>115</v>
      </c>
      <c r="C23" s="28" t="s">
        <v>20</v>
      </c>
      <c r="D23" s="28" t="s">
        <v>30</v>
      </c>
      <c r="E23" s="28" t="s">
        <v>4</v>
      </c>
      <c r="F23" s="28">
        <v>30</v>
      </c>
      <c r="G23" s="28">
        <v>0</v>
      </c>
      <c r="H23" s="30">
        <v>1</v>
      </c>
      <c r="I23" s="31">
        <v>46067</v>
      </c>
      <c r="J23" s="31">
        <v>46107</v>
      </c>
      <c r="K23" s="31">
        <v>46067</v>
      </c>
      <c r="L23" s="31">
        <v>46107</v>
      </c>
      <c r="M23" s="31">
        <v>46055</v>
      </c>
      <c r="N23" s="31">
        <v>46090</v>
      </c>
      <c r="O23" s="32">
        <v>15</v>
      </c>
      <c r="P23" s="28"/>
      <c r="Q23" s="28" t="s">
        <v>76</v>
      </c>
      <c r="R23" s="28" t="s">
        <v>76</v>
      </c>
      <c r="S23" s="28" t="s">
        <v>76</v>
      </c>
    </row>
    <row r="24" spans="1:19" s="27" customFormat="1" x14ac:dyDescent="0.25" outlineLevel="1" collapsed="1">
      <c r="A24" s="28" t="s">
        <v>116</v>
      </c>
      <c r="B24" s="38" t="s">
        <v>117</v>
      </c>
      <c r="C24" s="28" t="s">
        <v>20</v>
      </c>
      <c r="D24" s="28" t="s">
        <v>30</v>
      </c>
      <c r="E24" s="28" t="s">
        <v>4</v>
      </c>
      <c r="F24" s="28">
        <v>20</v>
      </c>
      <c r="G24" s="28">
        <v>0</v>
      </c>
      <c r="H24" s="30">
        <v>1</v>
      </c>
      <c r="I24" s="31">
        <v>46109</v>
      </c>
      <c r="J24" s="31">
        <v>46135</v>
      </c>
      <c r="K24" s="31">
        <v>46109</v>
      </c>
      <c r="L24" s="31">
        <v>46135</v>
      </c>
      <c r="M24" s="31">
        <v>46091</v>
      </c>
      <c r="N24" s="31">
        <v>46113</v>
      </c>
      <c r="O24" s="32">
        <v>18</v>
      </c>
      <c r="P24" s="28"/>
      <c r="Q24" s="28" t="s">
        <v>76</v>
      </c>
      <c r="R24" s="28" t="s">
        <v>76</v>
      </c>
      <c r="S24" s="28" t="s">
        <v>76</v>
      </c>
    </row>
    <row r="25" spans="1:19" s="27" customFormat="1" x14ac:dyDescent="0.25" outlineLevel="1" collapsed="1">
      <c r="A25" s="28" t="s">
        <v>118</v>
      </c>
      <c r="B25" s="38" t="s">
        <v>119</v>
      </c>
      <c r="C25" s="28" t="s">
        <v>20</v>
      </c>
      <c r="D25" s="28" t="s">
        <v>30</v>
      </c>
      <c r="E25" s="28" t="s">
        <v>4</v>
      </c>
      <c r="F25" s="28">
        <v>54</v>
      </c>
      <c r="G25" s="28">
        <v>0</v>
      </c>
      <c r="H25" s="30">
        <v>1</v>
      </c>
      <c r="I25" s="31">
        <v>46143</v>
      </c>
      <c r="J25" s="31">
        <v>46216</v>
      </c>
      <c r="K25" s="31">
        <v>46143</v>
      </c>
      <c r="L25" s="31">
        <v>46216</v>
      </c>
      <c r="M25" s="31">
        <v>46114</v>
      </c>
      <c r="N25" s="31">
        <v>46177</v>
      </c>
      <c r="O25" s="32">
        <v>33</v>
      </c>
      <c r="P25" s="28"/>
      <c r="Q25" s="28" t="s">
        <v>76</v>
      </c>
      <c r="R25" s="28" t="s">
        <v>76</v>
      </c>
      <c r="S25" s="28" t="s">
        <v>76</v>
      </c>
    </row>
    <row r="26" spans="1:19" s="27" customFormat="1" x14ac:dyDescent="0.25" outlineLevel="1" collapsed="1">
      <c r="A26" s="28" t="s">
        <v>120</v>
      </c>
      <c r="B26" s="38" t="s">
        <v>121</v>
      </c>
      <c r="C26" s="28" t="s">
        <v>20</v>
      </c>
      <c r="D26" s="28" t="s">
        <v>30</v>
      </c>
      <c r="E26" s="28" t="s">
        <v>4</v>
      </c>
      <c r="F26" s="28">
        <v>37</v>
      </c>
      <c r="G26" s="28">
        <v>0</v>
      </c>
      <c r="H26" s="30">
        <v>1</v>
      </c>
      <c r="I26" s="31">
        <v>46171</v>
      </c>
      <c r="J26" s="31">
        <v>46214</v>
      </c>
      <c r="K26" s="31">
        <v>46171</v>
      </c>
      <c r="L26" s="31">
        <v>46214</v>
      </c>
      <c r="M26" s="31">
        <v>46139</v>
      </c>
      <c r="N26" s="31">
        <v>46181</v>
      </c>
      <c r="O26" s="32">
        <v>29</v>
      </c>
      <c r="P26" s="28"/>
      <c r="Q26" s="28" t="s">
        <v>76</v>
      </c>
      <c r="R26" s="28" t="s">
        <v>76</v>
      </c>
      <c r="S26" s="28" t="s">
        <v>76</v>
      </c>
    </row>
    <row r="27" spans="1:19" s="27" customFormat="1" x14ac:dyDescent="0.25" outlineLevel="1" collapsed="1">
      <c r="A27" s="28" t="s">
        <v>122</v>
      </c>
      <c r="B27" s="38" t="s">
        <v>123</v>
      </c>
      <c r="C27" s="28" t="s">
        <v>20</v>
      </c>
      <c r="D27" s="28" t="s">
        <v>30</v>
      </c>
      <c r="E27" s="28" t="s">
        <v>4</v>
      </c>
      <c r="F27" s="28">
        <v>21</v>
      </c>
      <c r="G27" s="28">
        <v>0</v>
      </c>
      <c r="H27" s="30">
        <v>1</v>
      </c>
      <c r="I27" s="31">
        <v>46216</v>
      </c>
      <c r="J27" s="31">
        <v>46237</v>
      </c>
      <c r="K27" s="31">
        <v>46216</v>
      </c>
      <c r="L27" s="31">
        <v>46237</v>
      </c>
      <c r="M27" s="31">
        <v>46172</v>
      </c>
      <c r="N27" s="31">
        <v>46196</v>
      </c>
      <c r="O27" s="32">
        <v>35</v>
      </c>
      <c r="P27" s="28"/>
      <c r="Q27" s="28" t="s">
        <v>76</v>
      </c>
      <c r="R27" s="28" t="s">
        <v>76</v>
      </c>
      <c r="S27" s="28" t="s">
        <v>76</v>
      </c>
    </row>
    <row r="28" spans="1:19" s="27" customFormat="1" x14ac:dyDescent="0.25" outlineLevel="1" collapsed="1">
      <c r="A28" s="28" t="s">
        <v>124</v>
      </c>
      <c r="B28" s="38" t="s">
        <v>125</v>
      </c>
      <c r="C28" s="28" t="s">
        <v>20</v>
      </c>
      <c r="D28" s="28" t="s">
        <v>30</v>
      </c>
      <c r="E28" s="28" t="s">
        <v>77</v>
      </c>
      <c r="F28" s="28">
        <v>48</v>
      </c>
      <c r="G28" s="28">
        <v>18</v>
      </c>
      <c r="H28" s="30">
        <v>0.62</v>
      </c>
      <c r="I28" s="31">
        <v>46238</v>
      </c>
      <c r="J28" s="31">
        <v>46318</v>
      </c>
      <c r="K28" s="31">
        <v>46238</v>
      </c>
      <c r="L28" s="31"/>
      <c r="M28" s="31">
        <v>46204</v>
      </c>
      <c r="N28" s="31">
        <v>46260</v>
      </c>
      <c r="O28" s="32">
        <v>48</v>
      </c>
      <c r="P28" s="28">
        <v>158</v>
      </c>
      <c r="Q28" s="28" t="s">
        <v>76</v>
      </c>
      <c r="R28" s="28" t="s">
        <v>5</v>
      </c>
      <c r="S28" s="28" t="s">
        <v>76</v>
      </c>
    </row>
    <row r="29" spans="1:19" s="27" customFormat="1" x14ac:dyDescent="0.25" outlineLevel="1" collapsed="1">
      <c r="A29" s="39" t="s">
        <v>126</v>
      </c>
      <c r="B29" s="40" t="s">
        <v>127</v>
      </c>
      <c r="C29" s="39" t="s">
        <v>20</v>
      </c>
      <c r="D29" s="39" t="s">
        <v>30</v>
      </c>
      <c r="E29" s="39" t="s">
        <v>77</v>
      </c>
      <c r="F29" s="39">
        <v>40</v>
      </c>
      <c r="G29" s="39">
        <v>11</v>
      </c>
      <c r="H29" s="41">
        <v>0.73</v>
      </c>
      <c r="I29" s="42">
        <v>46239</v>
      </c>
      <c r="J29" s="42">
        <v>46309</v>
      </c>
      <c r="K29" s="42">
        <v>46239</v>
      </c>
      <c r="L29" s="42"/>
      <c r="M29" s="42">
        <v>46197</v>
      </c>
      <c r="N29" s="42">
        <v>46242</v>
      </c>
      <c r="O29" s="43">
        <v>55</v>
      </c>
      <c r="P29" s="39">
        <v>179</v>
      </c>
      <c r="Q29" s="39" t="s">
        <v>76</v>
      </c>
      <c r="R29" s="39" t="s">
        <v>128</v>
      </c>
      <c r="S29" s="39" t="s">
        <v>76</v>
      </c>
    </row>
    <row r="30" spans="1:19" s="27" customFormat="1" x14ac:dyDescent="0.25" outlineLevel="1" collapsed="1">
      <c r="A30" s="28" t="s">
        <v>129</v>
      </c>
      <c r="B30" s="38" t="s">
        <v>130</v>
      </c>
      <c r="C30" s="28" t="s">
        <v>20</v>
      </c>
      <c r="D30" s="28" t="s">
        <v>30</v>
      </c>
      <c r="E30" s="28" t="s">
        <v>85</v>
      </c>
      <c r="F30" s="28">
        <v>14</v>
      </c>
      <c r="G30" s="28">
        <v>14</v>
      </c>
      <c r="H30" s="30">
        <v>0</v>
      </c>
      <c r="I30" s="31">
        <v>46319</v>
      </c>
      <c r="J30" s="31">
        <v>46336</v>
      </c>
      <c r="K30" s="31"/>
      <c r="L30" s="31"/>
      <c r="M30" s="31">
        <v>46261</v>
      </c>
      <c r="N30" s="31">
        <v>46276</v>
      </c>
      <c r="O30" s="32">
        <v>48</v>
      </c>
      <c r="P30" s="28">
        <v>158</v>
      </c>
      <c r="Q30" s="28" t="s">
        <v>76</v>
      </c>
      <c r="R30" s="28" t="s">
        <v>76</v>
      </c>
      <c r="S30" s="28" t="s">
        <v>76</v>
      </c>
    </row>
    <row r="31" spans="1:19" s="27" customFormat="1" x14ac:dyDescent="0.25" outlineLevel="1" collapsed="1">
      <c r="A31" s="28" t="s">
        <v>131</v>
      </c>
      <c r="B31" s="38" t="s">
        <v>132</v>
      </c>
      <c r="C31" s="28" t="s">
        <v>20</v>
      </c>
      <c r="D31" s="28" t="s">
        <v>30</v>
      </c>
      <c r="E31" s="28" t="s">
        <v>85</v>
      </c>
      <c r="F31" s="28">
        <v>0</v>
      </c>
      <c r="G31" s="28">
        <v>0</v>
      </c>
      <c r="H31" s="30">
        <v>0</v>
      </c>
      <c r="I31" s="31">
        <v>46336</v>
      </c>
      <c r="J31" s="31">
        <v>46336</v>
      </c>
      <c r="K31" s="31"/>
      <c r="L31" s="31"/>
      <c r="M31" s="31">
        <v>46276</v>
      </c>
      <c r="N31" s="31">
        <v>46276</v>
      </c>
      <c r="O31" s="32">
        <v>48</v>
      </c>
      <c r="P31" s="28">
        <v>158</v>
      </c>
      <c r="Q31" s="28" t="s">
        <v>76</v>
      </c>
      <c r="R31" s="28" t="s">
        <v>76</v>
      </c>
      <c r="S31" s="28" t="s">
        <v>76</v>
      </c>
    </row>
    <row r="32" spans="1:19" x14ac:dyDescent="0.25">
      <c r="A32" s="23" t="s">
        <v>133</v>
      </c>
      <c r="B32" s="24" t="s">
        <v>21</v>
      </c>
      <c r="C32" s="23" t="s">
        <v>76</v>
      </c>
      <c r="D32" s="23" t="s">
        <v>76</v>
      </c>
      <c r="E32" s="23" t="s">
        <v>77</v>
      </c>
      <c r="F32" s="23">
        <v>400</v>
      </c>
      <c r="G32" s="23"/>
      <c r="H32" s="25">
        <v>0.578186753528773</v>
      </c>
      <c r="I32" s="26">
        <v>46046</v>
      </c>
      <c r="J32" s="26">
        <v>46524</v>
      </c>
      <c r="K32" s="26">
        <v>46046</v>
      </c>
      <c r="L32" s="26"/>
      <c r="M32" s="26">
        <v>46038</v>
      </c>
      <c r="N32" s="26">
        <v>46476</v>
      </c>
      <c r="O32" s="23">
        <v>41</v>
      </c>
      <c r="P32" s="23">
        <v>0</v>
      </c>
      <c r="Q32" s="23" t="s">
        <v>76</v>
      </c>
      <c r="R32" s="23" t="s">
        <v>88</v>
      </c>
      <c r="S32" s="23" t="s">
        <v>76</v>
      </c>
    </row>
    <row r="33" spans="1:19" x14ac:dyDescent="0.25">
      <c r="A33" s="34" t="s">
        <v>134</v>
      </c>
      <c r="B33" s="35" t="s">
        <v>28</v>
      </c>
      <c r="C33" s="34" t="s">
        <v>76</v>
      </c>
      <c r="D33" s="34" t="s">
        <v>76</v>
      </c>
      <c r="E33" s="34" t="s">
        <v>4</v>
      </c>
      <c r="F33" s="34">
        <v>141</v>
      </c>
      <c r="G33" s="34"/>
      <c r="H33" s="36">
        <v>1</v>
      </c>
      <c r="I33" s="37">
        <v>46052</v>
      </c>
      <c r="J33" s="37">
        <v>46218</v>
      </c>
      <c r="K33" s="37">
        <v>46052</v>
      </c>
      <c r="L33" s="37">
        <v>46218</v>
      </c>
      <c r="M33" s="37">
        <v>46041</v>
      </c>
      <c r="N33" s="37">
        <v>46182</v>
      </c>
      <c r="O33" s="34">
        <v>31</v>
      </c>
      <c r="P33" s="34"/>
      <c r="Q33" s="34" t="s">
        <v>76</v>
      </c>
      <c r="R33" s="34" t="s">
        <v>90</v>
      </c>
      <c r="S33" s="34" t="s">
        <v>76</v>
      </c>
    </row>
    <row r="34" spans="1:19" s="27" customFormat="1" x14ac:dyDescent="0.25" outlineLevel="1" collapsed="1">
      <c r="A34" s="28" t="s">
        <v>135</v>
      </c>
      <c r="B34" s="38" t="s">
        <v>92</v>
      </c>
      <c r="C34" s="28" t="s">
        <v>21</v>
      </c>
      <c r="D34" s="28" t="s">
        <v>28</v>
      </c>
      <c r="E34" s="28" t="s">
        <v>4</v>
      </c>
      <c r="F34" s="28">
        <v>32</v>
      </c>
      <c r="G34" s="28">
        <v>0</v>
      </c>
      <c r="H34" s="30">
        <v>1</v>
      </c>
      <c r="I34" s="31">
        <v>46052</v>
      </c>
      <c r="J34" s="31">
        <v>46101</v>
      </c>
      <c r="K34" s="31">
        <v>46052</v>
      </c>
      <c r="L34" s="31">
        <v>46101</v>
      </c>
      <c r="M34" s="31">
        <v>46041</v>
      </c>
      <c r="N34" s="31">
        <v>46086</v>
      </c>
      <c r="O34" s="32">
        <v>11</v>
      </c>
      <c r="P34" s="28"/>
      <c r="Q34" s="28" t="s">
        <v>76</v>
      </c>
      <c r="R34" s="28" t="s">
        <v>76</v>
      </c>
      <c r="S34" s="28" t="s">
        <v>76</v>
      </c>
    </row>
    <row r="35" spans="1:19" s="27" customFormat="1" x14ac:dyDescent="0.25" outlineLevel="1" collapsed="1">
      <c r="A35" s="28" t="s">
        <v>136</v>
      </c>
      <c r="B35" s="38" t="s">
        <v>94</v>
      </c>
      <c r="C35" s="28" t="s">
        <v>21</v>
      </c>
      <c r="D35" s="28" t="s">
        <v>28</v>
      </c>
      <c r="E35" s="28" t="s">
        <v>4</v>
      </c>
      <c r="F35" s="28">
        <v>52</v>
      </c>
      <c r="G35" s="28">
        <v>0</v>
      </c>
      <c r="H35" s="30">
        <v>1</v>
      </c>
      <c r="I35" s="31">
        <v>46064</v>
      </c>
      <c r="J35" s="31">
        <v>46146</v>
      </c>
      <c r="K35" s="31">
        <v>46064</v>
      </c>
      <c r="L35" s="31">
        <v>46146</v>
      </c>
      <c r="M35" s="31">
        <v>46049</v>
      </c>
      <c r="N35" s="31">
        <v>46122</v>
      </c>
      <c r="O35" s="32">
        <v>16</v>
      </c>
      <c r="P35" s="28"/>
      <c r="Q35" s="28" t="s">
        <v>76</v>
      </c>
      <c r="R35" s="28" t="s">
        <v>76</v>
      </c>
      <c r="S35" s="28" t="s">
        <v>76</v>
      </c>
    </row>
    <row r="36" spans="1:19" s="27" customFormat="1" x14ac:dyDescent="0.25" outlineLevel="1" collapsed="1">
      <c r="A36" s="28" t="s">
        <v>137</v>
      </c>
      <c r="B36" s="38" t="s">
        <v>96</v>
      </c>
      <c r="C36" s="28" t="s">
        <v>21</v>
      </c>
      <c r="D36" s="28" t="s">
        <v>28</v>
      </c>
      <c r="E36" s="28" t="s">
        <v>4</v>
      </c>
      <c r="F36" s="28">
        <v>67</v>
      </c>
      <c r="G36" s="28">
        <v>0</v>
      </c>
      <c r="H36" s="30">
        <v>1</v>
      </c>
      <c r="I36" s="31">
        <v>46111</v>
      </c>
      <c r="J36" s="31">
        <v>46218</v>
      </c>
      <c r="K36" s="31">
        <v>46111</v>
      </c>
      <c r="L36" s="31">
        <v>46218</v>
      </c>
      <c r="M36" s="31">
        <v>46087</v>
      </c>
      <c r="N36" s="31">
        <v>46182</v>
      </c>
      <c r="O36" s="32">
        <v>26</v>
      </c>
      <c r="P36" s="28"/>
      <c r="Q36" s="28" t="s">
        <v>76</v>
      </c>
      <c r="R36" s="28" t="s">
        <v>76</v>
      </c>
      <c r="S36" s="28" t="s">
        <v>76</v>
      </c>
    </row>
    <row r="37" spans="1:19" s="27" customFormat="1" x14ac:dyDescent="0.25" outlineLevel="1" collapsed="1">
      <c r="A37" s="28" t="s">
        <v>138</v>
      </c>
      <c r="B37" s="38" t="s">
        <v>98</v>
      </c>
      <c r="C37" s="28" t="s">
        <v>21</v>
      </c>
      <c r="D37" s="28" t="s">
        <v>28</v>
      </c>
      <c r="E37" s="28" t="s">
        <v>4</v>
      </c>
      <c r="F37" s="28">
        <v>21</v>
      </c>
      <c r="G37" s="28">
        <v>0</v>
      </c>
      <c r="H37" s="30">
        <v>1</v>
      </c>
      <c r="I37" s="31">
        <v>46164</v>
      </c>
      <c r="J37" s="31">
        <v>46218</v>
      </c>
      <c r="K37" s="31">
        <v>46164</v>
      </c>
      <c r="L37" s="31">
        <v>46218</v>
      </c>
      <c r="M37" s="31">
        <v>46154</v>
      </c>
      <c r="N37" s="31">
        <v>46182</v>
      </c>
      <c r="O37" s="32">
        <v>26</v>
      </c>
      <c r="P37" s="28"/>
      <c r="Q37" s="28" t="s">
        <v>76</v>
      </c>
      <c r="R37" s="28" t="s">
        <v>76</v>
      </c>
      <c r="S37" s="28" t="s">
        <v>76</v>
      </c>
    </row>
    <row r="38" spans="1:19" x14ac:dyDescent="0.25">
      <c r="A38" s="34" t="s">
        <v>139</v>
      </c>
      <c r="B38" s="35" t="s">
        <v>29</v>
      </c>
      <c r="C38" s="34" t="s">
        <v>76</v>
      </c>
      <c r="D38" s="34" t="s">
        <v>76</v>
      </c>
      <c r="E38" s="34" t="s">
        <v>77</v>
      </c>
      <c r="F38" s="34">
        <v>213</v>
      </c>
      <c r="G38" s="34"/>
      <c r="H38" s="36">
        <v>0.5942322097378278</v>
      </c>
      <c r="I38" s="37">
        <v>46153</v>
      </c>
      <c r="J38" s="37">
        <v>46406</v>
      </c>
      <c r="K38" s="37">
        <v>46153</v>
      </c>
      <c r="L38" s="37"/>
      <c r="M38" s="37">
        <v>46123</v>
      </c>
      <c r="N38" s="37">
        <v>46357</v>
      </c>
      <c r="O38" s="34">
        <v>41</v>
      </c>
      <c r="P38" s="34">
        <v>0</v>
      </c>
      <c r="Q38" s="34" t="s">
        <v>76</v>
      </c>
      <c r="R38" s="34" t="s">
        <v>90</v>
      </c>
      <c r="S38" s="34" t="s">
        <v>76</v>
      </c>
    </row>
    <row r="39" spans="1:19" s="27" customFormat="1" x14ac:dyDescent="0.25" outlineLevel="1" collapsed="1">
      <c r="A39" s="28" t="s">
        <v>140</v>
      </c>
      <c r="B39" s="38" t="s">
        <v>101</v>
      </c>
      <c r="C39" s="28" t="s">
        <v>21</v>
      </c>
      <c r="D39" s="28" t="s">
        <v>29</v>
      </c>
      <c r="E39" s="28" t="s">
        <v>4</v>
      </c>
      <c r="F39" s="28">
        <v>22</v>
      </c>
      <c r="G39" s="28">
        <v>0</v>
      </c>
      <c r="H39" s="30">
        <v>1</v>
      </c>
      <c r="I39" s="31">
        <v>46153</v>
      </c>
      <c r="J39" s="31">
        <v>46182</v>
      </c>
      <c r="K39" s="31">
        <v>46153</v>
      </c>
      <c r="L39" s="31">
        <v>46182</v>
      </c>
      <c r="M39" s="31">
        <v>46123</v>
      </c>
      <c r="N39" s="31">
        <v>46148</v>
      </c>
      <c r="O39" s="32">
        <v>29</v>
      </c>
      <c r="P39" s="28"/>
      <c r="Q39" s="28" t="s">
        <v>76</v>
      </c>
      <c r="R39" s="28" t="s">
        <v>76</v>
      </c>
      <c r="S39" s="28" t="s">
        <v>76</v>
      </c>
    </row>
    <row r="40" spans="1:19" s="27" customFormat="1" x14ac:dyDescent="0.25" outlineLevel="1" collapsed="1">
      <c r="A40" s="28" t="s">
        <v>141</v>
      </c>
      <c r="B40" s="38" t="s">
        <v>103</v>
      </c>
      <c r="C40" s="28" t="s">
        <v>21</v>
      </c>
      <c r="D40" s="28" t="s">
        <v>29</v>
      </c>
      <c r="E40" s="28" t="s">
        <v>77</v>
      </c>
      <c r="F40" s="28">
        <v>99</v>
      </c>
      <c r="G40" s="28">
        <v>18</v>
      </c>
      <c r="H40" s="30">
        <v>0.82</v>
      </c>
      <c r="I40" s="31">
        <v>46188</v>
      </c>
      <c r="J40" s="31">
        <v>46318</v>
      </c>
      <c r="K40" s="31">
        <v>46188</v>
      </c>
      <c r="L40" s="31"/>
      <c r="M40" s="31">
        <v>46149</v>
      </c>
      <c r="N40" s="31">
        <v>46265</v>
      </c>
      <c r="O40" s="32">
        <v>44</v>
      </c>
      <c r="P40" s="28">
        <v>34</v>
      </c>
      <c r="Q40" s="28" t="s">
        <v>76</v>
      </c>
      <c r="R40" s="28" t="s">
        <v>5</v>
      </c>
      <c r="S40" s="28" t="s">
        <v>76</v>
      </c>
    </row>
    <row r="41" spans="1:19" s="27" customFormat="1" x14ac:dyDescent="0.25" outlineLevel="1" collapsed="1">
      <c r="A41" s="28" t="s">
        <v>142</v>
      </c>
      <c r="B41" s="38" t="s">
        <v>105</v>
      </c>
      <c r="C41" s="28" t="s">
        <v>21</v>
      </c>
      <c r="D41" s="28" t="s">
        <v>29</v>
      </c>
      <c r="E41" s="28" t="s">
        <v>4</v>
      </c>
      <c r="F41" s="28">
        <v>22</v>
      </c>
      <c r="G41" s="28">
        <v>0</v>
      </c>
      <c r="H41" s="30">
        <v>1</v>
      </c>
      <c r="I41" s="31">
        <v>46223</v>
      </c>
      <c r="J41" s="31">
        <v>46247</v>
      </c>
      <c r="K41" s="31">
        <v>46223</v>
      </c>
      <c r="L41" s="31">
        <v>46247</v>
      </c>
      <c r="M41" s="31">
        <v>46183</v>
      </c>
      <c r="N41" s="31">
        <v>46207</v>
      </c>
      <c r="O41" s="32">
        <v>34</v>
      </c>
      <c r="P41" s="28"/>
      <c r="Q41" s="28" t="s">
        <v>76</v>
      </c>
      <c r="R41" s="28" t="s">
        <v>76</v>
      </c>
      <c r="S41" s="28" t="s">
        <v>76</v>
      </c>
    </row>
    <row r="42" spans="1:19" s="27" customFormat="1" x14ac:dyDescent="0.25" outlineLevel="1" collapsed="1">
      <c r="A42" s="28" t="s">
        <v>143</v>
      </c>
      <c r="B42" s="38" t="s">
        <v>107</v>
      </c>
      <c r="C42" s="28" t="s">
        <v>21</v>
      </c>
      <c r="D42" s="28" t="s">
        <v>29</v>
      </c>
      <c r="E42" s="28" t="s">
        <v>77</v>
      </c>
      <c r="F42" s="28">
        <v>124</v>
      </c>
      <c r="G42" s="28">
        <v>91</v>
      </c>
      <c r="H42" s="30">
        <v>0.27</v>
      </c>
      <c r="I42" s="31">
        <v>46252</v>
      </c>
      <c r="J42" s="31">
        <v>46406</v>
      </c>
      <c r="K42" s="31">
        <v>46252</v>
      </c>
      <c r="L42" s="31"/>
      <c r="M42" s="31">
        <v>46209</v>
      </c>
      <c r="N42" s="31">
        <v>46357</v>
      </c>
      <c r="O42" s="32">
        <v>41</v>
      </c>
      <c r="P42" s="28">
        <v>0</v>
      </c>
      <c r="Q42" s="33" t="s">
        <v>86</v>
      </c>
      <c r="R42" s="28" t="s">
        <v>144</v>
      </c>
      <c r="S42" s="28" t="s">
        <v>76</v>
      </c>
    </row>
    <row r="43" spans="1:19" x14ac:dyDescent="0.25">
      <c r="A43" s="34" t="s">
        <v>145</v>
      </c>
      <c r="B43" s="35" t="s">
        <v>30</v>
      </c>
      <c r="C43" s="34" t="s">
        <v>76</v>
      </c>
      <c r="D43" s="34" t="s">
        <v>76</v>
      </c>
      <c r="E43" s="34" t="s">
        <v>77</v>
      </c>
      <c r="F43" s="34">
        <v>400</v>
      </c>
      <c r="G43" s="34"/>
      <c r="H43" s="36">
        <v>0.4187759336099585</v>
      </c>
      <c r="I43" s="37">
        <v>46046</v>
      </c>
      <c r="J43" s="37">
        <v>46524</v>
      </c>
      <c r="K43" s="37">
        <v>46046</v>
      </c>
      <c r="L43" s="37"/>
      <c r="M43" s="37">
        <v>46038</v>
      </c>
      <c r="N43" s="37">
        <v>46476</v>
      </c>
      <c r="O43" s="34">
        <v>41</v>
      </c>
      <c r="P43" s="34">
        <v>0</v>
      </c>
      <c r="Q43" s="34" t="s">
        <v>76</v>
      </c>
      <c r="R43" s="34" t="s">
        <v>109</v>
      </c>
      <c r="S43" s="34" t="s">
        <v>76</v>
      </c>
    </row>
    <row r="44" spans="1:19" s="27" customFormat="1" x14ac:dyDescent="0.25" outlineLevel="1" collapsed="1">
      <c r="A44" s="28" t="s">
        <v>146</v>
      </c>
      <c r="B44" s="38" t="s">
        <v>111</v>
      </c>
      <c r="C44" s="28" t="s">
        <v>21</v>
      </c>
      <c r="D44" s="28" t="s">
        <v>30</v>
      </c>
      <c r="E44" s="28" t="s">
        <v>4</v>
      </c>
      <c r="F44" s="28">
        <v>10</v>
      </c>
      <c r="G44" s="28">
        <v>0</v>
      </c>
      <c r="H44" s="30">
        <v>1</v>
      </c>
      <c r="I44" s="31">
        <v>46046</v>
      </c>
      <c r="J44" s="31">
        <v>46059</v>
      </c>
      <c r="K44" s="31">
        <v>46046</v>
      </c>
      <c r="L44" s="31">
        <v>46059</v>
      </c>
      <c r="M44" s="31">
        <v>46038</v>
      </c>
      <c r="N44" s="31">
        <v>46050</v>
      </c>
      <c r="O44" s="32">
        <v>8</v>
      </c>
      <c r="P44" s="28"/>
      <c r="Q44" s="28" t="s">
        <v>76</v>
      </c>
      <c r="R44" s="28" t="s">
        <v>76</v>
      </c>
      <c r="S44" s="28" t="s">
        <v>76</v>
      </c>
    </row>
    <row r="45" spans="1:19" s="27" customFormat="1" x14ac:dyDescent="0.25" outlineLevel="1" collapsed="1">
      <c r="A45" s="28" t="s">
        <v>147</v>
      </c>
      <c r="B45" s="38" t="s">
        <v>113</v>
      </c>
      <c r="C45" s="28" t="s">
        <v>21</v>
      </c>
      <c r="D45" s="28" t="s">
        <v>30</v>
      </c>
      <c r="E45" s="28" t="s">
        <v>4</v>
      </c>
      <c r="F45" s="28">
        <v>32</v>
      </c>
      <c r="G45" s="28">
        <v>0</v>
      </c>
      <c r="H45" s="30">
        <v>1</v>
      </c>
      <c r="I45" s="31">
        <v>46081</v>
      </c>
      <c r="J45" s="31">
        <v>46121</v>
      </c>
      <c r="K45" s="31">
        <v>46081</v>
      </c>
      <c r="L45" s="31">
        <v>46121</v>
      </c>
      <c r="M45" s="31">
        <v>46060</v>
      </c>
      <c r="N45" s="31">
        <v>46098</v>
      </c>
      <c r="O45" s="32">
        <v>19</v>
      </c>
      <c r="P45" s="28"/>
      <c r="Q45" s="28" t="s">
        <v>76</v>
      </c>
      <c r="R45" s="28" t="s">
        <v>76</v>
      </c>
      <c r="S45" s="28" t="s">
        <v>76</v>
      </c>
    </row>
    <row r="46" spans="1:19" s="27" customFormat="1" x14ac:dyDescent="0.25" outlineLevel="1" collapsed="1">
      <c r="A46" s="28" t="s">
        <v>148</v>
      </c>
      <c r="B46" s="38" t="s">
        <v>115</v>
      </c>
      <c r="C46" s="28" t="s">
        <v>21</v>
      </c>
      <c r="D46" s="28" t="s">
        <v>30</v>
      </c>
      <c r="E46" s="28" t="s">
        <v>4</v>
      </c>
      <c r="F46" s="28">
        <v>45</v>
      </c>
      <c r="G46" s="28">
        <v>0</v>
      </c>
      <c r="H46" s="30">
        <v>1</v>
      </c>
      <c r="I46" s="31">
        <v>46099</v>
      </c>
      <c r="J46" s="31">
        <v>46154</v>
      </c>
      <c r="K46" s="31">
        <v>46099</v>
      </c>
      <c r="L46" s="31">
        <v>46154</v>
      </c>
      <c r="M46" s="31">
        <v>46069</v>
      </c>
      <c r="N46" s="31">
        <v>46122</v>
      </c>
      <c r="O46" s="32">
        <v>27</v>
      </c>
      <c r="P46" s="28"/>
      <c r="Q46" s="28" t="s">
        <v>76</v>
      </c>
      <c r="R46" s="28" t="s">
        <v>76</v>
      </c>
      <c r="S46" s="28" t="s">
        <v>76</v>
      </c>
    </row>
    <row r="47" spans="1:19" s="27" customFormat="1" x14ac:dyDescent="0.25" outlineLevel="1" collapsed="1">
      <c r="A47" s="28" t="s">
        <v>149</v>
      </c>
      <c r="B47" s="38" t="s">
        <v>117</v>
      </c>
      <c r="C47" s="28" t="s">
        <v>21</v>
      </c>
      <c r="D47" s="28" t="s">
        <v>30</v>
      </c>
      <c r="E47" s="28" t="s">
        <v>4</v>
      </c>
      <c r="F47" s="28">
        <v>28</v>
      </c>
      <c r="G47" s="28">
        <v>0</v>
      </c>
      <c r="H47" s="30">
        <v>1</v>
      </c>
      <c r="I47" s="31">
        <v>46164</v>
      </c>
      <c r="J47" s="31">
        <v>46199</v>
      </c>
      <c r="K47" s="31">
        <v>46164</v>
      </c>
      <c r="L47" s="31">
        <v>46199</v>
      </c>
      <c r="M47" s="31">
        <v>46123</v>
      </c>
      <c r="N47" s="31">
        <v>46155</v>
      </c>
      <c r="O47" s="32">
        <v>38</v>
      </c>
      <c r="P47" s="28"/>
      <c r="Q47" s="28" t="s">
        <v>76</v>
      </c>
      <c r="R47" s="28" t="s">
        <v>76</v>
      </c>
      <c r="S47" s="28" t="s">
        <v>76</v>
      </c>
    </row>
    <row r="48" spans="1:19" s="27" customFormat="1" x14ac:dyDescent="0.25" outlineLevel="1" collapsed="1">
      <c r="A48" s="28" t="s">
        <v>150</v>
      </c>
      <c r="B48" s="38" t="s">
        <v>119</v>
      </c>
      <c r="C48" s="28" t="s">
        <v>21</v>
      </c>
      <c r="D48" s="28" t="s">
        <v>30</v>
      </c>
      <c r="E48" s="28" t="s">
        <v>77</v>
      </c>
      <c r="F48" s="28">
        <v>102</v>
      </c>
      <c r="G48" s="28">
        <v>49</v>
      </c>
      <c r="H48" s="30">
        <v>0.52</v>
      </c>
      <c r="I48" s="31">
        <v>46211</v>
      </c>
      <c r="J48" s="31">
        <v>46356</v>
      </c>
      <c r="K48" s="31">
        <v>46211</v>
      </c>
      <c r="L48" s="31"/>
      <c r="M48" s="31">
        <v>46167</v>
      </c>
      <c r="N48" s="31">
        <v>46286</v>
      </c>
      <c r="O48" s="32">
        <v>57</v>
      </c>
      <c r="P48" s="28">
        <v>49</v>
      </c>
      <c r="Q48" s="28" t="s">
        <v>76</v>
      </c>
      <c r="R48" s="28" t="s">
        <v>5</v>
      </c>
      <c r="S48" s="28" t="s">
        <v>76</v>
      </c>
    </row>
    <row r="49" spans="1:19" s="27" customFormat="1" x14ac:dyDescent="0.25" outlineLevel="1" collapsed="1">
      <c r="A49" s="28" t="s">
        <v>151</v>
      </c>
      <c r="B49" s="38" t="s">
        <v>121</v>
      </c>
      <c r="C49" s="28" t="s">
        <v>21</v>
      </c>
      <c r="D49" s="28" t="s">
        <v>30</v>
      </c>
      <c r="E49" s="28" t="s">
        <v>77</v>
      </c>
      <c r="F49" s="28">
        <v>69</v>
      </c>
      <c r="G49" s="28">
        <v>35</v>
      </c>
      <c r="H49" s="30">
        <v>0.49</v>
      </c>
      <c r="I49" s="31">
        <v>46240</v>
      </c>
      <c r="J49" s="31">
        <v>46339</v>
      </c>
      <c r="K49" s="31">
        <v>46240</v>
      </c>
      <c r="L49" s="31"/>
      <c r="M49" s="31">
        <v>46190</v>
      </c>
      <c r="N49" s="31">
        <v>46270</v>
      </c>
      <c r="O49" s="32">
        <v>56</v>
      </c>
      <c r="P49" s="28">
        <v>81</v>
      </c>
      <c r="Q49" s="28" t="s">
        <v>76</v>
      </c>
      <c r="R49" s="28" t="s">
        <v>5</v>
      </c>
      <c r="S49" s="28" t="s">
        <v>76</v>
      </c>
    </row>
    <row r="50" spans="1:19" s="27" customFormat="1" x14ac:dyDescent="0.25" outlineLevel="1" collapsed="1">
      <c r="A50" s="28" t="s">
        <v>152</v>
      </c>
      <c r="B50" s="38" t="s">
        <v>123</v>
      </c>
      <c r="C50" s="28" t="s">
        <v>21</v>
      </c>
      <c r="D50" s="28" t="s">
        <v>30</v>
      </c>
      <c r="E50" s="28" t="s">
        <v>85</v>
      </c>
      <c r="F50" s="28">
        <v>39</v>
      </c>
      <c r="G50" s="28">
        <v>39</v>
      </c>
      <c r="H50" s="30">
        <v>0</v>
      </c>
      <c r="I50" s="31">
        <v>46351</v>
      </c>
      <c r="J50" s="31">
        <v>46396</v>
      </c>
      <c r="K50" s="31"/>
      <c r="L50" s="31"/>
      <c r="M50" s="31">
        <v>46281</v>
      </c>
      <c r="N50" s="31">
        <v>46328</v>
      </c>
      <c r="O50" s="32">
        <v>57</v>
      </c>
      <c r="P50" s="28">
        <v>49</v>
      </c>
      <c r="Q50" s="28" t="s">
        <v>76</v>
      </c>
      <c r="R50" s="28" t="s">
        <v>76</v>
      </c>
      <c r="S50" s="28" t="s">
        <v>76</v>
      </c>
    </row>
    <row r="51" spans="1:19" s="27" customFormat="1" x14ac:dyDescent="0.25" outlineLevel="1" collapsed="1">
      <c r="A51" s="28" t="s">
        <v>153</v>
      </c>
      <c r="B51" s="38" t="s">
        <v>127</v>
      </c>
      <c r="C51" s="28" t="s">
        <v>21</v>
      </c>
      <c r="D51" s="28" t="s">
        <v>30</v>
      </c>
      <c r="E51" s="28" t="s">
        <v>85</v>
      </c>
      <c r="F51" s="28">
        <v>58</v>
      </c>
      <c r="G51" s="28">
        <v>58</v>
      </c>
      <c r="H51" s="30">
        <v>0</v>
      </c>
      <c r="I51" s="31">
        <v>46398</v>
      </c>
      <c r="J51" s="31">
        <v>46465</v>
      </c>
      <c r="K51" s="31"/>
      <c r="L51" s="31"/>
      <c r="M51" s="31">
        <v>46329</v>
      </c>
      <c r="N51" s="31">
        <v>46398</v>
      </c>
      <c r="O51" s="32">
        <v>57</v>
      </c>
      <c r="P51" s="28">
        <v>49</v>
      </c>
      <c r="Q51" s="28" t="s">
        <v>76</v>
      </c>
      <c r="R51" s="28" t="s">
        <v>76</v>
      </c>
      <c r="S51" s="28" t="s">
        <v>76</v>
      </c>
    </row>
    <row r="52" spans="1:19" s="27" customFormat="1" x14ac:dyDescent="0.25" outlineLevel="1" collapsed="1">
      <c r="A52" s="28" t="s">
        <v>154</v>
      </c>
      <c r="B52" s="38" t="s">
        <v>125</v>
      </c>
      <c r="C52" s="28" t="s">
        <v>21</v>
      </c>
      <c r="D52" s="28" t="s">
        <v>30</v>
      </c>
      <c r="E52" s="28" t="s">
        <v>85</v>
      </c>
      <c r="F52" s="28">
        <v>78</v>
      </c>
      <c r="G52" s="28">
        <v>78</v>
      </c>
      <c r="H52" s="30">
        <v>0</v>
      </c>
      <c r="I52" s="31">
        <v>46407</v>
      </c>
      <c r="J52" s="31">
        <v>46499</v>
      </c>
      <c r="K52" s="31"/>
      <c r="L52" s="31"/>
      <c r="M52" s="31">
        <v>46358</v>
      </c>
      <c r="N52" s="31">
        <v>46450</v>
      </c>
      <c r="O52" s="32">
        <v>41</v>
      </c>
      <c r="P52" s="28">
        <v>0</v>
      </c>
      <c r="Q52" s="33" t="s">
        <v>86</v>
      </c>
      <c r="R52" s="28" t="s">
        <v>11</v>
      </c>
      <c r="S52" s="28" t="s">
        <v>76</v>
      </c>
    </row>
    <row r="53" spans="1:19" s="27" customFormat="1" x14ac:dyDescent="0.25" outlineLevel="1" collapsed="1">
      <c r="A53" s="28" t="s">
        <v>155</v>
      </c>
      <c r="B53" s="38" t="s">
        <v>130</v>
      </c>
      <c r="C53" s="28" t="s">
        <v>21</v>
      </c>
      <c r="D53" s="28" t="s">
        <v>30</v>
      </c>
      <c r="E53" s="28" t="s">
        <v>85</v>
      </c>
      <c r="F53" s="28">
        <v>21</v>
      </c>
      <c r="G53" s="28">
        <v>21</v>
      </c>
      <c r="H53" s="30">
        <v>0</v>
      </c>
      <c r="I53" s="31">
        <v>46500</v>
      </c>
      <c r="J53" s="31">
        <v>46524</v>
      </c>
      <c r="K53" s="31"/>
      <c r="L53" s="31"/>
      <c r="M53" s="31">
        <v>46451</v>
      </c>
      <c r="N53" s="31">
        <v>46476</v>
      </c>
      <c r="O53" s="32">
        <v>41</v>
      </c>
      <c r="P53" s="28">
        <v>0</v>
      </c>
      <c r="Q53" s="33" t="s">
        <v>86</v>
      </c>
      <c r="R53" s="28" t="s">
        <v>11</v>
      </c>
      <c r="S53" s="28" t="s">
        <v>76</v>
      </c>
    </row>
    <row r="54" spans="1:19" s="27" customFormat="1" x14ac:dyDescent="0.25" outlineLevel="1" collapsed="1">
      <c r="A54" s="28" t="s">
        <v>156</v>
      </c>
      <c r="B54" s="38" t="s">
        <v>132</v>
      </c>
      <c r="C54" s="28" t="s">
        <v>21</v>
      </c>
      <c r="D54" s="28" t="s">
        <v>30</v>
      </c>
      <c r="E54" s="28" t="s">
        <v>85</v>
      </c>
      <c r="F54" s="28">
        <v>0</v>
      </c>
      <c r="G54" s="28">
        <v>0</v>
      </c>
      <c r="H54" s="30">
        <v>0</v>
      </c>
      <c r="I54" s="31">
        <v>46524</v>
      </c>
      <c r="J54" s="31">
        <v>46524</v>
      </c>
      <c r="K54" s="31"/>
      <c r="L54" s="31"/>
      <c r="M54" s="31">
        <v>46476</v>
      </c>
      <c r="N54" s="31">
        <v>46476</v>
      </c>
      <c r="O54" s="32">
        <v>41</v>
      </c>
      <c r="P54" s="28">
        <v>0</v>
      </c>
      <c r="Q54" s="33" t="s">
        <v>86</v>
      </c>
      <c r="R54" s="28" t="s">
        <v>11</v>
      </c>
      <c r="S54" s="28" t="s">
        <v>76</v>
      </c>
    </row>
    <row r="55" spans="1:19" x14ac:dyDescent="0.25">
      <c r="A55" s="23" t="s">
        <v>157</v>
      </c>
      <c r="B55" s="24" t="s">
        <v>22</v>
      </c>
      <c r="C55" s="23" t="s">
        <v>76</v>
      </c>
      <c r="D55" s="23" t="s">
        <v>76</v>
      </c>
      <c r="E55" s="23" t="s">
        <v>77</v>
      </c>
      <c r="F55" s="23">
        <v>295</v>
      </c>
      <c r="G55" s="23"/>
      <c r="H55" s="25">
        <v>0.6853920000000001</v>
      </c>
      <c r="I55" s="26">
        <v>46080</v>
      </c>
      <c r="J55" s="26">
        <v>46433</v>
      </c>
      <c r="K55" s="26">
        <v>46080</v>
      </c>
      <c r="L55" s="26"/>
      <c r="M55" s="26">
        <v>46074</v>
      </c>
      <c r="N55" s="26">
        <v>46392</v>
      </c>
      <c r="O55" s="23">
        <v>34</v>
      </c>
      <c r="P55" s="23">
        <v>77</v>
      </c>
      <c r="Q55" s="23" t="s">
        <v>76</v>
      </c>
      <c r="R55" s="23" t="s">
        <v>88</v>
      </c>
      <c r="S55" s="23" t="s">
        <v>76</v>
      </c>
    </row>
    <row r="56" spans="1:19" x14ac:dyDescent="0.25">
      <c r="A56" s="34" t="s">
        <v>158</v>
      </c>
      <c r="B56" s="35" t="s">
        <v>28</v>
      </c>
      <c r="C56" s="34" t="s">
        <v>76</v>
      </c>
      <c r="D56" s="34" t="s">
        <v>76</v>
      </c>
      <c r="E56" s="34" t="s">
        <v>4</v>
      </c>
      <c r="F56" s="34">
        <v>83</v>
      </c>
      <c r="G56" s="34"/>
      <c r="H56" s="36">
        <v>1</v>
      </c>
      <c r="I56" s="37">
        <v>46087</v>
      </c>
      <c r="J56" s="37">
        <v>46184</v>
      </c>
      <c r="K56" s="37">
        <v>46087</v>
      </c>
      <c r="L56" s="37">
        <v>46184</v>
      </c>
      <c r="M56" s="37">
        <v>46084</v>
      </c>
      <c r="N56" s="37">
        <v>46174</v>
      </c>
      <c r="O56" s="34">
        <v>9</v>
      </c>
      <c r="P56" s="34"/>
      <c r="Q56" s="34" t="s">
        <v>76</v>
      </c>
      <c r="R56" s="34" t="s">
        <v>90</v>
      </c>
      <c r="S56" s="34" t="s">
        <v>76</v>
      </c>
    </row>
    <row r="57" spans="1:19" s="27" customFormat="1" x14ac:dyDescent="0.25" outlineLevel="1" collapsed="1">
      <c r="A57" s="28" t="s">
        <v>159</v>
      </c>
      <c r="B57" s="38" t="s">
        <v>92</v>
      </c>
      <c r="C57" s="28" t="s">
        <v>22</v>
      </c>
      <c r="D57" s="28" t="s">
        <v>28</v>
      </c>
      <c r="E57" s="28" t="s">
        <v>4</v>
      </c>
      <c r="F57" s="28">
        <v>21</v>
      </c>
      <c r="G57" s="28">
        <v>0</v>
      </c>
      <c r="H57" s="30">
        <v>1</v>
      </c>
      <c r="I57" s="31">
        <v>46087</v>
      </c>
      <c r="J57" s="31">
        <v>46120</v>
      </c>
      <c r="K57" s="31">
        <v>46087</v>
      </c>
      <c r="L57" s="31">
        <v>46120</v>
      </c>
      <c r="M57" s="31">
        <v>46084</v>
      </c>
      <c r="N57" s="31">
        <v>46113</v>
      </c>
      <c r="O57" s="32">
        <v>4</v>
      </c>
      <c r="P57" s="28"/>
      <c r="Q57" s="28" t="s">
        <v>76</v>
      </c>
      <c r="R57" s="28" t="s">
        <v>76</v>
      </c>
      <c r="S57" s="28" t="s">
        <v>76</v>
      </c>
    </row>
    <row r="58" spans="1:19" s="27" customFormat="1" x14ac:dyDescent="0.25" outlineLevel="1" collapsed="1">
      <c r="A58" s="28" t="s">
        <v>160</v>
      </c>
      <c r="B58" s="38" t="s">
        <v>94</v>
      </c>
      <c r="C58" s="28" t="s">
        <v>22</v>
      </c>
      <c r="D58" s="28" t="s">
        <v>28</v>
      </c>
      <c r="E58" s="28" t="s">
        <v>4</v>
      </c>
      <c r="F58" s="28">
        <v>30</v>
      </c>
      <c r="G58" s="28">
        <v>0</v>
      </c>
      <c r="H58" s="30">
        <v>1</v>
      </c>
      <c r="I58" s="31">
        <v>46099</v>
      </c>
      <c r="J58" s="31">
        <v>46148</v>
      </c>
      <c r="K58" s="31">
        <v>46099</v>
      </c>
      <c r="L58" s="31">
        <v>46148</v>
      </c>
      <c r="M58" s="31">
        <v>46092</v>
      </c>
      <c r="N58" s="31">
        <v>46134</v>
      </c>
      <c r="O58" s="32">
        <v>10</v>
      </c>
      <c r="P58" s="28"/>
      <c r="Q58" s="28" t="s">
        <v>76</v>
      </c>
      <c r="R58" s="28" t="s">
        <v>76</v>
      </c>
      <c r="S58" s="28" t="s">
        <v>76</v>
      </c>
    </row>
    <row r="59" spans="1:19" s="27" customFormat="1" x14ac:dyDescent="0.25" outlineLevel="1" collapsed="1">
      <c r="A59" s="28" t="s">
        <v>161</v>
      </c>
      <c r="B59" s="38" t="s">
        <v>96</v>
      </c>
      <c r="C59" s="28" t="s">
        <v>22</v>
      </c>
      <c r="D59" s="28" t="s">
        <v>28</v>
      </c>
      <c r="E59" s="28" t="s">
        <v>4</v>
      </c>
      <c r="F59" s="28">
        <v>42</v>
      </c>
      <c r="G59" s="28">
        <v>0</v>
      </c>
      <c r="H59" s="30">
        <v>1</v>
      </c>
      <c r="I59" s="31">
        <v>46127</v>
      </c>
      <c r="J59" s="31">
        <v>46184</v>
      </c>
      <c r="K59" s="31">
        <v>46127</v>
      </c>
      <c r="L59" s="31">
        <v>46184</v>
      </c>
      <c r="M59" s="31">
        <v>46114</v>
      </c>
      <c r="N59" s="31">
        <v>46174</v>
      </c>
      <c r="O59" s="32">
        <v>8</v>
      </c>
      <c r="P59" s="28"/>
      <c r="Q59" s="28" t="s">
        <v>76</v>
      </c>
      <c r="R59" s="28" t="s">
        <v>76</v>
      </c>
      <c r="S59" s="28" t="s">
        <v>76</v>
      </c>
    </row>
    <row r="60" spans="1:19" s="27" customFormat="1" x14ac:dyDescent="0.25" outlineLevel="1" collapsed="1">
      <c r="A60" s="28" t="s">
        <v>162</v>
      </c>
      <c r="B60" s="38" t="s">
        <v>98</v>
      </c>
      <c r="C60" s="28" t="s">
        <v>22</v>
      </c>
      <c r="D60" s="28" t="s">
        <v>28</v>
      </c>
      <c r="E60" s="28" t="s">
        <v>4</v>
      </c>
      <c r="F60" s="28">
        <v>14</v>
      </c>
      <c r="G60" s="28">
        <v>0</v>
      </c>
      <c r="H60" s="30">
        <v>1</v>
      </c>
      <c r="I60" s="31">
        <v>46157</v>
      </c>
      <c r="J60" s="31">
        <v>46184</v>
      </c>
      <c r="K60" s="31">
        <v>46157</v>
      </c>
      <c r="L60" s="31">
        <v>46184</v>
      </c>
      <c r="M60" s="31">
        <v>46155</v>
      </c>
      <c r="N60" s="31">
        <v>46174</v>
      </c>
      <c r="O60" s="32">
        <v>8</v>
      </c>
      <c r="P60" s="28"/>
      <c r="Q60" s="28" t="s">
        <v>76</v>
      </c>
      <c r="R60" s="28" t="s">
        <v>76</v>
      </c>
      <c r="S60" s="28" t="s">
        <v>76</v>
      </c>
    </row>
    <row r="61" spans="1:19" x14ac:dyDescent="0.25">
      <c r="A61" s="34" t="s">
        <v>163</v>
      </c>
      <c r="B61" s="35" t="s">
        <v>29</v>
      </c>
      <c r="C61" s="34" t="s">
        <v>76</v>
      </c>
      <c r="D61" s="34" t="s">
        <v>76</v>
      </c>
      <c r="E61" s="34" t="s">
        <v>77</v>
      </c>
      <c r="F61" s="34">
        <v>157</v>
      </c>
      <c r="G61" s="34"/>
      <c r="H61" s="36">
        <v>0.8166279069767443</v>
      </c>
      <c r="I61" s="37">
        <v>46149</v>
      </c>
      <c r="J61" s="37">
        <v>46336</v>
      </c>
      <c r="K61" s="37">
        <v>46149</v>
      </c>
      <c r="L61" s="37"/>
      <c r="M61" s="37">
        <v>46135</v>
      </c>
      <c r="N61" s="37">
        <v>46293</v>
      </c>
      <c r="O61" s="34">
        <v>34</v>
      </c>
      <c r="P61" s="34">
        <v>77</v>
      </c>
      <c r="Q61" s="34" t="s">
        <v>76</v>
      </c>
      <c r="R61" s="34" t="s">
        <v>90</v>
      </c>
      <c r="S61" s="34" t="s">
        <v>76</v>
      </c>
    </row>
    <row r="62" spans="1:19" s="27" customFormat="1" x14ac:dyDescent="0.25" outlineLevel="1" collapsed="1">
      <c r="A62" s="28" t="s">
        <v>164</v>
      </c>
      <c r="B62" s="38" t="s">
        <v>101</v>
      </c>
      <c r="C62" s="28" t="s">
        <v>22</v>
      </c>
      <c r="D62" s="28" t="s">
        <v>29</v>
      </c>
      <c r="E62" s="28" t="s">
        <v>4</v>
      </c>
      <c r="F62" s="28">
        <v>13</v>
      </c>
      <c r="G62" s="28">
        <v>0</v>
      </c>
      <c r="H62" s="30">
        <v>1</v>
      </c>
      <c r="I62" s="31">
        <v>46149</v>
      </c>
      <c r="J62" s="31">
        <v>46163</v>
      </c>
      <c r="K62" s="31">
        <v>46149</v>
      </c>
      <c r="L62" s="31">
        <v>46163</v>
      </c>
      <c r="M62" s="31">
        <v>46135</v>
      </c>
      <c r="N62" s="31">
        <v>46149</v>
      </c>
      <c r="O62" s="32">
        <v>12</v>
      </c>
      <c r="P62" s="28"/>
      <c r="Q62" s="28" t="s">
        <v>76</v>
      </c>
      <c r="R62" s="28" t="s">
        <v>76</v>
      </c>
      <c r="S62" s="28" t="s">
        <v>76</v>
      </c>
    </row>
    <row r="63" spans="1:19" s="27" customFormat="1" x14ac:dyDescent="0.25" outlineLevel="1" collapsed="1">
      <c r="A63" s="28" t="s">
        <v>165</v>
      </c>
      <c r="B63" s="38" t="s">
        <v>103</v>
      </c>
      <c r="C63" s="28" t="s">
        <v>22</v>
      </c>
      <c r="D63" s="28" t="s">
        <v>29</v>
      </c>
      <c r="E63" s="28" t="s">
        <v>4</v>
      </c>
      <c r="F63" s="28">
        <v>58</v>
      </c>
      <c r="G63" s="28">
        <v>0</v>
      </c>
      <c r="H63" s="30">
        <v>1</v>
      </c>
      <c r="I63" s="31">
        <v>46170</v>
      </c>
      <c r="J63" s="31">
        <v>46239</v>
      </c>
      <c r="K63" s="31">
        <v>46170</v>
      </c>
      <c r="L63" s="31">
        <v>46239</v>
      </c>
      <c r="M63" s="31">
        <v>46150</v>
      </c>
      <c r="N63" s="31">
        <v>46217</v>
      </c>
      <c r="O63" s="32">
        <v>19</v>
      </c>
      <c r="P63" s="28"/>
      <c r="Q63" s="28" t="s">
        <v>76</v>
      </c>
      <c r="R63" s="28" t="s">
        <v>76</v>
      </c>
      <c r="S63" s="28" t="s">
        <v>76</v>
      </c>
    </row>
    <row r="64" spans="1:19" s="27" customFormat="1" x14ac:dyDescent="0.25" outlineLevel="1" collapsed="1">
      <c r="A64" s="28" t="s">
        <v>166</v>
      </c>
      <c r="B64" s="38" t="s">
        <v>105</v>
      </c>
      <c r="C64" s="28" t="s">
        <v>22</v>
      </c>
      <c r="D64" s="28" t="s">
        <v>29</v>
      </c>
      <c r="E64" s="28" t="s">
        <v>4</v>
      </c>
      <c r="F64" s="28">
        <v>18</v>
      </c>
      <c r="G64" s="28">
        <v>0</v>
      </c>
      <c r="H64" s="30">
        <v>1</v>
      </c>
      <c r="I64" s="31">
        <v>46186</v>
      </c>
      <c r="J64" s="31">
        <v>46211</v>
      </c>
      <c r="K64" s="31">
        <v>46186</v>
      </c>
      <c r="L64" s="31">
        <v>46211</v>
      </c>
      <c r="M64" s="31">
        <v>46175</v>
      </c>
      <c r="N64" s="31">
        <v>46195</v>
      </c>
      <c r="O64" s="32">
        <v>14</v>
      </c>
      <c r="P64" s="28"/>
      <c r="Q64" s="28" t="s">
        <v>76</v>
      </c>
      <c r="R64" s="28" t="s">
        <v>76</v>
      </c>
      <c r="S64" s="28" t="s">
        <v>76</v>
      </c>
    </row>
    <row r="65" spans="1:19" s="27" customFormat="1" x14ac:dyDescent="0.25" outlineLevel="1" collapsed="1">
      <c r="A65" s="28" t="s">
        <v>167</v>
      </c>
      <c r="B65" s="38" t="s">
        <v>107</v>
      </c>
      <c r="C65" s="28" t="s">
        <v>22</v>
      </c>
      <c r="D65" s="28" t="s">
        <v>29</v>
      </c>
      <c r="E65" s="28" t="s">
        <v>77</v>
      </c>
      <c r="F65" s="28">
        <v>83</v>
      </c>
      <c r="G65" s="28">
        <v>32</v>
      </c>
      <c r="H65" s="30">
        <v>0.62</v>
      </c>
      <c r="I65" s="31">
        <v>46212</v>
      </c>
      <c r="J65" s="31">
        <v>46336</v>
      </c>
      <c r="K65" s="31">
        <v>46212</v>
      </c>
      <c r="L65" s="31"/>
      <c r="M65" s="31">
        <v>46196</v>
      </c>
      <c r="N65" s="31">
        <v>46293</v>
      </c>
      <c r="O65" s="32">
        <v>34</v>
      </c>
      <c r="P65" s="28">
        <v>77</v>
      </c>
      <c r="Q65" s="28" t="s">
        <v>76</v>
      </c>
      <c r="R65" s="28" t="s">
        <v>5</v>
      </c>
      <c r="S65" s="28" t="s">
        <v>76</v>
      </c>
    </row>
    <row r="66" spans="1:19" x14ac:dyDescent="0.25">
      <c r="A66" s="34" t="s">
        <v>168</v>
      </c>
      <c r="B66" s="35" t="s">
        <v>30</v>
      </c>
      <c r="C66" s="34" t="s">
        <v>76</v>
      </c>
      <c r="D66" s="34" t="s">
        <v>76</v>
      </c>
      <c r="E66" s="34" t="s">
        <v>77</v>
      </c>
      <c r="F66" s="34">
        <v>295</v>
      </c>
      <c r="G66" s="34"/>
      <c r="H66" s="36">
        <v>0.5228612716763006</v>
      </c>
      <c r="I66" s="37">
        <v>46080</v>
      </c>
      <c r="J66" s="37">
        <v>46433</v>
      </c>
      <c r="K66" s="37">
        <v>46080</v>
      </c>
      <c r="L66" s="37"/>
      <c r="M66" s="37">
        <v>46074</v>
      </c>
      <c r="N66" s="37">
        <v>46392</v>
      </c>
      <c r="O66" s="34">
        <v>34</v>
      </c>
      <c r="P66" s="34">
        <v>77</v>
      </c>
      <c r="Q66" s="34" t="s">
        <v>76</v>
      </c>
      <c r="R66" s="34" t="s">
        <v>109</v>
      </c>
      <c r="S66" s="34" t="s">
        <v>76</v>
      </c>
    </row>
    <row r="67" spans="1:19" s="27" customFormat="1" x14ac:dyDescent="0.25" outlineLevel="1" collapsed="1">
      <c r="A67" s="28" t="s">
        <v>169</v>
      </c>
      <c r="B67" s="38" t="s">
        <v>111</v>
      </c>
      <c r="C67" s="28" t="s">
        <v>22</v>
      </c>
      <c r="D67" s="28" t="s">
        <v>30</v>
      </c>
      <c r="E67" s="28" t="s">
        <v>4</v>
      </c>
      <c r="F67" s="28">
        <v>8</v>
      </c>
      <c r="G67" s="28">
        <v>0</v>
      </c>
      <c r="H67" s="30">
        <v>1</v>
      </c>
      <c r="I67" s="31">
        <v>46080</v>
      </c>
      <c r="J67" s="31">
        <v>46090</v>
      </c>
      <c r="K67" s="31">
        <v>46080</v>
      </c>
      <c r="L67" s="31">
        <v>46090</v>
      </c>
      <c r="M67" s="31">
        <v>46074</v>
      </c>
      <c r="N67" s="31">
        <v>46083</v>
      </c>
      <c r="O67" s="32">
        <v>5</v>
      </c>
      <c r="P67" s="28"/>
      <c r="Q67" s="28" t="s">
        <v>76</v>
      </c>
      <c r="R67" s="28" t="s">
        <v>76</v>
      </c>
      <c r="S67" s="28" t="s">
        <v>76</v>
      </c>
    </row>
    <row r="68" spans="1:19" s="27" customFormat="1" x14ac:dyDescent="0.25" outlineLevel="1" collapsed="1">
      <c r="A68" s="28" t="s">
        <v>170</v>
      </c>
      <c r="B68" s="38" t="s">
        <v>113</v>
      </c>
      <c r="C68" s="28" t="s">
        <v>22</v>
      </c>
      <c r="D68" s="28" t="s">
        <v>30</v>
      </c>
      <c r="E68" s="28" t="s">
        <v>4</v>
      </c>
      <c r="F68" s="28">
        <v>19</v>
      </c>
      <c r="G68" s="28">
        <v>0</v>
      </c>
      <c r="H68" s="30">
        <v>1</v>
      </c>
      <c r="I68" s="31">
        <v>46111</v>
      </c>
      <c r="J68" s="31">
        <v>46136</v>
      </c>
      <c r="K68" s="31">
        <v>46111</v>
      </c>
      <c r="L68" s="31">
        <v>46136</v>
      </c>
      <c r="M68" s="31">
        <v>46104</v>
      </c>
      <c r="N68" s="31">
        <v>46126</v>
      </c>
      <c r="O68" s="32">
        <v>9</v>
      </c>
      <c r="P68" s="28"/>
      <c r="Q68" s="28" t="s">
        <v>76</v>
      </c>
      <c r="R68" s="28" t="s">
        <v>76</v>
      </c>
      <c r="S68" s="28" t="s">
        <v>76</v>
      </c>
    </row>
    <row r="69" spans="1:19" s="27" customFormat="1" x14ac:dyDescent="0.25" outlineLevel="1" collapsed="1">
      <c r="A69" s="28" t="s">
        <v>171</v>
      </c>
      <c r="B69" s="38" t="s">
        <v>115</v>
      </c>
      <c r="C69" s="28" t="s">
        <v>22</v>
      </c>
      <c r="D69" s="28" t="s">
        <v>30</v>
      </c>
      <c r="E69" s="28" t="s">
        <v>4</v>
      </c>
      <c r="F69" s="28">
        <v>37</v>
      </c>
      <c r="G69" s="28">
        <v>0</v>
      </c>
      <c r="H69" s="30">
        <v>1</v>
      </c>
      <c r="I69" s="31">
        <v>46125</v>
      </c>
      <c r="J69" s="31">
        <v>46167</v>
      </c>
      <c r="K69" s="31">
        <v>46125</v>
      </c>
      <c r="L69" s="31">
        <v>46167</v>
      </c>
      <c r="M69" s="31">
        <v>46112</v>
      </c>
      <c r="N69" s="31">
        <v>46155</v>
      </c>
      <c r="O69" s="32">
        <v>10</v>
      </c>
      <c r="P69" s="28"/>
      <c r="Q69" s="28" t="s">
        <v>76</v>
      </c>
      <c r="R69" s="28" t="s">
        <v>76</v>
      </c>
      <c r="S69" s="28" t="s">
        <v>76</v>
      </c>
    </row>
    <row r="70" spans="1:19" s="27" customFormat="1" x14ac:dyDescent="0.25" outlineLevel="1" collapsed="1">
      <c r="A70" s="28" t="s">
        <v>172</v>
      </c>
      <c r="B70" s="38" t="s">
        <v>117</v>
      </c>
      <c r="C70" s="28" t="s">
        <v>22</v>
      </c>
      <c r="D70" s="28" t="s">
        <v>30</v>
      </c>
      <c r="E70" s="28" t="s">
        <v>4</v>
      </c>
      <c r="F70" s="28">
        <v>20</v>
      </c>
      <c r="G70" s="28">
        <v>0</v>
      </c>
      <c r="H70" s="30">
        <v>1</v>
      </c>
      <c r="I70" s="31">
        <v>46170</v>
      </c>
      <c r="J70" s="31">
        <v>46195</v>
      </c>
      <c r="K70" s="31">
        <v>46170</v>
      </c>
      <c r="L70" s="31">
        <v>46195</v>
      </c>
      <c r="M70" s="31">
        <v>46156</v>
      </c>
      <c r="N70" s="31">
        <v>46178</v>
      </c>
      <c r="O70" s="32">
        <v>14</v>
      </c>
      <c r="P70" s="28"/>
      <c r="Q70" s="28" t="s">
        <v>76</v>
      </c>
      <c r="R70" s="28" t="s">
        <v>76</v>
      </c>
      <c r="S70" s="28" t="s">
        <v>76</v>
      </c>
    </row>
    <row r="71" spans="1:19" s="27" customFormat="1" x14ac:dyDescent="0.25" outlineLevel="1" collapsed="1">
      <c r="A71" s="39" t="s">
        <v>173</v>
      </c>
      <c r="B71" s="40" t="s">
        <v>119</v>
      </c>
      <c r="C71" s="39" t="s">
        <v>22</v>
      </c>
      <c r="D71" s="39" t="s">
        <v>30</v>
      </c>
      <c r="E71" s="39" t="s">
        <v>77</v>
      </c>
      <c r="F71" s="39">
        <v>66</v>
      </c>
      <c r="G71" s="39">
        <v>1</v>
      </c>
      <c r="H71" s="41">
        <v>0.99</v>
      </c>
      <c r="I71" s="42">
        <v>46197</v>
      </c>
      <c r="J71" s="42">
        <v>46296</v>
      </c>
      <c r="K71" s="42">
        <v>46197</v>
      </c>
      <c r="L71" s="42"/>
      <c r="M71" s="42">
        <v>46179</v>
      </c>
      <c r="N71" s="42">
        <v>46256</v>
      </c>
      <c r="O71" s="43">
        <v>34</v>
      </c>
      <c r="P71" s="39">
        <v>79</v>
      </c>
      <c r="Q71" s="39" t="s">
        <v>76</v>
      </c>
      <c r="R71" s="39" t="s">
        <v>128</v>
      </c>
      <c r="S71" s="39" t="s">
        <v>76</v>
      </c>
    </row>
    <row r="72" spans="1:19" s="27" customFormat="1" x14ac:dyDescent="0.25" outlineLevel="1" collapsed="1">
      <c r="A72" s="39" t="s">
        <v>174</v>
      </c>
      <c r="B72" s="40" t="s">
        <v>121</v>
      </c>
      <c r="C72" s="39" t="s">
        <v>22</v>
      </c>
      <c r="D72" s="39" t="s">
        <v>30</v>
      </c>
      <c r="E72" s="39" t="s">
        <v>77</v>
      </c>
      <c r="F72" s="39">
        <v>41</v>
      </c>
      <c r="G72" s="39">
        <v>9</v>
      </c>
      <c r="H72" s="41">
        <v>0.77</v>
      </c>
      <c r="I72" s="42">
        <v>46226</v>
      </c>
      <c r="J72" s="42">
        <v>46307</v>
      </c>
      <c r="K72" s="42">
        <v>46226</v>
      </c>
      <c r="L72" s="42"/>
      <c r="M72" s="42">
        <v>46203</v>
      </c>
      <c r="N72" s="42">
        <v>46251</v>
      </c>
      <c r="O72" s="43">
        <v>47</v>
      </c>
      <c r="P72" s="39">
        <v>99</v>
      </c>
      <c r="Q72" s="39" t="s">
        <v>76</v>
      </c>
      <c r="R72" s="39" t="s">
        <v>128</v>
      </c>
      <c r="S72" s="39" t="s">
        <v>76</v>
      </c>
    </row>
    <row r="73" spans="1:19" s="27" customFormat="1" x14ac:dyDescent="0.25" outlineLevel="1" collapsed="1">
      <c r="A73" s="44" t="s">
        <v>175</v>
      </c>
      <c r="B73" s="45" t="s">
        <v>123</v>
      </c>
      <c r="C73" s="44" t="s">
        <v>22</v>
      </c>
      <c r="D73" s="44" t="s">
        <v>30</v>
      </c>
      <c r="E73" s="44" t="s">
        <v>85</v>
      </c>
      <c r="F73" s="44">
        <v>32</v>
      </c>
      <c r="G73" s="44">
        <v>32</v>
      </c>
      <c r="H73" s="46">
        <v>0</v>
      </c>
      <c r="I73" s="47">
        <v>46296</v>
      </c>
      <c r="J73" s="47">
        <v>46336</v>
      </c>
      <c r="K73" s="47"/>
      <c r="L73" s="47"/>
      <c r="M73" s="47">
        <v>46252</v>
      </c>
      <c r="N73" s="47">
        <v>46288</v>
      </c>
      <c r="O73" s="48">
        <v>38</v>
      </c>
      <c r="P73" s="44">
        <v>116</v>
      </c>
      <c r="Q73" s="44" t="s">
        <v>76</v>
      </c>
      <c r="R73" s="44" t="s">
        <v>176</v>
      </c>
      <c r="S73" s="44" t="s">
        <v>76</v>
      </c>
    </row>
    <row r="74" spans="1:19" s="27" customFormat="1" x14ac:dyDescent="0.25" outlineLevel="1" collapsed="1">
      <c r="A74" s="28" t="s">
        <v>177</v>
      </c>
      <c r="B74" s="38" t="s">
        <v>125</v>
      </c>
      <c r="C74" s="28" t="s">
        <v>22</v>
      </c>
      <c r="D74" s="28" t="s">
        <v>30</v>
      </c>
      <c r="E74" s="28" t="s">
        <v>85</v>
      </c>
      <c r="F74" s="28">
        <v>63</v>
      </c>
      <c r="G74" s="28">
        <v>63</v>
      </c>
      <c r="H74" s="30">
        <v>0</v>
      </c>
      <c r="I74" s="31">
        <v>46337</v>
      </c>
      <c r="J74" s="31">
        <v>46410</v>
      </c>
      <c r="K74" s="31"/>
      <c r="L74" s="31"/>
      <c r="M74" s="31">
        <v>46294</v>
      </c>
      <c r="N74" s="31">
        <v>46370</v>
      </c>
      <c r="O74" s="32">
        <v>34</v>
      </c>
      <c r="P74" s="28">
        <v>77</v>
      </c>
      <c r="Q74" s="28" t="s">
        <v>76</v>
      </c>
      <c r="R74" s="28" t="s">
        <v>76</v>
      </c>
      <c r="S74" s="28" t="s">
        <v>76</v>
      </c>
    </row>
    <row r="75" spans="1:19" s="27" customFormat="1" x14ac:dyDescent="0.25" outlineLevel="1" collapsed="1">
      <c r="A75" s="28" t="s">
        <v>178</v>
      </c>
      <c r="B75" s="38" t="s">
        <v>127</v>
      </c>
      <c r="C75" s="28" t="s">
        <v>22</v>
      </c>
      <c r="D75" s="28" t="s">
        <v>30</v>
      </c>
      <c r="E75" s="28" t="s">
        <v>85</v>
      </c>
      <c r="F75" s="28">
        <v>42</v>
      </c>
      <c r="G75" s="28">
        <v>42</v>
      </c>
      <c r="H75" s="30">
        <v>0</v>
      </c>
      <c r="I75" s="31">
        <v>46337</v>
      </c>
      <c r="J75" s="31">
        <v>46386</v>
      </c>
      <c r="K75" s="31"/>
      <c r="L75" s="31"/>
      <c r="M75" s="31">
        <v>46289</v>
      </c>
      <c r="N75" s="31">
        <v>46340</v>
      </c>
      <c r="O75" s="32">
        <v>38</v>
      </c>
      <c r="P75" s="28">
        <v>116</v>
      </c>
      <c r="Q75" s="28" t="s">
        <v>76</v>
      </c>
      <c r="R75" s="28" t="s">
        <v>76</v>
      </c>
      <c r="S75" s="28" t="s">
        <v>76</v>
      </c>
    </row>
    <row r="76" spans="1:19" s="27" customFormat="1" x14ac:dyDescent="0.25" outlineLevel="1" collapsed="1">
      <c r="A76" s="28" t="s">
        <v>179</v>
      </c>
      <c r="B76" s="38" t="s">
        <v>130</v>
      </c>
      <c r="C76" s="28" t="s">
        <v>22</v>
      </c>
      <c r="D76" s="28" t="s">
        <v>30</v>
      </c>
      <c r="E76" s="28" t="s">
        <v>85</v>
      </c>
      <c r="F76" s="28">
        <v>18</v>
      </c>
      <c r="G76" s="28">
        <v>18</v>
      </c>
      <c r="H76" s="30">
        <v>0</v>
      </c>
      <c r="I76" s="31">
        <v>46412</v>
      </c>
      <c r="J76" s="31">
        <v>46433</v>
      </c>
      <c r="K76" s="31"/>
      <c r="L76" s="31"/>
      <c r="M76" s="31">
        <v>46371</v>
      </c>
      <c r="N76" s="31">
        <v>46392</v>
      </c>
      <c r="O76" s="32">
        <v>34</v>
      </c>
      <c r="P76" s="28">
        <v>77</v>
      </c>
      <c r="Q76" s="28" t="s">
        <v>76</v>
      </c>
      <c r="R76" s="28" t="s">
        <v>76</v>
      </c>
      <c r="S76" s="28" t="s">
        <v>76</v>
      </c>
    </row>
    <row r="77" spans="1:19" s="27" customFormat="1" x14ac:dyDescent="0.25" outlineLevel="1" collapsed="1">
      <c r="A77" s="28" t="s">
        <v>180</v>
      </c>
      <c r="B77" s="38" t="s">
        <v>132</v>
      </c>
      <c r="C77" s="28" t="s">
        <v>22</v>
      </c>
      <c r="D77" s="28" t="s">
        <v>30</v>
      </c>
      <c r="E77" s="28" t="s">
        <v>85</v>
      </c>
      <c r="F77" s="28">
        <v>0</v>
      </c>
      <c r="G77" s="28">
        <v>0</v>
      </c>
      <c r="H77" s="30">
        <v>0</v>
      </c>
      <c r="I77" s="31">
        <v>46433</v>
      </c>
      <c r="J77" s="31">
        <v>46433</v>
      </c>
      <c r="K77" s="31"/>
      <c r="L77" s="31"/>
      <c r="M77" s="31">
        <v>46392</v>
      </c>
      <c r="N77" s="31">
        <v>46392</v>
      </c>
      <c r="O77" s="32">
        <v>34</v>
      </c>
      <c r="P77" s="28">
        <v>77</v>
      </c>
      <c r="Q77" s="28" t="s">
        <v>76</v>
      </c>
      <c r="R77" s="28" t="s">
        <v>76</v>
      </c>
      <c r="S77" s="28" t="s">
        <v>76</v>
      </c>
    </row>
    <row r="78" spans="1:19" x14ac:dyDescent="0.25">
      <c r="A78" s="23" t="s">
        <v>181</v>
      </c>
      <c r="B78" s="24" t="s">
        <v>23</v>
      </c>
      <c r="C78" s="23" t="s">
        <v>76</v>
      </c>
      <c r="D78" s="23" t="s">
        <v>76</v>
      </c>
      <c r="E78" s="23" t="s">
        <v>77</v>
      </c>
      <c r="F78" s="23">
        <v>253</v>
      </c>
      <c r="G78" s="23"/>
      <c r="H78" s="25">
        <v>0.5748653846153846</v>
      </c>
      <c r="I78" s="26">
        <v>46108</v>
      </c>
      <c r="J78" s="26">
        <v>46409</v>
      </c>
      <c r="K78" s="26">
        <v>46108</v>
      </c>
      <c r="L78" s="26"/>
      <c r="M78" s="26">
        <v>46099</v>
      </c>
      <c r="N78" s="26">
        <v>46357</v>
      </c>
      <c r="O78" s="23">
        <v>44</v>
      </c>
      <c r="P78" s="23">
        <v>83</v>
      </c>
      <c r="Q78" s="23" t="s">
        <v>76</v>
      </c>
      <c r="R78" s="23" t="s">
        <v>88</v>
      </c>
      <c r="S78" s="23" t="s">
        <v>76</v>
      </c>
    </row>
    <row r="79" spans="1:19" x14ac:dyDescent="0.25">
      <c r="A79" s="34" t="s">
        <v>182</v>
      </c>
      <c r="B79" s="35" t="s">
        <v>28</v>
      </c>
      <c r="C79" s="34" t="s">
        <v>76</v>
      </c>
      <c r="D79" s="34" t="s">
        <v>76</v>
      </c>
      <c r="E79" s="34" t="s">
        <v>4</v>
      </c>
      <c r="F79" s="34">
        <v>76</v>
      </c>
      <c r="G79" s="34"/>
      <c r="H79" s="36">
        <v>1</v>
      </c>
      <c r="I79" s="37">
        <v>46122</v>
      </c>
      <c r="J79" s="37">
        <v>46210</v>
      </c>
      <c r="K79" s="37">
        <v>46122</v>
      </c>
      <c r="L79" s="37">
        <v>46210</v>
      </c>
      <c r="M79" s="37">
        <v>46113</v>
      </c>
      <c r="N79" s="37">
        <v>46190</v>
      </c>
      <c r="O79" s="34">
        <v>17</v>
      </c>
      <c r="P79" s="34"/>
      <c r="Q79" s="34" t="s">
        <v>76</v>
      </c>
      <c r="R79" s="34" t="s">
        <v>90</v>
      </c>
      <c r="S79" s="34" t="s">
        <v>76</v>
      </c>
    </row>
    <row r="80" spans="1:19" s="27" customFormat="1" x14ac:dyDescent="0.25" outlineLevel="1" collapsed="1">
      <c r="A80" s="28" t="s">
        <v>183</v>
      </c>
      <c r="B80" s="38" t="s">
        <v>92</v>
      </c>
      <c r="C80" s="28" t="s">
        <v>23</v>
      </c>
      <c r="D80" s="28" t="s">
        <v>28</v>
      </c>
      <c r="E80" s="28" t="s">
        <v>4</v>
      </c>
      <c r="F80" s="28">
        <v>20</v>
      </c>
      <c r="G80" s="28">
        <v>0</v>
      </c>
      <c r="H80" s="30">
        <v>1</v>
      </c>
      <c r="I80" s="31">
        <v>46122</v>
      </c>
      <c r="J80" s="31">
        <v>46155</v>
      </c>
      <c r="K80" s="31">
        <v>46122</v>
      </c>
      <c r="L80" s="31">
        <v>46155</v>
      </c>
      <c r="M80" s="31">
        <v>46113</v>
      </c>
      <c r="N80" s="31">
        <v>46141</v>
      </c>
      <c r="O80" s="32">
        <v>10</v>
      </c>
      <c r="P80" s="28"/>
      <c r="Q80" s="28" t="s">
        <v>76</v>
      </c>
      <c r="R80" s="28" t="s">
        <v>76</v>
      </c>
      <c r="S80" s="28" t="s">
        <v>76</v>
      </c>
    </row>
    <row r="81" spans="1:19" s="27" customFormat="1" x14ac:dyDescent="0.25" outlineLevel="1" collapsed="1">
      <c r="A81" s="28" t="s">
        <v>184</v>
      </c>
      <c r="B81" s="38" t="s">
        <v>94</v>
      </c>
      <c r="C81" s="28" t="s">
        <v>23</v>
      </c>
      <c r="D81" s="28" t="s">
        <v>28</v>
      </c>
      <c r="E81" s="28" t="s">
        <v>4</v>
      </c>
      <c r="F81" s="28">
        <v>26</v>
      </c>
      <c r="G81" s="28">
        <v>0</v>
      </c>
      <c r="H81" s="30">
        <v>1</v>
      </c>
      <c r="I81" s="31">
        <v>46139</v>
      </c>
      <c r="J81" s="31">
        <v>46174</v>
      </c>
      <c r="K81" s="31">
        <v>46139</v>
      </c>
      <c r="L81" s="31">
        <v>46174</v>
      </c>
      <c r="M81" s="31">
        <v>46121</v>
      </c>
      <c r="N81" s="31">
        <v>46156</v>
      </c>
      <c r="O81" s="32">
        <v>12</v>
      </c>
      <c r="P81" s="28"/>
      <c r="Q81" s="28" t="s">
        <v>76</v>
      </c>
      <c r="R81" s="28" t="s">
        <v>76</v>
      </c>
      <c r="S81" s="28" t="s">
        <v>76</v>
      </c>
    </row>
    <row r="82" spans="1:19" s="27" customFormat="1" x14ac:dyDescent="0.25" outlineLevel="1" collapsed="1">
      <c r="A82" s="28" t="s">
        <v>185</v>
      </c>
      <c r="B82" s="38" t="s">
        <v>96</v>
      </c>
      <c r="C82" s="28" t="s">
        <v>23</v>
      </c>
      <c r="D82" s="28" t="s">
        <v>28</v>
      </c>
      <c r="E82" s="28" t="s">
        <v>4</v>
      </c>
      <c r="F82" s="28">
        <v>35</v>
      </c>
      <c r="G82" s="28">
        <v>0</v>
      </c>
      <c r="H82" s="30">
        <v>1</v>
      </c>
      <c r="I82" s="31">
        <v>46164</v>
      </c>
      <c r="J82" s="31">
        <v>46210</v>
      </c>
      <c r="K82" s="31">
        <v>46164</v>
      </c>
      <c r="L82" s="31">
        <v>46210</v>
      </c>
      <c r="M82" s="31">
        <v>46142</v>
      </c>
      <c r="N82" s="31">
        <v>46190</v>
      </c>
      <c r="O82" s="32">
        <v>14</v>
      </c>
      <c r="P82" s="28"/>
      <c r="Q82" s="28" t="s">
        <v>76</v>
      </c>
      <c r="R82" s="28" t="s">
        <v>76</v>
      </c>
      <c r="S82" s="28" t="s">
        <v>76</v>
      </c>
    </row>
    <row r="83" spans="1:19" s="27" customFormat="1" x14ac:dyDescent="0.25" outlineLevel="1" collapsed="1">
      <c r="A83" s="28" t="s">
        <v>186</v>
      </c>
      <c r="B83" s="38" t="s">
        <v>98</v>
      </c>
      <c r="C83" s="28" t="s">
        <v>23</v>
      </c>
      <c r="D83" s="28" t="s">
        <v>28</v>
      </c>
      <c r="E83" s="28" t="s">
        <v>4</v>
      </c>
      <c r="F83" s="28">
        <v>12</v>
      </c>
      <c r="G83" s="28">
        <v>0</v>
      </c>
      <c r="H83" s="30">
        <v>1</v>
      </c>
      <c r="I83" s="31">
        <v>46185</v>
      </c>
      <c r="J83" s="31">
        <v>46210</v>
      </c>
      <c r="K83" s="31">
        <v>46185</v>
      </c>
      <c r="L83" s="31">
        <v>46210</v>
      </c>
      <c r="M83" s="31">
        <v>46175</v>
      </c>
      <c r="N83" s="31">
        <v>46190</v>
      </c>
      <c r="O83" s="32">
        <v>14</v>
      </c>
      <c r="P83" s="28"/>
      <c r="Q83" s="28" t="s">
        <v>76</v>
      </c>
      <c r="R83" s="28" t="s">
        <v>76</v>
      </c>
      <c r="S83" s="28" t="s">
        <v>76</v>
      </c>
    </row>
    <row r="84" spans="1:19" x14ac:dyDescent="0.25">
      <c r="A84" s="34" t="s">
        <v>187</v>
      </c>
      <c r="B84" s="35" t="s">
        <v>29</v>
      </c>
      <c r="C84" s="34" t="s">
        <v>76</v>
      </c>
      <c r="D84" s="34" t="s">
        <v>76</v>
      </c>
      <c r="E84" s="34" t="s">
        <v>77</v>
      </c>
      <c r="F84" s="34">
        <v>128</v>
      </c>
      <c r="G84" s="34"/>
      <c r="H84" s="36">
        <v>0.7783783783783782</v>
      </c>
      <c r="I84" s="37">
        <v>46183</v>
      </c>
      <c r="J84" s="37">
        <v>46336</v>
      </c>
      <c r="K84" s="37">
        <v>46183</v>
      </c>
      <c r="L84" s="37"/>
      <c r="M84" s="37">
        <v>46157</v>
      </c>
      <c r="N84" s="37">
        <v>46281</v>
      </c>
      <c r="O84" s="34">
        <v>44</v>
      </c>
      <c r="P84" s="34">
        <v>83</v>
      </c>
      <c r="Q84" s="34" t="s">
        <v>76</v>
      </c>
      <c r="R84" s="34" t="s">
        <v>90</v>
      </c>
      <c r="S84" s="34" t="s">
        <v>76</v>
      </c>
    </row>
    <row r="85" spans="1:19" s="27" customFormat="1" x14ac:dyDescent="0.25" outlineLevel="1" collapsed="1">
      <c r="A85" s="28" t="s">
        <v>188</v>
      </c>
      <c r="B85" s="38" t="s">
        <v>101</v>
      </c>
      <c r="C85" s="28" t="s">
        <v>23</v>
      </c>
      <c r="D85" s="28" t="s">
        <v>29</v>
      </c>
      <c r="E85" s="28" t="s">
        <v>4</v>
      </c>
      <c r="F85" s="28">
        <v>12</v>
      </c>
      <c r="G85" s="28">
        <v>0</v>
      </c>
      <c r="H85" s="30">
        <v>1</v>
      </c>
      <c r="I85" s="31">
        <v>46183</v>
      </c>
      <c r="J85" s="31">
        <v>46196</v>
      </c>
      <c r="K85" s="31">
        <v>46183</v>
      </c>
      <c r="L85" s="31">
        <v>46196</v>
      </c>
      <c r="M85" s="31">
        <v>46157</v>
      </c>
      <c r="N85" s="31">
        <v>46170</v>
      </c>
      <c r="O85" s="32">
        <v>22</v>
      </c>
      <c r="P85" s="28"/>
      <c r="Q85" s="28" t="s">
        <v>76</v>
      </c>
      <c r="R85" s="28" t="s">
        <v>76</v>
      </c>
      <c r="S85" s="28" t="s">
        <v>76</v>
      </c>
    </row>
    <row r="86" spans="1:19" s="27" customFormat="1" x14ac:dyDescent="0.25" outlineLevel="1" collapsed="1">
      <c r="A86" s="39" t="s">
        <v>189</v>
      </c>
      <c r="B86" s="40" t="s">
        <v>103</v>
      </c>
      <c r="C86" s="39" t="s">
        <v>23</v>
      </c>
      <c r="D86" s="39" t="s">
        <v>29</v>
      </c>
      <c r="E86" s="39" t="s">
        <v>77</v>
      </c>
      <c r="F86" s="39">
        <v>59</v>
      </c>
      <c r="G86" s="39">
        <v>1</v>
      </c>
      <c r="H86" s="41">
        <v>0.98</v>
      </c>
      <c r="I86" s="42">
        <v>46204</v>
      </c>
      <c r="J86" s="42">
        <v>46296</v>
      </c>
      <c r="K86" s="42">
        <v>46204</v>
      </c>
      <c r="L86" s="42"/>
      <c r="M86" s="42">
        <v>46171</v>
      </c>
      <c r="N86" s="42">
        <v>46239</v>
      </c>
      <c r="O86" s="43">
        <v>48</v>
      </c>
      <c r="P86" s="39">
        <v>83</v>
      </c>
      <c r="Q86" s="39" t="s">
        <v>76</v>
      </c>
      <c r="R86" s="39" t="s">
        <v>128</v>
      </c>
      <c r="S86" s="39" t="s">
        <v>76</v>
      </c>
    </row>
    <row r="87" spans="1:19" s="27" customFormat="1" x14ac:dyDescent="0.25" outlineLevel="1" collapsed="1">
      <c r="A87" s="28" t="s">
        <v>190</v>
      </c>
      <c r="B87" s="38" t="s">
        <v>105</v>
      </c>
      <c r="C87" s="28" t="s">
        <v>23</v>
      </c>
      <c r="D87" s="28" t="s">
        <v>29</v>
      </c>
      <c r="E87" s="28" t="s">
        <v>4</v>
      </c>
      <c r="F87" s="28">
        <v>15</v>
      </c>
      <c r="G87" s="28">
        <v>0</v>
      </c>
      <c r="H87" s="30">
        <v>1</v>
      </c>
      <c r="I87" s="31">
        <v>46217</v>
      </c>
      <c r="J87" s="31">
        <v>46232</v>
      </c>
      <c r="K87" s="31">
        <v>46217</v>
      </c>
      <c r="L87" s="31">
        <v>46232</v>
      </c>
      <c r="M87" s="31">
        <v>46191</v>
      </c>
      <c r="N87" s="31">
        <v>46207</v>
      </c>
      <c r="O87" s="32">
        <v>21</v>
      </c>
      <c r="P87" s="28"/>
      <c r="Q87" s="28" t="s">
        <v>76</v>
      </c>
      <c r="R87" s="28" t="s">
        <v>76</v>
      </c>
      <c r="S87" s="28" t="s">
        <v>76</v>
      </c>
    </row>
    <row r="88" spans="1:19" s="27" customFormat="1" x14ac:dyDescent="0.25" outlineLevel="1" collapsed="1">
      <c r="A88" s="28" t="s">
        <v>191</v>
      </c>
      <c r="B88" s="38" t="s">
        <v>107</v>
      </c>
      <c r="C88" s="28" t="s">
        <v>23</v>
      </c>
      <c r="D88" s="28" t="s">
        <v>29</v>
      </c>
      <c r="E88" s="28" t="s">
        <v>77</v>
      </c>
      <c r="F88" s="28">
        <v>62</v>
      </c>
      <c r="G88" s="28">
        <v>32</v>
      </c>
      <c r="H88" s="30">
        <v>0.49</v>
      </c>
      <c r="I88" s="31">
        <v>46241</v>
      </c>
      <c r="J88" s="31">
        <v>46336</v>
      </c>
      <c r="K88" s="31">
        <v>46241</v>
      </c>
      <c r="L88" s="31"/>
      <c r="M88" s="31">
        <v>46209</v>
      </c>
      <c r="N88" s="31">
        <v>46281</v>
      </c>
      <c r="O88" s="32">
        <v>44</v>
      </c>
      <c r="P88" s="28">
        <v>96</v>
      </c>
      <c r="Q88" s="28" t="s">
        <v>76</v>
      </c>
      <c r="R88" s="28" t="s">
        <v>5</v>
      </c>
      <c r="S88" s="28" t="s">
        <v>76</v>
      </c>
    </row>
    <row r="89" spans="1:19" x14ac:dyDescent="0.25">
      <c r="A89" s="34" t="s">
        <v>192</v>
      </c>
      <c r="B89" s="35" t="s">
        <v>30</v>
      </c>
      <c r="C89" s="34" t="s">
        <v>76</v>
      </c>
      <c r="D89" s="34" t="s">
        <v>76</v>
      </c>
      <c r="E89" s="34" t="s">
        <v>77</v>
      </c>
      <c r="F89" s="34">
        <v>253</v>
      </c>
      <c r="G89" s="34"/>
      <c r="H89" s="36">
        <v>0.32519713261648747</v>
      </c>
      <c r="I89" s="37">
        <v>46108</v>
      </c>
      <c r="J89" s="37">
        <v>46409</v>
      </c>
      <c r="K89" s="37">
        <v>46108</v>
      </c>
      <c r="L89" s="37"/>
      <c r="M89" s="37">
        <v>46099</v>
      </c>
      <c r="N89" s="37">
        <v>46357</v>
      </c>
      <c r="O89" s="34">
        <v>44</v>
      </c>
      <c r="P89" s="34">
        <v>96</v>
      </c>
      <c r="Q89" s="34" t="s">
        <v>76</v>
      </c>
      <c r="R89" s="34" t="s">
        <v>109</v>
      </c>
      <c r="S89" s="34" t="s">
        <v>76</v>
      </c>
    </row>
    <row r="90" spans="1:19" s="27" customFormat="1" x14ac:dyDescent="0.25" outlineLevel="1" collapsed="1">
      <c r="A90" s="28" t="s">
        <v>193</v>
      </c>
      <c r="B90" s="38" t="s">
        <v>111</v>
      </c>
      <c r="C90" s="28" t="s">
        <v>23</v>
      </c>
      <c r="D90" s="28" t="s">
        <v>30</v>
      </c>
      <c r="E90" s="28" t="s">
        <v>4</v>
      </c>
      <c r="F90" s="28">
        <v>5</v>
      </c>
      <c r="G90" s="28">
        <v>0</v>
      </c>
      <c r="H90" s="30">
        <v>1</v>
      </c>
      <c r="I90" s="31">
        <v>46108</v>
      </c>
      <c r="J90" s="31">
        <v>46113</v>
      </c>
      <c r="K90" s="31">
        <v>46108</v>
      </c>
      <c r="L90" s="31">
        <v>46113</v>
      </c>
      <c r="M90" s="31">
        <v>46099</v>
      </c>
      <c r="N90" s="31">
        <v>46104</v>
      </c>
      <c r="O90" s="32">
        <v>8</v>
      </c>
      <c r="P90" s="28"/>
      <c r="Q90" s="28" t="s">
        <v>76</v>
      </c>
      <c r="R90" s="28" t="s">
        <v>76</v>
      </c>
      <c r="S90" s="28" t="s">
        <v>76</v>
      </c>
    </row>
    <row r="91" spans="1:19" s="27" customFormat="1" x14ac:dyDescent="0.25" outlineLevel="1" collapsed="1">
      <c r="A91" s="28" t="s">
        <v>194</v>
      </c>
      <c r="B91" s="38" t="s">
        <v>113</v>
      </c>
      <c r="C91" s="28" t="s">
        <v>23</v>
      </c>
      <c r="D91" s="28" t="s">
        <v>30</v>
      </c>
      <c r="E91" s="28" t="s">
        <v>4</v>
      </c>
      <c r="F91" s="28">
        <v>18</v>
      </c>
      <c r="G91" s="28">
        <v>0</v>
      </c>
      <c r="H91" s="30">
        <v>1</v>
      </c>
      <c r="I91" s="31">
        <v>46157</v>
      </c>
      <c r="J91" s="31">
        <v>46182</v>
      </c>
      <c r="K91" s="31">
        <v>46157</v>
      </c>
      <c r="L91" s="31">
        <v>46182</v>
      </c>
      <c r="M91" s="31">
        <v>46133</v>
      </c>
      <c r="N91" s="31">
        <v>46153</v>
      </c>
      <c r="O91" s="32">
        <v>25</v>
      </c>
      <c r="P91" s="28"/>
      <c r="Q91" s="28" t="s">
        <v>76</v>
      </c>
      <c r="R91" s="28" t="s">
        <v>76</v>
      </c>
      <c r="S91" s="28" t="s">
        <v>76</v>
      </c>
    </row>
    <row r="92" spans="1:19" s="27" customFormat="1" x14ac:dyDescent="0.25" outlineLevel="1" collapsed="1">
      <c r="A92" s="28" t="s">
        <v>195</v>
      </c>
      <c r="B92" s="38" t="s">
        <v>115</v>
      </c>
      <c r="C92" s="28" t="s">
        <v>23</v>
      </c>
      <c r="D92" s="28" t="s">
        <v>30</v>
      </c>
      <c r="E92" s="28" t="s">
        <v>4</v>
      </c>
      <c r="F92" s="28">
        <v>29</v>
      </c>
      <c r="G92" s="28">
        <v>0</v>
      </c>
      <c r="H92" s="30">
        <v>1</v>
      </c>
      <c r="I92" s="31">
        <v>46176</v>
      </c>
      <c r="J92" s="31">
        <v>46212</v>
      </c>
      <c r="K92" s="31">
        <v>46176</v>
      </c>
      <c r="L92" s="31">
        <v>46212</v>
      </c>
      <c r="M92" s="31">
        <v>46141</v>
      </c>
      <c r="N92" s="31">
        <v>46174</v>
      </c>
      <c r="O92" s="32">
        <v>33</v>
      </c>
      <c r="P92" s="28"/>
      <c r="Q92" s="28" t="s">
        <v>76</v>
      </c>
      <c r="R92" s="28" t="s">
        <v>76</v>
      </c>
      <c r="S92" s="28" t="s">
        <v>76</v>
      </c>
    </row>
    <row r="93" spans="1:19" s="27" customFormat="1" x14ac:dyDescent="0.25" outlineLevel="1" collapsed="1">
      <c r="A93" s="28" t="s">
        <v>196</v>
      </c>
      <c r="B93" s="38" t="s">
        <v>117</v>
      </c>
      <c r="C93" s="28" t="s">
        <v>23</v>
      </c>
      <c r="D93" s="28" t="s">
        <v>30</v>
      </c>
      <c r="E93" s="28" t="s">
        <v>4</v>
      </c>
      <c r="F93" s="28">
        <v>17</v>
      </c>
      <c r="G93" s="28">
        <v>0</v>
      </c>
      <c r="H93" s="30">
        <v>1</v>
      </c>
      <c r="I93" s="31">
        <v>46224</v>
      </c>
      <c r="J93" s="31">
        <v>46242</v>
      </c>
      <c r="K93" s="31">
        <v>46224</v>
      </c>
      <c r="L93" s="31">
        <v>46242</v>
      </c>
      <c r="M93" s="31">
        <v>46175</v>
      </c>
      <c r="N93" s="31">
        <v>46193</v>
      </c>
      <c r="O93" s="32">
        <v>42</v>
      </c>
      <c r="P93" s="28"/>
      <c r="Q93" s="28" t="s">
        <v>76</v>
      </c>
      <c r="R93" s="28" t="s">
        <v>76</v>
      </c>
      <c r="S93" s="28" t="s">
        <v>76</v>
      </c>
    </row>
    <row r="94" spans="1:19" s="27" customFormat="1" x14ac:dyDescent="0.25" outlineLevel="1" collapsed="1">
      <c r="A94" s="28" t="s">
        <v>197</v>
      </c>
      <c r="B94" s="38" t="s">
        <v>119</v>
      </c>
      <c r="C94" s="28" t="s">
        <v>23</v>
      </c>
      <c r="D94" s="28" t="s">
        <v>30</v>
      </c>
      <c r="E94" s="28" t="s">
        <v>77</v>
      </c>
      <c r="F94" s="28">
        <v>53</v>
      </c>
      <c r="G94" s="28">
        <v>31</v>
      </c>
      <c r="H94" s="30">
        <v>0.41</v>
      </c>
      <c r="I94" s="31">
        <v>46253</v>
      </c>
      <c r="J94" s="31">
        <v>46333</v>
      </c>
      <c r="K94" s="31">
        <v>46253</v>
      </c>
      <c r="L94" s="31"/>
      <c r="M94" s="31">
        <v>46195</v>
      </c>
      <c r="N94" s="31">
        <v>46256</v>
      </c>
      <c r="O94" s="32">
        <v>64</v>
      </c>
      <c r="P94" s="28">
        <v>98</v>
      </c>
      <c r="Q94" s="28" t="s">
        <v>76</v>
      </c>
      <c r="R94" s="28" t="s">
        <v>5</v>
      </c>
      <c r="S94" s="28" t="s">
        <v>76</v>
      </c>
    </row>
    <row r="95" spans="1:19" s="27" customFormat="1" x14ac:dyDescent="0.25" outlineLevel="1" collapsed="1">
      <c r="A95" s="44" t="s">
        <v>198</v>
      </c>
      <c r="B95" s="45" t="s">
        <v>121</v>
      </c>
      <c r="C95" s="44" t="s">
        <v>23</v>
      </c>
      <c r="D95" s="44" t="s">
        <v>30</v>
      </c>
      <c r="E95" s="44" t="s">
        <v>85</v>
      </c>
      <c r="F95" s="44">
        <v>32</v>
      </c>
      <c r="G95" s="44">
        <v>32</v>
      </c>
      <c r="H95" s="46">
        <v>0</v>
      </c>
      <c r="I95" s="47">
        <v>46296</v>
      </c>
      <c r="J95" s="47">
        <v>46336</v>
      </c>
      <c r="K95" s="47"/>
      <c r="L95" s="47"/>
      <c r="M95" s="47">
        <v>46218</v>
      </c>
      <c r="N95" s="47">
        <v>46255</v>
      </c>
      <c r="O95" s="48">
        <v>66</v>
      </c>
      <c r="P95" s="44">
        <v>118</v>
      </c>
      <c r="Q95" s="44" t="s">
        <v>76</v>
      </c>
      <c r="R95" s="44" t="s">
        <v>176</v>
      </c>
      <c r="S95" s="44" t="s">
        <v>76</v>
      </c>
    </row>
    <row r="96" spans="1:19" s="27" customFormat="1" x14ac:dyDescent="0.25" outlineLevel="1" collapsed="1">
      <c r="A96" s="28" t="s">
        <v>199</v>
      </c>
      <c r="B96" s="38" t="s">
        <v>123</v>
      </c>
      <c r="C96" s="28" t="s">
        <v>23</v>
      </c>
      <c r="D96" s="28" t="s">
        <v>30</v>
      </c>
      <c r="E96" s="28" t="s">
        <v>85</v>
      </c>
      <c r="F96" s="28">
        <v>23</v>
      </c>
      <c r="G96" s="28">
        <v>23</v>
      </c>
      <c r="H96" s="30">
        <v>0</v>
      </c>
      <c r="I96" s="31">
        <v>46329</v>
      </c>
      <c r="J96" s="31">
        <v>46356</v>
      </c>
      <c r="K96" s="31"/>
      <c r="L96" s="31"/>
      <c r="M96" s="31">
        <v>46252</v>
      </c>
      <c r="N96" s="31">
        <v>46277</v>
      </c>
      <c r="O96" s="32">
        <v>64</v>
      </c>
      <c r="P96" s="28">
        <v>101</v>
      </c>
      <c r="Q96" s="28" t="s">
        <v>76</v>
      </c>
      <c r="R96" s="28" t="s">
        <v>76</v>
      </c>
      <c r="S96" s="28" t="s">
        <v>76</v>
      </c>
    </row>
    <row r="97" spans="1:19" s="27" customFormat="1" x14ac:dyDescent="0.25" outlineLevel="1" collapsed="1">
      <c r="A97" s="28" t="s">
        <v>200</v>
      </c>
      <c r="B97" s="38" t="s">
        <v>125</v>
      </c>
      <c r="C97" s="28" t="s">
        <v>23</v>
      </c>
      <c r="D97" s="28" t="s">
        <v>30</v>
      </c>
      <c r="E97" s="28" t="s">
        <v>85</v>
      </c>
      <c r="F97" s="28">
        <v>48</v>
      </c>
      <c r="G97" s="28">
        <v>48</v>
      </c>
      <c r="H97" s="30">
        <v>0</v>
      </c>
      <c r="I97" s="31">
        <v>46337</v>
      </c>
      <c r="J97" s="31">
        <v>46393</v>
      </c>
      <c r="K97" s="31"/>
      <c r="L97" s="31"/>
      <c r="M97" s="31">
        <v>46282</v>
      </c>
      <c r="N97" s="31">
        <v>46340</v>
      </c>
      <c r="O97" s="32">
        <v>44</v>
      </c>
      <c r="P97" s="28">
        <v>96</v>
      </c>
      <c r="Q97" s="28" t="s">
        <v>76</v>
      </c>
      <c r="R97" s="28" t="s">
        <v>76</v>
      </c>
      <c r="S97" s="28" t="s">
        <v>76</v>
      </c>
    </row>
    <row r="98" spans="1:19" s="27" customFormat="1" x14ac:dyDescent="0.25" outlineLevel="1" collapsed="1">
      <c r="A98" s="28" t="s">
        <v>201</v>
      </c>
      <c r="B98" s="38" t="s">
        <v>127</v>
      </c>
      <c r="C98" s="28" t="s">
        <v>23</v>
      </c>
      <c r="D98" s="28" t="s">
        <v>30</v>
      </c>
      <c r="E98" s="28" t="s">
        <v>85</v>
      </c>
      <c r="F98" s="28">
        <v>40</v>
      </c>
      <c r="G98" s="28">
        <v>40</v>
      </c>
      <c r="H98" s="30">
        <v>0</v>
      </c>
      <c r="I98" s="31">
        <v>46357</v>
      </c>
      <c r="J98" s="31">
        <v>46403</v>
      </c>
      <c r="K98" s="31"/>
      <c r="L98" s="31"/>
      <c r="M98" s="31">
        <v>46279</v>
      </c>
      <c r="N98" s="31">
        <v>46326</v>
      </c>
      <c r="O98" s="32">
        <v>64</v>
      </c>
      <c r="P98" s="28">
        <v>101</v>
      </c>
      <c r="Q98" s="28" t="s">
        <v>76</v>
      </c>
      <c r="R98" s="28" t="s">
        <v>76</v>
      </c>
      <c r="S98" s="28" t="s">
        <v>76</v>
      </c>
    </row>
    <row r="99" spans="1:19" s="27" customFormat="1" x14ac:dyDescent="0.25" outlineLevel="1" collapsed="1">
      <c r="A99" s="28" t="s">
        <v>202</v>
      </c>
      <c r="B99" s="38" t="s">
        <v>130</v>
      </c>
      <c r="C99" s="28" t="s">
        <v>23</v>
      </c>
      <c r="D99" s="28" t="s">
        <v>30</v>
      </c>
      <c r="E99" s="28" t="s">
        <v>85</v>
      </c>
      <c r="F99" s="28">
        <v>14</v>
      </c>
      <c r="G99" s="28">
        <v>14</v>
      </c>
      <c r="H99" s="30">
        <v>0</v>
      </c>
      <c r="I99" s="31">
        <v>46394</v>
      </c>
      <c r="J99" s="31">
        <v>46409</v>
      </c>
      <c r="K99" s="31"/>
      <c r="L99" s="31"/>
      <c r="M99" s="31">
        <v>46342</v>
      </c>
      <c r="N99" s="31">
        <v>46357</v>
      </c>
      <c r="O99" s="32">
        <v>44</v>
      </c>
      <c r="P99" s="28">
        <v>96</v>
      </c>
      <c r="Q99" s="28" t="s">
        <v>76</v>
      </c>
      <c r="R99" s="28" t="s">
        <v>76</v>
      </c>
      <c r="S99" s="28" t="s">
        <v>76</v>
      </c>
    </row>
    <row r="100" spans="1:19" s="27" customFormat="1" x14ac:dyDescent="0.25" outlineLevel="1" collapsed="1">
      <c r="A100" s="28" t="s">
        <v>203</v>
      </c>
      <c r="B100" s="38" t="s">
        <v>132</v>
      </c>
      <c r="C100" s="28" t="s">
        <v>23</v>
      </c>
      <c r="D100" s="28" t="s">
        <v>30</v>
      </c>
      <c r="E100" s="28" t="s">
        <v>85</v>
      </c>
      <c r="F100" s="28">
        <v>0</v>
      </c>
      <c r="G100" s="28">
        <v>0</v>
      </c>
      <c r="H100" s="30">
        <v>0</v>
      </c>
      <c r="I100" s="31">
        <v>46409</v>
      </c>
      <c r="J100" s="31">
        <v>46409</v>
      </c>
      <c r="K100" s="31"/>
      <c r="L100" s="31"/>
      <c r="M100" s="31">
        <v>46357</v>
      </c>
      <c r="N100" s="31">
        <v>46357</v>
      </c>
      <c r="O100" s="32">
        <v>44</v>
      </c>
      <c r="P100" s="28">
        <v>96</v>
      </c>
      <c r="Q100" s="28" t="s">
        <v>76</v>
      </c>
      <c r="R100" s="28" t="s">
        <v>76</v>
      </c>
      <c r="S100" s="28" t="s">
        <v>76</v>
      </c>
    </row>
    <row r="101" spans="1:19" x14ac:dyDescent="0.25">
      <c r="A101" s="23" t="s">
        <v>204</v>
      </c>
      <c r="B101" s="24" t="s">
        <v>24</v>
      </c>
      <c r="C101" s="23" t="s">
        <v>76</v>
      </c>
      <c r="D101" s="23" t="s">
        <v>76</v>
      </c>
      <c r="E101" s="23" t="s">
        <v>77</v>
      </c>
      <c r="F101" s="23">
        <v>314</v>
      </c>
      <c r="G101" s="23"/>
      <c r="H101" s="25">
        <v>0.36577531645569616</v>
      </c>
      <c r="I101" s="26">
        <v>46137</v>
      </c>
      <c r="J101" s="26">
        <v>46511</v>
      </c>
      <c r="K101" s="26">
        <v>46137</v>
      </c>
      <c r="L101" s="26"/>
      <c r="M101" s="26">
        <v>46135</v>
      </c>
      <c r="N101" s="26">
        <v>46463</v>
      </c>
      <c r="O101" s="23">
        <v>40</v>
      </c>
      <c r="P101" s="23">
        <v>11</v>
      </c>
      <c r="Q101" s="23" t="s">
        <v>76</v>
      </c>
      <c r="R101" s="23" t="s">
        <v>88</v>
      </c>
      <c r="S101" s="23" t="s">
        <v>76</v>
      </c>
    </row>
    <row r="102" spans="1:19" x14ac:dyDescent="0.25">
      <c r="A102" s="34" t="s">
        <v>205</v>
      </c>
      <c r="B102" s="35" t="s">
        <v>28</v>
      </c>
      <c r="C102" s="34" t="s">
        <v>76</v>
      </c>
      <c r="D102" s="34" t="s">
        <v>76</v>
      </c>
      <c r="E102" s="34" t="s">
        <v>4</v>
      </c>
      <c r="F102" s="34">
        <v>78</v>
      </c>
      <c r="G102" s="34"/>
      <c r="H102" s="36">
        <v>1</v>
      </c>
      <c r="I102" s="37">
        <v>46156</v>
      </c>
      <c r="J102" s="37">
        <v>46246</v>
      </c>
      <c r="K102" s="37">
        <v>46156</v>
      </c>
      <c r="L102" s="37">
        <v>46246</v>
      </c>
      <c r="M102" s="37">
        <v>46156</v>
      </c>
      <c r="N102" s="37">
        <v>46241</v>
      </c>
      <c r="O102" s="34">
        <v>4</v>
      </c>
      <c r="P102" s="34"/>
      <c r="Q102" s="34" t="s">
        <v>76</v>
      </c>
      <c r="R102" s="34" t="s">
        <v>90</v>
      </c>
      <c r="S102" s="34" t="s">
        <v>76</v>
      </c>
    </row>
    <row r="103" spans="1:19" s="27" customFormat="1" x14ac:dyDescent="0.25" outlineLevel="1" collapsed="1">
      <c r="A103" s="28" t="s">
        <v>206</v>
      </c>
      <c r="B103" s="38" t="s">
        <v>92</v>
      </c>
      <c r="C103" s="28" t="s">
        <v>24</v>
      </c>
      <c r="D103" s="28" t="s">
        <v>28</v>
      </c>
      <c r="E103" s="28" t="s">
        <v>4</v>
      </c>
      <c r="F103" s="28">
        <v>24</v>
      </c>
      <c r="G103" s="28">
        <v>0</v>
      </c>
      <c r="H103" s="30">
        <v>1</v>
      </c>
      <c r="I103" s="31">
        <v>46156</v>
      </c>
      <c r="J103" s="31">
        <v>46188</v>
      </c>
      <c r="K103" s="31">
        <v>46156</v>
      </c>
      <c r="L103" s="31">
        <v>46188</v>
      </c>
      <c r="M103" s="31">
        <v>46156</v>
      </c>
      <c r="N103" s="31">
        <v>46189</v>
      </c>
      <c r="O103" s="28">
        <v>-1</v>
      </c>
      <c r="P103" s="28"/>
      <c r="Q103" s="28" t="s">
        <v>76</v>
      </c>
      <c r="R103" s="28" t="s">
        <v>76</v>
      </c>
      <c r="S103" s="28" t="s">
        <v>76</v>
      </c>
    </row>
    <row r="104" spans="1:19" s="27" customFormat="1" x14ac:dyDescent="0.25" outlineLevel="1" collapsed="1">
      <c r="A104" s="28" t="s">
        <v>207</v>
      </c>
      <c r="B104" s="38" t="s">
        <v>94</v>
      </c>
      <c r="C104" s="28" t="s">
        <v>24</v>
      </c>
      <c r="D104" s="28" t="s">
        <v>28</v>
      </c>
      <c r="E104" s="28" t="s">
        <v>4</v>
      </c>
      <c r="F104" s="28">
        <v>35</v>
      </c>
      <c r="G104" s="28">
        <v>0</v>
      </c>
      <c r="H104" s="30">
        <v>1</v>
      </c>
      <c r="I104" s="31">
        <v>46164</v>
      </c>
      <c r="J104" s="31">
        <v>46219</v>
      </c>
      <c r="K104" s="31">
        <v>46164</v>
      </c>
      <c r="L104" s="31">
        <v>46219</v>
      </c>
      <c r="M104" s="31">
        <v>46163</v>
      </c>
      <c r="N104" s="31">
        <v>46211</v>
      </c>
      <c r="O104" s="32">
        <v>6</v>
      </c>
      <c r="P104" s="28"/>
      <c r="Q104" s="28" t="s">
        <v>76</v>
      </c>
      <c r="R104" s="28" t="s">
        <v>76</v>
      </c>
      <c r="S104" s="28" t="s">
        <v>76</v>
      </c>
    </row>
    <row r="105" spans="1:19" s="27" customFormat="1" x14ac:dyDescent="0.25" outlineLevel="1" collapsed="1">
      <c r="A105" s="28" t="s">
        <v>208</v>
      </c>
      <c r="B105" s="38" t="s">
        <v>96</v>
      </c>
      <c r="C105" s="28" t="s">
        <v>24</v>
      </c>
      <c r="D105" s="28" t="s">
        <v>28</v>
      </c>
      <c r="E105" s="28" t="s">
        <v>4</v>
      </c>
      <c r="F105" s="28">
        <v>38</v>
      </c>
      <c r="G105" s="28">
        <v>0</v>
      </c>
      <c r="H105" s="30">
        <v>1</v>
      </c>
      <c r="I105" s="31">
        <v>46197</v>
      </c>
      <c r="J105" s="31">
        <v>46246</v>
      </c>
      <c r="K105" s="31">
        <v>46197</v>
      </c>
      <c r="L105" s="31">
        <v>46246</v>
      </c>
      <c r="M105" s="31">
        <v>46190</v>
      </c>
      <c r="N105" s="31">
        <v>46241</v>
      </c>
      <c r="O105" s="32">
        <v>3</v>
      </c>
      <c r="P105" s="28"/>
      <c r="Q105" s="28" t="s">
        <v>76</v>
      </c>
      <c r="R105" s="28" t="s">
        <v>76</v>
      </c>
      <c r="S105" s="28" t="s">
        <v>76</v>
      </c>
    </row>
    <row r="106" spans="1:19" s="27" customFormat="1" x14ac:dyDescent="0.25" outlineLevel="1" collapsed="1">
      <c r="A106" s="28" t="s">
        <v>209</v>
      </c>
      <c r="B106" s="38" t="s">
        <v>98</v>
      </c>
      <c r="C106" s="28" t="s">
        <v>24</v>
      </c>
      <c r="D106" s="28" t="s">
        <v>28</v>
      </c>
      <c r="E106" s="28" t="s">
        <v>4</v>
      </c>
      <c r="F106" s="28">
        <v>13</v>
      </c>
      <c r="G106" s="28">
        <v>0</v>
      </c>
      <c r="H106" s="30">
        <v>1</v>
      </c>
      <c r="I106" s="31">
        <v>46231</v>
      </c>
      <c r="J106" s="31">
        <v>46246</v>
      </c>
      <c r="K106" s="31">
        <v>46231</v>
      </c>
      <c r="L106" s="31">
        <v>46246</v>
      </c>
      <c r="M106" s="31">
        <v>46225</v>
      </c>
      <c r="N106" s="31">
        <v>46241</v>
      </c>
      <c r="O106" s="32">
        <v>3</v>
      </c>
      <c r="P106" s="28"/>
      <c r="Q106" s="28" t="s">
        <v>76</v>
      </c>
      <c r="R106" s="28" t="s">
        <v>76</v>
      </c>
      <c r="S106" s="28" t="s">
        <v>76</v>
      </c>
    </row>
    <row r="107" spans="1:19" x14ac:dyDescent="0.25">
      <c r="A107" s="34" t="s">
        <v>210</v>
      </c>
      <c r="B107" s="35" t="s">
        <v>29</v>
      </c>
      <c r="C107" s="34" t="s">
        <v>76</v>
      </c>
      <c r="D107" s="34" t="s">
        <v>76</v>
      </c>
      <c r="E107" s="34" t="s">
        <v>77</v>
      </c>
      <c r="F107" s="34">
        <v>169</v>
      </c>
      <c r="G107" s="34"/>
      <c r="H107" s="36">
        <v>0.2117297297297297</v>
      </c>
      <c r="I107" s="37">
        <v>46220</v>
      </c>
      <c r="J107" s="37">
        <v>46423</v>
      </c>
      <c r="K107" s="37">
        <v>46220</v>
      </c>
      <c r="L107" s="37"/>
      <c r="M107" s="37">
        <v>46212</v>
      </c>
      <c r="N107" s="37">
        <v>46374</v>
      </c>
      <c r="O107" s="34">
        <v>40</v>
      </c>
      <c r="P107" s="34">
        <v>11</v>
      </c>
      <c r="Q107" s="34" t="s">
        <v>76</v>
      </c>
      <c r="R107" s="34" t="s">
        <v>90</v>
      </c>
      <c r="S107" s="34" t="s">
        <v>76</v>
      </c>
    </row>
    <row r="108" spans="1:19" s="27" customFormat="1" x14ac:dyDescent="0.25" outlineLevel="1" collapsed="1">
      <c r="A108" s="28" t="s">
        <v>211</v>
      </c>
      <c r="B108" s="38" t="s">
        <v>101</v>
      </c>
      <c r="C108" s="28" t="s">
        <v>24</v>
      </c>
      <c r="D108" s="28" t="s">
        <v>29</v>
      </c>
      <c r="E108" s="28" t="s">
        <v>4</v>
      </c>
      <c r="F108" s="28">
        <v>14</v>
      </c>
      <c r="G108" s="28">
        <v>0</v>
      </c>
      <c r="H108" s="30">
        <v>1</v>
      </c>
      <c r="I108" s="31">
        <v>46220</v>
      </c>
      <c r="J108" s="31">
        <v>46237</v>
      </c>
      <c r="K108" s="31">
        <v>46220</v>
      </c>
      <c r="L108" s="31">
        <v>46237</v>
      </c>
      <c r="M108" s="31">
        <v>46212</v>
      </c>
      <c r="N108" s="31">
        <v>46227</v>
      </c>
      <c r="O108" s="32">
        <v>8</v>
      </c>
      <c r="P108" s="28"/>
      <c r="Q108" s="28" t="s">
        <v>76</v>
      </c>
      <c r="R108" s="28" t="s">
        <v>76</v>
      </c>
      <c r="S108" s="28" t="s">
        <v>76</v>
      </c>
    </row>
    <row r="109" spans="1:19" s="27" customFormat="1" x14ac:dyDescent="0.25" outlineLevel="1" collapsed="1">
      <c r="A109" s="28" t="s">
        <v>212</v>
      </c>
      <c r="B109" s="38" t="s">
        <v>103</v>
      </c>
      <c r="C109" s="28" t="s">
        <v>24</v>
      </c>
      <c r="D109" s="28" t="s">
        <v>29</v>
      </c>
      <c r="E109" s="28" t="s">
        <v>77</v>
      </c>
      <c r="F109" s="28">
        <v>61</v>
      </c>
      <c r="G109" s="28">
        <v>54</v>
      </c>
      <c r="H109" s="30">
        <v>0.29</v>
      </c>
      <c r="I109" s="31">
        <v>46238</v>
      </c>
      <c r="J109" s="31">
        <v>46361</v>
      </c>
      <c r="K109" s="31">
        <v>46238</v>
      </c>
      <c r="L109" s="31"/>
      <c r="M109" s="31">
        <v>46228</v>
      </c>
      <c r="N109" s="31">
        <v>46301</v>
      </c>
      <c r="O109" s="32">
        <v>50</v>
      </c>
      <c r="P109" s="28">
        <v>46</v>
      </c>
      <c r="Q109" s="28" t="s">
        <v>76</v>
      </c>
      <c r="R109" s="28" t="s">
        <v>213</v>
      </c>
      <c r="S109" s="28" t="s">
        <v>76</v>
      </c>
    </row>
    <row r="110" spans="1:19" s="27" customFormat="1" x14ac:dyDescent="0.25" outlineLevel="1" collapsed="1">
      <c r="A110" s="39" t="s">
        <v>214</v>
      </c>
      <c r="B110" s="40" t="s">
        <v>105</v>
      </c>
      <c r="C110" s="39" t="s">
        <v>24</v>
      </c>
      <c r="D110" s="39" t="s">
        <v>29</v>
      </c>
      <c r="E110" s="39" t="s">
        <v>77</v>
      </c>
      <c r="F110" s="39">
        <v>17</v>
      </c>
      <c r="G110" s="39">
        <v>12</v>
      </c>
      <c r="H110" s="41">
        <v>0.44</v>
      </c>
      <c r="I110" s="42">
        <v>46254</v>
      </c>
      <c r="J110" s="42">
        <v>46310</v>
      </c>
      <c r="K110" s="42">
        <v>46254</v>
      </c>
      <c r="L110" s="42"/>
      <c r="M110" s="42">
        <v>46242</v>
      </c>
      <c r="N110" s="42">
        <v>46262</v>
      </c>
      <c r="O110" s="43">
        <v>40</v>
      </c>
      <c r="P110" s="39">
        <v>11</v>
      </c>
      <c r="Q110" s="39" t="s">
        <v>76</v>
      </c>
      <c r="R110" s="39" t="s">
        <v>215</v>
      </c>
      <c r="S110" s="39" t="s">
        <v>76</v>
      </c>
    </row>
    <row r="111" spans="1:19" s="27" customFormat="1" x14ac:dyDescent="0.25" outlineLevel="1" collapsed="1">
      <c r="A111" s="44" t="s">
        <v>216</v>
      </c>
      <c r="B111" s="45" t="s">
        <v>107</v>
      </c>
      <c r="C111" s="44" t="s">
        <v>24</v>
      </c>
      <c r="D111" s="44" t="s">
        <v>29</v>
      </c>
      <c r="E111" s="44" t="s">
        <v>85</v>
      </c>
      <c r="F111" s="44">
        <v>93</v>
      </c>
      <c r="G111" s="44">
        <v>93</v>
      </c>
      <c r="H111" s="46">
        <v>0</v>
      </c>
      <c r="I111" s="47">
        <v>46311</v>
      </c>
      <c r="J111" s="47">
        <v>46423</v>
      </c>
      <c r="K111" s="47"/>
      <c r="L111" s="47"/>
      <c r="M111" s="47">
        <v>46263</v>
      </c>
      <c r="N111" s="47">
        <v>46374</v>
      </c>
      <c r="O111" s="48">
        <v>40</v>
      </c>
      <c r="P111" s="44">
        <v>11</v>
      </c>
      <c r="Q111" s="44" t="s">
        <v>76</v>
      </c>
      <c r="R111" s="44" t="s">
        <v>176</v>
      </c>
      <c r="S111" s="44" t="s">
        <v>76</v>
      </c>
    </row>
    <row r="112" spans="1:19" x14ac:dyDescent="0.25">
      <c r="A112" s="34" t="s">
        <v>217</v>
      </c>
      <c r="B112" s="35" t="s">
        <v>30</v>
      </c>
      <c r="C112" s="34" t="s">
        <v>76</v>
      </c>
      <c r="D112" s="34" t="s">
        <v>76</v>
      </c>
      <c r="E112" s="34" t="s">
        <v>77</v>
      </c>
      <c r="F112" s="34">
        <v>314</v>
      </c>
      <c r="G112" s="34"/>
      <c r="H112" s="36">
        <v>0.2433234421364985</v>
      </c>
      <c r="I112" s="37">
        <v>46137</v>
      </c>
      <c r="J112" s="37">
        <v>46511</v>
      </c>
      <c r="K112" s="37">
        <v>46137</v>
      </c>
      <c r="L112" s="37"/>
      <c r="M112" s="37">
        <v>46135</v>
      </c>
      <c r="N112" s="37">
        <v>46463</v>
      </c>
      <c r="O112" s="34">
        <v>40</v>
      </c>
      <c r="P112" s="34">
        <v>11</v>
      </c>
      <c r="Q112" s="34" t="s">
        <v>76</v>
      </c>
      <c r="R112" s="34" t="s">
        <v>109</v>
      </c>
      <c r="S112" s="34" t="s">
        <v>76</v>
      </c>
    </row>
    <row r="113" spans="1:19" s="27" customFormat="1" x14ac:dyDescent="0.25" outlineLevel="1" collapsed="1">
      <c r="A113" s="28" t="s">
        <v>218</v>
      </c>
      <c r="B113" s="38" t="s">
        <v>111</v>
      </c>
      <c r="C113" s="28" t="s">
        <v>24</v>
      </c>
      <c r="D113" s="28" t="s">
        <v>30</v>
      </c>
      <c r="E113" s="28" t="s">
        <v>4</v>
      </c>
      <c r="F113" s="28">
        <v>7</v>
      </c>
      <c r="G113" s="28">
        <v>0</v>
      </c>
      <c r="H113" s="30">
        <v>1</v>
      </c>
      <c r="I113" s="31">
        <v>46137</v>
      </c>
      <c r="J113" s="31">
        <v>46144</v>
      </c>
      <c r="K113" s="31">
        <v>46137</v>
      </c>
      <c r="L113" s="31">
        <v>46144</v>
      </c>
      <c r="M113" s="31">
        <v>46135</v>
      </c>
      <c r="N113" s="31">
        <v>46142</v>
      </c>
      <c r="O113" s="32">
        <v>2</v>
      </c>
      <c r="P113" s="28"/>
      <c r="Q113" s="28" t="s">
        <v>76</v>
      </c>
      <c r="R113" s="28" t="s">
        <v>76</v>
      </c>
      <c r="S113" s="28" t="s">
        <v>76</v>
      </c>
    </row>
    <row r="114" spans="1:19" s="27" customFormat="1" x14ac:dyDescent="0.25" outlineLevel="1" collapsed="1">
      <c r="A114" s="28" t="s">
        <v>219</v>
      </c>
      <c r="B114" s="38" t="s">
        <v>113</v>
      </c>
      <c r="C114" s="28" t="s">
        <v>24</v>
      </c>
      <c r="D114" s="28" t="s">
        <v>30</v>
      </c>
      <c r="E114" s="28" t="s">
        <v>4</v>
      </c>
      <c r="F114" s="28">
        <v>24</v>
      </c>
      <c r="G114" s="28">
        <v>0</v>
      </c>
      <c r="H114" s="30">
        <v>1</v>
      </c>
      <c r="I114" s="31">
        <v>46177</v>
      </c>
      <c r="J114" s="31">
        <v>46204</v>
      </c>
      <c r="K114" s="31">
        <v>46177</v>
      </c>
      <c r="L114" s="31">
        <v>46204</v>
      </c>
      <c r="M114" s="31">
        <v>46175</v>
      </c>
      <c r="N114" s="31">
        <v>46202</v>
      </c>
      <c r="O114" s="32">
        <v>2</v>
      </c>
      <c r="P114" s="28"/>
      <c r="Q114" s="28" t="s">
        <v>76</v>
      </c>
      <c r="R114" s="28" t="s">
        <v>76</v>
      </c>
      <c r="S114" s="28" t="s">
        <v>76</v>
      </c>
    </row>
    <row r="115" spans="1:19" s="27" customFormat="1" x14ac:dyDescent="0.25" outlineLevel="1" collapsed="1">
      <c r="A115" s="28" t="s">
        <v>220</v>
      </c>
      <c r="B115" s="38" t="s">
        <v>115</v>
      </c>
      <c r="C115" s="28" t="s">
        <v>24</v>
      </c>
      <c r="D115" s="28" t="s">
        <v>30</v>
      </c>
      <c r="E115" s="28" t="s">
        <v>4</v>
      </c>
      <c r="F115" s="28">
        <v>30</v>
      </c>
      <c r="G115" s="28">
        <v>0</v>
      </c>
      <c r="H115" s="30">
        <v>1</v>
      </c>
      <c r="I115" s="31">
        <v>46189</v>
      </c>
      <c r="J115" s="31">
        <v>46230</v>
      </c>
      <c r="K115" s="31">
        <v>46189</v>
      </c>
      <c r="L115" s="31">
        <v>46230</v>
      </c>
      <c r="M115" s="31">
        <v>46183</v>
      </c>
      <c r="N115" s="31">
        <v>46217</v>
      </c>
      <c r="O115" s="32">
        <v>11</v>
      </c>
      <c r="P115" s="28"/>
      <c r="Q115" s="28" t="s">
        <v>76</v>
      </c>
      <c r="R115" s="28" t="s">
        <v>76</v>
      </c>
      <c r="S115" s="28" t="s">
        <v>76</v>
      </c>
    </row>
    <row r="116" spans="1:19" s="27" customFormat="1" x14ac:dyDescent="0.25" outlineLevel="1" collapsed="1">
      <c r="A116" s="28" t="s">
        <v>221</v>
      </c>
      <c r="B116" s="38" t="s">
        <v>117</v>
      </c>
      <c r="C116" s="28" t="s">
        <v>24</v>
      </c>
      <c r="D116" s="28" t="s">
        <v>30</v>
      </c>
      <c r="E116" s="28" t="s">
        <v>4</v>
      </c>
      <c r="F116" s="28">
        <v>21</v>
      </c>
      <c r="G116" s="28">
        <v>0</v>
      </c>
      <c r="H116" s="30">
        <v>1</v>
      </c>
      <c r="I116" s="31">
        <v>46237</v>
      </c>
      <c r="J116" s="31">
        <v>46261</v>
      </c>
      <c r="K116" s="31">
        <v>46237</v>
      </c>
      <c r="L116" s="31">
        <v>46261</v>
      </c>
      <c r="M116" s="31">
        <v>46218</v>
      </c>
      <c r="N116" s="31">
        <v>46241</v>
      </c>
      <c r="O116" s="32">
        <v>16</v>
      </c>
      <c r="P116" s="28"/>
      <c r="Q116" s="28" t="s">
        <v>76</v>
      </c>
      <c r="R116" s="28" t="s">
        <v>76</v>
      </c>
      <c r="S116" s="28" t="s">
        <v>76</v>
      </c>
    </row>
    <row r="117" spans="1:19" s="27" customFormat="1" x14ac:dyDescent="0.25" outlineLevel="1" collapsed="1">
      <c r="A117" s="44" t="s">
        <v>222</v>
      </c>
      <c r="B117" s="45" t="s">
        <v>119</v>
      </c>
      <c r="C117" s="44" t="s">
        <v>24</v>
      </c>
      <c r="D117" s="44" t="s">
        <v>30</v>
      </c>
      <c r="E117" s="44" t="s">
        <v>85</v>
      </c>
      <c r="F117" s="44">
        <v>69</v>
      </c>
      <c r="G117" s="44">
        <v>69</v>
      </c>
      <c r="H117" s="46">
        <v>0</v>
      </c>
      <c r="I117" s="47">
        <v>46296</v>
      </c>
      <c r="J117" s="47">
        <v>46379</v>
      </c>
      <c r="K117" s="47"/>
      <c r="L117" s="47"/>
      <c r="M117" s="47">
        <v>46246</v>
      </c>
      <c r="N117" s="47">
        <v>46329</v>
      </c>
      <c r="O117" s="48">
        <v>42</v>
      </c>
      <c r="P117" s="44">
        <v>61</v>
      </c>
      <c r="Q117" s="44" t="s">
        <v>76</v>
      </c>
      <c r="R117" s="44" t="s">
        <v>176</v>
      </c>
      <c r="S117" s="44" t="s">
        <v>76</v>
      </c>
    </row>
    <row r="118" spans="1:19" s="27" customFormat="1" x14ac:dyDescent="0.25" outlineLevel="1" collapsed="1">
      <c r="A118" s="44" t="s">
        <v>223</v>
      </c>
      <c r="B118" s="45" t="s">
        <v>121</v>
      </c>
      <c r="C118" s="44" t="s">
        <v>24</v>
      </c>
      <c r="D118" s="44" t="s">
        <v>30</v>
      </c>
      <c r="E118" s="44" t="s">
        <v>85</v>
      </c>
      <c r="F118" s="44">
        <v>47</v>
      </c>
      <c r="G118" s="44">
        <v>47</v>
      </c>
      <c r="H118" s="46">
        <v>0</v>
      </c>
      <c r="I118" s="47">
        <v>46322</v>
      </c>
      <c r="J118" s="47">
        <v>46377</v>
      </c>
      <c r="K118" s="47"/>
      <c r="L118" s="47"/>
      <c r="M118" s="47">
        <v>46270</v>
      </c>
      <c r="N118" s="47">
        <v>46326</v>
      </c>
      <c r="O118" s="48">
        <v>42</v>
      </c>
      <c r="P118" s="44">
        <v>86</v>
      </c>
      <c r="Q118" s="44" t="s">
        <v>76</v>
      </c>
      <c r="R118" s="44" t="s">
        <v>176</v>
      </c>
      <c r="S118" s="44" t="s">
        <v>76</v>
      </c>
    </row>
    <row r="119" spans="1:19" s="27" customFormat="1" x14ac:dyDescent="0.25" outlineLevel="1" collapsed="1">
      <c r="A119" s="28" t="s">
        <v>224</v>
      </c>
      <c r="B119" s="38" t="s">
        <v>123</v>
      </c>
      <c r="C119" s="28" t="s">
        <v>24</v>
      </c>
      <c r="D119" s="28" t="s">
        <v>30</v>
      </c>
      <c r="E119" s="28" t="s">
        <v>85</v>
      </c>
      <c r="F119" s="28">
        <v>29</v>
      </c>
      <c r="G119" s="28">
        <v>29</v>
      </c>
      <c r="H119" s="30">
        <v>0</v>
      </c>
      <c r="I119" s="31">
        <v>46374</v>
      </c>
      <c r="J119" s="31">
        <v>46408</v>
      </c>
      <c r="K119" s="31"/>
      <c r="L119" s="31"/>
      <c r="M119" s="31">
        <v>46324</v>
      </c>
      <c r="N119" s="31">
        <v>46358</v>
      </c>
      <c r="O119" s="32">
        <v>42</v>
      </c>
      <c r="P119" s="28">
        <v>61</v>
      </c>
      <c r="Q119" s="28" t="s">
        <v>76</v>
      </c>
      <c r="R119" s="28" t="s">
        <v>76</v>
      </c>
      <c r="S119" s="28" t="s">
        <v>76</v>
      </c>
    </row>
    <row r="120" spans="1:19" s="27" customFormat="1" x14ac:dyDescent="0.25" outlineLevel="1" collapsed="1">
      <c r="A120" s="28" t="s">
        <v>225</v>
      </c>
      <c r="B120" s="38" t="s">
        <v>127</v>
      </c>
      <c r="C120" s="28" t="s">
        <v>24</v>
      </c>
      <c r="D120" s="28" t="s">
        <v>30</v>
      </c>
      <c r="E120" s="28" t="s">
        <v>85</v>
      </c>
      <c r="F120" s="28">
        <v>36</v>
      </c>
      <c r="G120" s="28">
        <v>36</v>
      </c>
      <c r="H120" s="30">
        <v>0</v>
      </c>
      <c r="I120" s="31">
        <v>46409</v>
      </c>
      <c r="J120" s="31">
        <v>46451</v>
      </c>
      <c r="K120" s="31"/>
      <c r="L120" s="31"/>
      <c r="M120" s="31">
        <v>46359</v>
      </c>
      <c r="N120" s="31">
        <v>46401</v>
      </c>
      <c r="O120" s="32">
        <v>42</v>
      </c>
      <c r="P120" s="28">
        <v>61</v>
      </c>
      <c r="Q120" s="28" t="s">
        <v>76</v>
      </c>
      <c r="R120" s="28" t="s">
        <v>76</v>
      </c>
      <c r="S120" s="28" t="s">
        <v>76</v>
      </c>
    </row>
    <row r="121" spans="1:19" s="27" customFormat="1" x14ac:dyDescent="0.25" outlineLevel="1" collapsed="1">
      <c r="A121" s="28" t="s">
        <v>226</v>
      </c>
      <c r="B121" s="38" t="s">
        <v>125</v>
      </c>
      <c r="C121" s="28" t="s">
        <v>24</v>
      </c>
      <c r="D121" s="28" t="s">
        <v>30</v>
      </c>
      <c r="E121" s="28" t="s">
        <v>85</v>
      </c>
      <c r="F121" s="28">
        <v>59</v>
      </c>
      <c r="G121" s="28">
        <v>59</v>
      </c>
      <c r="H121" s="30">
        <v>0</v>
      </c>
      <c r="I121" s="31">
        <v>46424</v>
      </c>
      <c r="J121" s="31">
        <v>46493</v>
      </c>
      <c r="K121" s="31"/>
      <c r="L121" s="31"/>
      <c r="M121" s="31">
        <v>46375</v>
      </c>
      <c r="N121" s="31">
        <v>46445</v>
      </c>
      <c r="O121" s="32">
        <v>40</v>
      </c>
      <c r="P121" s="28">
        <v>11</v>
      </c>
      <c r="Q121" s="28" t="s">
        <v>76</v>
      </c>
      <c r="R121" s="28" t="s">
        <v>76</v>
      </c>
      <c r="S121" s="28" t="s">
        <v>76</v>
      </c>
    </row>
    <row r="122" spans="1:19" s="27" customFormat="1" x14ac:dyDescent="0.25" outlineLevel="1" collapsed="1">
      <c r="A122" s="28" t="s">
        <v>227</v>
      </c>
      <c r="B122" s="38" t="s">
        <v>130</v>
      </c>
      <c r="C122" s="28" t="s">
        <v>24</v>
      </c>
      <c r="D122" s="28" t="s">
        <v>30</v>
      </c>
      <c r="E122" s="28" t="s">
        <v>85</v>
      </c>
      <c r="F122" s="28">
        <v>15</v>
      </c>
      <c r="G122" s="28">
        <v>15</v>
      </c>
      <c r="H122" s="30">
        <v>0</v>
      </c>
      <c r="I122" s="31">
        <v>46494</v>
      </c>
      <c r="J122" s="31">
        <v>46511</v>
      </c>
      <c r="K122" s="31"/>
      <c r="L122" s="31"/>
      <c r="M122" s="31">
        <v>46447</v>
      </c>
      <c r="N122" s="31">
        <v>46463</v>
      </c>
      <c r="O122" s="32">
        <v>40</v>
      </c>
      <c r="P122" s="28">
        <v>11</v>
      </c>
      <c r="Q122" s="28" t="s">
        <v>76</v>
      </c>
      <c r="R122" s="28" t="s">
        <v>76</v>
      </c>
      <c r="S122" s="28" t="s">
        <v>76</v>
      </c>
    </row>
    <row r="123" spans="1:19" s="27" customFormat="1" x14ac:dyDescent="0.25" outlineLevel="1" collapsed="1">
      <c r="A123" s="28" t="s">
        <v>228</v>
      </c>
      <c r="B123" s="38" t="s">
        <v>132</v>
      </c>
      <c r="C123" s="28" t="s">
        <v>24</v>
      </c>
      <c r="D123" s="28" t="s">
        <v>30</v>
      </c>
      <c r="E123" s="28" t="s">
        <v>85</v>
      </c>
      <c r="F123" s="28">
        <v>0</v>
      </c>
      <c r="G123" s="28">
        <v>0</v>
      </c>
      <c r="H123" s="30">
        <v>0</v>
      </c>
      <c r="I123" s="31">
        <v>46511</v>
      </c>
      <c r="J123" s="31">
        <v>46511</v>
      </c>
      <c r="K123" s="31"/>
      <c r="L123" s="31"/>
      <c r="M123" s="31">
        <v>46463</v>
      </c>
      <c r="N123" s="31">
        <v>46463</v>
      </c>
      <c r="O123" s="32">
        <v>40</v>
      </c>
      <c r="P123" s="28">
        <v>11</v>
      </c>
      <c r="Q123" s="28" t="s">
        <v>76</v>
      </c>
      <c r="R123" s="28" t="s">
        <v>76</v>
      </c>
      <c r="S123" s="28" t="s">
        <v>76</v>
      </c>
    </row>
    <row r="124" spans="1:19" x14ac:dyDescent="0.25">
      <c r="A124" s="23" t="s">
        <v>229</v>
      </c>
      <c r="B124" s="24" t="s">
        <v>25</v>
      </c>
      <c r="C124" s="23" t="s">
        <v>76</v>
      </c>
      <c r="D124" s="23" t="s">
        <v>76</v>
      </c>
      <c r="E124" s="23" t="s">
        <v>77</v>
      </c>
      <c r="F124" s="23">
        <v>234</v>
      </c>
      <c r="G124" s="23"/>
      <c r="H124" s="25">
        <v>0.2740783410138249</v>
      </c>
      <c r="I124" s="26">
        <v>46171</v>
      </c>
      <c r="J124" s="26">
        <v>46450</v>
      </c>
      <c r="K124" s="26">
        <v>46171</v>
      </c>
      <c r="L124" s="26"/>
      <c r="M124" s="26">
        <v>46170</v>
      </c>
      <c r="N124" s="26">
        <v>46406</v>
      </c>
      <c r="O124" s="23">
        <v>37</v>
      </c>
      <c r="P124" s="23">
        <v>51</v>
      </c>
      <c r="Q124" s="23" t="s">
        <v>76</v>
      </c>
      <c r="R124" s="23" t="s">
        <v>88</v>
      </c>
      <c r="S124" s="23" t="s">
        <v>76</v>
      </c>
    </row>
    <row r="125" spans="1:19" x14ac:dyDescent="0.25">
      <c r="A125" s="34" t="s">
        <v>230</v>
      </c>
      <c r="B125" s="35" t="s">
        <v>28</v>
      </c>
      <c r="C125" s="34" t="s">
        <v>76</v>
      </c>
      <c r="D125" s="34" t="s">
        <v>76</v>
      </c>
      <c r="E125" s="34" t="s">
        <v>77</v>
      </c>
      <c r="F125" s="34">
        <v>84</v>
      </c>
      <c r="G125" s="34"/>
      <c r="H125" s="36">
        <v>0.9302739726027397</v>
      </c>
      <c r="I125" s="37">
        <v>46205</v>
      </c>
      <c r="J125" s="37">
        <v>46304</v>
      </c>
      <c r="K125" s="37">
        <v>46205</v>
      </c>
      <c r="L125" s="37"/>
      <c r="M125" s="37">
        <v>46198</v>
      </c>
      <c r="N125" s="37">
        <v>46258</v>
      </c>
      <c r="O125" s="34">
        <v>39</v>
      </c>
      <c r="P125" s="34">
        <v>51</v>
      </c>
      <c r="Q125" s="34" t="s">
        <v>76</v>
      </c>
      <c r="R125" s="34" t="s">
        <v>90</v>
      </c>
      <c r="S125" s="34" t="s">
        <v>76</v>
      </c>
    </row>
    <row r="126" spans="1:19" s="27" customFormat="1" x14ac:dyDescent="0.25" outlineLevel="1" collapsed="1">
      <c r="A126" s="28" t="s">
        <v>231</v>
      </c>
      <c r="B126" s="38" t="s">
        <v>92</v>
      </c>
      <c r="C126" s="28" t="s">
        <v>25</v>
      </c>
      <c r="D126" s="28" t="s">
        <v>28</v>
      </c>
      <c r="E126" s="28" t="s">
        <v>4</v>
      </c>
      <c r="F126" s="28">
        <v>14</v>
      </c>
      <c r="G126" s="28">
        <v>0</v>
      </c>
      <c r="H126" s="30">
        <v>1</v>
      </c>
      <c r="I126" s="31">
        <v>46205</v>
      </c>
      <c r="J126" s="31">
        <v>46226</v>
      </c>
      <c r="K126" s="31">
        <v>46205</v>
      </c>
      <c r="L126" s="31">
        <v>46226</v>
      </c>
      <c r="M126" s="31">
        <v>46198</v>
      </c>
      <c r="N126" s="31">
        <v>46217</v>
      </c>
      <c r="O126" s="32">
        <v>7</v>
      </c>
      <c r="P126" s="28"/>
      <c r="Q126" s="28" t="s">
        <v>76</v>
      </c>
      <c r="R126" s="28" t="s">
        <v>76</v>
      </c>
      <c r="S126" s="28" t="s">
        <v>76</v>
      </c>
    </row>
    <row r="127" spans="1:19" s="27" customFormat="1" x14ac:dyDescent="0.25" outlineLevel="1" collapsed="1">
      <c r="A127" s="28" t="s">
        <v>232</v>
      </c>
      <c r="B127" s="38" t="s">
        <v>94</v>
      </c>
      <c r="C127" s="28" t="s">
        <v>25</v>
      </c>
      <c r="D127" s="28" t="s">
        <v>28</v>
      </c>
      <c r="E127" s="28" t="s">
        <v>4</v>
      </c>
      <c r="F127" s="28">
        <v>21</v>
      </c>
      <c r="G127" s="28">
        <v>0</v>
      </c>
      <c r="H127" s="30">
        <v>1</v>
      </c>
      <c r="I127" s="31">
        <v>46213</v>
      </c>
      <c r="J127" s="31">
        <v>46245</v>
      </c>
      <c r="K127" s="31">
        <v>46213</v>
      </c>
      <c r="L127" s="31">
        <v>46245</v>
      </c>
      <c r="M127" s="31">
        <v>46205</v>
      </c>
      <c r="N127" s="31">
        <v>46233</v>
      </c>
      <c r="O127" s="32">
        <v>8</v>
      </c>
      <c r="P127" s="28"/>
      <c r="Q127" s="28" t="s">
        <v>76</v>
      </c>
      <c r="R127" s="28" t="s">
        <v>76</v>
      </c>
      <c r="S127" s="28" t="s">
        <v>76</v>
      </c>
    </row>
    <row r="128" spans="1:19" s="27" customFormat="1" x14ac:dyDescent="0.25" outlineLevel="1" collapsed="1">
      <c r="A128" s="39" t="s">
        <v>233</v>
      </c>
      <c r="B128" s="40" t="s">
        <v>96</v>
      </c>
      <c r="C128" s="39" t="s">
        <v>25</v>
      </c>
      <c r="D128" s="39" t="s">
        <v>28</v>
      </c>
      <c r="E128" s="39" t="s">
        <v>77</v>
      </c>
      <c r="F128" s="39">
        <v>29</v>
      </c>
      <c r="G128" s="39">
        <v>6</v>
      </c>
      <c r="H128" s="41">
        <v>0.84</v>
      </c>
      <c r="I128" s="42">
        <v>46232</v>
      </c>
      <c r="J128" s="42">
        <v>46304</v>
      </c>
      <c r="K128" s="42">
        <v>46232</v>
      </c>
      <c r="L128" s="42"/>
      <c r="M128" s="42">
        <v>46218</v>
      </c>
      <c r="N128" s="42">
        <v>46258</v>
      </c>
      <c r="O128" s="43">
        <v>33</v>
      </c>
      <c r="P128" s="39">
        <v>51</v>
      </c>
      <c r="Q128" s="39" t="s">
        <v>76</v>
      </c>
      <c r="R128" s="39" t="s">
        <v>215</v>
      </c>
      <c r="S128" s="39" t="s">
        <v>76</v>
      </c>
    </row>
    <row r="129" spans="1:19" s="27" customFormat="1" x14ac:dyDescent="0.25" outlineLevel="1" collapsed="1">
      <c r="A129" s="39" t="s">
        <v>234</v>
      </c>
      <c r="B129" s="40" t="s">
        <v>98</v>
      </c>
      <c r="C129" s="39" t="s">
        <v>25</v>
      </c>
      <c r="D129" s="39" t="s">
        <v>28</v>
      </c>
      <c r="E129" s="39" t="s">
        <v>77</v>
      </c>
      <c r="F129" s="39">
        <v>9</v>
      </c>
      <c r="G129" s="39">
        <v>1</v>
      </c>
      <c r="H129" s="41">
        <v>0.95</v>
      </c>
      <c r="I129" s="42">
        <v>46246</v>
      </c>
      <c r="J129" s="42">
        <v>46304</v>
      </c>
      <c r="K129" s="42">
        <v>46246</v>
      </c>
      <c r="L129" s="42"/>
      <c r="M129" s="42">
        <v>46246</v>
      </c>
      <c r="N129" s="42">
        <v>46258</v>
      </c>
      <c r="O129" s="43">
        <v>33</v>
      </c>
      <c r="P129" s="39">
        <v>151</v>
      </c>
      <c r="Q129" s="39" t="s">
        <v>76</v>
      </c>
      <c r="R129" s="39" t="s">
        <v>215</v>
      </c>
      <c r="S129" s="39" t="s">
        <v>76</v>
      </c>
    </row>
    <row r="130" spans="1:19" x14ac:dyDescent="0.25">
      <c r="A130" s="34" t="s">
        <v>235</v>
      </c>
      <c r="B130" s="35" t="s">
        <v>29</v>
      </c>
      <c r="C130" s="34" t="s">
        <v>76</v>
      </c>
      <c r="D130" s="34" t="s">
        <v>76</v>
      </c>
      <c r="E130" s="34" t="s">
        <v>77</v>
      </c>
      <c r="F130" s="34">
        <v>114</v>
      </c>
      <c r="G130" s="34"/>
      <c r="H130" s="36">
        <v>0.09482758620689655</v>
      </c>
      <c r="I130" s="37">
        <v>46248</v>
      </c>
      <c r="J130" s="37">
        <v>46386</v>
      </c>
      <c r="K130" s="37">
        <v>46248</v>
      </c>
      <c r="L130" s="37"/>
      <c r="M130" s="37">
        <v>46234</v>
      </c>
      <c r="N130" s="37">
        <v>46339</v>
      </c>
      <c r="O130" s="34">
        <v>39</v>
      </c>
      <c r="P130" s="34">
        <v>62</v>
      </c>
      <c r="Q130" s="34" t="s">
        <v>76</v>
      </c>
      <c r="R130" s="34" t="s">
        <v>90</v>
      </c>
      <c r="S130" s="34" t="s">
        <v>76</v>
      </c>
    </row>
    <row r="131" spans="1:19" s="27" customFormat="1" x14ac:dyDescent="0.25" outlineLevel="1" collapsed="1">
      <c r="A131" s="28" t="s">
        <v>236</v>
      </c>
      <c r="B131" s="38" t="s">
        <v>101</v>
      </c>
      <c r="C131" s="28" t="s">
        <v>25</v>
      </c>
      <c r="D131" s="28" t="s">
        <v>29</v>
      </c>
      <c r="E131" s="28" t="s">
        <v>4</v>
      </c>
      <c r="F131" s="28">
        <v>9</v>
      </c>
      <c r="G131" s="28">
        <v>0</v>
      </c>
      <c r="H131" s="30">
        <v>1</v>
      </c>
      <c r="I131" s="31">
        <v>46248</v>
      </c>
      <c r="J131" s="31">
        <v>46259</v>
      </c>
      <c r="K131" s="31">
        <v>46248</v>
      </c>
      <c r="L131" s="31">
        <v>46259</v>
      </c>
      <c r="M131" s="31">
        <v>46234</v>
      </c>
      <c r="N131" s="31">
        <v>46244</v>
      </c>
      <c r="O131" s="32">
        <v>12</v>
      </c>
      <c r="P131" s="28"/>
      <c r="Q131" s="28" t="s">
        <v>76</v>
      </c>
      <c r="R131" s="28" t="s">
        <v>76</v>
      </c>
      <c r="S131" s="28" t="s">
        <v>76</v>
      </c>
    </row>
    <row r="132" spans="1:19" s="27" customFormat="1" x14ac:dyDescent="0.25" outlineLevel="1" collapsed="1">
      <c r="A132" s="28" t="s">
        <v>237</v>
      </c>
      <c r="B132" s="38" t="s">
        <v>103</v>
      </c>
      <c r="C132" s="28" t="s">
        <v>25</v>
      </c>
      <c r="D132" s="28" t="s">
        <v>29</v>
      </c>
      <c r="E132" s="28" t="s">
        <v>77</v>
      </c>
      <c r="F132" s="28">
        <v>40</v>
      </c>
      <c r="G132" s="28">
        <v>42</v>
      </c>
      <c r="H132" s="30">
        <v>0.05</v>
      </c>
      <c r="I132" s="31">
        <v>46263</v>
      </c>
      <c r="J132" s="31">
        <v>46347</v>
      </c>
      <c r="K132" s="31">
        <v>46263</v>
      </c>
      <c r="L132" s="31"/>
      <c r="M132" s="31">
        <v>46245</v>
      </c>
      <c r="N132" s="31">
        <v>46291</v>
      </c>
      <c r="O132" s="32">
        <v>45</v>
      </c>
      <c r="P132" s="28">
        <v>87</v>
      </c>
      <c r="Q132" s="28" t="s">
        <v>76</v>
      </c>
      <c r="R132" s="28" t="s">
        <v>213</v>
      </c>
      <c r="S132" s="28" t="s">
        <v>76</v>
      </c>
    </row>
    <row r="133" spans="1:19" s="27" customFormat="1" x14ac:dyDescent="0.25" outlineLevel="1" collapsed="1">
      <c r="A133" s="39" t="s">
        <v>238</v>
      </c>
      <c r="B133" s="40" t="s">
        <v>105</v>
      </c>
      <c r="C133" s="39" t="s">
        <v>25</v>
      </c>
      <c r="D133" s="39" t="s">
        <v>29</v>
      </c>
      <c r="E133" s="39" t="s">
        <v>85</v>
      </c>
      <c r="F133" s="39">
        <v>11</v>
      </c>
      <c r="G133" s="39">
        <v>11</v>
      </c>
      <c r="H133" s="41">
        <v>0</v>
      </c>
      <c r="I133" s="42">
        <v>46305</v>
      </c>
      <c r="J133" s="42">
        <v>46318</v>
      </c>
      <c r="K133" s="42"/>
      <c r="L133" s="42"/>
      <c r="M133" s="42">
        <v>46259</v>
      </c>
      <c r="N133" s="42">
        <v>46270</v>
      </c>
      <c r="O133" s="43">
        <v>39</v>
      </c>
      <c r="P133" s="39">
        <v>62</v>
      </c>
      <c r="Q133" s="39" t="s">
        <v>76</v>
      </c>
      <c r="R133" s="39" t="s">
        <v>239</v>
      </c>
      <c r="S133" s="39" t="s">
        <v>76</v>
      </c>
    </row>
    <row r="134" spans="1:19" s="27" customFormat="1" x14ac:dyDescent="0.25" outlineLevel="1" collapsed="1">
      <c r="A134" s="44" t="s">
        <v>240</v>
      </c>
      <c r="B134" s="45" t="s">
        <v>107</v>
      </c>
      <c r="C134" s="44" t="s">
        <v>25</v>
      </c>
      <c r="D134" s="44" t="s">
        <v>29</v>
      </c>
      <c r="E134" s="44" t="s">
        <v>85</v>
      </c>
      <c r="F134" s="44">
        <v>56</v>
      </c>
      <c r="G134" s="44">
        <v>56</v>
      </c>
      <c r="H134" s="46">
        <v>0</v>
      </c>
      <c r="I134" s="47">
        <v>46319</v>
      </c>
      <c r="J134" s="47">
        <v>46386</v>
      </c>
      <c r="K134" s="47"/>
      <c r="L134" s="47"/>
      <c r="M134" s="47">
        <v>46272</v>
      </c>
      <c r="N134" s="47">
        <v>46339</v>
      </c>
      <c r="O134" s="48">
        <v>39</v>
      </c>
      <c r="P134" s="44">
        <v>62</v>
      </c>
      <c r="Q134" s="44" t="s">
        <v>76</v>
      </c>
      <c r="R134" s="44" t="s">
        <v>176</v>
      </c>
      <c r="S134" s="44" t="s">
        <v>76</v>
      </c>
    </row>
    <row r="135" spans="1:19" x14ac:dyDescent="0.25">
      <c r="A135" s="34" t="s">
        <v>241</v>
      </c>
      <c r="B135" s="35" t="s">
        <v>30</v>
      </c>
      <c r="C135" s="34" t="s">
        <v>76</v>
      </c>
      <c r="D135" s="34" t="s">
        <v>76</v>
      </c>
      <c r="E135" s="34" t="s">
        <v>77</v>
      </c>
      <c r="F135" s="34">
        <v>234</v>
      </c>
      <c r="G135" s="34"/>
      <c r="H135" s="36">
        <v>0.16342857142857137</v>
      </c>
      <c r="I135" s="37">
        <v>46171</v>
      </c>
      <c r="J135" s="37">
        <v>46450</v>
      </c>
      <c r="K135" s="37">
        <v>46171</v>
      </c>
      <c r="L135" s="37"/>
      <c r="M135" s="37">
        <v>46170</v>
      </c>
      <c r="N135" s="37">
        <v>46406</v>
      </c>
      <c r="O135" s="34">
        <v>37</v>
      </c>
      <c r="P135" s="34">
        <v>62</v>
      </c>
      <c r="Q135" s="34" t="s">
        <v>76</v>
      </c>
      <c r="R135" s="34" t="s">
        <v>109</v>
      </c>
      <c r="S135" s="34" t="s">
        <v>76</v>
      </c>
    </row>
    <row r="136" spans="1:19" s="27" customFormat="1" x14ac:dyDescent="0.25" outlineLevel="1" collapsed="1">
      <c r="A136" s="28" t="s">
        <v>242</v>
      </c>
      <c r="B136" s="38" t="s">
        <v>111</v>
      </c>
      <c r="C136" s="28" t="s">
        <v>25</v>
      </c>
      <c r="D136" s="28" t="s">
        <v>30</v>
      </c>
      <c r="E136" s="28" t="s">
        <v>4</v>
      </c>
      <c r="F136" s="28">
        <v>5</v>
      </c>
      <c r="G136" s="28">
        <v>0</v>
      </c>
      <c r="H136" s="30">
        <v>1</v>
      </c>
      <c r="I136" s="31">
        <v>46171</v>
      </c>
      <c r="J136" s="31">
        <v>46176</v>
      </c>
      <c r="K136" s="31">
        <v>46171</v>
      </c>
      <c r="L136" s="31">
        <v>46176</v>
      </c>
      <c r="M136" s="31">
        <v>46170</v>
      </c>
      <c r="N136" s="31">
        <v>46175</v>
      </c>
      <c r="O136" s="32">
        <v>1</v>
      </c>
      <c r="P136" s="28"/>
      <c r="Q136" s="28" t="s">
        <v>76</v>
      </c>
      <c r="R136" s="28" t="s">
        <v>76</v>
      </c>
      <c r="S136" s="28" t="s">
        <v>76</v>
      </c>
    </row>
    <row r="137" spans="1:19" s="27" customFormat="1" x14ac:dyDescent="0.25" outlineLevel="1" collapsed="1">
      <c r="A137" s="28" t="s">
        <v>243</v>
      </c>
      <c r="B137" s="38" t="s">
        <v>113</v>
      </c>
      <c r="C137" s="28" t="s">
        <v>25</v>
      </c>
      <c r="D137" s="28" t="s">
        <v>30</v>
      </c>
      <c r="E137" s="28" t="s">
        <v>4</v>
      </c>
      <c r="F137" s="28">
        <v>15</v>
      </c>
      <c r="G137" s="28">
        <v>0</v>
      </c>
      <c r="H137" s="30">
        <v>1</v>
      </c>
      <c r="I137" s="31">
        <v>46227</v>
      </c>
      <c r="J137" s="31">
        <v>46244</v>
      </c>
      <c r="K137" s="31">
        <v>46227</v>
      </c>
      <c r="L137" s="31">
        <v>46244</v>
      </c>
      <c r="M137" s="31">
        <v>46217</v>
      </c>
      <c r="N137" s="31">
        <v>46233</v>
      </c>
      <c r="O137" s="32">
        <v>9</v>
      </c>
      <c r="P137" s="28"/>
      <c r="Q137" s="28" t="s">
        <v>76</v>
      </c>
      <c r="R137" s="28" t="s">
        <v>76</v>
      </c>
      <c r="S137" s="28" t="s">
        <v>76</v>
      </c>
    </row>
    <row r="138" spans="1:19" s="27" customFormat="1" x14ac:dyDescent="0.25" outlineLevel="1" collapsed="1">
      <c r="A138" s="39" t="s">
        <v>244</v>
      </c>
      <c r="B138" s="40" t="s">
        <v>115</v>
      </c>
      <c r="C138" s="39" t="s">
        <v>25</v>
      </c>
      <c r="D138" s="39" t="s">
        <v>30</v>
      </c>
      <c r="E138" s="39" t="s">
        <v>77</v>
      </c>
      <c r="F138" s="39">
        <v>28</v>
      </c>
      <c r="G138" s="39">
        <v>15</v>
      </c>
      <c r="H138" s="41">
        <v>0.58</v>
      </c>
      <c r="I138" s="42">
        <v>46240</v>
      </c>
      <c r="J138" s="42">
        <v>46314</v>
      </c>
      <c r="K138" s="42">
        <v>46240</v>
      </c>
      <c r="L138" s="42"/>
      <c r="M138" s="42">
        <v>46225</v>
      </c>
      <c r="N138" s="42">
        <v>46258</v>
      </c>
      <c r="O138" s="43">
        <v>47</v>
      </c>
      <c r="P138" s="39">
        <v>72</v>
      </c>
      <c r="Q138" s="39" t="s">
        <v>76</v>
      </c>
      <c r="R138" s="39" t="s">
        <v>215</v>
      </c>
      <c r="S138" s="39" t="s">
        <v>76</v>
      </c>
    </row>
    <row r="139" spans="1:19" s="27" customFormat="1" x14ac:dyDescent="0.25" outlineLevel="1" collapsed="1">
      <c r="A139" s="49" t="s">
        <v>245</v>
      </c>
      <c r="B139" s="50" t="s">
        <v>121</v>
      </c>
      <c r="C139" s="49" t="s">
        <v>25</v>
      </c>
      <c r="D139" s="49" t="s">
        <v>30</v>
      </c>
      <c r="E139" s="49" t="s">
        <v>77</v>
      </c>
      <c r="F139" s="49">
        <v>33</v>
      </c>
      <c r="G139" s="49">
        <v>31</v>
      </c>
      <c r="H139" s="51">
        <v>0.05</v>
      </c>
      <c r="I139" s="52">
        <v>46260</v>
      </c>
      <c r="J139" s="52">
        <v>46394</v>
      </c>
      <c r="K139" s="52">
        <v>46260</v>
      </c>
      <c r="L139" s="52"/>
      <c r="M139" s="52">
        <v>46301</v>
      </c>
      <c r="N139" s="52">
        <v>46340</v>
      </c>
      <c r="O139" s="53">
        <v>45</v>
      </c>
      <c r="P139" s="49">
        <v>76</v>
      </c>
      <c r="Q139" s="49" t="s">
        <v>76</v>
      </c>
      <c r="R139" s="49" t="s">
        <v>246</v>
      </c>
      <c r="S139" s="49" t="s">
        <v>76</v>
      </c>
    </row>
    <row r="140" spans="1:19" s="27" customFormat="1" x14ac:dyDescent="0.25" outlineLevel="1" collapsed="1">
      <c r="A140" s="49" t="s">
        <v>247</v>
      </c>
      <c r="B140" s="50" t="s">
        <v>125</v>
      </c>
      <c r="C140" s="49" t="s">
        <v>25</v>
      </c>
      <c r="D140" s="49" t="s">
        <v>30</v>
      </c>
      <c r="E140" s="49" t="s">
        <v>77</v>
      </c>
      <c r="F140" s="49">
        <v>43</v>
      </c>
      <c r="G140" s="49">
        <v>41</v>
      </c>
      <c r="H140" s="51">
        <v>0.05</v>
      </c>
      <c r="I140" s="52">
        <v>46260</v>
      </c>
      <c r="J140" s="52">
        <v>46435</v>
      </c>
      <c r="K140" s="52">
        <v>46260</v>
      </c>
      <c r="L140" s="52"/>
      <c r="M140" s="52">
        <v>46340</v>
      </c>
      <c r="N140" s="52">
        <v>46391</v>
      </c>
      <c r="O140" s="53">
        <v>37</v>
      </c>
      <c r="P140" s="49">
        <v>62</v>
      </c>
      <c r="Q140" s="49" t="s">
        <v>76</v>
      </c>
      <c r="R140" s="49" t="s">
        <v>246</v>
      </c>
      <c r="S140" s="49" t="s">
        <v>76</v>
      </c>
    </row>
    <row r="141" spans="1:19" s="27" customFormat="1" x14ac:dyDescent="0.25" outlineLevel="1" collapsed="1">
      <c r="A141" s="44" t="s">
        <v>248</v>
      </c>
      <c r="B141" s="45" t="s">
        <v>117</v>
      </c>
      <c r="C141" s="44" t="s">
        <v>25</v>
      </c>
      <c r="D141" s="44" t="s">
        <v>30</v>
      </c>
      <c r="E141" s="44" t="s">
        <v>85</v>
      </c>
      <c r="F141" s="44">
        <v>15</v>
      </c>
      <c r="G141" s="44">
        <v>15</v>
      </c>
      <c r="H141" s="46">
        <v>0</v>
      </c>
      <c r="I141" s="47">
        <v>46316</v>
      </c>
      <c r="J141" s="47">
        <v>46332</v>
      </c>
      <c r="K141" s="47"/>
      <c r="L141" s="47"/>
      <c r="M141" s="47">
        <v>46259</v>
      </c>
      <c r="N141" s="47">
        <v>46275</v>
      </c>
      <c r="O141" s="48">
        <v>47</v>
      </c>
      <c r="P141" s="44">
        <v>72</v>
      </c>
      <c r="Q141" s="44" t="s">
        <v>76</v>
      </c>
      <c r="R141" s="44" t="s">
        <v>176</v>
      </c>
      <c r="S141" s="44" t="s">
        <v>76</v>
      </c>
    </row>
    <row r="142" spans="1:19" s="27" customFormat="1" x14ac:dyDescent="0.25" outlineLevel="1" collapsed="1">
      <c r="A142" s="28" t="s">
        <v>249</v>
      </c>
      <c r="B142" s="38" t="s">
        <v>119</v>
      </c>
      <c r="C142" s="28" t="s">
        <v>25</v>
      </c>
      <c r="D142" s="28" t="s">
        <v>30</v>
      </c>
      <c r="E142" s="28" t="s">
        <v>85</v>
      </c>
      <c r="F142" s="28">
        <v>43</v>
      </c>
      <c r="G142" s="28">
        <v>43</v>
      </c>
      <c r="H142" s="30">
        <v>0</v>
      </c>
      <c r="I142" s="31">
        <v>46333</v>
      </c>
      <c r="J142" s="31">
        <v>46385</v>
      </c>
      <c r="K142" s="31"/>
      <c r="L142" s="31"/>
      <c r="M142" s="31">
        <v>46276</v>
      </c>
      <c r="N142" s="31">
        <v>46328</v>
      </c>
      <c r="O142" s="32">
        <v>47</v>
      </c>
      <c r="P142" s="28">
        <v>72</v>
      </c>
      <c r="Q142" s="28" t="s">
        <v>76</v>
      </c>
      <c r="R142" s="28" t="s">
        <v>76</v>
      </c>
      <c r="S142" s="28" t="s">
        <v>76</v>
      </c>
    </row>
    <row r="143" spans="1:19" s="27" customFormat="1" x14ac:dyDescent="0.25" outlineLevel="1" collapsed="1">
      <c r="A143" s="28" t="s">
        <v>250</v>
      </c>
      <c r="B143" s="38" t="s">
        <v>123</v>
      </c>
      <c r="C143" s="28" t="s">
        <v>25</v>
      </c>
      <c r="D143" s="28" t="s">
        <v>30</v>
      </c>
      <c r="E143" s="28" t="s">
        <v>85</v>
      </c>
      <c r="F143" s="28">
        <v>20</v>
      </c>
      <c r="G143" s="28">
        <v>20</v>
      </c>
      <c r="H143" s="30">
        <v>0</v>
      </c>
      <c r="I143" s="31">
        <v>46379</v>
      </c>
      <c r="J143" s="31">
        <v>46402</v>
      </c>
      <c r="K143" s="31"/>
      <c r="L143" s="31"/>
      <c r="M143" s="31">
        <v>46323</v>
      </c>
      <c r="N143" s="31">
        <v>46346</v>
      </c>
      <c r="O143" s="32">
        <v>47</v>
      </c>
      <c r="P143" s="28">
        <v>72</v>
      </c>
      <c r="Q143" s="28" t="s">
        <v>76</v>
      </c>
      <c r="R143" s="28" t="s">
        <v>76</v>
      </c>
      <c r="S143" s="28" t="s">
        <v>76</v>
      </c>
    </row>
    <row r="144" spans="1:19" s="27" customFormat="1" x14ac:dyDescent="0.25" outlineLevel="1" collapsed="1">
      <c r="A144" s="28" t="s">
        <v>251</v>
      </c>
      <c r="B144" s="38" t="s">
        <v>127</v>
      </c>
      <c r="C144" s="28" t="s">
        <v>25</v>
      </c>
      <c r="D144" s="28" t="s">
        <v>30</v>
      </c>
      <c r="E144" s="28" t="s">
        <v>85</v>
      </c>
      <c r="F144" s="28">
        <v>30</v>
      </c>
      <c r="G144" s="28">
        <v>30</v>
      </c>
      <c r="H144" s="30">
        <v>0</v>
      </c>
      <c r="I144" s="31">
        <v>46403</v>
      </c>
      <c r="J144" s="31">
        <v>46438</v>
      </c>
      <c r="K144" s="31"/>
      <c r="L144" s="31"/>
      <c r="M144" s="31">
        <v>46347</v>
      </c>
      <c r="N144" s="31">
        <v>46382</v>
      </c>
      <c r="O144" s="32">
        <v>47</v>
      </c>
      <c r="P144" s="28">
        <v>72</v>
      </c>
      <c r="Q144" s="28" t="s">
        <v>76</v>
      </c>
      <c r="R144" s="28" t="s">
        <v>76</v>
      </c>
      <c r="S144" s="28" t="s">
        <v>76</v>
      </c>
    </row>
    <row r="145" spans="1:19" s="27" customFormat="1" x14ac:dyDescent="0.25" outlineLevel="1" collapsed="1">
      <c r="A145" s="28" t="s">
        <v>252</v>
      </c>
      <c r="B145" s="38" t="s">
        <v>130</v>
      </c>
      <c r="C145" s="28" t="s">
        <v>25</v>
      </c>
      <c r="D145" s="28" t="s">
        <v>30</v>
      </c>
      <c r="E145" s="28" t="s">
        <v>85</v>
      </c>
      <c r="F145" s="28">
        <v>13</v>
      </c>
      <c r="G145" s="28">
        <v>13</v>
      </c>
      <c r="H145" s="30">
        <v>0</v>
      </c>
      <c r="I145" s="31">
        <v>46436</v>
      </c>
      <c r="J145" s="31">
        <v>46450</v>
      </c>
      <c r="K145" s="31"/>
      <c r="L145" s="31"/>
      <c r="M145" s="31">
        <v>46392</v>
      </c>
      <c r="N145" s="31">
        <v>46406</v>
      </c>
      <c r="O145" s="32">
        <v>37</v>
      </c>
      <c r="P145" s="28">
        <v>62</v>
      </c>
      <c r="Q145" s="28" t="s">
        <v>76</v>
      </c>
      <c r="R145" s="28" t="s">
        <v>76</v>
      </c>
      <c r="S145" s="28" t="s">
        <v>76</v>
      </c>
    </row>
    <row r="146" spans="1:19" s="27" customFormat="1" x14ac:dyDescent="0.25" outlineLevel="1" collapsed="1">
      <c r="A146" s="28" t="s">
        <v>253</v>
      </c>
      <c r="B146" s="38" t="s">
        <v>132</v>
      </c>
      <c r="C146" s="28" t="s">
        <v>25</v>
      </c>
      <c r="D146" s="28" t="s">
        <v>30</v>
      </c>
      <c r="E146" s="28" t="s">
        <v>85</v>
      </c>
      <c r="F146" s="28">
        <v>0</v>
      </c>
      <c r="G146" s="28">
        <v>0</v>
      </c>
      <c r="H146" s="30">
        <v>0</v>
      </c>
      <c r="I146" s="31">
        <v>46450</v>
      </c>
      <c r="J146" s="31">
        <v>46450</v>
      </c>
      <c r="K146" s="31"/>
      <c r="L146" s="31"/>
      <c r="M146" s="31">
        <v>46406</v>
      </c>
      <c r="N146" s="31">
        <v>46406</v>
      </c>
      <c r="O146" s="32">
        <v>37</v>
      </c>
      <c r="P146" s="28">
        <v>62</v>
      </c>
      <c r="Q146" s="28" t="s">
        <v>76</v>
      </c>
      <c r="R146" s="28" t="s">
        <v>76</v>
      </c>
      <c r="S146" s="28" t="s">
        <v>76</v>
      </c>
    </row>
  </sheetData>
  <autoFilter ref="A4:S4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A44"/>
  </sheetPr>
  <dimension ref="A1:BZ147"/>
  <sheetViews>
    <sheetView workbookViewId="0" showGridLines="0">
      <pane xSplit="5" ySplit="5" topLeftCell="F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40" customWidth="1"/>
    <col min="3" max="4" width="10" customWidth="1"/>
    <col min="5" max="5" width="6" customWidth="1"/>
    <col min="6" max="78" width="2.6" customWidth="1"/>
  </cols>
  <sheetData>
    <row r="1" ht="30" customHeight="1" spans="1:60" x14ac:dyDescent="0.25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4" spans="6:78" x14ac:dyDescent="0.25">
      <c r="F4" s="54" t="s">
        <v>255</v>
      </c>
      <c r="G4" s="54"/>
      <c r="H4" s="54"/>
      <c r="I4" s="54"/>
      <c r="J4" s="54" t="s">
        <v>256</v>
      </c>
      <c r="K4" s="54"/>
      <c r="L4" s="54"/>
      <c r="M4" s="54"/>
      <c r="N4" s="54" t="s">
        <v>257</v>
      </c>
      <c r="O4" s="54"/>
      <c r="P4" s="54"/>
      <c r="Q4" s="54"/>
      <c r="R4" s="54"/>
      <c r="S4" s="54" t="s">
        <v>258</v>
      </c>
      <c r="T4" s="54"/>
      <c r="U4" s="54"/>
      <c r="V4" s="54"/>
      <c r="W4" s="54" t="s">
        <v>259</v>
      </c>
      <c r="X4" s="54"/>
      <c r="Y4" s="54"/>
      <c r="Z4" s="54"/>
      <c r="AA4" s="54" t="s">
        <v>260</v>
      </c>
      <c r="AB4" s="54"/>
      <c r="AC4" s="54"/>
      <c r="AD4" s="54"/>
      <c r="AE4" s="54"/>
      <c r="AF4" s="54" t="s">
        <v>261</v>
      </c>
      <c r="AG4" s="54"/>
      <c r="AH4" s="54"/>
      <c r="AI4" s="54"/>
      <c r="AJ4" s="54" t="s">
        <v>262</v>
      </c>
      <c r="AK4" s="54"/>
      <c r="AL4" s="54"/>
      <c r="AM4" s="54"/>
      <c r="AN4" s="54"/>
      <c r="AO4" s="54" t="s">
        <v>263</v>
      </c>
      <c r="AP4" s="54"/>
      <c r="AQ4" s="54"/>
      <c r="AR4" s="54"/>
      <c r="AS4" s="54" t="s">
        <v>264</v>
      </c>
      <c r="AT4" s="54"/>
      <c r="AU4" s="54"/>
      <c r="AV4" s="54"/>
      <c r="AW4" s="54" t="s">
        <v>265</v>
      </c>
      <c r="AX4" s="54"/>
      <c r="AY4" s="54"/>
      <c r="AZ4" s="54"/>
      <c r="BA4" s="54"/>
      <c r="BB4" s="54" t="s">
        <v>266</v>
      </c>
      <c r="BC4" s="54"/>
      <c r="BD4" s="54"/>
      <c r="BE4" s="54"/>
      <c r="BF4" s="54" t="s">
        <v>267</v>
      </c>
      <c r="BG4" s="54"/>
      <c r="BH4" s="54"/>
      <c r="BI4" s="54"/>
      <c r="BJ4" s="54" t="s">
        <v>268</v>
      </c>
      <c r="BK4" s="54"/>
      <c r="BL4" s="54"/>
      <c r="BM4" s="54"/>
      <c r="BN4" s="54" t="s">
        <v>269</v>
      </c>
      <c r="BO4" s="54"/>
      <c r="BP4" s="54"/>
      <c r="BQ4" s="54"/>
      <c r="BR4" s="54"/>
      <c r="BS4" s="54" t="s">
        <v>270</v>
      </c>
      <c r="BT4" s="54"/>
      <c r="BU4" s="54"/>
      <c r="BV4" s="54"/>
      <c r="BW4" s="54" t="s">
        <v>271</v>
      </c>
      <c r="BX4" s="54"/>
      <c r="BY4" s="54"/>
      <c r="BZ4" s="54"/>
    </row>
    <row r="5" ht="30" customHeight="1" spans="1:78" x14ac:dyDescent="0.25">
      <c r="A5" s="9" t="s">
        <v>57</v>
      </c>
      <c r="B5" s="9" t="s">
        <v>58</v>
      </c>
      <c r="C5" s="9" t="s">
        <v>64</v>
      </c>
      <c r="D5" s="9" t="s">
        <v>65</v>
      </c>
      <c r="E5" s="9" t="s">
        <v>272</v>
      </c>
      <c r="F5" s="55">
        <v>5</v>
      </c>
      <c r="G5" s="55">
        <v>12</v>
      </c>
      <c r="H5" s="55">
        <v>19</v>
      </c>
      <c r="I5" s="55">
        <v>26</v>
      </c>
      <c r="J5" s="55">
        <v>2</v>
      </c>
      <c r="K5" s="55">
        <v>9</v>
      </c>
      <c r="L5" s="55">
        <v>16</v>
      </c>
      <c r="M5" s="55">
        <v>23</v>
      </c>
      <c r="N5" s="55">
        <v>2</v>
      </c>
      <c r="O5" s="55">
        <v>9</v>
      </c>
      <c r="P5" s="55">
        <v>16</v>
      </c>
      <c r="Q5" s="55">
        <v>23</v>
      </c>
      <c r="R5" s="55">
        <v>30</v>
      </c>
      <c r="S5" s="55">
        <v>6</v>
      </c>
      <c r="T5" s="55">
        <v>13</v>
      </c>
      <c r="U5" s="55">
        <v>20</v>
      </c>
      <c r="V5" s="55">
        <v>27</v>
      </c>
      <c r="W5" s="55">
        <v>4</v>
      </c>
      <c r="X5" s="55">
        <v>11</v>
      </c>
      <c r="Y5" s="55">
        <v>18</v>
      </c>
      <c r="Z5" s="55">
        <v>25</v>
      </c>
      <c r="AA5" s="55">
        <v>1</v>
      </c>
      <c r="AB5" s="55">
        <v>8</v>
      </c>
      <c r="AC5" s="55">
        <v>15</v>
      </c>
      <c r="AD5" s="55">
        <v>22</v>
      </c>
      <c r="AE5" s="55">
        <v>29</v>
      </c>
      <c r="AF5" s="55">
        <v>6</v>
      </c>
      <c r="AG5" s="55">
        <v>13</v>
      </c>
      <c r="AH5" s="55">
        <v>20</v>
      </c>
      <c r="AI5" s="55">
        <v>27</v>
      </c>
      <c r="AJ5" s="55">
        <v>3</v>
      </c>
      <c r="AK5" s="55">
        <v>10</v>
      </c>
      <c r="AL5" s="55">
        <v>17</v>
      </c>
      <c r="AM5" s="55">
        <v>24</v>
      </c>
      <c r="AN5" s="55">
        <v>31</v>
      </c>
      <c r="AO5" s="55">
        <v>7</v>
      </c>
      <c r="AP5" s="55">
        <v>14</v>
      </c>
      <c r="AQ5" s="55">
        <v>21</v>
      </c>
      <c r="AR5" s="56">
        <v>28</v>
      </c>
      <c r="AS5" s="55">
        <v>5</v>
      </c>
      <c r="AT5" s="55">
        <v>12</v>
      </c>
      <c r="AU5" s="55">
        <v>19</v>
      </c>
      <c r="AV5" s="55">
        <v>26</v>
      </c>
      <c r="AW5" s="55">
        <v>2</v>
      </c>
      <c r="AX5" s="55">
        <v>9</v>
      </c>
      <c r="AY5" s="55">
        <v>16</v>
      </c>
      <c r="AZ5" s="55">
        <v>23</v>
      </c>
      <c r="BA5" s="55">
        <v>30</v>
      </c>
      <c r="BB5" s="55">
        <v>7</v>
      </c>
      <c r="BC5" s="55">
        <v>14</v>
      </c>
      <c r="BD5" s="55">
        <v>21</v>
      </c>
      <c r="BE5" s="55">
        <v>28</v>
      </c>
      <c r="BF5" s="55">
        <v>4</v>
      </c>
      <c r="BG5" s="55">
        <v>11</v>
      </c>
      <c r="BH5" s="55">
        <v>18</v>
      </c>
      <c r="BI5" s="55">
        <v>25</v>
      </c>
      <c r="BJ5" s="55">
        <v>1</v>
      </c>
      <c r="BK5" s="55">
        <v>8</v>
      </c>
      <c r="BL5" s="55">
        <v>15</v>
      </c>
      <c r="BM5" s="55">
        <v>22</v>
      </c>
      <c r="BN5" s="55">
        <v>1</v>
      </c>
      <c r="BO5" s="55">
        <v>8</v>
      </c>
      <c r="BP5" s="55">
        <v>15</v>
      </c>
      <c r="BQ5" s="55">
        <v>22</v>
      </c>
      <c r="BR5" s="55">
        <v>29</v>
      </c>
      <c r="BS5" s="55">
        <v>5</v>
      </c>
      <c r="BT5" s="55">
        <v>12</v>
      </c>
      <c r="BU5" s="55">
        <v>19</v>
      </c>
      <c r="BV5" s="55">
        <v>26</v>
      </c>
      <c r="BW5" s="55">
        <v>3</v>
      </c>
      <c r="BX5" s="55">
        <v>10</v>
      </c>
      <c r="BY5" s="55">
        <v>17</v>
      </c>
      <c r="BZ5" s="55">
        <v>24</v>
      </c>
    </row>
    <row r="6" ht="14" customHeight="1" spans="1:78" x14ac:dyDescent="0.25">
      <c r="A6" s="57" t="s">
        <v>76</v>
      </c>
      <c r="B6" s="57" t="s">
        <v>75</v>
      </c>
      <c r="C6" s="58">
        <v>46027</v>
      </c>
      <c r="D6" s="58">
        <v>46524</v>
      </c>
      <c r="E6" s="59">
        <v>0.5734232760970291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1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</row>
    <row r="7" ht="14" customHeight="1" spans="1:78" x14ac:dyDescent="0.25">
      <c r="A7" s="57" t="s">
        <v>76</v>
      </c>
      <c r="B7" s="57" t="s">
        <v>273</v>
      </c>
      <c r="C7" s="58">
        <v>46027</v>
      </c>
      <c r="D7" s="58">
        <v>46524</v>
      </c>
      <c r="E7" s="59">
        <v>0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1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</row>
    <row r="8" ht="14" customHeight="1" spans="1:78" s="62" customFormat="1" x14ac:dyDescent="0.25" outlineLevel="1" collapsed="1">
      <c r="A8" s="62" t="s">
        <v>81</v>
      </c>
      <c r="B8" s="62" t="s">
        <v>274</v>
      </c>
      <c r="C8" s="63">
        <v>46027</v>
      </c>
      <c r="D8" s="63">
        <v>46027</v>
      </c>
      <c r="E8" s="64">
        <v>1</v>
      </c>
      <c r="F8" s="65" t="s">
        <v>275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6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</row>
    <row r="9" ht="14" customHeight="1" spans="1:78" s="62" customFormat="1" x14ac:dyDescent="0.25" outlineLevel="1" collapsed="1">
      <c r="A9" s="62" t="s">
        <v>83</v>
      </c>
      <c r="B9" s="62" t="s">
        <v>276</v>
      </c>
      <c r="C9" s="63">
        <v>46524</v>
      </c>
      <c r="D9" s="63">
        <v>46524</v>
      </c>
      <c r="E9" s="64">
        <v>0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6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7" t="s">
        <v>275</v>
      </c>
      <c r="BZ9" s="62"/>
    </row>
    <row r="10" ht="14" customHeight="1" spans="1:78" x14ac:dyDescent="0.25">
      <c r="A10" s="57" t="s">
        <v>76</v>
      </c>
      <c r="B10" s="57" t="s">
        <v>277</v>
      </c>
      <c r="C10" s="58">
        <v>46030</v>
      </c>
      <c r="D10" s="58">
        <v>46336</v>
      </c>
      <c r="E10" s="59">
        <v>0.919851024208566</v>
      </c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1"/>
      <c r="AS10" s="60"/>
      <c r="AT10" s="60"/>
      <c r="AU10" s="60"/>
      <c r="AV10" s="60"/>
      <c r="AW10" s="60"/>
      <c r="AX10" s="60"/>
    </row>
    <row r="11" ht="14" customHeight="1" spans="1:78" x14ac:dyDescent="0.25">
      <c r="A11" s="68" t="s">
        <v>76</v>
      </c>
      <c r="B11" s="68" t="s">
        <v>278</v>
      </c>
      <c r="C11" s="69">
        <v>46030</v>
      </c>
      <c r="D11" s="69">
        <v>46126</v>
      </c>
      <c r="E11" s="70">
        <v>1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AR11" s="71"/>
    </row>
    <row r="12" ht="14" customHeight="1" spans="1:78" s="62" customFormat="1" x14ac:dyDescent="0.25" outlineLevel="1" collapsed="1">
      <c r="A12" s="62" t="s">
        <v>91</v>
      </c>
      <c r="B12" s="62" t="s">
        <v>279</v>
      </c>
      <c r="C12" s="63">
        <v>46030</v>
      </c>
      <c r="D12" s="63">
        <v>46063</v>
      </c>
      <c r="E12" s="64">
        <v>1</v>
      </c>
      <c r="F12" s="72"/>
      <c r="G12" s="72"/>
      <c r="H12" s="72"/>
      <c r="I12" s="72"/>
      <c r="J12" s="72"/>
      <c r="K12" s="7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6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</row>
    <row r="13" ht="14" customHeight="1" spans="1:78" s="62" customFormat="1" x14ac:dyDescent="0.25" outlineLevel="1" collapsed="1">
      <c r="A13" s="62" t="s">
        <v>93</v>
      </c>
      <c r="B13" s="62" t="s">
        <v>280</v>
      </c>
      <c r="C13" s="63">
        <v>46043</v>
      </c>
      <c r="D13" s="63">
        <v>46101</v>
      </c>
      <c r="E13" s="64">
        <v>1</v>
      </c>
      <c r="F13" s="62"/>
      <c r="G13" s="62"/>
      <c r="H13" s="72"/>
      <c r="I13" s="72"/>
      <c r="J13" s="72"/>
      <c r="K13" s="72"/>
      <c r="L13" s="72"/>
      <c r="M13" s="72"/>
      <c r="N13" s="72"/>
      <c r="O13" s="72"/>
      <c r="P13" s="7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6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</row>
    <row r="14" ht="14" customHeight="1" spans="1:78" s="62" customFormat="1" x14ac:dyDescent="0.25" outlineLevel="1" collapsed="1">
      <c r="A14" s="62" t="s">
        <v>95</v>
      </c>
      <c r="B14" s="62" t="s">
        <v>281</v>
      </c>
      <c r="C14" s="63">
        <v>46070</v>
      </c>
      <c r="D14" s="63">
        <v>46126</v>
      </c>
      <c r="E14" s="64">
        <v>1</v>
      </c>
      <c r="F14" s="62"/>
      <c r="G14" s="62"/>
      <c r="H14" s="62"/>
      <c r="I14" s="62"/>
      <c r="J14" s="62"/>
      <c r="K14" s="62"/>
      <c r="L14" s="72"/>
      <c r="M14" s="72"/>
      <c r="N14" s="72"/>
      <c r="O14" s="72"/>
      <c r="P14" s="72"/>
      <c r="Q14" s="72"/>
      <c r="R14" s="72"/>
      <c r="S14" s="72"/>
      <c r="T14" s="7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6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</row>
    <row r="15" ht="14" customHeight="1" spans="1:78" s="62" customFormat="1" x14ac:dyDescent="0.25" outlineLevel="1" collapsed="1">
      <c r="A15" s="62" t="s">
        <v>97</v>
      </c>
      <c r="B15" s="62" t="s">
        <v>282</v>
      </c>
      <c r="C15" s="63">
        <v>46105</v>
      </c>
      <c r="D15" s="63">
        <v>46126</v>
      </c>
      <c r="E15" s="64">
        <v>1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72"/>
      <c r="R15" s="72"/>
      <c r="S15" s="72"/>
      <c r="T15" s="7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6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</row>
    <row r="16" ht="14" customHeight="1" spans="1:78" x14ac:dyDescent="0.25">
      <c r="A16" s="68" t="s">
        <v>76</v>
      </c>
      <c r="B16" s="68" t="s">
        <v>283</v>
      </c>
      <c r="C16" s="69">
        <v>46106</v>
      </c>
      <c r="D16" s="69">
        <v>46234</v>
      </c>
      <c r="E16" s="70">
        <v>1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R16" s="71"/>
    </row>
    <row r="17" ht="14" customHeight="1" spans="1:78" s="62" customFormat="1" x14ac:dyDescent="0.25" outlineLevel="1" collapsed="1">
      <c r="A17" s="62" t="s">
        <v>100</v>
      </c>
      <c r="B17" s="62" t="s">
        <v>284</v>
      </c>
      <c r="C17" s="63">
        <v>46106</v>
      </c>
      <c r="D17" s="63">
        <v>46119</v>
      </c>
      <c r="E17" s="64">
        <v>1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72"/>
      <c r="R17" s="72"/>
      <c r="S17" s="7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6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</row>
    <row r="18" ht="14" customHeight="1" spans="1:78" s="62" customFormat="1" x14ac:dyDescent="0.25" outlineLevel="1" collapsed="1">
      <c r="A18" s="62" t="s">
        <v>102</v>
      </c>
      <c r="B18" s="62" t="s">
        <v>285</v>
      </c>
      <c r="C18" s="63">
        <v>46125</v>
      </c>
      <c r="D18" s="63">
        <v>46204</v>
      </c>
      <c r="E18" s="64">
        <v>1</v>
      </c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6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</row>
    <row r="19" ht="14" customHeight="1" spans="1:78" s="62" customFormat="1" x14ac:dyDescent="0.25" outlineLevel="1" collapsed="1">
      <c r="A19" s="62" t="s">
        <v>104</v>
      </c>
      <c r="B19" s="62" t="s">
        <v>286</v>
      </c>
      <c r="C19" s="63">
        <v>46127</v>
      </c>
      <c r="D19" s="63">
        <v>46140</v>
      </c>
      <c r="E19" s="64">
        <v>1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72"/>
      <c r="U19" s="72"/>
      <c r="V19" s="7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6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</row>
    <row r="20" ht="14" customHeight="1" spans="1:78" s="62" customFormat="1" x14ac:dyDescent="0.25" outlineLevel="1" collapsed="1">
      <c r="A20" s="62" t="s">
        <v>106</v>
      </c>
      <c r="B20" s="62" t="s">
        <v>287</v>
      </c>
      <c r="C20" s="63">
        <v>46146</v>
      </c>
      <c r="D20" s="63">
        <v>46234</v>
      </c>
      <c r="E20" s="64">
        <v>1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62"/>
      <c r="AK20" s="62"/>
      <c r="AL20" s="62"/>
      <c r="AM20" s="62"/>
      <c r="AN20" s="62"/>
      <c r="AO20" s="62"/>
      <c r="AP20" s="62"/>
      <c r="AQ20" s="62"/>
      <c r="AR20" s="66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</row>
    <row r="21" ht="14" customHeight="1" spans="1:78" x14ac:dyDescent="0.25">
      <c r="A21" s="68" t="s">
        <v>76</v>
      </c>
      <c r="B21" s="68" t="s">
        <v>288</v>
      </c>
      <c r="C21" s="69">
        <v>46030</v>
      </c>
      <c r="D21" s="69">
        <v>46336</v>
      </c>
      <c r="E21" s="70">
        <v>0.8495104895104895</v>
      </c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1"/>
      <c r="AS21" s="60"/>
      <c r="AT21" s="60"/>
      <c r="AU21" s="60"/>
      <c r="AV21" s="60"/>
      <c r="AW21" s="60"/>
      <c r="AX21" s="60"/>
    </row>
    <row r="22" ht="14" customHeight="1" spans="1:78" s="62" customFormat="1" x14ac:dyDescent="0.25" outlineLevel="1" collapsed="1">
      <c r="A22" s="62" t="s">
        <v>110</v>
      </c>
      <c r="B22" s="62" t="s">
        <v>289</v>
      </c>
      <c r="C22" s="63">
        <v>46030</v>
      </c>
      <c r="D22" s="63">
        <v>46036</v>
      </c>
      <c r="E22" s="64">
        <v>1</v>
      </c>
      <c r="F22" s="72"/>
      <c r="G22" s="7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6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</row>
    <row r="23" ht="14" customHeight="1" spans="1:78" s="62" customFormat="1" x14ac:dyDescent="0.25" outlineLevel="1" collapsed="1">
      <c r="A23" s="62" t="s">
        <v>112</v>
      </c>
      <c r="B23" s="62" t="s">
        <v>290</v>
      </c>
      <c r="C23" s="63">
        <v>46057</v>
      </c>
      <c r="D23" s="63">
        <v>46079</v>
      </c>
      <c r="E23" s="64">
        <v>1</v>
      </c>
      <c r="F23" s="62"/>
      <c r="G23" s="62"/>
      <c r="H23" s="62"/>
      <c r="I23" s="62"/>
      <c r="J23" s="72"/>
      <c r="K23" s="72"/>
      <c r="L23" s="72"/>
      <c r="M23" s="7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6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</row>
    <row r="24" ht="14" customHeight="1" spans="1:78" s="62" customFormat="1" x14ac:dyDescent="0.25" outlineLevel="1" collapsed="1">
      <c r="A24" s="62" t="s">
        <v>114</v>
      </c>
      <c r="B24" s="62" t="s">
        <v>291</v>
      </c>
      <c r="C24" s="63">
        <v>46067</v>
      </c>
      <c r="D24" s="63">
        <v>46107</v>
      </c>
      <c r="E24" s="64">
        <v>1</v>
      </c>
      <c r="F24" s="62"/>
      <c r="G24" s="62"/>
      <c r="H24" s="62"/>
      <c r="I24" s="62"/>
      <c r="J24" s="62"/>
      <c r="K24" s="72"/>
      <c r="L24" s="72"/>
      <c r="M24" s="72"/>
      <c r="N24" s="72"/>
      <c r="O24" s="72"/>
      <c r="P24" s="72"/>
      <c r="Q24" s="7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6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</row>
    <row r="25" ht="14" customHeight="1" spans="1:78" s="62" customFormat="1" x14ac:dyDescent="0.25" outlineLevel="1" collapsed="1">
      <c r="A25" s="62" t="s">
        <v>116</v>
      </c>
      <c r="B25" s="62" t="s">
        <v>292</v>
      </c>
      <c r="C25" s="63">
        <v>46109</v>
      </c>
      <c r="D25" s="63">
        <v>46135</v>
      </c>
      <c r="E25" s="64">
        <v>1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72"/>
      <c r="R25" s="72"/>
      <c r="S25" s="72"/>
      <c r="T25" s="72"/>
      <c r="U25" s="7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6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</row>
    <row r="26" ht="14" customHeight="1" spans="1:78" s="62" customFormat="1" x14ac:dyDescent="0.25" outlineLevel="1" collapsed="1">
      <c r="A26" s="62" t="s">
        <v>118</v>
      </c>
      <c r="B26" s="62" t="s">
        <v>293</v>
      </c>
      <c r="C26" s="63">
        <v>46143</v>
      </c>
      <c r="D26" s="63">
        <v>46216</v>
      </c>
      <c r="E26" s="64">
        <v>1</v>
      </c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6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</row>
    <row r="27" ht="14" customHeight="1" spans="1:78" s="62" customFormat="1" x14ac:dyDescent="0.25" outlineLevel="1" collapsed="1">
      <c r="A27" s="62" t="s">
        <v>120</v>
      </c>
      <c r="B27" s="62" t="s">
        <v>294</v>
      </c>
      <c r="C27" s="63">
        <v>46171</v>
      </c>
      <c r="D27" s="63">
        <v>46214</v>
      </c>
      <c r="E27" s="64">
        <v>1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72"/>
      <c r="AA27" s="72"/>
      <c r="AB27" s="72"/>
      <c r="AC27" s="72"/>
      <c r="AD27" s="72"/>
      <c r="AE27" s="72"/>
      <c r="AF27" s="7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6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</row>
    <row r="28" ht="14" customHeight="1" spans="1:78" s="62" customFormat="1" x14ac:dyDescent="0.25" outlineLevel="1" collapsed="1">
      <c r="A28" s="62" t="s">
        <v>122</v>
      </c>
      <c r="B28" s="62" t="s">
        <v>295</v>
      </c>
      <c r="C28" s="63">
        <v>46216</v>
      </c>
      <c r="D28" s="63">
        <v>46237</v>
      </c>
      <c r="E28" s="64">
        <v>1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72"/>
      <c r="AH28" s="72"/>
      <c r="AI28" s="72"/>
      <c r="AJ28" s="72"/>
      <c r="AK28" s="62"/>
      <c r="AL28" s="62"/>
      <c r="AM28" s="62"/>
      <c r="AN28" s="62"/>
      <c r="AO28" s="62"/>
      <c r="AP28" s="62"/>
      <c r="AQ28" s="62"/>
      <c r="AR28" s="66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</row>
    <row r="29" ht="14" customHeight="1" spans="1:78" s="62" customFormat="1" x14ac:dyDescent="0.25" outlineLevel="1" collapsed="1">
      <c r="A29" s="62" t="s">
        <v>124</v>
      </c>
      <c r="B29" s="62" t="s">
        <v>296</v>
      </c>
      <c r="C29" s="63">
        <v>46238</v>
      </c>
      <c r="D29" s="63">
        <v>46318</v>
      </c>
      <c r="E29" s="64">
        <v>0.62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72"/>
      <c r="AK29" s="72"/>
      <c r="AL29" s="72"/>
      <c r="AM29" s="72"/>
      <c r="AN29" s="72"/>
      <c r="AO29" s="72"/>
      <c r="AP29" s="72"/>
      <c r="AQ29" s="72"/>
      <c r="AR29" s="73"/>
      <c r="AS29" s="74"/>
      <c r="AT29" s="74"/>
      <c r="AU29" s="74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</row>
    <row r="30" ht="14" customHeight="1" spans="1:78" s="62" customFormat="1" x14ac:dyDescent="0.25" outlineLevel="1" collapsed="1">
      <c r="A30" s="62" t="s">
        <v>126</v>
      </c>
      <c r="B30" s="62" t="s">
        <v>297</v>
      </c>
      <c r="C30" s="63">
        <v>46239</v>
      </c>
      <c r="D30" s="63">
        <v>46309</v>
      </c>
      <c r="E30" s="64">
        <v>0.73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72"/>
      <c r="AK30" s="72"/>
      <c r="AL30" s="72"/>
      <c r="AM30" s="72"/>
      <c r="AN30" s="72"/>
      <c r="AO30" s="72"/>
      <c r="AP30" s="72"/>
      <c r="AQ30" s="72"/>
      <c r="AR30" s="73"/>
      <c r="AS30" s="74"/>
      <c r="AT30" s="74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</row>
    <row r="31" ht="14" customHeight="1" spans="1:78" s="62" customFormat="1" x14ac:dyDescent="0.25" outlineLevel="1" collapsed="1">
      <c r="A31" s="62" t="s">
        <v>129</v>
      </c>
      <c r="B31" s="62" t="s">
        <v>298</v>
      </c>
      <c r="C31" s="63">
        <v>46319</v>
      </c>
      <c r="D31" s="63">
        <v>46336</v>
      </c>
      <c r="E31" s="64">
        <v>0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6"/>
      <c r="AS31" s="62"/>
      <c r="AT31" s="62"/>
      <c r="AU31" s="74"/>
      <c r="AV31" s="74"/>
      <c r="AW31" s="74"/>
      <c r="AX31" s="74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</row>
    <row r="32" ht="14" customHeight="1" spans="1:78" s="62" customFormat="1" x14ac:dyDescent="0.25" outlineLevel="1" collapsed="1">
      <c r="A32" s="62" t="s">
        <v>131</v>
      </c>
      <c r="B32" s="62" t="s">
        <v>299</v>
      </c>
      <c r="C32" s="63">
        <v>46336</v>
      </c>
      <c r="D32" s="63">
        <v>46336</v>
      </c>
      <c r="E32" s="64">
        <v>0</v>
      </c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6"/>
      <c r="AS32" s="62"/>
      <c r="AT32" s="62"/>
      <c r="AU32" s="62"/>
      <c r="AV32" s="62"/>
      <c r="AW32" s="62"/>
      <c r="AX32" s="75" t="s">
        <v>275</v>
      </c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</row>
    <row r="33" ht="14" customHeight="1" spans="1:78" x14ac:dyDescent="0.25">
      <c r="A33" s="57" t="s">
        <v>76</v>
      </c>
      <c r="B33" s="57" t="s">
        <v>300</v>
      </c>
      <c r="C33" s="58">
        <v>46046</v>
      </c>
      <c r="D33" s="58">
        <v>46524</v>
      </c>
      <c r="E33" s="59">
        <v>0.578186753528773</v>
      </c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1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</row>
    <row r="34" ht="14" customHeight="1" spans="1:78" x14ac:dyDescent="0.25">
      <c r="A34" s="68" t="s">
        <v>76</v>
      </c>
      <c r="B34" s="68" t="s">
        <v>278</v>
      </c>
      <c r="C34" s="69">
        <v>46052</v>
      </c>
      <c r="D34" s="69">
        <v>46218</v>
      </c>
      <c r="E34" s="70">
        <v>1</v>
      </c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R34" s="71"/>
    </row>
    <row r="35" ht="14" customHeight="1" spans="1:78" s="62" customFormat="1" x14ac:dyDescent="0.25" outlineLevel="1" collapsed="1">
      <c r="A35" s="62" t="s">
        <v>135</v>
      </c>
      <c r="B35" s="62" t="s">
        <v>279</v>
      </c>
      <c r="C35" s="63">
        <v>46052</v>
      </c>
      <c r="D35" s="63">
        <v>46101</v>
      </c>
      <c r="E35" s="64">
        <v>1</v>
      </c>
      <c r="F35" s="62"/>
      <c r="G35" s="62"/>
      <c r="H35" s="62"/>
      <c r="I35" s="72"/>
      <c r="J35" s="72"/>
      <c r="K35" s="72"/>
      <c r="L35" s="72"/>
      <c r="M35" s="72"/>
      <c r="N35" s="72"/>
      <c r="O35" s="72"/>
      <c r="P35" s="7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6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</row>
    <row r="36" ht="14" customHeight="1" spans="1:78" s="62" customFormat="1" x14ac:dyDescent="0.25" outlineLevel="1" collapsed="1">
      <c r="A36" s="62" t="s">
        <v>136</v>
      </c>
      <c r="B36" s="62" t="s">
        <v>280</v>
      </c>
      <c r="C36" s="63">
        <v>46064</v>
      </c>
      <c r="D36" s="63">
        <v>46146</v>
      </c>
      <c r="E36" s="64">
        <v>1</v>
      </c>
      <c r="F36" s="62"/>
      <c r="G36" s="62"/>
      <c r="H36" s="62"/>
      <c r="I36" s="62"/>
      <c r="J36" s="6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6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</row>
    <row r="37" ht="14" customHeight="1" spans="1:78" s="62" customFormat="1" x14ac:dyDescent="0.25" outlineLevel="1" collapsed="1">
      <c r="A37" s="62" t="s">
        <v>137</v>
      </c>
      <c r="B37" s="62" t="s">
        <v>281</v>
      </c>
      <c r="C37" s="63">
        <v>46111</v>
      </c>
      <c r="D37" s="63">
        <v>46218</v>
      </c>
      <c r="E37" s="64">
        <v>1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6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</row>
    <row r="38" ht="14" customHeight="1" spans="1:78" s="62" customFormat="1" x14ac:dyDescent="0.25" outlineLevel="1" collapsed="1">
      <c r="A38" s="62" t="s">
        <v>138</v>
      </c>
      <c r="B38" s="62" t="s">
        <v>282</v>
      </c>
      <c r="C38" s="63">
        <v>46164</v>
      </c>
      <c r="D38" s="63">
        <v>46218</v>
      </c>
      <c r="E38" s="64">
        <v>1</v>
      </c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72"/>
      <c r="Z38" s="72"/>
      <c r="AA38" s="72"/>
      <c r="AB38" s="72"/>
      <c r="AC38" s="72"/>
      <c r="AD38" s="72"/>
      <c r="AE38" s="72"/>
      <c r="AF38" s="72"/>
      <c r="AG38" s="7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6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</row>
    <row r="39" ht="14" customHeight="1" spans="1:78" x14ac:dyDescent="0.25">
      <c r="A39" s="68" t="s">
        <v>76</v>
      </c>
      <c r="B39" s="68" t="s">
        <v>283</v>
      </c>
      <c r="C39" s="69">
        <v>46153</v>
      </c>
      <c r="D39" s="69">
        <v>46406</v>
      </c>
      <c r="E39" s="70">
        <v>0.5942322097378278</v>
      </c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1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</row>
    <row r="40" ht="14" customHeight="1" spans="1:78" s="62" customFormat="1" x14ac:dyDescent="0.25" outlineLevel="1" collapsed="1">
      <c r="A40" s="62" t="s">
        <v>140</v>
      </c>
      <c r="B40" s="62" t="s">
        <v>284</v>
      </c>
      <c r="C40" s="63">
        <v>46153</v>
      </c>
      <c r="D40" s="63">
        <v>46182</v>
      </c>
      <c r="E40" s="64">
        <v>1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72"/>
      <c r="Y40" s="72"/>
      <c r="Z40" s="72"/>
      <c r="AA40" s="72"/>
      <c r="AB40" s="7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6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</row>
    <row r="41" ht="14" customHeight="1" spans="1:78" s="62" customFormat="1" x14ac:dyDescent="0.25" outlineLevel="1" collapsed="1">
      <c r="A41" s="62" t="s">
        <v>141</v>
      </c>
      <c r="B41" s="62" t="s">
        <v>285</v>
      </c>
      <c r="C41" s="63">
        <v>46188</v>
      </c>
      <c r="D41" s="63">
        <v>46318</v>
      </c>
      <c r="E41" s="64">
        <v>0.82</v>
      </c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3"/>
      <c r="AS41" s="74"/>
      <c r="AT41" s="74"/>
      <c r="AU41" s="74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</row>
    <row r="42" ht="14" customHeight="1" spans="1:78" s="62" customFormat="1" x14ac:dyDescent="0.25" outlineLevel="1" collapsed="1">
      <c r="A42" s="62" t="s">
        <v>142</v>
      </c>
      <c r="B42" s="62" t="s">
        <v>286</v>
      </c>
      <c r="C42" s="63">
        <v>46223</v>
      </c>
      <c r="D42" s="63">
        <v>46247</v>
      </c>
      <c r="E42" s="64">
        <v>1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72"/>
      <c r="AI42" s="72"/>
      <c r="AJ42" s="72"/>
      <c r="AK42" s="72"/>
      <c r="AL42" s="62"/>
      <c r="AM42" s="62"/>
      <c r="AN42" s="62"/>
      <c r="AO42" s="62"/>
      <c r="AP42" s="62"/>
      <c r="AQ42" s="62"/>
      <c r="AR42" s="66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</row>
    <row r="43" ht="14" customHeight="1" spans="1:78" s="62" customFormat="1" x14ac:dyDescent="0.25" outlineLevel="1" collapsed="1">
      <c r="A43" s="62" t="s">
        <v>143</v>
      </c>
      <c r="B43" s="62" t="s">
        <v>287</v>
      </c>
      <c r="C43" s="63">
        <v>46252</v>
      </c>
      <c r="D43" s="63">
        <v>46406</v>
      </c>
      <c r="E43" s="64">
        <v>0.27</v>
      </c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72"/>
      <c r="AM43" s="72"/>
      <c r="AN43" s="72"/>
      <c r="AO43" s="72"/>
      <c r="AP43" s="72"/>
      <c r="AQ43" s="72"/>
      <c r="AR43" s="76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</row>
    <row r="44" ht="14" customHeight="1" spans="1:78" x14ac:dyDescent="0.25">
      <c r="A44" s="68" t="s">
        <v>76</v>
      </c>
      <c r="B44" s="68" t="s">
        <v>288</v>
      </c>
      <c r="C44" s="69">
        <v>46046</v>
      </c>
      <c r="D44" s="69">
        <v>46524</v>
      </c>
      <c r="E44" s="70">
        <v>0.4187759336099585</v>
      </c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1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</row>
    <row r="45" ht="14" customHeight="1" spans="1:78" s="62" customFormat="1" x14ac:dyDescent="0.25" outlineLevel="1" collapsed="1">
      <c r="A45" s="62" t="s">
        <v>146</v>
      </c>
      <c r="B45" s="62" t="s">
        <v>289</v>
      </c>
      <c r="C45" s="63">
        <v>46046</v>
      </c>
      <c r="D45" s="63">
        <v>46059</v>
      </c>
      <c r="E45" s="64">
        <v>1</v>
      </c>
      <c r="F45" s="62"/>
      <c r="G45" s="62"/>
      <c r="H45" s="72"/>
      <c r="I45" s="72"/>
      <c r="J45" s="7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6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</row>
    <row r="46" ht="14" customHeight="1" spans="1:78" s="62" customFormat="1" x14ac:dyDescent="0.25" outlineLevel="1" collapsed="1">
      <c r="A46" s="62" t="s">
        <v>147</v>
      </c>
      <c r="B46" s="62" t="s">
        <v>290</v>
      </c>
      <c r="C46" s="63">
        <v>46081</v>
      </c>
      <c r="D46" s="63">
        <v>46121</v>
      </c>
      <c r="E46" s="64">
        <v>1</v>
      </c>
      <c r="F46" s="62"/>
      <c r="G46" s="62"/>
      <c r="H46" s="62"/>
      <c r="I46" s="62"/>
      <c r="J46" s="62"/>
      <c r="K46" s="62"/>
      <c r="L46" s="62"/>
      <c r="M46" s="72"/>
      <c r="N46" s="72"/>
      <c r="O46" s="72"/>
      <c r="P46" s="72"/>
      <c r="Q46" s="72"/>
      <c r="R46" s="72"/>
      <c r="S46" s="7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6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</row>
    <row r="47" ht="14" customHeight="1" spans="1:78" s="62" customFormat="1" x14ac:dyDescent="0.25" outlineLevel="1" collapsed="1">
      <c r="A47" s="62" t="s">
        <v>148</v>
      </c>
      <c r="B47" s="62" t="s">
        <v>291</v>
      </c>
      <c r="C47" s="63">
        <v>46099</v>
      </c>
      <c r="D47" s="63">
        <v>46154</v>
      </c>
      <c r="E47" s="64">
        <v>1</v>
      </c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72"/>
      <c r="Q47" s="72"/>
      <c r="R47" s="72"/>
      <c r="S47" s="72"/>
      <c r="T47" s="72"/>
      <c r="U47" s="72"/>
      <c r="V47" s="72"/>
      <c r="W47" s="72"/>
      <c r="X47" s="7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6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</row>
    <row r="48" ht="14" customHeight="1" spans="1:78" s="62" customFormat="1" x14ac:dyDescent="0.25" outlineLevel="1" collapsed="1">
      <c r="A48" s="62" t="s">
        <v>149</v>
      </c>
      <c r="B48" s="62" t="s">
        <v>292</v>
      </c>
      <c r="C48" s="63">
        <v>46164</v>
      </c>
      <c r="D48" s="63">
        <v>46199</v>
      </c>
      <c r="E48" s="64">
        <v>1</v>
      </c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72"/>
      <c r="Z48" s="72"/>
      <c r="AA48" s="72"/>
      <c r="AB48" s="72"/>
      <c r="AC48" s="72"/>
      <c r="AD48" s="7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6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</row>
    <row r="49" ht="14" customHeight="1" spans="1:78" s="62" customFormat="1" x14ac:dyDescent="0.25" outlineLevel="1" collapsed="1">
      <c r="A49" s="62" t="s">
        <v>150</v>
      </c>
      <c r="B49" s="62" t="s">
        <v>293</v>
      </c>
      <c r="C49" s="63">
        <v>46211</v>
      </c>
      <c r="D49" s="63">
        <v>46356</v>
      </c>
      <c r="E49" s="64">
        <v>0.52</v>
      </c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3"/>
      <c r="AS49" s="74"/>
      <c r="AT49" s="74"/>
      <c r="AU49" s="74"/>
      <c r="AV49" s="74"/>
      <c r="AW49" s="74"/>
      <c r="AX49" s="74"/>
      <c r="AY49" s="74"/>
      <c r="AZ49" s="74"/>
      <c r="BA49" s="74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</row>
    <row r="50" ht="14" customHeight="1" spans="1:78" s="62" customFormat="1" x14ac:dyDescent="0.25" outlineLevel="1" collapsed="1">
      <c r="A50" s="62" t="s">
        <v>151</v>
      </c>
      <c r="B50" s="62" t="s">
        <v>294</v>
      </c>
      <c r="C50" s="63">
        <v>46240</v>
      </c>
      <c r="D50" s="63">
        <v>46339</v>
      </c>
      <c r="E50" s="64">
        <v>0.49</v>
      </c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72"/>
      <c r="AK50" s="72"/>
      <c r="AL50" s="72"/>
      <c r="AM50" s="72"/>
      <c r="AN50" s="72"/>
      <c r="AO50" s="72"/>
      <c r="AP50" s="72"/>
      <c r="AQ50" s="72"/>
      <c r="AR50" s="73"/>
      <c r="AS50" s="74"/>
      <c r="AT50" s="74"/>
      <c r="AU50" s="74"/>
      <c r="AV50" s="74"/>
      <c r="AW50" s="74"/>
      <c r="AX50" s="74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</row>
    <row r="51" ht="14" customHeight="1" spans="1:78" s="62" customFormat="1" x14ac:dyDescent="0.25" outlineLevel="1" collapsed="1">
      <c r="A51" s="62" t="s">
        <v>152</v>
      </c>
      <c r="B51" s="62" t="s">
        <v>295</v>
      </c>
      <c r="C51" s="63">
        <v>46351</v>
      </c>
      <c r="D51" s="63">
        <v>46396</v>
      </c>
      <c r="E51" s="64">
        <v>0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6"/>
      <c r="AS51" s="62"/>
      <c r="AT51" s="62"/>
      <c r="AU51" s="62"/>
      <c r="AV51" s="62"/>
      <c r="AW51" s="62"/>
      <c r="AX51" s="62"/>
      <c r="AY51" s="62"/>
      <c r="AZ51" s="74"/>
      <c r="BA51" s="74"/>
      <c r="BB51" s="74"/>
      <c r="BC51" s="74"/>
      <c r="BD51" s="74"/>
      <c r="BE51" s="74"/>
      <c r="BF51" s="74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</row>
    <row r="52" ht="14" customHeight="1" spans="1:78" s="62" customFormat="1" x14ac:dyDescent="0.25" outlineLevel="1" collapsed="1">
      <c r="A52" s="62" t="s">
        <v>153</v>
      </c>
      <c r="B52" s="62" t="s">
        <v>297</v>
      </c>
      <c r="C52" s="63">
        <v>46398</v>
      </c>
      <c r="D52" s="63">
        <v>46465</v>
      </c>
      <c r="E52" s="64">
        <v>0</v>
      </c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6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62"/>
      <c r="BR52" s="62"/>
      <c r="BS52" s="62"/>
      <c r="BT52" s="62"/>
      <c r="BU52" s="62"/>
      <c r="BV52" s="62"/>
      <c r="BW52" s="62"/>
      <c r="BX52" s="62"/>
      <c r="BY52" s="62"/>
      <c r="BZ52" s="62"/>
    </row>
    <row r="53" ht="14" customHeight="1" spans="1:78" s="62" customFormat="1" x14ac:dyDescent="0.25" outlineLevel="1" collapsed="1">
      <c r="A53" s="62" t="s">
        <v>154</v>
      </c>
      <c r="B53" s="62" t="s">
        <v>296</v>
      </c>
      <c r="C53" s="63">
        <v>46407</v>
      </c>
      <c r="D53" s="63">
        <v>46499</v>
      </c>
      <c r="E53" s="64">
        <v>0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6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62"/>
      <c r="BW53" s="62"/>
      <c r="BX53" s="62"/>
      <c r="BY53" s="62"/>
      <c r="BZ53" s="62"/>
    </row>
    <row r="54" ht="14" customHeight="1" spans="1:78" s="62" customFormat="1" x14ac:dyDescent="0.25" outlineLevel="1" collapsed="1">
      <c r="A54" s="62" t="s">
        <v>155</v>
      </c>
      <c r="B54" s="62" t="s">
        <v>298</v>
      </c>
      <c r="C54" s="63">
        <v>46500</v>
      </c>
      <c r="D54" s="63">
        <v>46524</v>
      </c>
      <c r="E54" s="64">
        <v>0</v>
      </c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6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77"/>
      <c r="BV54" s="77"/>
      <c r="BW54" s="77"/>
      <c r="BX54" s="77"/>
      <c r="BY54" s="77"/>
      <c r="BZ54" s="62"/>
    </row>
    <row r="55" ht="14" customHeight="1" spans="1:78" s="62" customFormat="1" x14ac:dyDescent="0.25" outlineLevel="1" collapsed="1">
      <c r="A55" s="62" t="s">
        <v>156</v>
      </c>
      <c r="B55" s="62" t="s">
        <v>299</v>
      </c>
      <c r="C55" s="63">
        <v>46524</v>
      </c>
      <c r="D55" s="63">
        <v>46524</v>
      </c>
      <c r="E55" s="64">
        <v>0</v>
      </c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6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7" t="s">
        <v>275</v>
      </c>
      <c r="BZ55" s="62"/>
    </row>
    <row r="56" ht="14" customHeight="1" spans="1:78" x14ac:dyDescent="0.25">
      <c r="A56" s="57" t="s">
        <v>76</v>
      </c>
      <c r="B56" s="57" t="s">
        <v>301</v>
      </c>
      <c r="C56" s="58">
        <v>46080</v>
      </c>
      <c r="D56" s="58">
        <v>46433</v>
      </c>
      <c r="E56" s="59">
        <v>0.6853920000000001</v>
      </c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1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" customHeight="1" spans="1:78" x14ac:dyDescent="0.25">
      <c r="A57" s="68" t="s">
        <v>76</v>
      </c>
      <c r="B57" s="68" t="s">
        <v>278</v>
      </c>
      <c r="C57" s="69">
        <v>46087</v>
      </c>
      <c r="D57" s="69">
        <v>46184</v>
      </c>
      <c r="E57" s="70">
        <v>1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R57" s="71"/>
    </row>
    <row r="58" ht="14" customHeight="1" spans="1:78" s="62" customFormat="1" x14ac:dyDescent="0.25" outlineLevel="1" collapsed="1">
      <c r="A58" s="62" t="s">
        <v>159</v>
      </c>
      <c r="B58" s="62" t="s">
        <v>279</v>
      </c>
      <c r="C58" s="63">
        <v>46087</v>
      </c>
      <c r="D58" s="63">
        <v>46120</v>
      </c>
      <c r="E58" s="64">
        <v>1</v>
      </c>
      <c r="F58" s="62"/>
      <c r="G58" s="62"/>
      <c r="H58" s="62"/>
      <c r="I58" s="62"/>
      <c r="J58" s="62"/>
      <c r="K58" s="62"/>
      <c r="L58" s="62"/>
      <c r="M58" s="62"/>
      <c r="N58" s="72"/>
      <c r="O58" s="72"/>
      <c r="P58" s="72"/>
      <c r="Q58" s="72"/>
      <c r="R58" s="72"/>
      <c r="S58" s="7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6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</row>
    <row r="59" ht="14" customHeight="1" spans="1:78" s="62" customFormat="1" x14ac:dyDescent="0.25" outlineLevel="1" collapsed="1">
      <c r="A59" s="62" t="s">
        <v>160</v>
      </c>
      <c r="B59" s="62" t="s">
        <v>280</v>
      </c>
      <c r="C59" s="63">
        <v>46099</v>
      </c>
      <c r="D59" s="63">
        <v>46148</v>
      </c>
      <c r="E59" s="64">
        <v>1</v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72"/>
      <c r="Q59" s="72"/>
      <c r="R59" s="72"/>
      <c r="S59" s="72"/>
      <c r="T59" s="72"/>
      <c r="U59" s="72"/>
      <c r="V59" s="72"/>
      <c r="W59" s="7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6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</row>
    <row r="60" ht="14" customHeight="1" spans="1:78" s="62" customFormat="1" x14ac:dyDescent="0.25" outlineLevel="1" collapsed="1">
      <c r="A60" s="62" t="s">
        <v>161</v>
      </c>
      <c r="B60" s="62" t="s">
        <v>281</v>
      </c>
      <c r="C60" s="63">
        <v>46127</v>
      </c>
      <c r="D60" s="63">
        <v>46184</v>
      </c>
      <c r="E60" s="64">
        <v>1</v>
      </c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72"/>
      <c r="U60" s="72"/>
      <c r="V60" s="72"/>
      <c r="W60" s="72"/>
      <c r="X60" s="72"/>
      <c r="Y60" s="72"/>
      <c r="Z60" s="72"/>
      <c r="AA60" s="72"/>
      <c r="AB60" s="7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6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</row>
    <row r="61" ht="14" customHeight="1" spans="1:78" s="62" customFormat="1" x14ac:dyDescent="0.25" outlineLevel="1" collapsed="1">
      <c r="A61" s="62" t="s">
        <v>162</v>
      </c>
      <c r="B61" s="62" t="s">
        <v>282</v>
      </c>
      <c r="C61" s="63">
        <v>46157</v>
      </c>
      <c r="D61" s="63">
        <v>46184</v>
      </c>
      <c r="E61" s="64">
        <v>1</v>
      </c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72"/>
      <c r="Y61" s="72"/>
      <c r="Z61" s="72"/>
      <c r="AA61" s="72"/>
      <c r="AB61" s="7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6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</row>
    <row r="62" ht="14" customHeight="1" spans="1:78" x14ac:dyDescent="0.25">
      <c r="A62" s="68" t="s">
        <v>76</v>
      </c>
      <c r="B62" s="68" t="s">
        <v>283</v>
      </c>
      <c r="C62" s="69">
        <v>46149</v>
      </c>
      <c r="D62" s="69">
        <v>46336</v>
      </c>
      <c r="E62" s="70">
        <v>0.8166279069767443</v>
      </c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1"/>
      <c r="AS62" s="60"/>
      <c r="AT62" s="60"/>
      <c r="AU62" s="60"/>
      <c r="AV62" s="60"/>
      <c r="AW62" s="60"/>
      <c r="AX62" s="60"/>
    </row>
    <row r="63" ht="14" customHeight="1" spans="1:78" s="62" customFormat="1" x14ac:dyDescent="0.25" outlineLevel="1" collapsed="1">
      <c r="A63" s="62" t="s">
        <v>164</v>
      </c>
      <c r="B63" s="62" t="s">
        <v>284</v>
      </c>
      <c r="C63" s="63">
        <v>46149</v>
      </c>
      <c r="D63" s="63">
        <v>46163</v>
      </c>
      <c r="E63" s="64">
        <v>1</v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72"/>
      <c r="X63" s="72"/>
      <c r="Y63" s="7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6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</row>
    <row r="64" ht="14" customHeight="1" spans="1:78" s="62" customFormat="1" x14ac:dyDescent="0.25" outlineLevel="1" collapsed="1">
      <c r="A64" s="62" t="s">
        <v>165</v>
      </c>
      <c r="B64" s="62" t="s">
        <v>285</v>
      </c>
      <c r="C64" s="63">
        <v>46170</v>
      </c>
      <c r="D64" s="63">
        <v>46239</v>
      </c>
      <c r="E64" s="64">
        <v>1</v>
      </c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62"/>
      <c r="AL64" s="62"/>
      <c r="AM64" s="62"/>
      <c r="AN64" s="62"/>
      <c r="AO64" s="62"/>
      <c r="AP64" s="62"/>
      <c r="AQ64" s="62"/>
      <c r="AR64" s="66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</row>
    <row r="65" ht="14" customHeight="1" spans="1:78" s="62" customFormat="1" x14ac:dyDescent="0.25" outlineLevel="1" collapsed="1">
      <c r="A65" s="62" t="s">
        <v>166</v>
      </c>
      <c r="B65" s="62" t="s">
        <v>286</v>
      </c>
      <c r="C65" s="63">
        <v>46186</v>
      </c>
      <c r="D65" s="63">
        <v>46211</v>
      </c>
      <c r="E65" s="64">
        <v>1</v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72"/>
      <c r="AC65" s="72"/>
      <c r="AD65" s="72"/>
      <c r="AE65" s="72"/>
      <c r="AF65" s="7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6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</row>
    <row r="66" ht="14" customHeight="1" spans="1:78" s="62" customFormat="1" x14ac:dyDescent="0.25" outlineLevel="1" collapsed="1">
      <c r="A66" s="62" t="s">
        <v>167</v>
      </c>
      <c r="B66" s="62" t="s">
        <v>287</v>
      </c>
      <c r="C66" s="63">
        <v>46212</v>
      </c>
      <c r="D66" s="63">
        <v>46336</v>
      </c>
      <c r="E66" s="64">
        <v>0.62</v>
      </c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3"/>
      <c r="AS66" s="74"/>
      <c r="AT66" s="74"/>
      <c r="AU66" s="74"/>
      <c r="AV66" s="74"/>
      <c r="AW66" s="74"/>
      <c r="AX66" s="74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</row>
    <row r="67" ht="14" customHeight="1" spans="1:78" x14ac:dyDescent="0.25">
      <c r="A67" s="68" t="s">
        <v>76</v>
      </c>
      <c r="B67" s="68" t="s">
        <v>288</v>
      </c>
      <c r="C67" s="69">
        <v>46080</v>
      </c>
      <c r="D67" s="69">
        <v>46433</v>
      </c>
      <c r="E67" s="70">
        <v>0.5228612716763006</v>
      </c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1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</row>
    <row r="68" ht="14" customHeight="1" spans="1:78" s="62" customFormat="1" x14ac:dyDescent="0.25" outlineLevel="1" collapsed="1">
      <c r="A68" s="62" t="s">
        <v>169</v>
      </c>
      <c r="B68" s="62" t="s">
        <v>289</v>
      </c>
      <c r="C68" s="63">
        <v>46080</v>
      </c>
      <c r="D68" s="63">
        <v>46090</v>
      </c>
      <c r="E68" s="64">
        <v>1</v>
      </c>
      <c r="F68" s="62"/>
      <c r="G68" s="62"/>
      <c r="H68" s="62"/>
      <c r="I68" s="62"/>
      <c r="J68" s="62"/>
      <c r="K68" s="62"/>
      <c r="L68" s="62"/>
      <c r="M68" s="72"/>
      <c r="N68" s="72"/>
      <c r="O68" s="7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6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</row>
    <row r="69" ht="14" customHeight="1" spans="1:78" s="62" customFormat="1" x14ac:dyDescent="0.25" outlineLevel="1" collapsed="1">
      <c r="A69" s="62" t="s">
        <v>170</v>
      </c>
      <c r="B69" s="62" t="s">
        <v>290</v>
      </c>
      <c r="C69" s="63">
        <v>46111</v>
      </c>
      <c r="D69" s="63">
        <v>46136</v>
      </c>
      <c r="E69" s="64">
        <v>1</v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72"/>
      <c r="S69" s="72"/>
      <c r="T69" s="72"/>
      <c r="U69" s="7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6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</row>
    <row r="70" ht="14" customHeight="1" spans="1:78" s="62" customFormat="1" x14ac:dyDescent="0.25" outlineLevel="1" collapsed="1">
      <c r="A70" s="62" t="s">
        <v>171</v>
      </c>
      <c r="B70" s="62" t="s">
        <v>291</v>
      </c>
      <c r="C70" s="63">
        <v>46125</v>
      </c>
      <c r="D70" s="63">
        <v>46167</v>
      </c>
      <c r="E70" s="64">
        <v>1</v>
      </c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72"/>
      <c r="U70" s="72"/>
      <c r="V70" s="72"/>
      <c r="W70" s="72"/>
      <c r="X70" s="72"/>
      <c r="Y70" s="72"/>
      <c r="Z70" s="7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6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</row>
    <row r="71" ht="14" customHeight="1" spans="1:78" s="62" customFormat="1" x14ac:dyDescent="0.25" outlineLevel="1" collapsed="1">
      <c r="A71" s="62" t="s">
        <v>172</v>
      </c>
      <c r="B71" s="62" t="s">
        <v>292</v>
      </c>
      <c r="C71" s="63">
        <v>46170</v>
      </c>
      <c r="D71" s="63">
        <v>46195</v>
      </c>
      <c r="E71" s="64">
        <v>1</v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72"/>
      <c r="AA71" s="72"/>
      <c r="AB71" s="72"/>
      <c r="AC71" s="72"/>
      <c r="AD71" s="7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6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</row>
    <row r="72" ht="14" customHeight="1" spans="1:78" s="62" customFormat="1" x14ac:dyDescent="0.25" outlineLevel="1" collapsed="1">
      <c r="A72" s="62" t="s">
        <v>173</v>
      </c>
      <c r="B72" s="62" t="s">
        <v>293</v>
      </c>
      <c r="C72" s="63">
        <v>46197</v>
      </c>
      <c r="D72" s="63">
        <v>46296</v>
      </c>
      <c r="E72" s="64">
        <v>0.99</v>
      </c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3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</row>
    <row r="73" ht="14" customHeight="1" spans="1:78" s="62" customFormat="1" x14ac:dyDescent="0.25" outlineLevel="1" collapsed="1">
      <c r="A73" s="62" t="s">
        <v>174</v>
      </c>
      <c r="B73" s="62" t="s">
        <v>294</v>
      </c>
      <c r="C73" s="63">
        <v>46226</v>
      </c>
      <c r="D73" s="63">
        <v>46307</v>
      </c>
      <c r="E73" s="64">
        <v>0.77</v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3"/>
      <c r="AS73" s="74"/>
      <c r="AT73" s="74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</row>
    <row r="74" ht="14" customHeight="1" spans="1:78" s="62" customFormat="1" x14ac:dyDescent="0.25" outlineLevel="1" collapsed="1">
      <c r="A74" s="62" t="s">
        <v>175</v>
      </c>
      <c r="B74" s="62" t="s">
        <v>295</v>
      </c>
      <c r="C74" s="63">
        <v>46296</v>
      </c>
      <c r="D74" s="63">
        <v>46336</v>
      </c>
      <c r="E74" s="64">
        <v>0</v>
      </c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73"/>
      <c r="AS74" s="74"/>
      <c r="AT74" s="74"/>
      <c r="AU74" s="74"/>
      <c r="AV74" s="74"/>
      <c r="AW74" s="74"/>
      <c r="AX74" s="74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</row>
    <row r="75" ht="14" customHeight="1" spans="1:78" s="62" customFormat="1" x14ac:dyDescent="0.25" outlineLevel="1" collapsed="1">
      <c r="A75" s="62" t="s">
        <v>177</v>
      </c>
      <c r="B75" s="62" t="s">
        <v>296</v>
      </c>
      <c r="C75" s="63">
        <v>46337</v>
      </c>
      <c r="D75" s="63">
        <v>46410</v>
      </c>
      <c r="E75" s="64">
        <v>0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6"/>
      <c r="AS75" s="62"/>
      <c r="AT75" s="62"/>
      <c r="AU75" s="62"/>
      <c r="AV75" s="62"/>
      <c r="AW75" s="62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</row>
    <row r="76" ht="14" customHeight="1" spans="1:78" s="62" customFormat="1" x14ac:dyDescent="0.25" outlineLevel="1" collapsed="1">
      <c r="A76" s="62" t="s">
        <v>178</v>
      </c>
      <c r="B76" s="62" t="s">
        <v>297</v>
      </c>
      <c r="C76" s="63">
        <v>46337</v>
      </c>
      <c r="D76" s="63">
        <v>46386</v>
      </c>
      <c r="E76" s="64">
        <v>0</v>
      </c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6"/>
      <c r="AS76" s="62"/>
      <c r="AT76" s="62"/>
      <c r="AU76" s="62"/>
      <c r="AV76" s="62"/>
      <c r="AW76" s="62"/>
      <c r="AX76" s="74"/>
      <c r="AY76" s="74"/>
      <c r="AZ76" s="74"/>
      <c r="BA76" s="74"/>
      <c r="BB76" s="74"/>
      <c r="BC76" s="74"/>
      <c r="BD76" s="74"/>
      <c r="BE76" s="74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</row>
    <row r="77" ht="14" customHeight="1" spans="1:78" s="62" customFormat="1" x14ac:dyDescent="0.25" outlineLevel="1" collapsed="1">
      <c r="A77" s="62" t="s">
        <v>179</v>
      </c>
      <c r="B77" s="62" t="s">
        <v>298</v>
      </c>
      <c r="C77" s="63">
        <v>46412</v>
      </c>
      <c r="D77" s="63">
        <v>46433</v>
      </c>
      <c r="E77" s="64">
        <v>0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6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74"/>
      <c r="BJ77" s="74"/>
      <c r="BK77" s="74"/>
      <c r="BL77" s="74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</row>
    <row r="78" ht="14" customHeight="1" spans="1:78" s="62" customFormat="1" x14ac:dyDescent="0.25" outlineLevel="1" collapsed="1">
      <c r="A78" s="62" t="s">
        <v>180</v>
      </c>
      <c r="B78" s="62" t="s">
        <v>299</v>
      </c>
      <c r="C78" s="63">
        <v>46433</v>
      </c>
      <c r="D78" s="63">
        <v>46433</v>
      </c>
      <c r="E78" s="64">
        <v>0</v>
      </c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6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75" t="s">
        <v>275</v>
      </c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</row>
    <row r="79" ht="14" customHeight="1" spans="1:78" x14ac:dyDescent="0.25">
      <c r="A79" s="57" t="s">
        <v>76</v>
      </c>
      <c r="B79" s="57" t="s">
        <v>302</v>
      </c>
      <c r="C79" s="58">
        <v>46108</v>
      </c>
      <c r="D79" s="58">
        <v>46409</v>
      </c>
      <c r="E79" s="59">
        <v>0.5748653846153846</v>
      </c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1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</row>
    <row r="80" ht="14" customHeight="1" spans="1:78" x14ac:dyDescent="0.25">
      <c r="A80" s="68" t="s">
        <v>76</v>
      </c>
      <c r="B80" s="68" t="s">
        <v>278</v>
      </c>
      <c r="C80" s="69">
        <v>46122</v>
      </c>
      <c r="D80" s="69">
        <v>46210</v>
      </c>
      <c r="E80" s="70">
        <v>1</v>
      </c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R80" s="71"/>
    </row>
    <row r="81" ht="14" customHeight="1" spans="1:78" s="62" customFormat="1" x14ac:dyDescent="0.25" outlineLevel="1" collapsed="1">
      <c r="A81" s="62" t="s">
        <v>183</v>
      </c>
      <c r="B81" s="62" t="s">
        <v>279</v>
      </c>
      <c r="C81" s="63">
        <v>46122</v>
      </c>
      <c r="D81" s="63">
        <v>46155</v>
      </c>
      <c r="E81" s="64">
        <v>1</v>
      </c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72"/>
      <c r="T81" s="72"/>
      <c r="U81" s="72"/>
      <c r="V81" s="72"/>
      <c r="W81" s="72"/>
      <c r="X81" s="7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6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</row>
    <row r="82" ht="14" customHeight="1" spans="1:78" s="62" customFormat="1" x14ac:dyDescent="0.25" outlineLevel="1" collapsed="1">
      <c r="A82" s="62" t="s">
        <v>184</v>
      </c>
      <c r="B82" s="62" t="s">
        <v>280</v>
      </c>
      <c r="C82" s="63">
        <v>46139</v>
      </c>
      <c r="D82" s="63">
        <v>46174</v>
      </c>
      <c r="E82" s="64">
        <v>1</v>
      </c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72"/>
      <c r="W82" s="72"/>
      <c r="X82" s="72"/>
      <c r="Y82" s="72"/>
      <c r="Z82" s="72"/>
      <c r="AA82" s="7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6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</row>
    <row r="83" ht="14" customHeight="1" spans="1:78" s="62" customFormat="1" x14ac:dyDescent="0.25" outlineLevel="1" collapsed="1">
      <c r="A83" s="62" t="s">
        <v>185</v>
      </c>
      <c r="B83" s="62" t="s">
        <v>281</v>
      </c>
      <c r="C83" s="63">
        <v>46164</v>
      </c>
      <c r="D83" s="63">
        <v>46210</v>
      </c>
      <c r="E83" s="64">
        <v>1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72"/>
      <c r="Z83" s="72"/>
      <c r="AA83" s="72"/>
      <c r="AB83" s="72"/>
      <c r="AC83" s="72"/>
      <c r="AD83" s="72"/>
      <c r="AE83" s="72"/>
      <c r="AF83" s="7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6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</row>
    <row r="84" ht="14" customHeight="1" spans="1:78" s="62" customFormat="1" x14ac:dyDescent="0.25" outlineLevel="1" collapsed="1">
      <c r="A84" s="62" t="s">
        <v>186</v>
      </c>
      <c r="B84" s="62" t="s">
        <v>282</v>
      </c>
      <c r="C84" s="63">
        <v>46185</v>
      </c>
      <c r="D84" s="63">
        <v>46210</v>
      </c>
      <c r="E84" s="64">
        <v>1</v>
      </c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72"/>
      <c r="AC84" s="72"/>
      <c r="AD84" s="72"/>
      <c r="AE84" s="72"/>
      <c r="AF84" s="7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6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</row>
    <row r="85" ht="14" customHeight="1" spans="1:78" x14ac:dyDescent="0.25">
      <c r="A85" s="68" t="s">
        <v>76</v>
      </c>
      <c r="B85" s="68" t="s">
        <v>283</v>
      </c>
      <c r="C85" s="69">
        <v>46183</v>
      </c>
      <c r="D85" s="69">
        <v>46336</v>
      </c>
      <c r="E85" s="70">
        <v>0.7783783783783782</v>
      </c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1"/>
      <c r="AS85" s="60"/>
      <c r="AT85" s="60"/>
      <c r="AU85" s="60"/>
      <c r="AV85" s="60"/>
      <c r="AW85" s="60"/>
      <c r="AX85" s="60"/>
    </row>
    <row r="86" ht="14" customHeight="1" spans="1:78" s="62" customFormat="1" x14ac:dyDescent="0.25" outlineLevel="1" collapsed="1">
      <c r="A86" s="62" t="s">
        <v>188</v>
      </c>
      <c r="B86" s="62" t="s">
        <v>284</v>
      </c>
      <c r="C86" s="63">
        <v>46183</v>
      </c>
      <c r="D86" s="63">
        <v>46196</v>
      </c>
      <c r="E86" s="64">
        <v>1</v>
      </c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72"/>
      <c r="AC86" s="72"/>
      <c r="AD86" s="7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6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</row>
    <row r="87" ht="14" customHeight="1" spans="1:78" s="62" customFormat="1" x14ac:dyDescent="0.25" outlineLevel="1" collapsed="1">
      <c r="A87" s="62" t="s">
        <v>189</v>
      </c>
      <c r="B87" s="62" t="s">
        <v>285</v>
      </c>
      <c r="C87" s="63">
        <v>46204</v>
      </c>
      <c r="D87" s="63">
        <v>46296</v>
      </c>
      <c r="E87" s="64">
        <v>0.98</v>
      </c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3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</row>
    <row r="88" ht="14" customHeight="1" spans="1:78" s="62" customFormat="1" x14ac:dyDescent="0.25" outlineLevel="1" collapsed="1">
      <c r="A88" s="62" t="s">
        <v>190</v>
      </c>
      <c r="B88" s="62" t="s">
        <v>286</v>
      </c>
      <c r="C88" s="63">
        <v>46217</v>
      </c>
      <c r="D88" s="63">
        <v>46232</v>
      </c>
      <c r="E88" s="64">
        <v>1</v>
      </c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72"/>
      <c r="AH88" s="72"/>
      <c r="AI88" s="72"/>
      <c r="AJ88" s="62"/>
      <c r="AK88" s="62"/>
      <c r="AL88" s="62"/>
      <c r="AM88" s="62"/>
      <c r="AN88" s="62"/>
      <c r="AO88" s="62"/>
      <c r="AP88" s="62"/>
      <c r="AQ88" s="62"/>
      <c r="AR88" s="66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</row>
    <row r="89" ht="14" customHeight="1" spans="1:78" s="62" customFormat="1" x14ac:dyDescent="0.25" outlineLevel="1" collapsed="1">
      <c r="A89" s="62" t="s">
        <v>191</v>
      </c>
      <c r="B89" s="62" t="s">
        <v>287</v>
      </c>
      <c r="C89" s="63">
        <v>46241</v>
      </c>
      <c r="D89" s="63">
        <v>46336</v>
      </c>
      <c r="E89" s="64">
        <v>0.49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72"/>
      <c r="AK89" s="72"/>
      <c r="AL89" s="72"/>
      <c r="AM89" s="72"/>
      <c r="AN89" s="72"/>
      <c r="AO89" s="72"/>
      <c r="AP89" s="72"/>
      <c r="AQ89" s="72"/>
      <c r="AR89" s="73"/>
      <c r="AS89" s="74"/>
      <c r="AT89" s="74"/>
      <c r="AU89" s="74"/>
      <c r="AV89" s="74"/>
      <c r="AW89" s="74"/>
      <c r="AX89" s="74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</row>
    <row r="90" ht="14" customHeight="1" spans="1:78" x14ac:dyDescent="0.25">
      <c r="A90" s="68" t="s">
        <v>76</v>
      </c>
      <c r="B90" s="68" t="s">
        <v>288</v>
      </c>
      <c r="C90" s="69">
        <v>46108</v>
      </c>
      <c r="D90" s="69">
        <v>46409</v>
      </c>
      <c r="E90" s="70">
        <v>0.32519713261648747</v>
      </c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1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</row>
    <row r="91" ht="14" customHeight="1" spans="1:78" s="62" customFormat="1" x14ac:dyDescent="0.25" outlineLevel="1" collapsed="1">
      <c r="A91" s="62" t="s">
        <v>193</v>
      </c>
      <c r="B91" s="62" t="s">
        <v>289</v>
      </c>
      <c r="C91" s="63">
        <v>46108</v>
      </c>
      <c r="D91" s="63">
        <v>46113</v>
      </c>
      <c r="E91" s="64">
        <v>1</v>
      </c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72"/>
      <c r="R91" s="7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6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</row>
    <row r="92" ht="14" customHeight="1" spans="1:78" s="62" customFormat="1" x14ac:dyDescent="0.25" outlineLevel="1" collapsed="1">
      <c r="A92" s="62" t="s">
        <v>194</v>
      </c>
      <c r="B92" s="62" t="s">
        <v>290</v>
      </c>
      <c r="C92" s="63">
        <v>46157</v>
      </c>
      <c r="D92" s="63">
        <v>46182</v>
      </c>
      <c r="E92" s="64">
        <v>1</v>
      </c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72"/>
      <c r="Y92" s="72"/>
      <c r="Z92" s="72"/>
      <c r="AA92" s="72"/>
      <c r="AB92" s="7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6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</row>
    <row r="93" ht="14" customHeight="1" spans="1:78" s="62" customFormat="1" x14ac:dyDescent="0.25" outlineLevel="1" collapsed="1">
      <c r="A93" s="62" t="s">
        <v>195</v>
      </c>
      <c r="B93" s="62" t="s">
        <v>291</v>
      </c>
      <c r="C93" s="63">
        <v>46176</v>
      </c>
      <c r="D93" s="63">
        <v>46212</v>
      </c>
      <c r="E93" s="64">
        <v>1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72"/>
      <c r="AB93" s="72"/>
      <c r="AC93" s="72"/>
      <c r="AD93" s="72"/>
      <c r="AE93" s="72"/>
      <c r="AF93" s="7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6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</row>
    <row r="94" ht="14" customHeight="1" spans="1:78" s="62" customFormat="1" x14ac:dyDescent="0.25" outlineLevel="1" collapsed="1">
      <c r="A94" s="62" t="s">
        <v>196</v>
      </c>
      <c r="B94" s="62" t="s">
        <v>292</v>
      </c>
      <c r="C94" s="63">
        <v>46224</v>
      </c>
      <c r="D94" s="63">
        <v>46242</v>
      </c>
      <c r="E94" s="64">
        <v>1</v>
      </c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72"/>
      <c r="AI94" s="72"/>
      <c r="AJ94" s="72"/>
      <c r="AK94" s="62"/>
      <c r="AL94" s="62"/>
      <c r="AM94" s="62"/>
      <c r="AN94" s="62"/>
      <c r="AO94" s="62"/>
      <c r="AP94" s="62"/>
      <c r="AQ94" s="62"/>
      <c r="AR94" s="66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</row>
    <row r="95" ht="14" customHeight="1" spans="1:78" s="62" customFormat="1" x14ac:dyDescent="0.25" outlineLevel="1" collapsed="1">
      <c r="A95" s="62" t="s">
        <v>197</v>
      </c>
      <c r="B95" s="62" t="s">
        <v>293</v>
      </c>
      <c r="C95" s="63">
        <v>46253</v>
      </c>
      <c r="D95" s="63">
        <v>46333</v>
      </c>
      <c r="E95" s="64">
        <v>0.41</v>
      </c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72"/>
      <c r="AM95" s="72"/>
      <c r="AN95" s="72"/>
      <c r="AO95" s="72"/>
      <c r="AP95" s="72"/>
      <c r="AQ95" s="72"/>
      <c r="AR95" s="73"/>
      <c r="AS95" s="74"/>
      <c r="AT95" s="74"/>
      <c r="AU95" s="74"/>
      <c r="AV95" s="74"/>
      <c r="AW95" s="74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</row>
    <row r="96" ht="14" customHeight="1" spans="1:78" s="62" customFormat="1" x14ac:dyDescent="0.25" outlineLevel="1" collapsed="1">
      <c r="A96" s="62" t="s">
        <v>198</v>
      </c>
      <c r="B96" s="62" t="s">
        <v>294</v>
      </c>
      <c r="C96" s="63">
        <v>46296</v>
      </c>
      <c r="D96" s="63">
        <v>46336</v>
      </c>
      <c r="E96" s="64">
        <v>0</v>
      </c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73"/>
      <c r="AS96" s="74"/>
      <c r="AT96" s="74"/>
      <c r="AU96" s="74"/>
      <c r="AV96" s="74"/>
      <c r="AW96" s="74"/>
      <c r="AX96" s="74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</row>
    <row r="97" ht="14" customHeight="1" spans="1:78" s="62" customFormat="1" x14ac:dyDescent="0.25" outlineLevel="1" collapsed="1">
      <c r="A97" s="62" t="s">
        <v>199</v>
      </c>
      <c r="B97" s="62" t="s">
        <v>295</v>
      </c>
      <c r="C97" s="63">
        <v>46329</v>
      </c>
      <c r="D97" s="63">
        <v>46356</v>
      </c>
      <c r="E97" s="64">
        <v>0</v>
      </c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6"/>
      <c r="AS97" s="62"/>
      <c r="AT97" s="62"/>
      <c r="AU97" s="62"/>
      <c r="AV97" s="62"/>
      <c r="AW97" s="74"/>
      <c r="AX97" s="74"/>
      <c r="AY97" s="74"/>
      <c r="AZ97" s="74"/>
      <c r="BA97" s="74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</row>
    <row r="98" ht="14" customHeight="1" spans="1:78" s="62" customFormat="1" x14ac:dyDescent="0.25" outlineLevel="1" collapsed="1">
      <c r="A98" s="62" t="s">
        <v>200</v>
      </c>
      <c r="B98" s="62" t="s">
        <v>296</v>
      </c>
      <c r="C98" s="63">
        <v>46337</v>
      </c>
      <c r="D98" s="63">
        <v>46393</v>
      </c>
      <c r="E98" s="64">
        <v>0</v>
      </c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6"/>
      <c r="AS98" s="62"/>
      <c r="AT98" s="62"/>
      <c r="AU98" s="62"/>
      <c r="AV98" s="62"/>
      <c r="AW98" s="62"/>
      <c r="AX98" s="74"/>
      <c r="AY98" s="74"/>
      <c r="AZ98" s="74"/>
      <c r="BA98" s="74"/>
      <c r="BB98" s="74"/>
      <c r="BC98" s="74"/>
      <c r="BD98" s="74"/>
      <c r="BE98" s="74"/>
      <c r="BF98" s="74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</row>
    <row r="99" ht="14" customHeight="1" spans="1:78" s="62" customFormat="1" x14ac:dyDescent="0.25" outlineLevel="1" collapsed="1">
      <c r="A99" s="62" t="s">
        <v>201</v>
      </c>
      <c r="B99" s="62" t="s">
        <v>297</v>
      </c>
      <c r="C99" s="63">
        <v>46357</v>
      </c>
      <c r="D99" s="63">
        <v>46403</v>
      </c>
      <c r="E99" s="64">
        <v>0</v>
      </c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6"/>
      <c r="AS99" s="62"/>
      <c r="AT99" s="62"/>
      <c r="AU99" s="62"/>
      <c r="AV99" s="62"/>
      <c r="AW99" s="62"/>
      <c r="AX99" s="62"/>
      <c r="AY99" s="62"/>
      <c r="AZ99" s="62"/>
      <c r="BA99" s="74"/>
      <c r="BB99" s="74"/>
      <c r="BC99" s="74"/>
      <c r="BD99" s="74"/>
      <c r="BE99" s="74"/>
      <c r="BF99" s="74"/>
      <c r="BG99" s="74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</row>
    <row r="100" ht="14" customHeight="1" spans="1:78" s="62" customFormat="1" x14ac:dyDescent="0.25" outlineLevel="1" collapsed="1">
      <c r="A100" s="62" t="s">
        <v>202</v>
      </c>
      <c r="B100" s="62" t="s">
        <v>298</v>
      </c>
      <c r="C100" s="63">
        <v>46394</v>
      </c>
      <c r="D100" s="63">
        <v>46409</v>
      </c>
      <c r="E100" s="64">
        <v>0</v>
      </c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6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74"/>
      <c r="BG100" s="74"/>
      <c r="BH100" s="74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</row>
    <row r="101" ht="14" customHeight="1" spans="1:78" s="62" customFormat="1" x14ac:dyDescent="0.25" outlineLevel="1" collapsed="1">
      <c r="A101" s="62" t="s">
        <v>203</v>
      </c>
      <c r="B101" s="62" t="s">
        <v>299</v>
      </c>
      <c r="C101" s="63">
        <v>46409</v>
      </c>
      <c r="D101" s="63">
        <v>46409</v>
      </c>
      <c r="E101" s="64">
        <v>0</v>
      </c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6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75" t="s">
        <v>275</v>
      </c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</row>
    <row r="102" ht="14" customHeight="1" spans="1:78" x14ac:dyDescent="0.25">
      <c r="A102" s="57" t="s">
        <v>76</v>
      </c>
      <c r="B102" s="57" t="s">
        <v>303</v>
      </c>
      <c r="C102" s="58">
        <v>46137</v>
      </c>
      <c r="D102" s="58">
        <v>46511</v>
      </c>
      <c r="E102" s="59">
        <v>0.36577531645569616</v>
      </c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1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</row>
    <row r="103" ht="14" customHeight="1" spans="1:78" x14ac:dyDescent="0.25">
      <c r="A103" s="68" t="s">
        <v>76</v>
      </c>
      <c r="B103" s="68" t="s">
        <v>278</v>
      </c>
      <c r="C103" s="69">
        <v>46156</v>
      </c>
      <c r="D103" s="69">
        <v>46246</v>
      </c>
      <c r="E103" s="70">
        <v>1</v>
      </c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R103" s="71"/>
    </row>
    <row r="104" ht="14" customHeight="1" spans="1:78" s="62" customFormat="1" x14ac:dyDescent="0.25" outlineLevel="1" collapsed="1">
      <c r="A104" s="62" t="s">
        <v>206</v>
      </c>
      <c r="B104" s="62" t="s">
        <v>279</v>
      </c>
      <c r="C104" s="63">
        <v>46156</v>
      </c>
      <c r="D104" s="63">
        <v>46188</v>
      </c>
      <c r="E104" s="64">
        <v>1</v>
      </c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72"/>
      <c r="Y104" s="72"/>
      <c r="Z104" s="72"/>
      <c r="AA104" s="72"/>
      <c r="AB104" s="72"/>
      <c r="AC104" s="7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6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</row>
    <row r="105" ht="14" customHeight="1" spans="1:78" s="62" customFormat="1" x14ac:dyDescent="0.25" outlineLevel="1" collapsed="1">
      <c r="A105" s="62" t="s">
        <v>207</v>
      </c>
      <c r="B105" s="62" t="s">
        <v>280</v>
      </c>
      <c r="C105" s="63">
        <v>46164</v>
      </c>
      <c r="D105" s="63">
        <v>46219</v>
      </c>
      <c r="E105" s="64">
        <v>1</v>
      </c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72"/>
      <c r="Z105" s="72"/>
      <c r="AA105" s="72"/>
      <c r="AB105" s="72"/>
      <c r="AC105" s="72"/>
      <c r="AD105" s="72"/>
      <c r="AE105" s="72"/>
      <c r="AF105" s="72"/>
      <c r="AG105" s="7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6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</row>
    <row r="106" ht="14" customHeight="1" spans="1:78" s="62" customFormat="1" x14ac:dyDescent="0.25" outlineLevel="1" collapsed="1">
      <c r="A106" s="62" t="s">
        <v>208</v>
      </c>
      <c r="B106" s="62" t="s">
        <v>281</v>
      </c>
      <c r="C106" s="63">
        <v>46197</v>
      </c>
      <c r="D106" s="63">
        <v>46246</v>
      </c>
      <c r="E106" s="64">
        <v>1</v>
      </c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72"/>
      <c r="AE106" s="72"/>
      <c r="AF106" s="72"/>
      <c r="AG106" s="72"/>
      <c r="AH106" s="72"/>
      <c r="AI106" s="72"/>
      <c r="AJ106" s="72"/>
      <c r="AK106" s="72"/>
      <c r="AL106" s="62"/>
      <c r="AM106" s="62"/>
      <c r="AN106" s="62"/>
      <c r="AO106" s="62"/>
      <c r="AP106" s="62"/>
      <c r="AQ106" s="62"/>
      <c r="AR106" s="66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</row>
    <row r="107" ht="14" customHeight="1" spans="1:78" s="62" customFormat="1" x14ac:dyDescent="0.25" outlineLevel="1" collapsed="1">
      <c r="A107" s="62" t="s">
        <v>209</v>
      </c>
      <c r="B107" s="62" t="s">
        <v>282</v>
      </c>
      <c r="C107" s="63">
        <v>46231</v>
      </c>
      <c r="D107" s="63">
        <v>46246</v>
      </c>
      <c r="E107" s="64">
        <v>1</v>
      </c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72"/>
      <c r="AJ107" s="72"/>
      <c r="AK107" s="72"/>
      <c r="AL107" s="62"/>
      <c r="AM107" s="62"/>
      <c r="AN107" s="62"/>
      <c r="AO107" s="62"/>
      <c r="AP107" s="62"/>
      <c r="AQ107" s="62"/>
      <c r="AR107" s="66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</row>
    <row r="108" ht="14" customHeight="1" spans="1:78" x14ac:dyDescent="0.25">
      <c r="A108" s="68" t="s">
        <v>76</v>
      </c>
      <c r="B108" s="68" t="s">
        <v>283</v>
      </c>
      <c r="C108" s="69">
        <v>46220</v>
      </c>
      <c r="D108" s="69">
        <v>46423</v>
      </c>
      <c r="E108" s="70">
        <v>0.2117297297297297</v>
      </c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1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</row>
    <row r="109" ht="14" customHeight="1" spans="1:78" s="62" customFormat="1" x14ac:dyDescent="0.25" outlineLevel="1" collapsed="1">
      <c r="A109" s="62" t="s">
        <v>211</v>
      </c>
      <c r="B109" s="62" t="s">
        <v>284</v>
      </c>
      <c r="C109" s="63">
        <v>46220</v>
      </c>
      <c r="D109" s="63">
        <v>46237</v>
      </c>
      <c r="E109" s="64">
        <v>1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72"/>
      <c r="AH109" s="72"/>
      <c r="AI109" s="72"/>
      <c r="AJ109" s="72"/>
      <c r="AK109" s="62"/>
      <c r="AL109" s="62"/>
      <c r="AM109" s="62"/>
      <c r="AN109" s="62"/>
      <c r="AO109" s="62"/>
      <c r="AP109" s="62"/>
      <c r="AQ109" s="62"/>
      <c r="AR109" s="66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</row>
    <row r="110" ht="14" customHeight="1" spans="1:78" s="62" customFormat="1" x14ac:dyDescent="0.25" outlineLevel="1" collapsed="1">
      <c r="A110" s="62" t="s">
        <v>212</v>
      </c>
      <c r="B110" s="62" t="s">
        <v>285</v>
      </c>
      <c r="C110" s="63">
        <v>46238</v>
      </c>
      <c r="D110" s="63">
        <v>46361</v>
      </c>
      <c r="E110" s="64">
        <v>0.29</v>
      </c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72"/>
      <c r="AK110" s="72"/>
      <c r="AL110" s="72"/>
      <c r="AM110" s="72"/>
      <c r="AN110" s="72"/>
      <c r="AO110" s="72"/>
      <c r="AP110" s="72"/>
      <c r="AQ110" s="72"/>
      <c r="AR110" s="73"/>
      <c r="AS110" s="74"/>
      <c r="AT110" s="74"/>
      <c r="AU110" s="74"/>
      <c r="AV110" s="74"/>
      <c r="AW110" s="74"/>
      <c r="AX110" s="74"/>
      <c r="AY110" s="74"/>
      <c r="AZ110" s="74"/>
      <c r="BA110" s="74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</row>
    <row r="111" ht="14" customHeight="1" spans="1:78" s="62" customFormat="1" x14ac:dyDescent="0.25" outlineLevel="1" collapsed="1">
      <c r="A111" s="62" t="s">
        <v>214</v>
      </c>
      <c r="B111" s="62" t="s">
        <v>286</v>
      </c>
      <c r="C111" s="63">
        <v>46254</v>
      </c>
      <c r="D111" s="63">
        <v>46310</v>
      </c>
      <c r="E111" s="64">
        <v>0.44</v>
      </c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72"/>
      <c r="AM111" s="72"/>
      <c r="AN111" s="72"/>
      <c r="AO111" s="72"/>
      <c r="AP111" s="72"/>
      <c r="AQ111" s="72"/>
      <c r="AR111" s="73"/>
      <c r="AS111" s="74"/>
      <c r="AT111" s="74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</row>
    <row r="112" ht="14" customHeight="1" spans="1:78" s="62" customFormat="1" x14ac:dyDescent="0.25" outlineLevel="1" collapsed="1">
      <c r="A112" s="62" t="s">
        <v>216</v>
      </c>
      <c r="B112" s="62" t="s">
        <v>287</v>
      </c>
      <c r="C112" s="63">
        <v>46311</v>
      </c>
      <c r="D112" s="63">
        <v>46423</v>
      </c>
      <c r="E112" s="64">
        <v>0</v>
      </c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6"/>
      <c r="AS112" s="62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</row>
    <row r="113" ht="14" customHeight="1" spans="1:78" x14ac:dyDescent="0.25">
      <c r="A113" s="68" t="s">
        <v>76</v>
      </c>
      <c r="B113" s="68" t="s">
        <v>288</v>
      </c>
      <c r="C113" s="69">
        <v>46137</v>
      </c>
      <c r="D113" s="69">
        <v>46511</v>
      </c>
      <c r="E113" s="70">
        <v>0.2433234421364985</v>
      </c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1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</row>
    <row r="114" ht="14" customHeight="1" spans="1:78" s="62" customFormat="1" x14ac:dyDescent="0.25" outlineLevel="1" collapsed="1">
      <c r="A114" s="62" t="s">
        <v>218</v>
      </c>
      <c r="B114" s="62" t="s">
        <v>289</v>
      </c>
      <c r="C114" s="63">
        <v>46137</v>
      </c>
      <c r="D114" s="63">
        <v>46144</v>
      </c>
      <c r="E114" s="64">
        <v>1</v>
      </c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72"/>
      <c r="V114" s="7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6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</row>
    <row r="115" ht="14" customHeight="1" spans="1:78" s="62" customFormat="1" x14ac:dyDescent="0.25" outlineLevel="1" collapsed="1">
      <c r="A115" s="62" t="s">
        <v>219</v>
      </c>
      <c r="B115" s="62" t="s">
        <v>290</v>
      </c>
      <c r="C115" s="63">
        <v>46177</v>
      </c>
      <c r="D115" s="63">
        <v>46204</v>
      </c>
      <c r="E115" s="64">
        <v>1</v>
      </c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72"/>
      <c r="AB115" s="72"/>
      <c r="AC115" s="72"/>
      <c r="AD115" s="72"/>
      <c r="AE115" s="7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6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</row>
    <row r="116" ht="14" customHeight="1" spans="1:78" s="62" customFormat="1" x14ac:dyDescent="0.25" outlineLevel="1" collapsed="1">
      <c r="A116" s="62" t="s">
        <v>220</v>
      </c>
      <c r="B116" s="62" t="s">
        <v>291</v>
      </c>
      <c r="C116" s="63">
        <v>46189</v>
      </c>
      <c r="D116" s="63">
        <v>46230</v>
      </c>
      <c r="E116" s="64">
        <v>1</v>
      </c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72"/>
      <c r="AD116" s="72"/>
      <c r="AE116" s="72"/>
      <c r="AF116" s="72"/>
      <c r="AG116" s="72"/>
      <c r="AH116" s="72"/>
      <c r="AI116" s="72"/>
      <c r="AJ116" s="62"/>
      <c r="AK116" s="62"/>
      <c r="AL116" s="62"/>
      <c r="AM116" s="62"/>
      <c r="AN116" s="62"/>
      <c r="AO116" s="62"/>
      <c r="AP116" s="62"/>
      <c r="AQ116" s="62"/>
      <c r="AR116" s="66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</row>
    <row r="117" ht="14" customHeight="1" spans="1:78" s="62" customFormat="1" x14ac:dyDescent="0.25" outlineLevel="1" collapsed="1">
      <c r="A117" s="62" t="s">
        <v>221</v>
      </c>
      <c r="B117" s="62" t="s">
        <v>292</v>
      </c>
      <c r="C117" s="63">
        <v>46237</v>
      </c>
      <c r="D117" s="63">
        <v>46261</v>
      </c>
      <c r="E117" s="64">
        <v>1</v>
      </c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72"/>
      <c r="AK117" s="72"/>
      <c r="AL117" s="72"/>
      <c r="AM117" s="72"/>
      <c r="AN117" s="62"/>
      <c r="AO117" s="62"/>
      <c r="AP117" s="62"/>
      <c r="AQ117" s="62"/>
      <c r="AR117" s="66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</row>
    <row r="118" ht="14" customHeight="1" spans="1:78" s="62" customFormat="1" x14ac:dyDescent="0.25" outlineLevel="1" collapsed="1">
      <c r="A118" s="62" t="s">
        <v>222</v>
      </c>
      <c r="B118" s="62" t="s">
        <v>293</v>
      </c>
      <c r="C118" s="63">
        <v>46296</v>
      </c>
      <c r="D118" s="63">
        <v>46379</v>
      </c>
      <c r="E118" s="64">
        <v>0</v>
      </c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73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</row>
    <row r="119" ht="14" customHeight="1" spans="1:78" s="62" customFormat="1" x14ac:dyDescent="0.25" outlineLevel="1" collapsed="1">
      <c r="A119" s="62" t="s">
        <v>223</v>
      </c>
      <c r="B119" s="62" t="s">
        <v>294</v>
      </c>
      <c r="C119" s="63">
        <v>46322</v>
      </c>
      <c r="D119" s="63">
        <v>46377</v>
      </c>
      <c r="E119" s="64">
        <v>0</v>
      </c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6"/>
      <c r="AS119" s="62"/>
      <c r="AT119" s="62"/>
      <c r="AU119" s="62"/>
      <c r="AV119" s="74"/>
      <c r="AW119" s="74"/>
      <c r="AX119" s="74"/>
      <c r="AY119" s="74"/>
      <c r="AZ119" s="74"/>
      <c r="BA119" s="74"/>
      <c r="BB119" s="74"/>
      <c r="BC119" s="74"/>
      <c r="BD119" s="74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</row>
    <row r="120" ht="14" customHeight="1" spans="1:78" s="62" customFormat="1" x14ac:dyDescent="0.25" outlineLevel="1" collapsed="1">
      <c r="A120" s="62" t="s">
        <v>224</v>
      </c>
      <c r="B120" s="62" t="s">
        <v>295</v>
      </c>
      <c r="C120" s="63">
        <v>46374</v>
      </c>
      <c r="D120" s="63">
        <v>46408</v>
      </c>
      <c r="E120" s="64">
        <v>0</v>
      </c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6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74"/>
      <c r="BD120" s="74"/>
      <c r="BE120" s="74"/>
      <c r="BF120" s="74"/>
      <c r="BG120" s="74"/>
      <c r="BH120" s="74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</row>
    <row r="121" ht="14" customHeight="1" spans="1:78" s="62" customFormat="1" x14ac:dyDescent="0.25" outlineLevel="1" collapsed="1">
      <c r="A121" s="62" t="s">
        <v>225</v>
      </c>
      <c r="B121" s="62" t="s">
        <v>297</v>
      </c>
      <c r="C121" s="63">
        <v>46409</v>
      </c>
      <c r="D121" s="63">
        <v>46451</v>
      </c>
      <c r="E121" s="64">
        <v>0</v>
      </c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6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74"/>
      <c r="BI121" s="74"/>
      <c r="BJ121" s="74"/>
      <c r="BK121" s="74"/>
      <c r="BL121" s="74"/>
      <c r="BM121" s="74"/>
      <c r="BN121" s="74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</row>
    <row r="122" ht="14" customHeight="1" spans="1:78" s="62" customFormat="1" x14ac:dyDescent="0.25" outlineLevel="1" collapsed="1">
      <c r="A122" s="62" t="s">
        <v>226</v>
      </c>
      <c r="B122" s="62" t="s">
        <v>296</v>
      </c>
      <c r="C122" s="63">
        <v>46424</v>
      </c>
      <c r="D122" s="63">
        <v>46493</v>
      </c>
      <c r="E122" s="64">
        <v>0</v>
      </c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6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62"/>
      <c r="BV122" s="62"/>
      <c r="BW122" s="62"/>
      <c r="BX122" s="62"/>
      <c r="BY122" s="62"/>
      <c r="BZ122" s="62"/>
    </row>
    <row r="123" ht="14" customHeight="1" spans="1:78" s="62" customFormat="1" x14ac:dyDescent="0.25" outlineLevel="1" collapsed="1">
      <c r="A123" s="62" t="s">
        <v>227</v>
      </c>
      <c r="B123" s="62" t="s">
        <v>298</v>
      </c>
      <c r="C123" s="63">
        <v>46494</v>
      </c>
      <c r="D123" s="63">
        <v>46511</v>
      </c>
      <c r="E123" s="64">
        <v>0</v>
      </c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6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74"/>
      <c r="BU123" s="74"/>
      <c r="BV123" s="74"/>
      <c r="BW123" s="74"/>
      <c r="BX123" s="62"/>
      <c r="BY123" s="62"/>
      <c r="BZ123" s="62"/>
    </row>
    <row r="124" ht="14" customHeight="1" spans="1:78" s="62" customFormat="1" x14ac:dyDescent="0.25" outlineLevel="1" collapsed="1">
      <c r="A124" s="62" t="s">
        <v>228</v>
      </c>
      <c r="B124" s="62" t="s">
        <v>299</v>
      </c>
      <c r="C124" s="63">
        <v>46511</v>
      </c>
      <c r="D124" s="63">
        <v>46511</v>
      </c>
      <c r="E124" s="64">
        <v>0</v>
      </c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6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75" t="s">
        <v>275</v>
      </c>
      <c r="BX124" s="62"/>
      <c r="BY124" s="62"/>
      <c r="BZ124" s="62"/>
    </row>
    <row r="125" ht="14" customHeight="1" spans="1:78" x14ac:dyDescent="0.25">
      <c r="A125" s="57" t="s">
        <v>76</v>
      </c>
      <c r="B125" s="57" t="s">
        <v>304</v>
      </c>
      <c r="C125" s="58">
        <v>46171</v>
      </c>
      <c r="D125" s="58">
        <v>46450</v>
      </c>
      <c r="E125" s="59">
        <v>0.2740783410138249</v>
      </c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1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</row>
    <row r="126" ht="14" customHeight="1" spans="1:78" x14ac:dyDescent="0.25">
      <c r="A126" s="68" t="s">
        <v>76</v>
      </c>
      <c r="B126" s="68" t="s">
        <v>278</v>
      </c>
      <c r="C126" s="69">
        <v>46205</v>
      </c>
      <c r="D126" s="69">
        <v>46304</v>
      </c>
      <c r="E126" s="70">
        <v>0.9302739726027397</v>
      </c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1"/>
      <c r="AS126" s="60"/>
    </row>
    <row r="127" ht="14" customHeight="1" spans="1:78" s="62" customFormat="1" x14ac:dyDescent="0.25" outlineLevel="1" collapsed="1">
      <c r="A127" s="62" t="s">
        <v>231</v>
      </c>
      <c r="B127" s="62" t="s">
        <v>279</v>
      </c>
      <c r="C127" s="63">
        <v>46205</v>
      </c>
      <c r="D127" s="63">
        <v>46226</v>
      </c>
      <c r="E127" s="64">
        <v>1</v>
      </c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72"/>
      <c r="AF127" s="72"/>
      <c r="AG127" s="72"/>
      <c r="AH127" s="7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6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</row>
    <row r="128" ht="14" customHeight="1" spans="1:78" s="62" customFormat="1" x14ac:dyDescent="0.25" outlineLevel="1" collapsed="1">
      <c r="A128" s="62" t="s">
        <v>232</v>
      </c>
      <c r="B128" s="62" t="s">
        <v>280</v>
      </c>
      <c r="C128" s="63">
        <v>46213</v>
      </c>
      <c r="D128" s="63">
        <v>46245</v>
      </c>
      <c r="E128" s="64">
        <v>1</v>
      </c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72"/>
      <c r="AG128" s="72"/>
      <c r="AH128" s="72"/>
      <c r="AI128" s="72"/>
      <c r="AJ128" s="72"/>
      <c r="AK128" s="72"/>
      <c r="AL128" s="62"/>
      <c r="AM128" s="62"/>
      <c r="AN128" s="62"/>
      <c r="AO128" s="62"/>
      <c r="AP128" s="62"/>
      <c r="AQ128" s="62"/>
      <c r="AR128" s="66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</row>
    <row r="129" ht="14" customHeight="1" spans="1:78" s="62" customFormat="1" x14ac:dyDescent="0.25" outlineLevel="1" collapsed="1">
      <c r="A129" s="62" t="s">
        <v>233</v>
      </c>
      <c r="B129" s="62" t="s">
        <v>281</v>
      </c>
      <c r="C129" s="63">
        <v>46232</v>
      </c>
      <c r="D129" s="63">
        <v>46304</v>
      </c>
      <c r="E129" s="64">
        <v>0.84</v>
      </c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3"/>
      <c r="AS129" s="74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</row>
    <row r="130" ht="14" customHeight="1" spans="1:78" s="62" customFormat="1" x14ac:dyDescent="0.25" outlineLevel="1" collapsed="1">
      <c r="A130" s="62" t="s">
        <v>234</v>
      </c>
      <c r="B130" s="62" t="s">
        <v>282</v>
      </c>
      <c r="C130" s="63">
        <v>46246</v>
      </c>
      <c r="D130" s="63">
        <v>46304</v>
      </c>
      <c r="E130" s="64">
        <v>0.95</v>
      </c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72"/>
      <c r="AL130" s="72"/>
      <c r="AM130" s="72"/>
      <c r="AN130" s="72"/>
      <c r="AO130" s="72"/>
      <c r="AP130" s="72"/>
      <c r="AQ130" s="72"/>
      <c r="AR130" s="73"/>
      <c r="AS130" s="74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</row>
    <row r="131" ht="14" customHeight="1" spans="1:78" x14ac:dyDescent="0.25">
      <c r="A131" s="68" t="s">
        <v>76</v>
      </c>
      <c r="B131" s="68" t="s">
        <v>283</v>
      </c>
      <c r="C131" s="69">
        <v>46248</v>
      </c>
      <c r="D131" s="69">
        <v>46386</v>
      </c>
      <c r="E131" s="70">
        <v>0.09482758620689655</v>
      </c>
      <c r="AK131" s="60"/>
      <c r="AL131" s="60"/>
      <c r="AM131" s="60"/>
      <c r="AN131" s="60"/>
      <c r="AO131" s="60"/>
      <c r="AP131" s="60"/>
      <c r="AQ131" s="60"/>
      <c r="AR131" s="61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</row>
    <row r="132" ht="14" customHeight="1" spans="1:78" s="62" customFormat="1" x14ac:dyDescent="0.25" outlineLevel="1" collapsed="1">
      <c r="A132" s="62" t="s">
        <v>236</v>
      </c>
      <c r="B132" s="62" t="s">
        <v>284</v>
      </c>
      <c r="C132" s="63">
        <v>46248</v>
      </c>
      <c r="D132" s="63">
        <v>46259</v>
      </c>
      <c r="E132" s="64">
        <v>1</v>
      </c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72"/>
      <c r="AL132" s="72"/>
      <c r="AM132" s="72"/>
      <c r="AN132" s="62"/>
      <c r="AO132" s="62"/>
      <c r="AP132" s="62"/>
      <c r="AQ132" s="62"/>
      <c r="AR132" s="66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</row>
    <row r="133" ht="14" customHeight="1" spans="1:78" s="62" customFormat="1" x14ac:dyDescent="0.25" outlineLevel="1" collapsed="1">
      <c r="A133" s="62" t="s">
        <v>237</v>
      </c>
      <c r="B133" s="62" t="s">
        <v>285</v>
      </c>
      <c r="C133" s="63">
        <v>46263</v>
      </c>
      <c r="D133" s="63">
        <v>46347</v>
      </c>
      <c r="E133" s="64">
        <v>0.05</v>
      </c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72"/>
      <c r="AN133" s="72"/>
      <c r="AO133" s="72"/>
      <c r="AP133" s="72"/>
      <c r="AQ133" s="72"/>
      <c r="AR133" s="73"/>
      <c r="AS133" s="74"/>
      <c r="AT133" s="74"/>
      <c r="AU133" s="74"/>
      <c r="AV133" s="74"/>
      <c r="AW133" s="74"/>
      <c r="AX133" s="74"/>
      <c r="AY133" s="74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</row>
    <row r="134" ht="14" customHeight="1" spans="1:78" s="62" customFormat="1" x14ac:dyDescent="0.25" outlineLevel="1" collapsed="1">
      <c r="A134" s="62" t="s">
        <v>238</v>
      </c>
      <c r="B134" s="62" t="s">
        <v>286</v>
      </c>
      <c r="C134" s="63">
        <v>46305</v>
      </c>
      <c r="D134" s="63">
        <v>46318</v>
      </c>
      <c r="E134" s="64">
        <v>0</v>
      </c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6"/>
      <c r="AS134" s="74"/>
      <c r="AT134" s="74"/>
      <c r="AU134" s="74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</row>
    <row r="135" ht="14" customHeight="1" spans="1:78" s="62" customFormat="1" x14ac:dyDescent="0.25" outlineLevel="1" collapsed="1">
      <c r="A135" s="62" t="s">
        <v>240</v>
      </c>
      <c r="B135" s="62" t="s">
        <v>287</v>
      </c>
      <c r="C135" s="63">
        <v>46319</v>
      </c>
      <c r="D135" s="63">
        <v>46386</v>
      </c>
      <c r="E135" s="64">
        <v>0</v>
      </c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6"/>
      <c r="AS135" s="62"/>
      <c r="AT135" s="62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</row>
    <row r="136" ht="14" customHeight="1" spans="1:78" x14ac:dyDescent="0.25">
      <c r="A136" s="68" t="s">
        <v>76</v>
      </c>
      <c r="B136" s="68" t="s">
        <v>288</v>
      </c>
      <c r="C136" s="69">
        <v>46171</v>
      </c>
      <c r="D136" s="69">
        <v>46450</v>
      </c>
      <c r="E136" s="70">
        <v>0.16342857142857137</v>
      </c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1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</row>
    <row r="137" ht="14" customHeight="1" spans="1:78" s="62" customFormat="1" x14ac:dyDescent="0.25" outlineLevel="1" collapsed="1">
      <c r="A137" s="62" t="s">
        <v>242</v>
      </c>
      <c r="B137" s="62" t="s">
        <v>289</v>
      </c>
      <c r="C137" s="63">
        <v>46171</v>
      </c>
      <c r="D137" s="63">
        <v>46176</v>
      </c>
      <c r="E137" s="64">
        <v>1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72"/>
      <c r="AA137" s="7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6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</row>
    <row r="138" ht="14" customHeight="1" spans="1:78" s="62" customFormat="1" x14ac:dyDescent="0.25" outlineLevel="1" collapsed="1">
      <c r="A138" s="62" t="s">
        <v>243</v>
      </c>
      <c r="B138" s="62" t="s">
        <v>290</v>
      </c>
      <c r="C138" s="63">
        <v>46227</v>
      </c>
      <c r="D138" s="63">
        <v>46244</v>
      </c>
      <c r="E138" s="64">
        <v>1</v>
      </c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72"/>
      <c r="AI138" s="72"/>
      <c r="AJ138" s="72"/>
      <c r="AK138" s="72"/>
      <c r="AL138" s="62"/>
      <c r="AM138" s="62"/>
      <c r="AN138" s="62"/>
      <c r="AO138" s="62"/>
      <c r="AP138" s="62"/>
      <c r="AQ138" s="62"/>
      <c r="AR138" s="66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</row>
    <row r="139" ht="14" customHeight="1" spans="1:78" s="62" customFormat="1" x14ac:dyDescent="0.25" outlineLevel="1" collapsed="1">
      <c r="A139" s="62" t="s">
        <v>244</v>
      </c>
      <c r="B139" s="62" t="s">
        <v>291</v>
      </c>
      <c r="C139" s="63">
        <v>46240</v>
      </c>
      <c r="D139" s="63">
        <v>46314</v>
      </c>
      <c r="E139" s="64">
        <v>0.58</v>
      </c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72"/>
      <c r="AK139" s="72"/>
      <c r="AL139" s="72"/>
      <c r="AM139" s="72"/>
      <c r="AN139" s="72"/>
      <c r="AO139" s="72"/>
      <c r="AP139" s="72"/>
      <c r="AQ139" s="72"/>
      <c r="AR139" s="73"/>
      <c r="AS139" s="74"/>
      <c r="AT139" s="74"/>
      <c r="AU139" s="74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</row>
    <row r="140" ht="14" customHeight="1" spans="1:78" s="62" customFormat="1" x14ac:dyDescent="0.25" outlineLevel="1" collapsed="1">
      <c r="A140" s="62" t="s">
        <v>245</v>
      </c>
      <c r="B140" s="62" t="s">
        <v>294</v>
      </c>
      <c r="C140" s="63">
        <v>46260</v>
      </c>
      <c r="D140" s="63">
        <v>46394</v>
      </c>
      <c r="E140" s="64">
        <v>0.05</v>
      </c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72"/>
      <c r="AN140" s="72"/>
      <c r="AO140" s="72"/>
      <c r="AP140" s="72"/>
      <c r="AQ140" s="72"/>
      <c r="AR140" s="73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</row>
    <row r="141" ht="14" customHeight="1" spans="1:78" s="62" customFormat="1" x14ac:dyDescent="0.25" outlineLevel="1" collapsed="1">
      <c r="A141" s="62" t="s">
        <v>247</v>
      </c>
      <c r="B141" s="62" t="s">
        <v>296</v>
      </c>
      <c r="C141" s="63">
        <v>46260</v>
      </c>
      <c r="D141" s="63">
        <v>46435</v>
      </c>
      <c r="E141" s="64">
        <v>0.05</v>
      </c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72"/>
      <c r="AN141" s="72"/>
      <c r="AO141" s="72"/>
      <c r="AP141" s="72"/>
      <c r="AQ141" s="72"/>
      <c r="AR141" s="73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</row>
    <row r="142" ht="14" customHeight="1" spans="1:78" s="62" customFormat="1" x14ac:dyDescent="0.25" outlineLevel="1" collapsed="1">
      <c r="A142" s="62" t="s">
        <v>248</v>
      </c>
      <c r="B142" s="62" t="s">
        <v>292</v>
      </c>
      <c r="C142" s="63">
        <v>46316</v>
      </c>
      <c r="D142" s="63">
        <v>46332</v>
      </c>
      <c r="E142" s="64">
        <v>0</v>
      </c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6"/>
      <c r="AS142" s="62"/>
      <c r="AT142" s="62"/>
      <c r="AU142" s="74"/>
      <c r="AV142" s="74"/>
      <c r="AW142" s="74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</row>
    <row r="143" ht="14" customHeight="1" spans="1:78" s="62" customFormat="1" x14ac:dyDescent="0.25" outlineLevel="1" collapsed="1">
      <c r="A143" s="62" t="s">
        <v>249</v>
      </c>
      <c r="B143" s="62" t="s">
        <v>293</v>
      </c>
      <c r="C143" s="63">
        <v>46333</v>
      </c>
      <c r="D143" s="63">
        <v>46385</v>
      </c>
      <c r="E143" s="64">
        <v>0</v>
      </c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6"/>
      <c r="AS143" s="62"/>
      <c r="AT143" s="62"/>
      <c r="AU143" s="62"/>
      <c r="AV143" s="62"/>
      <c r="AW143" s="74"/>
      <c r="AX143" s="74"/>
      <c r="AY143" s="74"/>
      <c r="AZ143" s="74"/>
      <c r="BA143" s="74"/>
      <c r="BB143" s="74"/>
      <c r="BC143" s="74"/>
      <c r="BD143" s="74"/>
      <c r="BE143" s="74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</row>
    <row r="144" ht="14" customHeight="1" spans="1:78" s="62" customFormat="1" x14ac:dyDescent="0.25" outlineLevel="1" collapsed="1">
      <c r="A144" s="62" t="s">
        <v>250</v>
      </c>
      <c r="B144" s="62" t="s">
        <v>295</v>
      </c>
      <c r="C144" s="63">
        <v>46379</v>
      </c>
      <c r="D144" s="63">
        <v>46402</v>
      </c>
      <c r="E144" s="64">
        <v>0</v>
      </c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6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74"/>
      <c r="BE144" s="74"/>
      <c r="BF144" s="74"/>
      <c r="BG144" s="74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</row>
    <row r="145" ht="14" customHeight="1" spans="1:78" s="62" customFormat="1" x14ac:dyDescent="0.25" outlineLevel="1" collapsed="1">
      <c r="A145" s="62" t="s">
        <v>251</v>
      </c>
      <c r="B145" s="62" t="s">
        <v>297</v>
      </c>
      <c r="C145" s="63">
        <v>46403</v>
      </c>
      <c r="D145" s="63">
        <v>46438</v>
      </c>
      <c r="E145" s="64">
        <v>0</v>
      </c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6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74"/>
      <c r="BH145" s="74"/>
      <c r="BI145" s="74"/>
      <c r="BJ145" s="74"/>
      <c r="BK145" s="74"/>
      <c r="BL145" s="74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</row>
    <row r="146" ht="14" customHeight="1" spans="1:78" s="62" customFormat="1" x14ac:dyDescent="0.25" outlineLevel="1" collapsed="1">
      <c r="A146" s="62" t="s">
        <v>252</v>
      </c>
      <c r="B146" s="62" t="s">
        <v>298</v>
      </c>
      <c r="C146" s="63">
        <v>46436</v>
      </c>
      <c r="D146" s="63">
        <v>46450</v>
      </c>
      <c r="E146" s="64">
        <v>0</v>
      </c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6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74"/>
      <c r="BM146" s="74"/>
      <c r="BN146" s="74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</row>
    <row r="147" ht="14" customHeight="1" spans="1:78" s="62" customFormat="1" x14ac:dyDescent="0.25" outlineLevel="1" collapsed="1">
      <c r="A147" s="62" t="s">
        <v>253</v>
      </c>
      <c r="B147" s="62" t="s">
        <v>299</v>
      </c>
      <c r="C147" s="63">
        <v>46450</v>
      </c>
      <c r="D147" s="63">
        <v>46450</v>
      </c>
      <c r="E147" s="64">
        <v>0</v>
      </c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6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75" t="s">
        <v>275</v>
      </c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</row>
  </sheetData>
  <mergeCells count="19">
    <mergeCell ref="A1:BH1"/>
    <mergeCell ref="A2:BH2"/>
    <mergeCell ref="F4:I4"/>
    <mergeCell ref="J4:M4"/>
    <mergeCell ref="N4:R4"/>
    <mergeCell ref="S4:V4"/>
    <mergeCell ref="W4:Z4"/>
    <mergeCell ref="AA4:AE4"/>
    <mergeCell ref="AF4:AI4"/>
    <mergeCell ref="AJ4:AN4"/>
    <mergeCell ref="AO4:AR4"/>
    <mergeCell ref="AS4:AV4"/>
    <mergeCell ref="AW4:BA4"/>
    <mergeCell ref="BB4:BE4"/>
    <mergeCell ref="BF4:BI4"/>
    <mergeCell ref="BJ4:BM4"/>
    <mergeCell ref="BN4:BR4"/>
    <mergeCell ref="BS4:BV4"/>
    <mergeCell ref="BW4:BZ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D2E"/>
  </sheetPr>
  <dimension ref="A1:W59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44" customWidth="1"/>
    <col min="3" max="3" width="18" customWidth="1"/>
    <col min="4" max="4" width="14" customWidth="1"/>
    <col min="5" max="5" width="12" customWidth="1"/>
    <col min="6" max="6" width="22" customWidth="1"/>
    <col min="7" max="10" width="11" customWidth="1"/>
    <col min="11" max="12" width="8" customWidth="1"/>
    <col min="13" max="14" width="12" customWidth="1"/>
    <col min="15" max="16" width="10" customWidth="1"/>
    <col min="17" max="17" width="12" customWidth="1"/>
    <col min="18" max="18" width="7" customWidth="1"/>
    <col min="21" max="21" width="8" customWidth="1"/>
    <col min="22" max="22" width="36" customWidth="1"/>
    <col min="23" max="23" width="34" customWidth="1"/>
  </cols>
  <sheetData>
    <row r="1" ht="30" customHeight="1" spans="1:23" x14ac:dyDescent="0.25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306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ht="30" customHeight="1" spans="1:23" x14ac:dyDescent="0.25">
      <c r="A4" s="9" t="s">
        <v>57</v>
      </c>
      <c r="B4" s="9" t="s">
        <v>58</v>
      </c>
      <c r="C4" s="9" t="s">
        <v>45</v>
      </c>
      <c r="D4" s="9" t="s">
        <v>59</v>
      </c>
      <c r="E4" s="9" t="s">
        <v>60</v>
      </c>
      <c r="F4" s="9" t="s">
        <v>72</v>
      </c>
      <c r="G4" s="9" t="s">
        <v>307</v>
      </c>
      <c r="H4" s="9" t="s">
        <v>308</v>
      </c>
      <c r="I4" s="9" t="s">
        <v>309</v>
      </c>
      <c r="J4" s="9" t="s">
        <v>310</v>
      </c>
      <c r="K4" s="9" t="s">
        <v>311</v>
      </c>
      <c r="L4" s="9" t="s">
        <v>312</v>
      </c>
      <c r="M4" s="78" t="s">
        <v>313</v>
      </c>
      <c r="N4" s="78" t="s">
        <v>314</v>
      </c>
      <c r="O4" s="78" t="s">
        <v>315</v>
      </c>
      <c r="P4" s="78" t="s">
        <v>316</v>
      </c>
      <c r="Q4" s="78" t="s">
        <v>317</v>
      </c>
      <c r="R4" s="9" t="s">
        <v>318</v>
      </c>
      <c r="S4" s="9" t="s">
        <v>319</v>
      </c>
      <c r="T4" s="78" t="s">
        <v>320</v>
      </c>
      <c r="U4" s="9" t="s">
        <v>321</v>
      </c>
      <c r="V4" s="78" t="s">
        <v>73</v>
      </c>
      <c r="W4" s="9" t="s">
        <v>322</v>
      </c>
    </row>
    <row r="5" spans="1:23" s="27" customFormat="1" x14ac:dyDescent="0.25">
      <c r="A5" s="27" t="s">
        <v>83</v>
      </c>
      <c r="B5" s="27" t="s">
        <v>84</v>
      </c>
      <c r="C5" s="27" t="s">
        <v>19</v>
      </c>
      <c r="D5" s="27" t="s">
        <v>31</v>
      </c>
      <c r="E5" s="27" t="s">
        <v>85</v>
      </c>
      <c r="F5" s="27" t="s">
        <v>11</v>
      </c>
      <c r="G5" s="79">
        <v>46538</v>
      </c>
      <c r="H5" s="79">
        <v>46538</v>
      </c>
      <c r="I5" s="79"/>
      <c r="J5" s="79"/>
      <c r="K5" s="80">
        <v>0</v>
      </c>
      <c r="L5" s="27">
        <v>0</v>
      </c>
      <c r="M5" s="81"/>
      <c r="N5" s="81"/>
      <c r="O5" s="82"/>
      <c r="P5" s="82"/>
      <c r="Q5" s="81"/>
      <c r="R5" s="27" t="s">
        <v>76</v>
      </c>
      <c r="S5" s="27"/>
      <c r="T5" s="82"/>
      <c r="U5" s="83">
        <f>IF(AND(ISNUMBER(S5),S5&gt;0,ISNUMBER(T5)),MIN(1,T5/S5),"")</f>
      </c>
      <c r="V5" s="82" t="s">
        <v>76</v>
      </c>
      <c r="W5" s="27">
        <f>IF(AND(M5&lt;&gt;"",M5&gt;=46296),"Actual Start must be before Data Date",IF(AND(N5&lt;&gt;"",N5&gt;=46296),"Actual Finish must be before Data Date",IF(AND(N5&lt;&gt;"",M5&lt;&gt;"",N5&lt;M5),"Finish before Start",IF(AND(O5&lt;&gt;"",O5&gt;=100,N5=""),"100% needs Actual Finish",IF(AND(O5&lt;&gt;"",O5&gt;0,M5="",I5=""),"Enter Actual Start",IF(AND(Q5&lt;&gt;"",Q5&lt;46296),"Expected Finish must be after Data Date","OK"))))))</f>
      </c>
    </row>
    <row r="6" spans="1:23" s="27" customFormat="1" x14ac:dyDescent="0.25">
      <c r="A6" s="27" t="s">
        <v>124</v>
      </c>
      <c r="B6" s="27" t="s">
        <v>125</v>
      </c>
      <c r="C6" s="27" t="s">
        <v>20</v>
      </c>
      <c r="D6" s="27" t="s">
        <v>30</v>
      </c>
      <c r="E6" s="27" t="s">
        <v>77</v>
      </c>
      <c r="F6" s="27" t="s">
        <v>5</v>
      </c>
      <c r="G6" s="79">
        <v>46238</v>
      </c>
      <c r="H6" s="79">
        <v>46298</v>
      </c>
      <c r="I6" s="79">
        <v>46238</v>
      </c>
      <c r="J6" s="79"/>
      <c r="K6" s="80">
        <v>0.62</v>
      </c>
      <c r="L6" s="27">
        <v>18</v>
      </c>
      <c r="M6" s="81"/>
      <c r="N6" s="81"/>
      <c r="O6" s="82"/>
      <c r="P6" s="82"/>
      <c r="Q6" s="81"/>
      <c r="R6" s="27" t="s">
        <v>323</v>
      </c>
      <c r="S6" s="27">
        <v>288</v>
      </c>
      <c r="T6" s="82">
        <v>121</v>
      </c>
      <c r="U6" s="83">
        <f>IF(AND(ISNUMBER(S6),S6&gt;0,ISNUMBER(T6)),MIN(1,T6/S6),"")</f>
      </c>
      <c r="V6" s="82" t="s">
        <v>76</v>
      </c>
      <c r="W6" s="27">
        <f>IF(AND(M6&lt;&gt;"",M6&gt;=46296),"Actual Start must be before Data Date",IF(AND(N6&lt;&gt;"",N6&gt;=46296),"Actual Finish must be before Data Date",IF(AND(N6&lt;&gt;"",M6&lt;&gt;"",N6&lt;M6),"Finish before Start",IF(AND(O6&lt;&gt;"",O6&gt;=100,N6=""),"100% needs Actual Finish",IF(AND(O6&lt;&gt;"",O6&gt;0,M6="",I6=""),"Enter Actual Start",IF(AND(Q6&lt;&gt;"",Q6&lt;46296),"Expected Finish must be after Data Date","OK"))))))</f>
      </c>
    </row>
    <row r="7" spans="1:23" s="27" customFormat="1" x14ac:dyDescent="0.25">
      <c r="A7" s="84" t="s">
        <v>126</v>
      </c>
      <c r="B7" s="84" t="s">
        <v>127</v>
      </c>
      <c r="C7" s="27" t="s">
        <v>20</v>
      </c>
      <c r="D7" s="27" t="s">
        <v>30</v>
      </c>
      <c r="E7" s="27" t="s">
        <v>77</v>
      </c>
      <c r="F7" s="84" t="s">
        <v>128</v>
      </c>
      <c r="G7" s="79">
        <v>46239</v>
      </c>
      <c r="H7" s="79">
        <v>46293</v>
      </c>
      <c r="I7" s="79">
        <v>46239</v>
      </c>
      <c r="J7" s="79"/>
      <c r="K7" s="80">
        <v>0.73</v>
      </c>
      <c r="L7" s="27">
        <v>11</v>
      </c>
      <c r="M7" s="81"/>
      <c r="N7" s="81"/>
      <c r="O7" s="82"/>
      <c r="P7" s="82"/>
      <c r="Q7" s="81"/>
      <c r="R7" s="27" t="s">
        <v>76</v>
      </c>
      <c r="S7" s="27"/>
      <c r="T7" s="82"/>
      <c r="U7" s="83">
        <f>IF(AND(ISNUMBER(S7),S7&gt;0,ISNUMBER(T7)),MIN(1,T7/S7),"")</f>
      </c>
      <c r="V7" s="82" t="s">
        <v>76</v>
      </c>
      <c r="W7" s="27">
        <f>IF(AND(M7&lt;&gt;"",M7&gt;=46296),"Actual Start must be before Data Date",IF(AND(N7&lt;&gt;"",N7&gt;=46296),"Actual Finish must be before Data Date",IF(AND(N7&lt;&gt;"",M7&lt;&gt;"",N7&lt;M7),"Finish before Start",IF(AND(O7&lt;&gt;"",O7&gt;=100,N7=""),"100% needs Actual Finish",IF(AND(O7&lt;&gt;"",O7&gt;0,M7="",I7=""),"Enter Actual Start",IF(AND(Q7&lt;&gt;"",Q7&lt;46296),"Expected Finish must be after Data Date","OK"))))))</f>
      </c>
    </row>
    <row r="8" spans="1:23" s="27" customFormat="1" x14ac:dyDescent="0.25">
      <c r="A8" s="27" t="s">
        <v>129</v>
      </c>
      <c r="B8" s="27" t="s">
        <v>130</v>
      </c>
      <c r="C8" s="27" t="s">
        <v>20</v>
      </c>
      <c r="D8" s="27" t="s">
        <v>30</v>
      </c>
      <c r="E8" s="27" t="s">
        <v>85</v>
      </c>
      <c r="F8" s="27" t="s">
        <v>76</v>
      </c>
      <c r="G8" s="79">
        <v>46300</v>
      </c>
      <c r="H8" s="79">
        <v>46316</v>
      </c>
      <c r="I8" s="79"/>
      <c r="J8" s="79"/>
      <c r="K8" s="80">
        <v>0</v>
      </c>
      <c r="L8" s="27">
        <v>14</v>
      </c>
      <c r="M8" s="81"/>
      <c r="N8" s="81"/>
      <c r="O8" s="82"/>
      <c r="P8" s="82"/>
      <c r="Q8" s="81"/>
      <c r="R8" s="27" t="s">
        <v>76</v>
      </c>
      <c r="S8" s="27"/>
      <c r="T8" s="82"/>
      <c r="U8" s="83">
        <f>IF(AND(ISNUMBER(S8),S8&gt;0,ISNUMBER(T8)),MIN(1,T8/S8),"")</f>
      </c>
      <c r="V8" s="82" t="s">
        <v>76</v>
      </c>
      <c r="W8" s="27">
        <f>IF(AND(M8&lt;&gt;"",M8&gt;=46296),"Actual Start must be before Data Date",IF(AND(N8&lt;&gt;"",N8&gt;=46296),"Actual Finish must be before Data Date",IF(AND(N8&lt;&gt;"",M8&lt;&gt;"",N8&lt;M8),"Finish before Start",IF(AND(O8&lt;&gt;"",O8&gt;=100,N8=""),"100% needs Actual Finish",IF(AND(O8&lt;&gt;"",O8&gt;0,M8="",I8=""),"Enter Actual Start",IF(AND(Q8&lt;&gt;"",Q8&lt;46296),"Expected Finish must be after Data Date","OK"))))))</f>
      </c>
    </row>
    <row r="9" spans="1:23" s="27" customFormat="1" x14ac:dyDescent="0.25">
      <c r="A9" s="27" t="s">
        <v>131</v>
      </c>
      <c r="B9" s="27" t="s">
        <v>132</v>
      </c>
      <c r="C9" s="27" t="s">
        <v>20</v>
      </c>
      <c r="D9" s="27" t="s">
        <v>30</v>
      </c>
      <c r="E9" s="27" t="s">
        <v>85</v>
      </c>
      <c r="F9" s="27" t="s">
        <v>76</v>
      </c>
      <c r="G9" s="79">
        <v>46316</v>
      </c>
      <c r="H9" s="79">
        <v>46316</v>
      </c>
      <c r="I9" s="79"/>
      <c r="J9" s="79"/>
      <c r="K9" s="80">
        <v>0</v>
      </c>
      <c r="L9" s="27">
        <v>0</v>
      </c>
      <c r="M9" s="81"/>
      <c r="N9" s="81"/>
      <c r="O9" s="82"/>
      <c r="P9" s="82"/>
      <c r="Q9" s="81"/>
      <c r="R9" s="27" t="s">
        <v>76</v>
      </c>
      <c r="S9" s="27"/>
      <c r="T9" s="82"/>
      <c r="U9" s="83">
        <f>IF(AND(ISNUMBER(S9),S9&gt;0,ISNUMBER(T9)),MIN(1,T9/S9),"")</f>
      </c>
      <c r="V9" s="82" t="s">
        <v>76</v>
      </c>
      <c r="W9" s="27">
        <f>IF(AND(M9&lt;&gt;"",M9&gt;=46296),"Actual Start must be before Data Date",IF(AND(N9&lt;&gt;"",N9&gt;=46296),"Actual Finish must be before Data Date",IF(AND(N9&lt;&gt;"",M9&lt;&gt;"",N9&lt;M9),"Finish before Start",IF(AND(O9&lt;&gt;"",O9&gt;=100,N9=""),"100% needs Actual Finish",IF(AND(O9&lt;&gt;"",O9&gt;0,M9="",I9=""),"Enter Actual Start",IF(AND(Q9&lt;&gt;"",Q9&lt;46296),"Expected Finish must be after Data Date","OK"))))))</f>
      </c>
    </row>
    <row r="10" spans="1:23" s="27" customFormat="1" x14ac:dyDescent="0.25">
      <c r="A10" s="27" t="s">
        <v>141</v>
      </c>
      <c r="B10" s="27" t="s">
        <v>103</v>
      </c>
      <c r="C10" s="27" t="s">
        <v>21</v>
      </c>
      <c r="D10" s="27" t="s">
        <v>29</v>
      </c>
      <c r="E10" s="27" t="s">
        <v>77</v>
      </c>
      <c r="F10" s="27" t="s">
        <v>5</v>
      </c>
      <c r="G10" s="79">
        <v>46188</v>
      </c>
      <c r="H10" s="79">
        <v>46319</v>
      </c>
      <c r="I10" s="79">
        <v>46188</v>
      </c>
      <c r="J10" s="79"/>
      <c r="K10" s="80">
        <v>0.82</v>
      </c>
      <c r="L10" s="27">
        <v>18</v>
      </c>
      <c r="M10" s="81"/>
      <c r="N10" s="81"/>
      <c r="O10" s="82"/>
      <c r="P10" s="82"/>
      <c r="Q10" s="81"/>
      <c r="R10" s="27" t="s">
        <v>324</v>
      </c>
      <c r="S10" s="27">
        <v>840</v>
      </c>
      <c r="T10" s="82">
        <v>521</v>
      </c>
      <c r="U10" s="83">
        <f>IF(AND(ISNUMBER(S10),S10&gt;0,ISNUMBER(T10)),MIN(1,T10/S10),"")</f>
      </c>
      <c r="V10" s="82" t="s">
        <v>76</v>
      </c>
      <c r="W10" s="27">
        <f>IF(AND(M10&lt;&gt;"",M10&gt;=46296),"Actual Start must be before Data Date",IF(AND(N10&lt;&gt;"",N10&gt;=46296),"Actual Finish must be before Data Date",IF(AND(N10&lt;&gt;"",M10&lt;&gt;"",N10&lt;M10),"Finish before Start",IF(AND(O10&lt;&gt;"",O10&gt;=100,N10=""),"100% needs Actual Finish",IF(AND(O10&lt;&gt;"",O10&gt;0,M10="",I10=""),"Enter Actual Start",IF(AND(Q10&lt;&gt;"",Q10&lt;46296),"Expected Finish must be after Data Date","OK"))))))</f>
      </c>
    </row>
    <row r="11" spans="1:23" s="27" customFormat="1" x14ac:dyDescent="0.25">
      <c r="A11" s="27" t="s">
        <v>150</v>
      </c>
      <c r="B11" s="27" t="s">
        <v>119</v>
      </c>
      <c r="C11" s="27" t="s">
        <v>21</v>
      </c>
      <c r="D11" s="27" t="s">
        <v>30</v>
      </c>
      <c r="E11" s="27" t="s">
        <v>77</v>
      </c>
      <c r="F11" s="27" t="s">
        <v>5</v>
      </c>
      <c r="G11" s="79">
        <v>46211</v>
      </c>
      <c r="H11" s="79">
        <v>46371</v>
      </c>
      <c r="I11" s="79">
        <v>46211</v>
      </c>
      <c r="J11" s="79"/>
      <c r="K11" s="80">
        <v>0.52</v>
      </c>
      <c r="L11" s="27">
        <v>49</v>
      </c>
      <c r="M11" s="81"/>
      <c r="N11" s="81"/>
      <c r="O11" s="82"/>
      <c r="P11" s="82"/>
      <c r="Q11" s="81"/>
      <c r="R11" s="27" t="s">
        <v>324</v>
      </c>
      <c r="S11" s="27">
        <v>840</v>
      </c>
      <c r="T11" s="82">
        <v>269</v>
      </c>
      <c r="U11" s="83">
        <f>IF(AND(ISNUMBER(S11),S11&gt;0,ISNUMBER(T11)),MIN(1,T11/S11),"")</f>
      </c>
      <c r="V11" s="82" t="s">
        <v>76</v>
      </c>
      <c r="W11" s="27">
        <f>IF(AND(M11&lt;&gt;"",M11&gt;=46296),"Actual Start must be before Data Date",IF(AND(N11&lt;&gt;"",N11&gt;=46296),"Actual Finish must be before Data Date",IF(AND(N11&lt;&gt;"",M11&lt;&gt;"",N11&lt;M11),"Finish before Start",IF(AND(O11&lt;&gt;"",O11&gt;=100,N11=""),"100% needs Actual Finish",IF(AND(O11&lt;&gt;"",O11&gt;0,M11="",I11=""),"Enter Actual Start",IF(AND(Q11&lt;&gt;"",Q11&lt;46296),"Expected Finish must be after Data Date","OK"))))))</f>
      </c>
    </row>
    <row r="12" spans="1:23" s="27" customFormat="1" x14ac:dyDescent="0.25">
      <c r="A12" s="27" t="s">
        <v>151</v>
      </c>
      <c r="B12" s="27" t="s">
        <v>121</v>
      </c>
      <c r="C12" s="27" t="s">
        <v>21</v>
      </c>
      <c r="D12" s="27" t="s">
        <v>30</v>
      </c>
      <c r="E12" s="27" t="s">
        <v>77</v>
      </c>
      <c r="F12" s="27" t="s">
        <v>5</v>
      </c>
      <c r="G12" s="79">
        <v>46240</v>
      </c>
      <c r="H12" s="79">
        <v>46324</v>
      </c>
      <c r="I12" s="79">
        <v>46240</v>
      </c>
      <c r="J12" s="79"/>
      <c r="K12" s="80">
        <v>0.49</v>
      </c>
      <c r="L12" s="27">
        <v>35</v>
      </c>
      <c r="M12" s="81"/>
      <c r="N12" s="81"/>
      <c r="O12" s="82"/>
      <c r="P12" s="82"/>
      <c r="Q12" s="81"/>
      <c r="R12" s="27" t="s">
        <v>76</v>
      </c>
      <c r="S12" s="27"/>
      <c r="T12" s="82"/>
      <c r="U12" s="83">
        <f>IF(AND(ISNUMBER(S12),S12&gt;0,ISNUMBER(T12)),MIN(1,T12/S12),"")</f>
      </c>
      <c r="V12" s="82" t="s">
        <v>76</v>
      </c>
      <c r="W12" s="27">
        <f>IF(AND(M12&lt;&gt;"",M12&gt;=46296),"Actual Start must be before Data Date",IF(AND(N12&lt;&gt;"",N12&gt;=46296),"Actual Finish must be before Data Date",IF(AND(N12&lt;&gt;"",M12&lt;&gt;"",N12&lt;M12),"Finish before Start",IF(AND(O12&lt;&gt;"",O12&gt;=100,N12=""),"100% needs Actual Finish",IF(AND(O12&lt;&gt;"",O12&gt;0,M12="",I12=""),"Enter Actual Start",IF(AND(Q12&lt;&gt;"",Q12&lt;46296),"Expected Finish must be after Data Date","OK"))))))</f>
      </c>
    </row>
    <row r="13" spans="1:23" s="27" customFormat="1" x14ac:dyDescent="0.25">
      <c r="A13" s="27" t="s">
        <v>143</v>
      </c>
      <c r="B13" s="27" t="s">
        <v>107</v>
      </c>
      <c r="C13" s="27" t="s">
        <v>21</v>
      </c>
      <c r="D13" s="27" t="s">
        <v>29</v>
      </c>
      <c r="E13" s="27" t="s">
        <v>77</v>
      </c>
      <c r="F13" s="27" t="s">
        <v>144</v>
      </c>
      <c r="G13" s="79">
        <v>46252</v>
      </c>
      <c r="H13" s="79">
        <v>46421</v>
      </c>
      <c r="I13" s="79">
        <v>46252</v>
      </c>
      <c r="J13" s="79"/>
      <c r="K13" s="80">
        <v>0.27</v>
      </c>
      <c r="L13" s="27">
        <v>91</v>
      </c>
      <c r="M13" s="81"/>
      <c r="N13" s="81"/>
      <c r="O13" s="82"/>
      <c r="P13" s="82"/>
      <c r="Q13" s="81"/>
      <c r="R13" s="27" t="s">
        <v>76</v>
      </c>
      <c r="S13" s="27"/>
      <c r="T13" s="82"/>
      <c r="U13" s="83">
        <f>IF(AND(ISNUMBER(S13),S13&gt;0,ISNUMBER(T13)),MIN(1,T13/S13),"")</f>
      </c>
      <c r="V13" s="82" t="s">
        <v>76</v>
      </c>
      <c r="W13" s="27">
        <f>IF(AND(M13&lt;&gt;"",M13&gt;=46296),"Actual Start must be before Data Date",IF(AND(N13&lt;&gt;"",N13&gt;=46296),"Actual Finish must be before Data Date",IF(AND(N13&lt;&gt;"",M13&lt;&gt;"",N13&lt;M13),"Finish before Start",IF(AND(O13&lt;&gt;"",O13&gt;=100,N13=""),"100% needs Actual Finish",IF(AND(O13&lt;&gt;"",O13&gt;0,M13="",I13=""),"Enter Actual Start",IF(AND(Q13&lt;&gt;"",Q13&lt;46296),"Expected Finish must be after Data Date","OK"))))))</f>
      </c>
    </row>
    <row r="14" spans="1:23" s="27" customFormat="1" x14ac:dyDescent="0.25">
      <c r="A14" s="27" t="s">
        <v>152</v>
      </c>
      <c r="B14" s="27" t="s">
        <v>123</v>
      </c>
      <c r="C14" s="27" t="s">
        <v>21</v>
      </c>
      <c r="D14" s="27" t="s">
        <v>30</v>
      </c>
      <c r="E14" s="27" t="s">
        <v>85</v>
      </c>
      <c r="F14" s="27" t="s">
        <v>76</v>
      </c>
      <c r="G14" s="79">
        <v>46366</v>
      </c>
      <c r="H14" s="79">
        <v>46412</v>
      </c>
      <c r="I14" s="79"/>
      <c r="J14" s="79"/>
      <c r="K14" s="80">
        <v>0</v>
      </c>
      <c r="L14" s="27">
        <v>39</v>
      </c>
      <c r="M14" s="81"/>
      <c r="N14" s="81"/>
      <c r="O14" s="82"/>
      <c r="P14" s="82"/>
      <c r="Q14" s="81"/>
      <c r="R14" s="27" t="s">
        <v>76</v>
      </c>
      <c r="S14" s="27"/>
      <c r="T14" s="82"/>
      <c r="U14" s="83">
        <f>IF(AND(ISNUMBER(S14),S14&gt;0,ISNUMBER(T14)),MIN(1,T14/S14),"")</f>
      </c>
      <c r="V14" s="82" t="s">
        <v>76</v>
      </c>
      <c r="W14" s="27">
        <f>IF(AND(M14&lt;&gt;"",M14&gt;=46296),"Actual Start must be before Data Date",IF(AND(N14&lt;&gt;"",N14&gt;=46296),"Actual Finish must be before Data Date",IF(AND(N14&lt;&gt;"",M14&lt;&gt;"",N14&lt;M14),"Finish before Start",IF(AND(O14&lt;&gt;"",O14&gt;=100,N14=""),"100% needs Actual Finish",IF(AND(O14&lt;&gt;"",O14&gt;0,M14="",I14=""),"Enter Actual Start",IF(AND(Q14&lt;&gt;"",Q14&lt;46296),"Expected Finish must be after Data Date","OK"))))))</f>
      </c>
    </row>
    <row r="15" spans="1:23" s="27" customFormat="1" x14ac:dyDescent="0.25">
      <c r="A15" s="27" t="s">
        <v>153</v>
      </c>
      <c r="B15" s="27" t="s">
        <v>127</v>
      </c>
      <c r="C15" s="27" t="s">
        <v>21</v>
      </c>
      <c r="D15" s="27" t="s">
        <v>30</v>
      </c>
      <c r="E15" s="27" t="s">
        <v>85</v>
      </c>
      <c r="F15" s="27" t="s">
        <v>76</v>
      </c>
      <c r="G15" s="79">
        <v>46414</v>
      </c>
      <c r="H15" s="79">
        <v>46482</v>
      </c>
      <c r="I15" s="79"/>
      <c r="J15" s="79"/>
      <c r="K15" s="80">
        <v>0</v>
      </c>
      <c r="L15" s="27">
        <v>58</v>
      </c>
      <c r="M15" s="81"/>
      <c r="N15" s="81"/>
      <c r="O15" s="82"/>
      <c r="P15" s="82"/>
      <c r="Q15" s="81"/>
      <c r="R15" s="27" t="s">
        <v>76</v>
      </c>
      <c r="S15" s="27"/>
      <c r="T15" s="82"/>
      <c r="U15" s="83">
        <f>IF(AND(ISNUMBER(S15),S15&gt;0,ISNUMBER(T15)),MIN(1,T15/S15),"")</f>
      </c>
      <c r="V15" s="82" t="s">
        <v>76</v>
      </c>
      <c r="W15" s="27">
        <f>IF(AND(M15&lt;&gt;"",M15&gt;=46296),"Actual Start must be before Data Date",IF(AND(N15&lt;&gt;"",N15&gt;=46296),"Actual Finish must be before Data Date",IF(AND(N15&lt;&gt;"",M15&lt;&gt;"",N15&lt;M15),"Finish before Start",IF(AND(O15&lt;&gt;"",O15&gt;=100,N15=""),"100% needs Actual Finish",IF(AND(O15&lt;&gt;"",O15&gt;0,M15="",I15=""),"Enter Actual Start",IF(AND(Q15&lt;&gt;"",Q15&lt;46296),"Expected Finish must be after Data Date","OK"))))))</f>
      </c>
    </row>
    <row r="16" spans="1:23" s="27" customFormat="1" x14ac:dyDescent="0.25">
      <c r="A16" s="27" t="s">
        <v>154</v>
      </c>
      <c r="B16" s="27" t="s">
        <v>125</v>
      </c>
      <c r="C16" s="27" t="s">
        <v>21</v>
      </c>
      <c r="D16" s="27" t="s">
        <v>30</v>
      </c>
      <c r="E16" s="27" t="s">
        <v>85</v>
      </c>
      <c r="F16" s="27" t="s">
        <v>11</v>
      </c>
      <c r="G16" s="79">
        <v>46422</v>
      </c>
      <c r="H16" s="79">
        <v>46513</v>
      </c>
      <c r="I16" s="79"/>
      <c r="J16" s="79"/>
      <c r="K16" s="80">
        <v>0</v>
      </c>
      <c r="L16" s="27">
        <v>78</v>
      </c>
      <c r="M16" s="81"/>
      <c r="N16" s="81"/>
      <c r="O16" s="82"/>
      <c r="P16" s="82"/>
      <c r="Q16" s="81"/>
      <c r="R16" s="27" t="s">
        <v>323</v>
      </c>
      <c r="S16" s="27">
        <v>468</v>
      </c>
      <c r="T16" s="82">
        <v>0</v>
      </c>
      <c r="U16" s="83">
        <f>IF(AND(ISNUMBER(S16),S16&gt;0,ISNUMBER(T16)),MIN(1,T16/S16),"")</f>
      </c>
      <c r="V16" s="82" t="s">
        <v>76</v>
      </c>
      <c r="W16" s="27">
        <f>IF(AND(M16&lt;&gt;"",M16&gt;=46296),"Actual Start must be before Data Date",IF(AND(N16&lt;&gt;"",N16&gt;=46296),"Actual Finish must be before Data Date",IF(AND(N16&lt;&gt;"",M16&lt;&gt;"",N16&lt;M16),"Finish before Start",IF(AND(O16&lt;&gt;"",O16&gt;=100,N16=""),"100% needs Actual Finish",IF(AND(O16&lt;&gt;"",O16&gt;0,M16="",I16=""),"Enter Actual Start",IF(AND(Q16&lt;&gt;"",Q16&lt;46296),"Expected Finish must be after Data Date","OK"))))))</f>
      </c>
    </row>
    <row r="17" spans="1:23" s="27" customFormat="1" x14ac:dyDescent="0.25">
      <c r="A17" s="27" t="s">
        <v>155</v>
      </c>
      <c r="B17" s="27" t="s">
        <v>130</v>
      </c>
      <c r="C17" s="27" t="s">
        <v>21</v>
      </c>
      <c r="D17" s="27" t="s">
        <v>30</v>
      </c>
      <c r="E17" s="27" t="s">
        <v>85</v>
      </c>
      <c r="F17" s="27" t="s">
        <v>11</v>
      </c>
      <c r="G17" s="79">
        <v>46514</v>
      </c>
      <c r="H17" s="79">
        <v>46538</v>
      </c>
      <c r="I17" s="79"/>
      <c r="J17" s="79"/>
      <c r="K17" s="80">
        <v>0</v>
      </c>
      <c r="L17" s="27">
        <v>21</v>
      </c>
      <c r="M17" s="81"/>
      <c r="N17" s="81"/>
      <c r="O17" s="82"/>
      <c r="P17" s="82"/>
      <c r="Q17" s="81"/>
      <c r="R17" s="27" t="s">
        <v>76</v>
      </c>
      <c r="S17" s="27"/>
      <c r="T17" s="82"/>
      <c r="U17" s="83">
        <f>IF(AND(ISNUMBER(S17),S17&gt;0,ISNUMBER(T17)),MIN(1,T17/S17),"")</f>
      </c>
      <c r="V17" s="82" t="s">
        <v>76</v>
      </c>
      <c r="W17" s="27">
        <f>IF(AND(M17&lt;&gt;"",M17&gt;=46296),"Actual Start must be before Data Date",IF(AND(N17&lt;&gt;"",N17&gt;=46296),"Actual Finish must be before Data Date",IF(AND(N17&lt;&gt;"",M17&lt;&gt;"",N17&lt;M17),"Finish before Start",IF(AND(O17&lt;&gt;"",O17&gt;=100,N17=""),"100% needs Actual Finish",IF(AND(O17&lt;&gt;"",O17&gt;0,M17="",I17=""),"Enter Actual Start",IF(AND(Q17&lt;&gt;"",Q17&lt;46296),"Expected Finish must be after Data Date","OK"))))))</f>
      </c>
    </row>
    <row r="18" spans="1:23" s="27" customFormat="1" x14ac:dyDescent="0.25">
      <c r="A18" s="27" t="s">
        <v>156</v>
      </c>
      <c r="B18" s="27" t="s">
        <v>132</v>
      </c>
      <c r="C18" s="27" t="s">
        <v>21</v>
      </c>
      <c r="D18" s="27" t="s">
        <v>30</v>
      </c>
      <c r="E18" s="27" t="s">
        <v>85</v>
      </c>
      <c r="F18" s="27" t="s">
        <v>11</v>
      </c>
      <c r="G18" s="79">
        <v>46538</v>
      </c>
      <c r="H18" s="79">
        <v>46538</v>
      </c>
      <c r="I18" s="79"/>
      <c r="J18" s="79"/>
      <c r="K18" s="80">
        <v>0</v>
      </c>
      <c r="L18" s="27">
        <v>0</v>
      </c>
      <c r="M18" s="81"/>
      <c r="N18" s="81"/>
      <c r="O18" s="82"/>
      <c r="P18" s="82"/>
      <c r="Q18" s="81"/>
      <c r="R18" s="27" t="s">
        <v>76</v>
      </c>
      <c r="S18" s="27"/>
      <c r="T18" s="82"/>
      <c r="U18" s="83">
        <f>IF(AND(ISNUMBER(S18),S18&gt;0,ISNUMBER(T18)),MIN(1,T18/S18),"")</f>
      </c>
      <c r="V18" s="82" t="s">
        <v>76</v>
      </c>
      <c r="W18" s="27">
        <f>IF(AND(M18&lt;&gt;"",M18&gt;=46296),"Actual Start must be before Data Date",IF(AND(N18&lt;&gt;"",N18&gt;=46296),"Actual Finish must be before Data Date",IF(AND(N18&lt;&gt;"",M18&lt;&gt;"",N18&lt;M18),"Finish before Start",IF(AND(O18&lt;&gt;"",O18&gt;=100,N18=""),"100% needs Actual Finish",IF(AND(O18&lt;&gt;"",O18&gt;0,M18="",I18=""),"Enter Actual Start",IF(AND(Q18&lt;&gt;"",Q18&lt;46296),"Expected Finish must be after Data Date","OK"))))))</f>
      </c>
    </row>
    <row r="19" spans="1:23" s="27" customFormat="1" x14ac:dyDescent="0.25">
      <c r="A19" s="84" t="s">
        <v>173</v>
      </c>
      <c r="B19" s="84" t="s">
        <v>119</v>
      </c>
      <c r="C19" s="27" t="s">
        <v>22</v>
      </c>
      <c r="D19" s="27" t="s">
        <v>30</v>
      </c>
      <c r="E19" s="27" t="s">
        <v>77</v>
      </c>
      <c r="F19" s="84" t="s">
        <v>128</v>
      </c>
      <c r="G19" s="79">
        <v>46197</v>
      </c>
      <c r="H19" s="79">
        <v>46275</v>
      </c>
      <c r="I19" s="79">
        <v>46197</v>
      </c>
      <c r="J19" s="79"/>
      <c r="K19" s="80">
        <v>0.99</v>
      </c>
      <c r="L19" s="27">
        <v>1</v>
      </c>
      <c r="M19" s="81"/>
      <c r="N19" s="81"/>
      <c r="O19" s="82"/>
      <c r="P19" s="82"/>
      <c r="Q19" s="81"/>
      <c r="R19" s="27" t="s">
        <v>324</v>
      </c>
      <c r="S19" s="27">
        <v>590</v>
      </c>
      <c r="T19" s="82">
        <v>525</v>
      </c>
      <c r="U19" s="83">
        <f>IF(AND(ISNUMBER(S19),S19&gt;0,ISNUMBER(T19)),MIN(1,T19/S19),"")</f>
      </c>
      <c r="V19" s="82" t="s">
        <v>76</v>
      </c>
      <c r="W19" s="27">
        <f>IF(AND(M19&lt;&gt;"",M19&gt;=46296),"Actual Start must be before Data Date",IF(AND(N19&lt;&gt;"",N19&gt;=46296),"Actual Finish must be before Data Date",IF(AND(N19&lt;&gt;"",M19&lt;&gt;"",N19&lt;M19),"Finish before Start",IF(AND(O19&lt;&gt;"",O19&gt;=100,N19=""),"100% needs Actual Finish",IF(AND(O19&lt;&gt;"",O19&gt;0,M19="",I19=""),"Enter Actual Start",IF(AND(Q19&lt;&gt;"",Q19&lt;46296),"Expected Finish must be after Data Date","OK"))))))</f>
      </c>
    </row>
    <row r="20" spans="1:23" s="27" customFormat="1" x14ac:dyDescent="0.25">
      <c r="A20" s="27" t="s">
        <v>167</v>
      </c>
      <c r="B20" s="27" t="s">
        <v>107</v>
      </c>
      <c r="C20" s="27" t="s">
        <v>22</v>
      </c>
      <c r="D20" s="27" t="s">
        <v>29</v>
      </c>
      <c r="E20" s="27" t="s">
        <v>77</v>
      </c>
      <c r="F20" s="27" t="s">
        <v>5</v>
      </c>
      <c r="G20" s="79">
        <v>46212</v>
      </c>
      <c r="H20" s="79">
        <v>46325</v>
      </c>
      <c r="I20" s="79">
        <v>46212</v>
      </c>
      <c r="J20" s="79"/>
      <c r="K20" s="80">
        <v>0.62</v>
      </c>
      <c r="L20" s="27">
        <v>32</v>
      </c>
      <c r="M20" s="81"/>
      <c r="N20" s="81"/>
      <c r="O20" s="82"/>
      <c r="P20" s="82"/>
      <c r="Q20" s="81"/>
      <c r="R20" s="27" t="s">
        <v>76</v>
      </c>
      <c r="S20" s="27"/>
      <c r="T20" s="82"/>
      <c r="U20" s="83">
        <f>IF(AND(ISNUMBER(S20),S20&gt;0,ISNUMBER(T20)),MIN(1,T20/S20),"")</f>
      </c>
      <c r="V20" s="82" t="s">
        <v>76</v>
      </c>
      <c r="W20" s="27">
        <f>IF(AND(M20&lt;&gt;"",M20&gt;=46296),"Actual Start must be before Data Date",IF(AND(N20&lt;&gt;"",N20&gt;=46296),"Actual Finish must be before Data Date",IF(AND(N20&lt;&gt;"",M20&lt;&gt;"",N20&lt;M20),"Finish before Start",IF(AND(O20&lt;&gt;"",O20&gt;=100,N20=""),"100% needs Actual Finish",IF(AND(O20&lt;&gt;"",O20&gt;0,M20="",I20=""),"Enter Actual Start",IF(AND(Q20&lt;&gt;"",Q20&lt;46296),"Expected Finish must be after Data Date","OK"))))))</f>
      </c>
    </row>
    <row r="21" spans="1:23" s="27" customFormat="1" x14ac:dyDescent="0.25">
      <c r="A21" s="84" t="s">
        <v>174</v>
      </c>
      <c r="B21" s="84" t="s">
        <v>121</v>
      </c>
      <c r="C21" s="27" t="s">
        <v>22</v>
      </c>
      <c r="D21" s="27" t="s">
        <v>30</v>
      </c>
      <c r="E21" s="27" t="s">
        <v>77</v>
      </c>
      <c r="F21" s="84" t="s">
        <v>128</v>
      </c>
      <c r="G21" s="79">
        <v>46226</v>
      </c>
      <c r="H21" s="79">
        <v>46287</v>
      </c>
      <c r="I21" s="79">
        <v>46226</v>
      </c>
      <c r="J21" s="79"/>
      <c r="K21" s="80">
        <v>0.77</v>
      </c>
      <c r="L21" s="27">
        <v>9</v>
      </c>
      <c r="M21" s="81"/>
      <c r="N21" s="81"/>
      <c r="O21" s="82"/>
      <c r="P21" s="82"/>
      <c r="Q21" s="81"/>
      <c r="R21" s="27" t="s">
        <v>76</v>
      </c>
      <c r="S21" s="27"/>
      <c r="T21" s="82"/>
      <c r="U21" s="83">
        <f>IF(AND(ISNUMBER(S21),S21&gt;0,ISNUMBER(T21)),MIN(1,T21/S21),"")</f>
      </c>
      <c r="V21" s="82" t="s">
        <v>76</v>
      </c>
      <c r="W21" s="27">
        <f>IF(AND(M21&lt;&gt;"",M21&gt;=46296),"Actual Start must be before Data Date",IF(AND(N21&lt;&gt;"",N21&gt;=46296),"Actual Finish must be before Data Date",IF(AND(N21&lt;&gt;"",M21&lt;&gt;"",N21&lt;M21),"Finish before Start",IF(AND(O21&lt;&gt;"",O21&gt;=100,N21=""),"100% needs Actual Finish",IF(AND(O21&lt;&gt;"",O21&gt;0,M21="",I21=""),"Enter Actual Start",IF(AND(Q21&lt;&gt;"",Q21&lt;46296),"Expected Finish must be after Data Date","OK"))))))</f>
      </c>
    </row>
    <row r="22" spans="1:23" s="27" customFormat="1" x14ac:dyDescent="0.25">
      <c r="A22" s="85" t="s">
        <v>175</v>
      </c>
      <c r="B22" s="85" t="s">
        <v>123</v>
      </c>
      <c r="C22" s="27" t="s">
        <v>22</v>
      </c>
      <c r="D22" s="27" t="s">
        <v>30</v>
      </c>
      <c r="E22" s="27" t="s">
        <v>85</v>
      </c>
      <c r="F22" s="85" t="s">
        <v>176</v>
      </c>
      <c r="G22" s="79">
        <v>46270</v>
      </c>
      <c r="H22" s="79">
        <v>46308</v>
      </c>
      <c r="I22" s="79"/>
      <c r="J22" s="79"/>
      <c r="K22" s="80">
        <v>0</v>
      </c>
      <c r="L22" s="27">
        <v>32</v>
      </c>
      <c r="M22" s="81"/>
      <c r="N22" s="81"/>
      <c r="O22" s="82"/>
      <c r="P22" s="82"/>
      <c r="Q22" s="81"/>
      <c r="R22" s="27" t="s">
        <v>76</v>
      </c>
      <c r="S22" s="27"/>
      <c r="T22" s="82"/>
      <c r="U22" s="83">
        <f>IF(AND(ISNUMBER(S22),S22&gt;0,ISNUMBER(T22)),MIN(1,T22/S22),"")</f>
      </c>
      <c r="V22" s="82" t="s">
        <v>76</v>
      </c>
      <c r="W22" s="27">
        <f>IF(AND(M22&lt;&gt;"",M22&gt;=46296),"Actual Start must be before Data Date",IF(AND(N22&lt;&gt;"",N22&gt;=46296),"Actual Finish must be before Data Date",IF(AND(N22&lt;&gt;"",M22&lt;&gt;"",N22&lt;M22),"Finish before Start",IF(AND(O22&lt;&gt;"",O22&gt;=100,N22=""),"100% needs Actual Finish",IF(AND(O22&lt;&gt;"",O22&gt;0,M22="",I22=""),"Enter Actual Start",IF(AND(Q22&lt;&gt;"",Q22&lt;46296),"Expected Finish must be after Data Date","OK"))))))</f>
      </c>
    </row>
    <row r="23" spans="1:23" s="27" customFormat="1" x14ac:dyDescent="0.25">
      <c r="A23" s="27" t="s">
        <v>177</v>
      </c>
      <c r="B23" s="27" t="s">
        <v>125</v>
      </c>
      <c r="C23" s="27" t="s">
        <v>22</v>
      </c>
      <c r="D23" s="27" t="s">
        <v>30</v>
      </c>
      <c r="E23" s="27" t="s">
        <v>85</v>
      </c>
      <c r="F23" s="27" t="s">
        <v>76</v>
      </c>
      <c r="G23" s="79">
        <v>46326</v>
      </c>
      <c r="H23" s="79">
        <v>46401</v>
      </c>
      <c r="I23" s="79"/>
      <c r="J23" s="79"/>
      <c r="K23" s="80">
        <v>0</v>
      </c>
      <c r="L23" s="27">
        <v>63</v>
      </c>
      <c r="M23" s="81"/>
      <c r="N23" s="81"/>
      <c r="O23" s="82"/>
      <c r="P23" s="82"/>
      <c r="Q23" s="81"/>
      <c r="R23" s="27" t="s">
        <v>323</v>
      </c>
      <c r="S23" s="27">
        <v>378</v>
      </c>
      <c r="T23" s="82">
        <v>0</v>
      </c>
      <c r="U23" s="83">
        <f>IF(AND(ISNUMBER(S23),S23&gt;0,ISNUMBER(T23)),MIN(1,T23/S23),"")</f>
      </c>
      <c r="V23" s="82" t="s">
        <v>76</v>
      </c>
      <c r="W23" s="27">
        <f>IF(AND(M23&lt;&gt;"",M23&gt;=46296),"Actual Start must be before Data Date",IF(AND(N23&lt;&gt;"",N23&gt;=46296),"Actual Finish must be before Data Date",IF(AND(N23&lt;&gt;"",M23&lt;&gt;"",N23&lt;M23),"Finish before Start",IF(AND(O23&lt;&gt;"",O23&gt;=100,N23=""),"100% needs Actual Finish",IF(AND(O23&lt;&gt;"",O23&gt;0,M23="",I23=""),"Enter Actual Start",IF(AND(Q23&lt;&gt;"",Q23&lt;46296),"Expected Finish must be after Data Date","OK"))))))</f>
      </c>
    </row>
    <row r="24" spans="1:23" s="27" customFormat="1" x14ac:dyDescent="0.25">
      <c r="A24" s="27" t="s">
        <v>178</v>
      </c>
      <c r="B24" s="27" t="s">
        <v>127</v>
      </c>
      <c r="C24" s="27" t="s">
        <v>22</v>
      </c>
      <c r="D24" s="27" t="s">
        <v>30</v>
      </c>
      <c r="E24" s="27" t="s">
        <v>85</v>
      </c>
      <c r="F24" s="27" t="s">
        <v>76</v>
      </c>
      <c r="G24" s="79">
        <v>46309</v>
      </c>
      <c r="H24" s="79">
        <v>46359</v>
      </c>
      <c r="I24" s="79"/>
      <c r="J24" s="79"/>
      <c r="K24" s="80">
        <v>0</v>
      </c>
      <c r="L24" s="27">
        <v>42</v>
      </c>
      <c r="M24" s="81"/>
      <c r="N24" s="81"/>
      <c r="O24" s="82"/>
      <c r="P24" s="82"/>
      <c r="Q24" s="81"/>
      <c r="R24" s="27" t="s">
        <v>76</v>
      </c>
      <c r="S24" s="27"/>
      <c r="T24" s="82"/>
      <c r="U24" s="83">
        <f>IF(AND(ISNUMBER(S24),S24&gt;0,ISNUMBER(T24)),MIN(1,T24/S24),"")</f>
      </c>
      <c r="V24" s="82" t="s">
        <v>76</v>
      </c>
      <c r="W24" s="27">
        <f>IF(AND(M24&lt;&gt;"",M24&gt;=46296),"Actual Start must be before Data Date",IF(AND(N24&lt;&gt;"",N24&gt;=46296),"Actual Finish must be before Data Date",IF(AND(N24&lt;&gt;"",M24&lt;&gt;"",N24&lt;M24),"Finish before Start",IF(AND(O24&lt;&gt;"",O24&gt;=100,N24=""),"100% needs Actual Finish",IF(AND(O24&lt;&gt;"",O24&gt;0,M24="",I24=""),"Enter Actual Start",IF(AND(Q24&lt;&gt;"",Q24&lt;46296),"Expected Finish must be after Data Date","OK"))))))</f>
      </c>
    </row>
    <row r="25" spans="1:23" s="27" customFormat="1" x14ac:dyDescent="0.25">
      <c r="A25" s="27" t="s">
        <v>179</v>
      </c>
      <c r="B25" s="27" t="s">
        <v>130</v>
      </c>
      <c r="C25" s="27" t="s">
        <v>22</v>
      </c>
      <c r="D25" s="27" t="s">
        <v>30</v>
      </c>
      <c r="E25" s="27" t="s">
        <v>85</v>
      </c>
      <c r="F25" s="27" t="s">
        <v>76</v>
      </c>
      <c r="G25" s="79">
        <v>46402</v>
      </c>
      <c r="H25" s="79">
        <v>46423</v>
      </c>
      <c r="I25" s="79"/>
      <c r="J25" s="79"/>
      <c r="K25" s="80">
        <v>0</v>
      </c>
      <c r="L25" s="27">
        <v>18</v>
      </c>
      <c r="M25" s="81"/>
      <c r="N25" s="81"/>
      <c r="O25" s="82"/>
      <c r="P25" s="82"/>
      <c r="Q25" s="81"/>
      <c r="R25" s="27" t="s">
        <v>76</v>
      </c>
      <c r="S25" s="27"/>
      <c r="T25" s="82"/>
      <c r="U25" s="83">
        <f>IF(AND(ISNUMBER(S25),S25&gt;0,ISNUMBER(T25)),MIN(1,T25/S25),"")</f>
      </c>
      <c r="V25" s="82" t="s">
        <v>76</v>
      </c>
      <c r="W25" s="27">
        <f>IF(AND(M25&lt;&gt;"",M25&gt;=46296),"Actual Start must be before Data Date",IF(AND(N25&lt;&gt;"",N25&gt;=46296),"Actual Finish must be before Data Date",IF(AND(N25&lt;&gt;"",M25&lt;&gt;"",N25&lt;M25),"Finish before Start",IF(AND(O25&lt;&gt;"",O25&gt;=100,N25=""),"100% needs Actual Finish",IF(AND(O25&lt;&gt;"",O25&gt;0,M25="",I25=""),"Enter Actual Start",IF(AND(Q25&lt;&gt;"",Q25&lt;46296),"Expected Finish must be after Data Date","OK"))))))</f>
      </c>
    </row>
    <row r="26" spans="1:23" s="27" customFormat="1" x14ac:dyDescent="0.25">
      <c r="A26" s="27" t="s">
        <v>180</v>
      </c>
      <c r="B26" s="27" t="s">
        <v>132</v>
      </c>
      <c r="C26" s="27" t="s">
        <v>22</v>
      </c>
      <c r="D26" s="27" t="s">
        <v>30</v>
      </c>
      <c r="E26" s="27" t="s">
        <v>85</v>
      </c>
      <c r="F26" s="27" t="s">
        <v>76</v>
      </c>
      <c r="G26" s="79">
        <v>46423</v>
      </c>
      <c r="H26" s="79">
        <v>46423</v>
      </c>
      <c r="I26" s="79"/>
      <c r="J26" s="79"/>
      <c r="K26" s="80">
        <v>0</v>
      </c>
      <c r="L26" s="27">
        <v>0</v>
      </c>
      <c r="M26" s="81"/>
      <c r="N26" s="81"/>
      <c r="O26" s="82"/>
      <c r="P26" s="82"/>
      <c r="Q26" s="81"/>
      <c r="R26" s="27" t="s">
        <v>76</v>
      </c>
      <c r="S26" s="27"/>
      <c r="T26" s="82"/>
      <c r="U26" s="83">
        <f>IF(AND(ISNUMBER(S26),S26&gt;0,ISNUMBER(T26)),MIN(1,T26/S26),"")</f>
      </c>
      <c r="V26" s="82" t="s">
        <v>76</v>
      </c>
      <c r="W26" s="27">
        <f>IF(AND(M26&lt;&gt;"",M26&gt;=46296),"Actual Start must be before Data Date",IF(AND(N26&lt;&gt;"",N26&gt;=46296),"Actual Finish must be before Data Date",IF(AND(N26&lt;&gt;"",M26&lt;&gt;"",N26&lt;M26),"Finish before Start",IF(AND(O26&lt;&gt;"",O26&gt;=100,N26=""),"100% needs Actual Finish",IF(AND(O26&lt;&gt;"",O26&gt;0,M26="",I26=""),"Enter Actual Start",IF(AND(Q26&lt;&gt;"",Q26&lt;46296),"Expected Finish must be after Data Date","OK"))))))</f>
      </c>
    </row>
    <row r="27" spans="1:23" s="27" customFormat="1" x14ac:dyDescent="0.25">
      <c r="A27" s="84" t="s">
        <v>189</v>
      </c>
      <c r="B27" s="84" t="s">
        <v>103</v>
      </c>
      <c r="C27" s="27" t="s">
        <v>23</v>
      </c>
      <c r="D27" s="27" t="s">
        <v>29</v>
      </c>
      <c r="E27" s="27" t="s">
        <v>77</v>
      </c>
      <c r="F27" s="84" t="s">
        <v>128</v>
      </c>
      <c r="G27" s="79">
        <v>46204</v>
      </c>
      <c r="H27" s="79">
        <v>46282</v>
      </c>
      <c r="I27" s="79">
        <v>46204</v>
      </c>
      <c r="J27" s="79"/>
      <c r="K27" s="80">
        <v>0.98</v>
      </c>
      <c r="L27" s="27">
        <v>1</v>
      </c>
      <c r="M27" s="81"/>
      <c r="N27" s="81"/>
      <c r="O27" s="82"/>
      <c r="P27" s="82"/>
      <c r="Q27" s="81"/>
      <c r="R27" s="27" t="s">
        <v>324</v>
      </c>
      <c r="S27" s="27">
        <v>500</v>
      </c>
      <c r="T27" s="82">
        <v>390</v>
      </c>
      <c r="U27" s="83">
        <f>IF(AND(ISNUMBER(S27),S27&gt;0,ISNUMBER(T27)),MIN(1,T27/S27),"")</f>
      </c>
      <c r="V27" s="82" t="s">
        <v>76</v>
      </c>
      <c r="W27" s="27">
        <f>IF(AND(M27&lt;&gt;"",M27&gt;=46296),"Actual Start must be before Data Date",IF(AND(N27&lt;&gt;"",N27&gt;=46296),"Actual Finish must be before Data Date",IF(AND(N27&lt;&gt;"",M27&lt;&gt;"",N27&lt;M27),"Finish before Start",IF(AND(O27&lt;&gt;"",O27&gt;=100,N27=""),"100% needs Actual Finish",IF(AND(O27&lt;&gt;"",O27&gt;0,M27="",I27=""),"Enter Actual Start",IF(AND(Q27&lt;&gt;"",Q27&lt;46296),"Expected Finish must be after Data Date","OK"))))))</f>
      </c>
    </row>
    <row r="28" spans="1:23" s="27" customFormat="1" x14ac:dyDescent="0.25">
      <c r="A28" s="27" t="s">
        <v>191</v>
      </c>
      <c r="B28" s="27" t="s">
        <v>107</v>
      </c>
      <c r="C28" s="27" t="s">
        <v>23</v>
      </c>
      <c r="D28" s="27" t="s">
        <v>29</v>
      </c>
      <c r="E28" s="27" t="s">
        <v>77</v>
      </c>
      <c r="F28" s="27" t="s">
        <v>5</v>
      </c>
      <c r="G28" s="79">
        <v>46241</v>
      </c>
      <c r="H28" s="79">
        <v>46326</v>
      </c>
      <c r="I28" s="79">
        <v>46241</v>
      </c>
      <c r="J28" s="79"/>
      <c r="K28" s="80">
        <v>0.49</v>
      </c>
      <c r="L28" s="27">
        <v>32</v>
      </c>
      <c r="M28" s="81"/>
      <c r="N28" s="81"/>
      <c r="O28" s="82"/>
      <c r="P28" s="82"/>
      <c r="Q28" s="81"/>
      <c r="R28" s="27" t="s">
        <v>76</v>
      </c>
      <c r="S28" s="27"/>
      <c r="T28" s="82"/>
      <c r="U28" s="83">
        <f>IF(AND(ISNUMBER(S28),S28&gt;0,ISNUMBER(T28)),MIN(1,T28/S28),"")</f>
      </c>
      <c r="V28" s="82" t="s">
        <v>76</v>
      </c>
      <c r="W28" s="27">
        <f>IF(AND(M28&lt;&gt;"",M28&gt;=46296),"Actual Start must be before Data Date",IF(AND(N28&lt;&gt;"",N28&gt;=46296),"Actual Finish must be before Data Date",IF(AND(N28&lt;&gt;"",M28&lt;&gt;"",N28&lt;M28),"Finish before Start",IF(AND(O28&lt;&gt;"",O28&gt;=100,N28=""),"100% needs Actual Finish",IF(AND(O28&lt;&gt;"",O28&gt;0,M28="",I28=""),"Enter Actual Start",IF(AND(Q28&lt;&gt;"",Q28&lt;46296),"Expected Finish must be after Data Date","OK"))))))</f>
      </c>
    </row>
    <row r="29" spans="1:23" s="27" customFormat="1" x14ac:dyDescent="0.25">
      <c r="A29" s="27" t="s">
        <v>197</v>
      </c>
      <c r="B29" s="27" t="s">
        <v>119</v>
      </c>
      <c r="C29" s="27" t="s">
        <v>23</v>
      </c>
      <c r="D29" s="27" t="s">
        <v>30</v>
      </c>
      <c r="E29" s="27" t="s">
        <v>77</v>
      </c>
      <c r="F29" s="27" t="s">
        <v>5</v>
      </c>
      <c r="G29" s="79">
        <v>46253</v>
      </c>
      <c r="H29" s="79">
        <v>46319</v>
      </c>
      <c r="I29" s="79">
        <v>46253</v>
      </c>
      <c r="J29" s="79"/>
      <c r="K29" s="80">
        <v>0.41</v>
      </c>
      <c r="L29" s="27">
        <v>31</v>
      </c>
      <c r="M29" s="81"/>
      <c r="N29" s="81"/>
      <c r="O29" s="82"/>
      <c r="P29" s="82"/>
      <c r="Q29" s="81"/>
      <c r="R29" s="27" t="s">
        <v>324</v>
      </c>
      <c r="S29" s="27">
        <v>500</v>
      </c>
      <c r="T29" s="82">
        <v>105</v>
      </c>
      <c r="U29" s="83">
        <f>IF(AND(ISNUMBER(S29),S29&gt;0,ISNUMBER(T29)),MIN(1,T29/S29),"")</f>
      </c>
      <c r="V29" s="82" t="s">
        <v>76</v>
      </c>
      <c r="W29" s="27">
        <f>IF(AND(M29&lt;&gt;"",M29&gt;=46296),"Actual Start must be before Data Date",IF(AND(N29&lt;&gt;"",N29&gt;=46296),"Actual Finish must be before Data Date",IF(AND(N29&lt;&gt;"",M29&lt;&gt;"",N29&lt;M29),"Finish before Start",IF(AND(O29&lt;&gt;"",O29&gt;=100,N29=""),"100% needs Actual Finish",IF(AND(O29&lt;&gt;"",O29&gt;0,M29="",I29=""),"Enter Actual Start",IF(AND(Q29&lt;&gt;"",Q29&lt;46296),"Expected Finish must be after Data Date","OK"))))))</f>
      </c>
    </row>
    <row r="30" spans="1:23" s="27" customFormat="1" x14ac:dyDescent="0.25">
      <c r="A30" s="85" t="s">
        <v>198</v>
      </c>
      <c r="B30" s="85" t="s">
        <v>121</v>
      </c>
      <c r="C30" s="27" t="s">
        <v>23</v>
      </c>
      <c r="D30" s="27" t="s">
        <v>30</v>
      </c>
      <c r="E30" s="27" t="s">
        <v>85</v>
      </c>
      <c r="F30" s="85" t="s">
        <v>176</v>
      </c>
      <c r="G30" s="79">
        <v>46276</v>
      </c>
      <c r="H30" s="79">
        <v>46314</v>
      </c>
      <c r="I30" s="79"/>
      <c r="J30" s="79"/>
      <c r="K30" s="80">
        <v>0</v>
      </c>
      <c r="L30" s="27">
        <v>32</v>
      </c>
      <c r="M30" s="81"/>
      <c r="N30" s="81"/>
      <c r="O30" s="82"/>
      <c r="P30" s="82"/>
      <c r="Q30" s="81"/>
      <c r="R30" s="27" t="s">
        <v>76</v>
      </c>
      <c r="S30" s="27"/>
      <c r="T30" s="82"/>
      <c r="U30" s="83">
        <f>IF(AND(ISNUMBER(S30),S30&gt;0,ISNUMBER(T30)),MIN(1,T30/S30),"")</f>
      </c>
      <c r="V30" s="82" t="s">
        <v>76</v>
      </c>
      <c r="W30" s="27">
        <f>IF(AND(M30&lt;&gt;"",M30&gt;=46296),"Actual Start must be before Data Date",IF(AND(N30&lt;&gt;"",N30&gt;=46296),"Actual Finish must be before Data Date",IF(AND(N30&lt;&gt;"",M30&lt;&gt;"",N30&lt;M30),"Finish before Start",IF(AND(O30&lt;&gt;"",O30&gt;=100,N30=""),"100% needs Actual Finish",IF(AND(O30&lt;&gt;"",O30&gt;0,M30="",I30=""),"Enter Actual Start",IF(AND(Q30&lt;&gt;"",Q30&lt;46296),"Expected Finish must be after Data Date","OK"))))))</f>
      </c>
    </row>
    <row r="31" spans="1:23" s="27" customFormat="1" x14ac:dyDescent="0.25">
      <c r="A31" s="27" t="s">
        <v>199</v>
      </c>
      <c r="B31" s="27" t="s">
        <v>123</v>
      </c>
      <c r="C31" s="27" t="s">
        <v>23</v>
      </c>
      <c r="D31" s="27" t="s">
        <v>30</v>
      </c>
      <c r="E31" s="27" t="s">
        <v>85</v>
      </c>
      <c r="F31" s="27" t="s">
        <v>76</v>
      </c>
      <c r="G31" s="79">
        <v>46314</v>
      </c>
      <c r="H31" s="79">
        <v>46342</v>
      </c>
      <c r="I31" s="79"/>
      <c r="J31" s="79"/>
      <c r="K31" s="80">
        <v>0</v>
      </c>
      <c r="L31" s="27">
        <v>23</v>
      </c>
      <c r="M31" s="81"/>
      <c r="N31" s="81"/>
      <c r="O31" s="82"/>
      <c r="P31" s="82"/>
      <c r="Q31" s="81"/>
      <c r="R31" s="27" t="s">
        <v>76</v>
      </c>
      <c r="S31" s="27"/>
      <c r="T31" s="82"/>
      <c r="U31" s="83">
        <f>IF(AND(ISNUMBER(S31),S31&gt;0,ISNUMBER(T31)),MIN(1,T31/S31),"")</f>
      </c>
      <c r="V31" s="82" t="s">
        <v>76</v>
      </c>
      <c r="W31" s="27">
        <f>IF(AND(M31&lt;&gt;"",M31&gt;=46296),"Actual Start must be before Data Date",IF(AND(N31&lt;&gt;"",N31&gt;=46296),"Actual Finish must be before Data Date",IF(AND(N31&lt;&gt;"",M31&lt;&gt;"",N31&lt;M31),"Finish before Start",IF(AND(O31&lt;&gt;"",O31&gt;=100,N31=""),"100% needs Actual Finish",IF(AND(O31&lt;&gt;"",O31&gt;0,M31="",I31=""),"Enter Actual Start",IF(AND(Q31&lt;&gt;"",Q31&lt;46296),"Expected Finish must be after Data Date","OK"))))))</f>
      </c>
    </row>
    <row r="32" spans="1:23" s="27" customFormat="1" x14ac:dyDescent="0.25">
      <c r="A32" s="27" t="s">
        <v>200</v>
      </c>
      <c r="B32" s="27" t="s">
        <v>125</v>
      </c>
      <c r="C32" s="27" t="s">
        <v>23</v>
      </c>
      <c r="D32" s="27" t="s">
        <v>30</v>
      </c>
      <c r="E32" s="27" t="s">
        <v>85</v>
      </c>
      <c r="F32" s="27" t="s">
        <v>76</v>
      </c>
      <c r="G32" s="79">
        <v>46328</v>
      </c>
      <c r="H32" s="79">
        <v>46385</v>
      </c>
      <c r="I32" s="79"/>
      <c r="J32" s="79"/>
      <c r="K32" s="80">
        <v>0</v>
      </c>
      <c r="L32" s="27">
        <v>48</v>
      </c>
      <c r="M32" s="81"/>
      <c r="N32" s="81"/>
      <c r="O32" s="82"/>
      <c r="P32" s="82"/>
      <c r="Q32" s="81"/>
      <c r="R32" s="27" t="s">
        <v>323</v>
      </c>
      <c r="S32" s="27">
        <v>288</v>
      </c>
      <c r="T32" s="82">
        <v>0</v>
      </c>
      <c r="U32" s="83">
        <f>IF(AND(ISNUMBER(S32),S32&gt;0,ISNUMBER(T32)),MIN(1,T32/S32),"")</f>
      </c>
      <c r="V32" s="82" t="s">
        <v>76</v>
      </c>
      <c r="W32" s="27">
        <f>IF(AND(M32&lt;&gt;"",M32&gt;=46296),"Actual Start must be before Data Date",IF(AND(N32&lt;&gt;"",N32&gt;=46296),"Actual Finish must be before Data Date",IF(AND(N32&lt;&gt;"",M32&lt;&gt;"",N32&lt;M32),"Finish before Start",IF(AND(O32&lt;&gt;"",O32&gt;=100,N32=""),"100% needs Actual Finish",IF(AND(O32&lt;&gt;"",O32&gt;0,M32="",I32=""),"Enter Actual Start",IF(AND(Q32&lt;&gt;"",Q32&lt;46296),"Expected Finish must be after Data Date","OK"))))))</f>
      </c>
    </row>
    <row r="33" spans="1:23" s="27" customFormat="1" x14ac:dyDescent="0.25">
      <c r="A33" s="27" t="s">
        <v>201</v>
      </c>
      <c r="B33" s="27" t="s">
        <v>127</v>
      </c>
      <c r="C33" s="27" t="s">
        <v>23</v>
      </c>
      <c r="D33" s="27" t="s">
        <v>30</v>
      </c>
      <c r="E33" s="27" t="s">
        <v>85</v>
      </c>
      <c r="F33" s="27" t="s">
        <v>76</v>
      </c>
      <c r="G33" s="79">
        <v>46343</v>
      </c>
      <c r="H33" s="79">
        <v>46389</v>
      </c>
      <c r="I33" s="79"/>
      <c r="J33" s="79"/>
      <c r="K33" s="80">
        <v>0</v>
      </c>
      <c r="L33" s="27">
        <v>40</v>
      </c>
      <c r="M33" s="81"/>
      <c r="N33" s="81"/>
      <c r="O33" s="82"/>
      <c r="P33" s="82"/>
      <c r="Q33" s="81"/>
      <c r="R33" s="27" t="s">
        <v>76</v>
      </c>
      <c r="S33" s="27"/>
      <c r="T33" s="82"/>
      <c r="U33" s="83">
        <f>IF(AND(ISNUMBER(S33),S33&gt;0,ISNUMBER(T33)),MIN(1,T33/S33),"")</f>
      </c>
      <c r="V33" s="82" t="s">
        <v>76</v>
      </c>
      <c r="W33" s="27">
        <f>IF(AND(M33&lt;&gt;"",M33&gt;=46296),"Actual Start must be before Data Date",IF(AND(N33&lt;&gt;"",N33&gt;=46296),"Actual Finish must be before Data Date",IF(AND(N33&lt;&gt;"",M33&lt;&gt;"",N33&lt;M33),"Finish before Start",IF(AND(O33&lt;&gt;"",O33&gt;=100,N33=""),"100% needs Actual Finish",IF(AND(O33&lt;&gt;"",O33&gt;0,M33="",I33=""),"Enter Actual Start",IF(AND(Q33&lt;&gt;"",Q33&lt;46296),"Expected Finish must be after Data Date","OK"))))))</f>
      </c>
    </row>
    <row r="34" spans="1:23" s="27" customFormat="1" x14ac:dyDescent="0.25">
      <c r="A34" s="27" t="s">
        <v>202</v>
      </c>
      <c r="B34" s="27" t="s">
        <v>130</v>
      </c>
      <c r="C34" s="27" t="s">
        <v>23</v>
      </c>
      <c r="D34" s="27" t="s">
        <v>30</v>
      </c>
      <c r="E34" s="27" t="s">
        <v>85</v>
      </c>
      <c r="F34" s="27" t="s">
        <v>76</v>
      </c>
      <c r="G34" s="79">
        <v>46386</v>
      </c>
      <c r="H34" s="79">
        <v>46401</v>
      </c>
      <c r="I34" s="79"/>
      <c r="J34" s="79"/>
      <c r="K34" s="80">
        <v>0</v>
      </c>
      <c r="L34" s="27">
        <v>14</v>
      </c>
      <c r="M34" s="81"/>
      <c r="N34" s="81"/>
      <c r="O34" s="82"/>
      <c r="P34" s="82"/>
      <c r="Q34" s="81"/>
      <c r="R34" s="27" t="s">
        <v>76</v>
      </c>
      <c r="S34" s="27"/>
      <c r="T34" s="82"/>
      <c r="U34" s="83">
        <f>IF(AND(ISNUMBER(S34),S34&gt;0,ISNUMBER(T34)),MIN(1,T34/S34),"")</f>
      </c>
      <c r="V34" s="82" t="s">
        <v>76</v>
      </c>
      <c r="W34" s="27">
        <f>IF(AND(M34&lt;&gt;"",M34&gt;=46296),"Actual Start must be before Data Date",IF(AND(N34&lt;&gt;"",N34&gt;=46296),"Actual Finish must be before Data Date",IF(AND(N34&lt;&gt;"",M34&lt;&gt;"",N34&lt;M34),"Finish before Start",IF(AND(O34&lt;&gt;"",O34&gt;=100,N34=""),"100% needs Actual Finish",IF(AND(O34&lt;&gt;"",O34&gt;0,M34="",I34=""),"Enter Actual Start",IF(AND(Q34&lt;&gt;"",Q34&lt;46296),"Expected Finish must be after Data Date","OK"))))))</f>
      </c>
    </row>
    <row r="35" spans="1:23" s="27" customFormat="1" x14ac:dyDescent="0.25">
      <c r="A35" s="27" t="s">
        <v>203</v>
      </c>
      <c r="B35" s="27" t="s">
        <v>132</v>
      </c>
      <c r="C35" s="27" t="s">
        <v>23</v>
      </c>
      <c r="D35" s="27" t="s">
        <v>30</v>
      </c>
      <c r="E35" s="27" t="s">
        <v>85</v>
      </c>
      <c r="F35" s="27" t="s">
        <v>76</v>
      </c>
      <c r="G35" s="79">
        <v>46401</v>
      </c>
      <c r="H35" s="79">
        <v>46401</v>
      </c>
      <c r="I35" s="79"/>
      <c r="J35" s="79"/>
      <c r="K35" s="80">
        <v>0</v>
      </c>
      <c r="L35" s="27">
        <v>0</v>
      </c>
      <c r="M35" s="81"/>
      <c r="N35" s="81"/>
      <c r="O35" s="82"/>
      <c r="P35" s="82"/>
      <c r="Q35" s="81"/>
      <c r="R35" s="27" t="s">
        <v>76</v>
      </c>
      <c r="S35" s="27"/>
      <c r="T35" s="82"/>
      <c r="U35" s="83">
        <f>IF(AND(ISNUMBER(S35),S35&gt;0,ISNUMBER(T35)),MIN(1,T35/S35),"")</f>
      </c>
      <c r="V35" s="82" t="s">
        <v>76</v>
      </c>
      <c r="W35" s="27">
        <f>IF(AND(M35&lt;&gt;"",M35&gt;=46296),"Actual Start must be before Data Date",IF(AND(N35&lt;&gt;"",N35&gt;=46296),"Actual Finish must be before Data Date",IF(AND(N35&lt;&gt;"",M35&lt;&gt;"",N35&lt;M35),"Finish before Start",IF(AND(O35&lt;&gt;"",O35&gt;=100,N35=""),"100% needs Actual Finish",IF(AND(O35&lt;&gt;"",O35&gt;0,M35="",I35=""),"Enter Actual Start",IF(AND(Q35&lt;&gt;"",Q35&lt;46296),"Expected Finish must be after Data Date","OK"))))))</f>
      </c>
    </row>
    <row r="36" spans="1:23" s="27" customFormat="1" x14ac:dyDescent="0.25">
      <c r="A36" s="27" t="s">
        <v>212</v>
      </c>
      <c r="B36" s="27" t="s">
        <v>103</v>
      </c>
      <c r="C36" s="27" t="s">
        <v>24</v>
      </c>
      <c r="D36" s="27" t="s">
        <v>29</v>
      </c>
      <c r="E36" s="27" t="s">
        <v>77</v>
      </c>
      <c r="F36" s="27" t="s">
        <v>213</v>
      </c>
      <c r="G36" s="79">
        <v>46238</v>
      </c>
      <c r="H36" s="79">
        <v>46330</v>
      </c>
      <c r="I36" s="79">
        <v>46238</v>
      </c>
      <c r="J36" s="79"/>
      <c r="K36" s="80">
        <v>0.29</v>
      </c>
      <c r="L36" s="27">
        <v>54</v>
      </c>
      <c r="M36" s="81"/>
      <c r="N36" s="81"/>
      <c r="O36" s="82"/>
      <c r="P36" s="82"/>
      <c r="Q36" s="81"/>
      <c r="R36" s="27" t="s">
        <v>324</v>
      </c>
      <c r="S36" s="27">
        <v>590</v>
      </c>
      <c r="T36" s="82">
        <v>171</v>
      </c>
      <c r="U36" s="83">
        <f>IF(AND(ISNUMBER(S36),S36&gt;0,ISNUMBER(T36)),MIN(1,T36/S36),"")</f>
      </c>
      <c r="V36" s="82" t="s">
        <v>76</v>
      </c>
      <c r="W36" s="27">
        <f>IF(AND(M36&lt;&gt;"",M36&gt;=46296),"Actual Start must be before Data Date",IF(AND(N36&lt;&gt;"",N36&gt;=46296),"Actual Finish must be before Data Date",IF(AND(N36&lt;&gt;"",M36&lt;&gt;"",N36&lt;M36),"Finish before Start",IF(AND(O36&lt;&gt;"",O36&gt;=100,N36=""),"100% needs Actual Finish",IF(AND(O36&lt;&gt;"",O36&gt;0,M36="",I36=""),"Enter Actual Start",IF(AND(Q36&lt;&gt;"",Q36&lt;46296),"Expected Finish must be after Data Date","OK"))))))</f>
      </c>
    </row>
    <row r="37" spans="1:23" s="27" customFormat="1" x14ac:dyDescent="0.25">
      <c r="A37" s="84" t="s">
        <v>214</v>
      </c>
      <c r="B37" s="84" t="s">
        <v>105</v>
      </c>
      <c r="C37" s="27" t="s">
        <v>24</v>
      </c>
      <c r="D37" s="27" t="s">
        <v>29</v>
      </c>
      <c r="E37" s="27" t="s">
        <v>77</v>
      </c>
      <c r="F37" s="84" t="s">
        <v>215</v>
      </c>
      <c r="G37" s="79">
        <v>46254</v>
      </c>
      <c r="H37" s="79">
        <v>46279</v>
      </c>
      <c r="I37" s="79">
        <v>46254</v>
      </c>
      <c r="J37" s="79"/>
      <c r="K37" s="80">
        <v>0.44</v>
      </c>
      <c r="L37" s="27">
        <v>12</v>
      </c>
      <c r="M37" s="81"/>
      <c r="N37" s="81"/>
      <c r="O37" s="82"/>
      <c r="P37" s="82"/>
      <c r="Q37" s="81"/>
      <c r="R37" s="27" t="s">
        <v>76</v>
      </c>
      <c r="S37" s="27"/>
      <c r="T37" s="82"/>
      <c r="U37" s="83">
        <f>IF(AND(ISNUMBER(S37),S37&gt;0,ISNUMBER(T37)),MIN(1,T37/S37),"")</f>
      </c>
      <c r="V37" s="82" t="s">
        <v>76</v>
      </c>
      <c r="W37" s="27">
        <f>IF(AND(M37&lt;&gt;"",M37&gt;=46296),"Actual Start must be before Data Date",IF(AND(N37&lt;&gt;"",N37&gt;=46296),"Actual Finish must be before Data Date",IF(AND(N37&lt;&gt;"",M37&lt;&gt;"",N37&lt;M37),"Finish before Start",IF(AND(O37&lt;&gt;"",O37&gt;=100,N37=""),"100% needs Actual Finish",IF(AND(O37&lt;&gt;"",O37&gt;0,M37="",I37=""),"Enter Actual Start",IF(AND(Q37&lt;&gt;"",Q37&lt;46296),"Expected Finish must be after Data Date","OK"))))))</f>
      </c>
    </row>
    <row r="38" spans="1:23" s="27" customFormat="1" x14ac:dyDescent="0.25">
      <c r="A38" s="85" t="s">
        <v>222</v>
      </c>
      <c r="B38" s="85" t="s">
        <v>119</v>
      </c>
      <c r="C38" s="27" t="s">
        <v>24</v>
      </c>
      <c r="D38" s="27" t="s">
        <v>30</v>
      </c>
      <c r="E38" s="27" t="s">
        <v>85</v>
      </c>
      <c r="F38" s="85" t="s">
        <v>176</v>
      </c>
      <c r="G38" s="79">
        <v>46266</v>
      </c>
      <c r="H38" s="79">
        <v>46349</v>
      </c>
      <c r="I38" s="79"/>
      <c r="J38" s="79"/>
      <c r="K38" s="80">
        <v>0</v>
      </c>
      <c r="L38" s="27">
        <v>69</v>
      </c>
      <c r="M38" s="81"/>
      <c r="N38" s="81"/>
      <c r="O38" s="82"/>
      <c r="P38" s="82"/>
      <c r="Q38" s="81"/>
      <c r="R38" s="27" t="s">
        <v>324</v>
      </c>
      <c r="S38" s="27">
        <v>590</v>
      </c>
      <c r="T38" s="82">
        <v>0</v>
      </c>
      <c r="U38" s="83">
        <f>IF(AND(ISNUMBER(S38),S38&gt;0,ISNUMBER(T38)),MIN(1,T38/S38),"")</f>
      </c>
      <c r="V38" s="82" t="s">
        <v>76</v>
      </c>
      <c r="W38" s="27">
        <f>IF(AND(M38&lt;&gt;"",M38&gt;=46296),"Actual Start must be before Data Date",IF(AND(N38&lt;&gt;"",N38&gt;=46296),"Actual Finish must be before Data Date",IF(AND(N38&lt;&gt;"",M38&lt;&gt;"",N38&lt;M38),"Finish before Start",IF(AND(O38&lt;&gt;"",O38&gt;=100,N38=""),"100% needs Actual Finish",IF(AND(O38&lt;&gt;"",O38&gt;0,M38="",I38=""),"Enter Actual Start",IF(AND(Q38&lt;&gt;"",Q38&lt;46296),"Expected Finish must be after Data Date","OK"))))))</f>
      </c>
    </row>
    <row r="39" spans="1:23" s="27" customFormat="1" x14ac:dyDescent="0.25">
      <c r="A39" s="85" t="s">
        <v>216</v>
      </c>
      <c r="B39" s="85" t="s">
        <v>107</v>
      </c>
      <c r="C39" s="27" t="s">
        <v>24</v>
      </c>
      <c r="D39" s="27" t="s">
        <v>29</v>
      </c>
      <c r="E39" s="27" t="s">
        <v>85</v>
      </c>
      <c r="F39" s="85" t="s">
        <v>176</v>
      </c>
      <c r="G39" s="79">
        <v>46280</v>
      </c>
      <c r="H39" s="79">
        <v>46392</v>
      </c>
      <c r="I39" s="79"/>
      <c r="J39" s="79"/>
      <c r="K39" s="80">
        <v>0</v>
      </c>
      <c r="L39" s="27">
        <v>93</v>
      </c>
      <c r="M39" s="81"/>
      <c r="N39" s="81"/>
      <c r="O39" s="82"/>
      <c r="P39" s="82"/>
      <c r="Q39" s="81"/>
      <c r="R39" s="27" t="s">
        <v>76</v>
      </c>
      <c r="S39" s="27"/>
      <c r="T39" s="82"/>
      <c r="U39" s="83">
        <f>IF(AND(ISNUMBER(S39),S39&gt;0,ISNUMBER(T39)),MIN(1,T39/S39),"")</f>
      </c>
      <c r="V39" s="82" t="s">
        <v>76</v>
      </c>
      <c r="W39" s="27">
        <f>IF(AND(M39&lt;&gt;"",M39&gt;=46296),"Actual Start must be before Data Date",IF(AND(N39&lt;&gt;"",N39&gt;=46296),"Actual Finish must be before Data Date",IF(AND(N39&lt;&gt;"",M39&lt;&gt;"",N39&lt;M39),"Finish before Start",IF(AND(O39&lt;&gt;"",O39&gt;=100,N39=""),"100% needs Actual Finish",IF(AND(O39&lt;&gt;"",O39&gt;0,M39="",I39=""),"Enter Actual Start",IF(AND(Q39&lt;&gt;"",Q39&lt;46296),"Expected Finish must be after Data Date","OK"))))))</f>
      </c>
    </row>
    <row r="40" spans="1:23" s="27" customFormat="1" x14ac:dyDescent="0.25">
      <c r="A40" s="85" t="s">
        <v>223</v>
      </c>
      <c r="B40" s="85" t="s">
        <v>121</v>
      </c>
      <c r="C40" s="27" t="s">
        <v>24</v>
      </c>
      <c r="D40" s="27" t="s">
        <v>30</v>
      </c>
      <c r="E40" s="27" t="s">
        <v>85</v>
      </c>
      <c r="F40" s="85" t="s">
        <v>176</v>
      </c>
      <c r="G40" s="79">
        <v>46289</v>
      </c>
      <c r="H40" s="79">
        <v>46346</v>
      </c>
      <c r="I40" s="79"/>
      <c r="J40" s="79"/>
      <c r="K40" s="80">
        <v>0</v>
      </c>
      <c r="L40" s="27">
        <v>47</v>
      </c>
      <c r="M40" s="81"/>
      <c r="N40" s="81"/>
      <c r="O40" s="82"/>
      <c r="P40" s="82"/>
      <c r="Q40" s="81"/>
      <c r="R40" s="27" t="s">
        <v>76</v>
      </c>
      <c r="S40" s="27"/>
      <c r="T40" s="82"/>
      <c r="U40" s="83">
        <f>IF(AND(ISNUMBER(S40),S40&gt;0,ISNUMBER(T40)),MIN(1,T40/S40),"")</f>
      </c>
      <c r="V40" s="82" t="s">
        <v>76</v>
      </c>
      <c r="W40" s="27">
        <f>IF(AND(M40&lt;&gt;"",M40&gt;=46296),"Actual Start must be before Data Date",IF(AND(N40&lt;&gt;"",N40&gt;=46296),"Actual Finish must be before Data Date",IF(AND(N40&lt;&gt;"",M40&lt;&gt;"",N40&lt;M40),"Finish before Start",IF(AND(O40&lt;&gt;"",O40&gt;=100,N40=""),"100% needs Actual Finish",IF(AND(O40&lt;&gt;"",O40&gt;0,M40="",I40=""),"Enter Actual Start",IF(AND(Q40&lt;&gt;"",Q40&lt;46296),"Expected Finish must be after Data Date","OK"))))))</f>
      </c>
    </row>
    <row r="41" spans="1:23" s="27" customFormat="1" x14ac:dyDescent="0.25">
      <c r="A41" s="27" t="s">
        <v>224</v>
      </c>
      <c r="B41" s="27" t="s">
        <v>123</v>
      </c>
      <c r="C41" s="27" t="s">
        <v>24</v>
      </c>
      <c r="D41" s="27" t="s">
        <v>30</v>
      </c>
      <c r="E41" s="27" t="s">
        <v>85</v>
      </c>
      <c r="F41" s="27" t="s">
        <v>76</v>
      </c>
      <c r="G41" s="79">
        <v>46344</v>
      </c>
      <c r="H41" s="79">
        <v>46377</v>
      </c>
      <c r="I41" s="79"/>
      <c r="J41" s="79"/>
      <c r="K41" s="80">
        <v>0</v>
      </c>
      <c r="L41" s="27">
        <v>29</v>
      </c>
      <c r="M41" s="81"/>
      <c r="N41" s="81"/>
      <c r="O41" s="82"/>
      <c r="P41" s="82"/>
      <c r="Q41" s="81"/>
      <c r="R41" s="27" t="s">
        <v>76</v>
      </c>
      <c r="S41" s="27"/>
      <c r="T41" s="82"/>
      <c r="U41" s="83">
        <f>IF(AND(ISNUMBER(S41),S41&gt;0,ISNUMBER(T41)),MIN(1,T41/S41),"")</f>
      </c>
      <c r="V41" s="82" t="s">
        <v>76</v>
      </c>
      <c r="W41" s="27">
        <f>IF(AND(M41&lt;&gt;"",M41&gt;=46296),"Actual Start must be before Data Date",IF(AND(N41&lt;&gt;"",N41&gt;=46296),"Actual Finish must be before Data Date",IF(AND(N41&lt;&gt;"",M41&lt;&gt;"",N41&lt;M41),"Finish before Start",IF(AND(O41&lt;&gt;"",O41&gt;=100,N41=""),"100% needs Actual Finish",IF(AND(O41&lt;&gt;"",O41&gt;0,M41="",I41=""),"Enter Actual Start",IF(AND(Q41&lt;&gt;"",Q41&lt;46296),"Expected Finish must be after Data Date","OK"))))))</f>
      </c>
    </row>
    <row r="42" spans="1:23" s="27" customFormat="1" x14ac:dyDescent="0.25">
      <c r="A42" s="27" t="s">
        <v>225</v>
      </c>
      <c r="B42" s="27" t="s">
        <v>127</v>
      </c>
      <c r="C42" s="27" t="s">
        <v>24</v>
      </c>
      <c r="D42" s="27" t="s">
        <v>30</v>
      </c>
      <c r="E42" s="27" t="s">
        <v>85</v>
      </c>
      <c r="F42" s="27" t="s">
        <v>76</v>
      </c>
      <c r="G42" s="79">
        <v>46378</v>
      </c>
      <c r="H42" s="79">
        <v>46421</v>
      </c>
      <c r="I42" s="79"/>
      <c r="J42" s="79"/>
      <c r="K42" s="80">
        <v>0</v>
      </c>
      <c r="L42" s="27">
        <v>36</v>
      </c>
      <c r="M42" s="81"/>
      <c r="N42" s="81"/>
      <c r="O42" s="82"/>
      <c r="P42" s="82"/>
      <c r="Q42" s="81"/>
      <c r="R42" s="27" t="s">
        <v>76</v>
      </c>
      <c r="S42" s="27"/>
      <c r="T42" s="82"/>
      <c r="U42" s="83">
        <f>IF(AND(ISNUMBER(S42),S42&gt;0,ISNUMBER(T42)),MIN(1,T42/S42),"")</f>
      </c>
      <c r="V42" s="82" t="s">
        <v>76</v>
      </c>
      <c r="W42" s="27">
        <f>IF(AND(M42&lt;&gt;"",M42&gt;=46296),"Actual Start must be before Data Date",IF(AND(N42&lt;&gt;"",N42&gt;=46296),"Actual Finish must be before Data Date",IF(AND(N42&lt;&gt;"",M42&lt;&gt;"",N42&lt;M42),"Finish before Start",IF(AND(O42&lt;&gt;"",O42&gt;=100,N42=""),"100% needs Actual Finish",IF(AND(O42&lt;&gt;"",O42&gt;0,M42="",I42=""),"Enter Actual Start",IF(AND(Q42&lt;&gt;"",Q42&lt;46296),"Expected Finish must be after Data Date","OK"))))))</f>
      </c>
    </row>
    <row r="43" spans="1:23" s="27" customFormat="1" x14ac:dyDescent="0.25">
      <c r="A43" s="27" t="s">
        <v>226</v>
      </c>
      <c r="B43" s="27" t="s">
        <v>125</v>
      </c>
      <c r="C43" s="27" t="s">
        <v>24</v>
      </c>
      <c r="D43" s="27" t="s">
        <v>30</v>
      </c>
      <c r="E43" s="27" t="s">
        <v>85</v>
      </c>
      <c r="F43" s="27" t="s">
        <v>76</v>
      </c>
      <c r="G43" s="79">
        <v>46393</v>
      </c>
      <c r="H43" s="79">
        <v>46462</v>
      </c>
      <c r="I43" s="79"/>
      <c r="J43" s="79"/>
      <c r="K43" s="80">
        <v>0</v>
      </c>
      <c r="L43" s="27">
        <v>59</v>
      </c>
      <c r="M43" s="81"/>
      <c r="N43" s="81"/>
      <c r="O43" s="82"/>
      <c r="P43" s="82"/>
      <c r="Q43" s="81"/>
      <c r="R43" s="27" t="s">
        <v>323</v>
      </c>
      <c r="S43" s="27">
        <v>354</v>
      </c>
      <c r="T43" s="82">
        <v>0</v>
      </c>
      <c r="U43" s="83">
        <f>IF(AND(ISNUMBER(S43),S43&gt;0,ISNUMBER(T43)),MIN(1,T43/S43),"")</f>
      </c>
      <c r="V43" s="82" t="s">
        <v>76</v>
      </c>
      <c r="W43" s="27">
        <f>IF(AND(M43&lt;&gt;"",M43&gt;=46296),"Actual Start must be before Data Date",IF(AND(N43&lt;&gt;"",N43&gt;=46296),"Actual Finish must be before Data Date",IF(AND(N43&lt;&gt;"",M43&lt;&gt;"",N43&lt;M43),"Finish before Start",IF(AND(O43&lt;&gt;"",O43&gt;=100,N43=""),"100% needs Actual Finish",IF(AND(O43&lt;&gt;"",O43&gt;0,M43="",I43=""),"Enter Actual Start",IF(AND(Q43&lt;&gt;"",Q43&lt;46296),"Expected Finish must be after Data Date","OK"))))))</f>
      </c>
    </row>
    <row r="44" spans="1:23" s="27" customFormat="1" x14ac:dyDescent="0.25">
      <c r="A44" s="27" t="s">
        <v>227</v>
      </c>
      <c r="B44" s="27" t="s">
        <v>130</v>
      </c>
      <c r="C44" s="27" t="s">
        <v>24</v>
      </c>
      <c r="D44" s="27" t="s">
        <v>30</v>
      </c>
      <c r="E44" s="27" t="s">
        <v>85</v>
      </c>
      <c r="F44" s="27" t="s">
        <v>76</v>
      </c>
      <c r="G44" s="79">
        <v>46463</v>
      </c>
      <c r="H44" s="79">
        <v>46480</v>
      </c>
      <c r="I44" s="79"/>
      <c r="J44" s="79"/>
      <c r="K44" s="80">
        <v>0</v>
      </c>
      <c r="L44" s="27">
        <v>15</v>
      </c>
      <c r="M44" s="81"/>
      <c r="N44" s="81"/>
      <c r="O44" s="82"/>
      <c r="P44" s="82"/>
      <c r="Q44" s="81"/>
      <c r="R44" s="27" t="s">
        <v>76</v>
      </c>
      <c r="S44" s="27"/>
      <c r="T44" s="82"/>
      <c r="U44" s="83">
        <f>IF(AND(ISNUMBER(S44),S44&gt;0,ISNUMBER(T44)),MIN(1,T44/S44),"")</f>
      </c>
      <c r="V44" s="82" t="s">
        <v>76</v>
      </c>
      <c r="W44" s="27">
        <f>IF(AND(M44&lt;&gt;"",M44&gt;=46296),"Actual Start must be before Data Date",IF(AND(N44&lt;&gt;"",N44&gt;=46296),"Actual Finish must be before Data Date",IF(AND(N44&lt;&gt;"",M44&lt;&gt;"",N44&lt;M44),"Finish before Start",IF(AND(O44&lt;&gt;"",O44&gt;=100,N44=""),"100% needs Actual Finish",IF(AND(O44&lt;&gt;"",O44&gt;0,M44="",I44=""),"Enter Actual Start",IF(AND(Q44&lt;&gt;"",Q44&lt;46296),"Expected Finish must be after Data Date","OK"))))))</f>
      </c>
    </row>
    <row r="45" spans="1:23" s="27" customFormat="1" x14ac:dyDescent="0.25">
      <c r="A45" s="27" t="s">
        <v>228</v>
      </c>
      <c r="B45" s="27" t="s">
        <v>132</v>
      </c>
      <c r="C45" s="27" t="s">
        <v>24</v>
      </c>
      <c r="D45" s="27" t="s">
        <v>30</v>
      </c>
      <c r="E45" s="27" t="s">
        <v>85</v>
      </c>
      <c r="F45" s="27" t="s">
        <v>76</v>
      </c>
      <c r="G45" s="79">
        <v>46480</v>
      </c>
      <c r="H45" s="79">
        <v>46480</v>
      </c>
      <c r="I45" s="79"/>
      <c r="J45" s="79"/>
      <c r="K45" s="80">
        <v>0</v>
      </c>
      <c r="L45" s="27">
        <v>0</v>
      </c>
      <c r="M45" s="81"/>
      <c r="N45" s="81"/>
      <c r="O45" s="82"/>
      <c r="P45" s="82"/>
      <c r="Q45" s="81"/>
      <c r="R45" s="27" t="s">
        <v>76</v>
      </c>
      <c r="S45" s="27"/>
      <c r="T45" s="82"/>
      <c r="U45" s="83">
        <f>IF(AND(ISNUMBER(S45),S45&gt;0,ISNUMBER(T45)),MIN(1,T45/S45),"")</f>
      </c>
      <c r="V45" s="82" t="s">
        <v>76</v>
      </c>
      <c r="W45" s="27">
        <f>IF(AND(M45&lt;&gt;"",M45&gt;=46296),"Actual Start must be before Data Date",IF(AND(N45&lt;&gt;"",N45&gt;=46296),"Actual Finish must be before Data Date",IF(AND(N45&lt;&gt;"",M45&lt;&gt;"",N45&lt;M45),"Finish before Start",IF(AND(O45&lt;&gt;"",O45&gt;=100,N45=""),"100% needs Actual Finish",IF(AND(O45&lt;&gt;"",O45&gt;0,M45="",I45=""),"Enter Actual Start",IF(AND(Q45&lt;&gt;"",Q45&lt;46296),"Expected Finish must be after Data Date","OK"))))))</f>
      </c>
    </row>
    <row r="46" spans="1:23" s="27" customFormat="1" x14ac:dyDescent="0.25">
      <c r="A46" s="84" t="s">
        <v>233</v>
      </c>
      <c r="B46" s="84" t="s">
        <v>96</v>
      </c>
      <c r="C46" s="27" t="s">
        <v>25</v>
      </c>
      <c r="D46" s="27" t="s">
        <v>28</v>
      </c>
      <c r="E46" s="27" t="s">
        <v>77</v>
      </c>
      <c r="F46" s="84" t="s">
        <v>215</v>
      </c>
      <c r="G46" s="79">
        <v>46232</v>
      </c>
      <c r="H46" s="79">
        <v>46273</v>
      </c>
      <c r="I46" s="79">
        <v>46232</v>
      </c>
      <c r="J46" s="79"/>
      <c r="K46" s="80">
        <v>0.84</v>
      </c>
      <c r="L46" s="27">
        <v>6</v>
      </c>
      <c r="M46" s="81"/>
      <c r="N46" s="81"/>
      <c r="O46" s="82"/>
      <c r="P46" s="82"/>
      <c r="Q46" s="81"/>
      <c r="R46" s="27" t="s">
        <v>76</v>
      </c>
      <c r="S46" s="27"/>
      <c r="T46" s="82"/>
      <c r="U46" s="83">
        <f>IF(AND(ISNUMBER(S46),S46&gt;0,ISNUMBER(T46)),MIN(1,T46/S46),"")</f>
      </c>
      <c r="V46" s="82" t="s">
        <v>76</v>
      </c>
      <c r="W46" s="27">
        <f>IF(AND(M46&lt;&gt;"",M46&gt;=46296),"Actual Start must be before Data Date",IF(AND(N46&lt;&gt;"",N46&gt;=46296),"Actual Finish must be before Data Date",IF(AND(N46&lt;&gt;"",M46&lt;&gt;"",N46&lt;M46),"Finish before Start",IF(AND(O46&lt;&gt;"",O46&gt;=100,N46=""),"100% needs Actual Finish",IF(AND(O46&lt;&gt;"",O46&gt;0,M46="",I46=""),"Enter Actual Start",IF(AND(Q46&lt;&gt;"",Q46&lt;46296),"Expected Finish must be after Data Date","OK"))))))</f>
      </c>
    </row>
    <row r="47" spans="1:23" s="27" customFormat="1" x14ac:dyDescent="0.25">
      <c r="A47" s="84" t="s">
        <v>244</v>
      </c>
      <c r="B47" s="84" t="s">
        <v>115</v>
      </c>
      <c r="C47" s="27" t="s">
        <v>25</v>
      </c>
      <c r="D47" s="27" t="s">
        <v>30</v>
      </c>
      <c r="E47" s="27" t="s">
        <v>77</v>
      </c>
      <c r="F47" s="84" t="s">
        <v>215</v>
      </c>
      <c r="G47" s="79">
        <v>46240</v>
      </c>
      <c r="H47" s="79">
        <v>46282</v>
      </c>
      <c r="I47" s="79">
        <v>46240</v>
      </c>
      <c r="J47" s="79"/>
      <c r="K47" s="80">
        <v>0.58</v>
      </c>
      <c r="L47" s="27">
        <v>15</v>
      </c>
      <c r="M47" s="81"/>
      <c r="N47" s="81"/>
      <c r="O47" s="82"/>
      <c r="P47" s="82"/>
      <c r="Q47" s="81"/>
      <c r="R47" s="27" t="s">
        <v>325</v>
      </c>
      <c r="S47" s="27">
        <v>1120</v>
      </c>
      <c r="T47" s="82">
        <v>650</v>
      </c>
      <c r="U47" s="83">
        <f>IF(AND(ISNUMBER(S47),S47&gt;0,ISNUMBER(T47)),MIN(1,T47/S47),"")</f>
      </c>
      <c r="V47" s="82" t="s">
        <v>76</v>
      </c>
      <c r="W47" s="27">
        <f>IF(AND(M47&lt;&gt;"",M47&gt;=46296),"Actual Start must be before Data Date",IF(AND(N47&lt;&gt;"",N47&gt;=46296),"Actual Finish must be before Data Date",IF(AND(N47&lt;&gt;"",M47&lt;&gt;"",N47&lt;M47),"Finish before Start",IF(AND(O47&lt;&gt;"",O47&gt;=100,N47=""),"100% needs Actual Finish",IF(AND(O47&lt;&gt;"",O47&gt;0,M47="",I47=""),"Enter Actual Start",IF(AND(Q47&lt;&gt;"",Q47&lt;46296),"Expected Finish must be after Data Date","OK"))))))</f>
      </c>
    </row>
    <row r="48" spans="1:23" s="27" customFormat="1" x14ac:dyDescent="0.25">
      <c r="A48" s="84" t="s">
        <v>234</v>
      </c>
      <c r="B48" s="84" t="s">
        <v>98</v>
      </c>
      <c r="C48" s="27" t="s">
        <v>25</v>
      </c>
      <c r="D48" s="27" t="s">
        <v>28</v>
      </c>
      <c r="E48" s="27" t="s">
        <v>77</v>
      </c>
      <c r="F48" s="84" t="s">
        <v>215</v>
      </c>
      <c r="G48" s="79">
        <v>46246</v>
      </c>
      <c r="H48" s="79">
        <v>46273</v>
      </c>
      <c r="I48" s="79">
        <v>46246</v>
      </c>
      <c r="J48" s="79"/>
      <c r="K48" s="80">
        <v>0.95</v>
      </c>
      <c r="L48" s="27">
        <v>1</v>
      </c>
      <c r="M48" s="81"/>
      <c r="N48" s="81"/>
      <c r="O48" s="82"/>
      <c r="P48" s="82"/>
      <c r="Q48" s="81"/>
      <c r="R48" s="27" t="s">
        <v>76</v>
      </c>
      <c r="S48" s="27"/>
      <c r="T48" s="82"/>
      <c r="U48" s="83">
        <f>IF(AND(ISNUMBER(S48),S48&gt;0,ISNUMBER(T48)),MIN(1,T48/S48),"")</f>
      </c>
      <c r="V48" s="82" t="s">
        <v>76</v>
      </c>
      <c r="W48" s="27">
        <f>IF(AND(M48&lt;&gt;"",M48&gt;=46296),"Actual Start must be before Data Date",IF(AND(N48&lt;&gt;"",N48&gt;=46296),"Actual Finish must be before Data Date",IF(AND(N48&lt;&gt;"",M48&lt;&gt;"",N48&lt;M48),"Finish before Start",IF(AND(O48&lt;&gt;"",O48&gt;=100,N48=""),"100% needs Actual Finish",IF(AND(O48&lt;&gt;"",O48&gt;0,M48="",I48=""),"Enter Actual Start",IF(AND(Q48&lt;&gt;"",Q48&lt;46296),"Expected Finish must be after Data Date","OK"))))))</f>
      </c>
    </row>
    <row r="49" spans="1:23" s="27" customFormat="1" x14ac:dyDescent="0.25">
      <c r="A49" s="86" t="s">
        <v>245</v>
      </c>
      <c r="B49" s="86" t="s">
        <v>121</v>
      </c>
      <c r="C49" s="27" t="s">
        <v>25</v>
      </c>
      <c r="D49" s="27" t="s">
        <v>30</v>
      </c>
      <c r="E49" s="27" t="s">
        <v>77</v>
      </c>
      <c r="F49" s="86" t="s">
        <v>246</v>
      </c>
      <c r="G49" s="79">
        <v>46260</v>
      </c>
      <c r="H49" s="79">
        <v>46363</v>
      </c>
      <c r="I49" s="79">
        <v>46260</v>
      </c>
      <c r="J49" s="79"/>
      <c r="K49" s="80">
        <v>0.05</v>
      </c>
      <c r="L49" s="27">
        <v>31</v>
      </c>
      <c r="M49" s="81"/>
      <c r="N49" s="81"/>
      <c r="O49" s="82"/>
      <c r="P49" s="82"/>
      <c r="Q49" s="81"/>
      <c r="R49" s="27" t="s">
        <v>76</v>
      </c>
      <c r="S49" s="27"/>
      <c r="T49" s="82"/>
      <c r="U49" s="83">
        <f>IF(AND(ISNUMBER(S49),S49&gt;0,ISNUMBER(T49)),MIN(1,T49/S49),"")</f>
      </c>
      <c r="V49" s="82" t="s">
        <v>76</v>
      </c>
      <c r="W49" s="27">
        <f>IF(AND(M49&lt;&gt;"",M49&gt;=46296),"Actual Start must be before Data Date",IF(AND(N49&lt;&gt;"",N49&gt;=46296),"Actual Finish must be before Data Date",IF(AND(N49&lt;&gt;"",M49&lt;&gt;"",N49&lt;M49),"Finish before Start",IF(AND(O49&lt;&gt;"",O49&gt;=100,N49=""),"100% needs Actual Finish",IF(AND(O49&lt;&gt;"",O49&gt;0,M49="",I49=""),"Enter Actual Start",IF(AND(Q49&lt;&gt;"",Q49&lt;46296),"Expected Finish must be after Data Date","OK"))))))</f>
      </c>
    </row>
    <row r="50" spans="1:23" s="27" customFormat="1" x14ac:dyDescent="0.25">
      <c r="A50" s="86" t="s">
        <v>247</v>
      </c>
      <c r="B50" s="86" t="s">
        <v>125</v>
      </c>
      <c r="C50" s="27" t="s">
        <v>25</v>
      </c>
      <c r="D50" s="27" t="s">
        <v>30</v>
      </c>
      <c r="E50" s="27" t="s">
        <v>77</v>
      </c>
      <c r="F50" s="86" t="s">
        <v>246</v>
      </c>
      <c r="G50" s="79">
        <v>46260</v>
      </c>
      <c r="H50" s="79">
        <v>46403</v>
      </c>
      <c r="I50" s="79">
        <v>46260</v>
      </c>
      <c r="J50" s="79"/>
      <c r="K50" s="80">
        <v>0.05</v>
      </c>
      <c r="L50" s="27">
        <v>41</v>
      </c>
      <c r="M50" s="81"/>
      <c r="N50" s="81"/>
      <c r="O50" s="82"/>
      <c r="P50" s="82"/>
      <c r="Q50" s="81"/>
      <c r="R50" s="27" t="s">
        <v>323</v>
      </c>
      <c r="S50" s="27">
        <v>258</v>
      </c>
      <c r="T50" s="82">
        <v>0</v>
      </c>
      <c r="U50" s="83">
        <f>IF(AND(ISNUMBER(S50),S50&gt;0,ISNUMBER(T50)),MIN(1,T50/S50),"")</f>
      </c>
      <c r="V50" s="82" t="s">
        <v>76</v>
      </c>
      <c r="W50" s="27">
        <f>IF(AND(M50&lt;&gt;"",M50&gt;=46296),"Actual Start must be before Data Date",IF(AND(N50&lt;&gt;"",N50&gt;=46296),"Actual Finish must be before Data Date",IF(AND(N50&lt;&gt;"",M50&lt;&gt;"",N50&lt;M50),"Finish before Start",IF(AND(O50&lt;&gt;"",O50&gt;=100,N50=""),"100% needs Actual Finish",IF(AND(O50&lt;&gt;"",O50&gt;0,M50="",I50=""),"Enter Actual Start",IF(AND(Q50&lt;&gt;"",Q50&lt;46296),"Expected Finish must be after Data Date","OK"))))))</f>
      </c>
    </row>
    <row r="51" spans="1:23" s="27" customFormat="1" x14ac:dyDescent="0.25">
      <c r="A51" s="27" t="s">
        <v>237</v>
      </c>
      <c r="B51" s="27" t="s">
        <v>103</v>
      </c>
      <c r="C51" s="27" t="s">
        <v>25</v>
      </c>
      <c r="D51" s="27" t="s">
        <v>29</v>
      </c>
      <c r="E51" s="27" t="s">
        <v>77</v>
      </c>
      <c r="F51" s="27" t="s">
        <v>213</v>
      </c>
      <c r="G51" s="79">
        <v>46263</v>
      </c>
      <c r="H51" s="79">
        <v>46316</v>
      </c>
      <c r="I51" s="79">
        <v>46263</v>
      </c>
      <c r="J51" s="79"/>
      <c r="K51" s="80">
        <v>0.05</v>
      </c>
      <c r="L51" s="27">
        <v>42</v>
      </c>
      <c r="M51" s="81"/>
      <c r="N51" s="81"/>
      <c r="O51" s="82"/>
      <c r="P51" s="82"/>
      <c r="Q51" s="81"/>
      <c r="R51" s="27" t="s">
        <v>324</v>
      </c>
      <c r="S51" s="27">
        <v>420</v>
      </c>
      <c r="T51" s="82">
        <v>21</v>
      </c>
      <c r="U51" s="83">
        <f>IF(AND(ISNUMBER(S51),S51&gt;0,ISNUMBER(T51)),MIN(1,T51/S51),"")</f>
      </c>
      <c r="V51" s="82" t="s">
        <v>76</v>
      </c>
      <c r="W51" s="27">
        <f>IF(AND(M51&lt;&gt;"",M51&gt;=46296),"Actual Start must be before Data Date",IF(AND(N51&lt;&gt;"",N51&gt;=46296),"Actual Finish must be before Data Date",IF(AND(N51&lt;&gt;"",M51&lt;&gt;"",N51&lt;M51),"Finish before Start",IF(AND(O51&lt;&gt;"",O51&gt;=100,N51=""),"100% needs Actual Finish",IF(AND(O51&lt;&gt;"",O51&gt;0,M51="",I51=""),"Enter Actual Start",IF(AND(Q51&lt;&gt;"",Q51&lt;46296),"Expected Finish must be after Data Date","OK"))))))</f>
      </c>
    </row>
    <row r="52" spans="1:23" s="27" customFormat="1" x14ac:dyDescent="0.25">
      <c r="A52" s="84" t="s">
        <v>238</v>
      </c>
      <c r="B52" s="84" t="s">
        <v>105</v>
      </c>
      <c r="C52" s="27" t="s">
        <v>25</v>
      </c>
      <c r="D52" s="27" t="s">
        <v>29</v>
      </c>
      <c r="E52" s="27" t="s">
        <v>85</v>
      </c>
      <c r="F52" s="84" t="s">
        <v>239</v>
      </c>
      <c r="G52" s="79">
        <v>46274</v>
      </c>
      <c r="H52" s="79">
        <v>46286</v>
      </c>
      <c r="I52" s="79"/>
      <c r="J52" s="79"/>
      <c r="K52" s="80">
        <v>0</v>
      </c>
      <c r="L52" s="27">
        <v>11</v>
      </c>
      <c r="M52" s="81"/>
      <c r="N52" s="81"/>
      <c r="O52" s="82"/>
      <c r="P52" s="82"/>
      <c r="Q52" s="81"/>
      <c r="R52" s="27" t="s">
        <v>76</v>
      </c>
      <c r="S52" s="27"/>
      <c r="T52" s="82"/>
      <c r="U52" s="83">
        <f>IF(AND(ISNUMBER(S52),S52&gt;0,ISNUMBER(T52)),MIN(1,T52/S52),"")</f>
      </c>
      <c r="V52" s="82" t="s">
        <v>76</v>
      </c>
      <c r="W52" s="27">
        <f>IF(AND(M52&lt;&gt;"",M52&gt;=46296),"Actual Start must be before Data Date",IF(AND(N52&lt;&gt;"",N52&gt;=46296),"Actual Finish must be before Data Date",IF(AND(N52&lt;&gt;"",M52&lt;&gt;"",N52&lt;M52),"Finish before Start",IF(AND(O52&lt;&gt;"",O52&gt;=100,N52=""),"100% needs Actual Finish",IF(AND(O52&lt;&gt;"",O52&gt;0,M52="",I52=""),"Enter Actual Start",IF(AND(Q52&lt;&gt;"",Q52&lt;46296),"Expected Finish must be after Data Date","OK"))))))</f>
      </c>
    </row>
    <row r="53" spans="1:23" s="27" customFormat="1" x14ac:dyDescent="0.25">
      <c r="A53" s="85" t="s">
        <v>248</v>
      </c>
      <c r="B53" s="85" t="s">
        <v>117</v>
      </c>
      <c r="C53" s="27" t="s">
        <v>25</v>
      </c>
      <c r="D53" s="27" t="s">
        <v>30</v>
      </c>
      <c r="E53" s="27" t="s">
        <v>85</v>
      </c>
      <c r="F53" s="85" t="s">
        <v>176</v>
      </c>
      <c r="G53" s="79">
        <v>46283</v>
      </c>
      <c r="H53" s="79">
        <v>46301</v>
      </c>
      <c r="I53" s="79"/>
      <c r="J53" s="79"/>
      <c r="K53" s="80">
        <v>0</v>
      </c>
      <c r="L53" s="27">
        <v>15</v>
      </c>
      <c r="M53" s="81"/>
      <c r="N53" s="81"/>
      <c r="O53" s="82"/>
      <c r="P53" s="82"/>
      <c r="Q53" s="81"/>
      <c r="R53" s="27" t="s">
        <v>76</v>
      </c>
      <c r="S53" s="27"/>
      <c r="T53" s="82"/>
      <c r="U53" s="83">
        <f>IF(AND(ISNUMBER(S53),S53&gt;0,ISNUMBER(T53)),MIN(1,T53/S53),"")</f>
      </c>
      <c r="V53" s="82" t="s">
        <v>76</v>
      </c>
      <c r="W53" s="27">
        <f>IF(AND(M53&lt;&gt;"",M53&gt;=46296),"Actual Start must be before Data Date",IF(AND(N53&lt;&gt;"",N53&gt;=46296),"Actual Finish must be before Data Date",IF(AND(N53&lt;&gt;"",M53&lt;&gt;"",N53&lt;M53),"Finish before Start",IF(AND(O53&lt;&gt;"",O53&gt;=100,N53=""),"100% needs Actual Finish",IF(AND(O53&lt;&gt;"",O53&gt;0,M53="",I53=""),"Enter Actual Start",IF(AND(Q53&lt;&gt;"",Q53&lt;46296),"Expected Finish must be after Data Date","OK"))))))</f>
      </c>
    </row>
    <row r="54" spans="1:23" s="27" customFormat="1" x14ac:dyDescent="0.25">
      <c r="A54" s="85" t="s">
        <v>240</v>
      </c>
      <c r="B54" s="85" t="s">
        <v>107</v>
      </c>
      <c r="C54" s="27" t="s">
        <v>25</v>
      </c>
      <c r="D54" s="27" t="s">
        <v>29</v>
      </c>
      <c r="E54" s="27" t="s">
        <v>85</v>
      </c>
      <c r="F54" s="85" t="s">
        <v>176</v>
      </c>
      <c r="G54" s="79">
        <v>46287</v>
      </c>
      <c r="H54" s="79">
        <v>46354</v>
      </c>
      <c r="I54" s="79"/>
      <c r="J54" s="79"/>
      <c r="K54" s="80">
        <v>0</v>
      </c>
      <c r="L54" s="27">
        <v>56</v>
      </c>
      <c r="M54" s="81"/>
      <c r="N54" s="81"/>
      <c r="O54" s="82"/>
      <c r="P54" s="82"/>
      <c r="Q54" s="81"/>
      <c r="R54" s="27" t="s">
        <v>76</v>
      </c>
      <c r="S54" s="27"/>
      <c r="T54" s="82"/>
      <c r="U54" s="83">
        <f>IF(AND(ISNUMBER(S54),S54&gt;0,ISNUMBER(T54)),MIN(1,T54/S54),"")</f>
      </c>
      <c r="V54" s="82" t="s">
        <v>76</v>
      </c>
      <c r="W54" s="27">
        <f>IF(AND(M54&lt;&gt;"",M54&gt;=46296),"Actual Start must be before Data Date",IF(AND(N54&lt;&gt;"",N54&gt;=46296),"Actual Finish must be before Data Date",IF(AND(N54&lt;&gt;"",M54&lt;&gt;"",N54&lt;M54),"Finish before Start",IF(AND(O54&lt;&gt;"",O54&gt;=100,N54=""),"100% needs Actual Finish",IF(AND(O54&lt;&gt;"",O54&gt;0,M54="",I54=""),"Enter Actual Start",IF(AND(Q54&lt;&gt;"",Q54&lt;46296),"Expected Finish must be after Data Date","OK"))))))</f>
      </c>
    </row>
    <row r="55" spans="1:23" s="27" customFormat="1" x14ac:dyDescent="0.25">
      <c r="A55" s="27" t="s">
        <v>249</v>
      </c>
      <c r="B55" s="27" t="s">
        <v>119</v>
      </c>
      <c r="C55" s="27" t="s">
        <v>25</v>
      </c>
      <c r="D55" s="27" t="s">
        <v>30</v>
      </c>
      <c r="E55" s="27" t="s">
        <v>85</v>
      </c>
      <c r="F55" s="27" t="s">
        <v>76</v>
      </c>
      <c r="G55" s="79">
        <v>46302</v>
      </c>
      <c r="H55" s="79">
        <v>46353</v>
      </c>
      <c r="I55" s="79"/>
      <c r="J55" s="79"/>
      <c r="K55" s="80">
        <v>0</v>
      </c>
      <c r="L55" s="27">
        <v>43</v>
      </c>
      <c r="M55" s="81"/>
      <c r="N55" s="81"/>
      <c r="O55" s="82"/>
      <c r="P55" s="82"/>
      <c r="Q55" s="81"/>
      <c r="R55" s="27" t="s">
        <v>324</v>
      </c>
      <c r="S55" s="27">
        <v>420</v>
      </c>
      <c r="T55" s="82">
        <v>0</v>
      </c>
      <c r="U55" s="83">
        <f>IF(AND(ISNUMBER(S55),S55&gt;0,ISNUMBER(T55)),MIN(1,T55/S55),"")</f>
      </c>
      <c r="V55" s="82" t="s">
        <v>76</v>
      </c>
      <c r="W55" s="27">
        <f>IF(AND(M55&lt;&gt;"",M55&gt;=46296),"Actual Start must be before Data Date",IF(AND(N55&lt;&gt;"",N55&gt;=46296),"Actual Finish must be before Data Date",IF(AND(N55&lt;&gt;"",M55&lt;&gt;"",N55&lt;M55),"Finish before Start",IF(AND(O55&lt;&gt;"",O55&gt;=100,N55=""),"100% needs Actual Finish",IF(AND(O55&lt;&gt;"",O55&gt;0,M55="",I55=""),"Enter Actual Start",IF(AND(Q55&lt;&gt;"",Q55&lt;46296),"Expected Finish must be after Data Date","OK"))))))</f>
      </c>
    </row>
    <row r="56" spans="1:23" s="27" customFormat="1" x14ac:dyDescent="0.25">
      <c r="A56" s="27" t="s">
        <v>250</v>
      </c>
      <c r="B56" s="27" t="s">
        <v>123</v>
      </c>
      <c r="C56" s="27" t="s">
        <v>25</v>
      </c>
      <c r="D56" s="27" t="s">
        <v>30</v>
      </c>
      <c r="E56" s="27" t="s">
        <v>85</v>
      </c>
      <c r="F56" s="27" t="s">
        <v>76</v>
      </c>
      <c r="G56" s="79">
        <v>46349</v>
      </c>
      <c r="H56" s="79">
        <v>46371</v>
      </c>
      <c r="I56" s="79"/>
      <c r="J56" s="79"/>
      <c r="K56" s="80">
        <v>0</v>
      </c>
      <c r="L56" s="27">
        <v>20</v>
      </c>
      <c r="M56" s="81"/>
      <c r="N56" s="81"/>
      <c r="O56" s="82"/>
      <c r="P56" s="82"/>
      <c r="Q56" s="81"/>
      <c r="R56" s="27" t="s">
        <v>76</v>
      </c>
      <c r="S56" s="27"/>
      <c r="T56" s="82"/>
      <c r="U56" s="83">
        <f>IF(AND(ISNUMBER(S56),S56&gt;0,ISNUMBER(T56)),MIN(1,T56/S56),"")</f>
      </c>
      <c r="V56" s="82" t="s">
        <v>76</v>
      </c>
      <c r="W56" s="27">
        <f>IF(AND(M56&lt;&gt;"",M56&gt;=46296),"Actual Start must be before Data Date",IF(AND(N56&lt;&gt;"",N56&gt;=46296),"Actual Finish must be before Data Date",IF(AND(N56&lt;&gt;"",M56&lt;&gt;"",N56&lt;M56),"Finish before Start",IF(AND(O56&lt;&gt;"",O56&gt;=100,N56=""),"100% needs Actual Finish",IF(AND(O56&lt;&gt;"",O56&gt;0,M56="",I56=""),"Enter Actual Start",IF(AND(Q56&lt;&gt;"",Q56&lt;46296),"Expected Finish must be after Data Date","OK"))))))</f>
      </c>
    </row>
    <row r="57" spans="1:23" s="27" customFormat="1" x14ac:dyDescent="0.25">
      <c r="A57" s="27" t="s">
        <v>251</v>
      </c>
      <c r="B57" s="27" t="s">
        <v>127</v>
      </c>
      <c r="C57" s="27" t="s">
        <v>25</v>
      </c>
      <c r="D57" s="27" t="s">
        <v>30</v>
      </c>
      <c r="E57" s="27" t="s">
        <v>85</v>
      </c>
      <c r="F57" s="27" t="s">
        <v>76</v>
      </c>
      <c r="G57" s="79">
        <v>46372</v>
      </c>
      <c r="H57" s="79">
        <v>46407</v>
      </c>
      <c r="I57" s="79"/>
      <c r="J57" s="79"/>
      <c r="K57" s="80">
        <v>0</v>
      </c>
      <c r="L57" s="27">
        <v>30</v>
      </c>
      <c r="M57" s="81"/>
      <c r="N57" s="81"/>
      <c r="O57" s="82"/>
      <c r="P57" s="82"/>
      <c r="Q57" s="81"/>
      <c r="R57" s="27" t="s">
        <v>76</v>
      </c>
      <c r="S57" s="27"/>
      <c r="T57" s="82"/>
      <c r="U57" s="83">
        <f>IF(AND(ISNUMBER(S57),S57&gt;0,ISNUMBER(T57)),MIN(1,T57/S57),"")</f>
      </c>
      <c r="V57" s="82" t="s">
        <v>76</v>
      </c>
      <c r="W57" s="27">
        <f>IF(AND(M57&lt;&gt;"",M57&gt;=46296),"Actual Start must be before Data Date",IF(AND(N57&lt;&gt;"",N57&gt;=46296),"Actual Finish must be before Data Date",IF(AND(N57&lt;&gt;"",M57&lt;&gt;"",N57&lt;M57),"Finish before Start",IF(AND(O57&lt;&gt;"",O57&gt;=100,N57=""),"100% needs Actual Finish",IF(AND(O57&lt;&gt;"",O57&gt;0,M57="",I57=""),"Enter Actual Start",IF(AND(Q57&lt;&gt;"",Q57&lt;46296),"Expected Finish must be after Data Date","OK"))))))</f>
      </c>
    </row>
    <row r="58" spans="1:23" s="27" customFormat="1" x14ac:dyDescent="0.25">
      <c r="A58" s="27" t="s">
        <v>252</v>
      </c>
      <c r="B58" s="27" t="s">
        <v>130</v>
      </c>
      <c r="C58" s="27" t="s">
        <v>25</v>
      </c>
      <c r="D58" s="27" t="s">
        <v>30</v>
      </c>
      <c r="E58" s="27" t="s">
        <v>85</v>
      </c>
      <c r="F58" s="27" t="s">
        <v>76</v>
      </c>
      <c r="G58" s="79">
        <v>46405</v>
      </c>
      <c r="H58" s="79">
        <v>46420</v>
      </c>
      <c r="I58" s="79"/>
      <c r="J58" s="79"/>
      <c r="K58" s="80">
        <v>0</v>
      </c>
      <c r="L58" s="27">
        <v>13</v>
      </c>
      <c r="M58" s="81"/>
      <c r="N58" s="81"/>
      <c r="O58" s="82"/>
      <c r="P58" s="82"/>
      <c r="Q58" s="81"/>
      <c r="R58" s="27" t="s">
        <v>76</v>
      </c>
      <c r="S58" s="27"/>
      <c r="T58" s="82"/>
      <c r="U58" s="83">
        <f>IF(AND(ISNUMBER(S58),S58&gt;0,ISNUMBER(T58)),MIN(1,T58/S58),"")</f>
      </c>
      <c r="V58" s="82" t="s">
        <v>76</v>
      </c>
      <c r="W58" s="27">
        <f>IF(AND(M58&lt;&gt;"",M58&gt;=46296),"Actual Start must be before Data Date",IF(AND(N58&lt;&gt;"",N58&gt;=46296),"Actual Finish must be before Data Date",IF(AND(N58&lt;&gt;"",M58&lt;&gt;"",N58&lt;M58),"Finish before Start",IF(AND(O58&lt;&gt;"",O58&gt;=100,N58=""),"100% needs Actual Finish",IF(AND(O58&lt;&gt;"",O58&gt;0,M58="",I58=""),"Enter Actual Start",IF(AND(Q58&lt;&gt;"",Q58&lt;46296),"Expected Finish must be after Data Date","OK"))))))</f>
      </c>
    </row>
    <row r="59" spans="1:23" s="27" customFormat="1" x14ac:dyDescent="0.25">
      <c r="A59" s="27" t="s">
        <v>253</v>
      </c>
      <c r="B59" s="27" t="s">
        <v>132</v>
      </c>
      <c r="C59" s="27" t="s">
        <v>25</v>
      </c>
      <c r="D59" s="27" t="s">
        <v>30</v>
      </c>
      <c r="E59" s="27" t="s">
        <v>85</v>
      </c>
      <c r="F59" s="27" t="s">
        <v>76</v>
      </c>
      <c r="G59" s="79">
        <v>46420</v>
      </c>
      <c r="H59" s="79">
        <v>46420</v>
      </c>
      <c r="I59" s="79"/>
      <c r="J59" s="79"/>
      <c r="K59" s="80">
        <v>0</v>
      </c>
      <c r="L59" s="27">
        <v>0</v>
      </c>
      <c r="M59" s="81"/>
      <c r="N59" s="81"/>
      <c r="O59" s="82"/>
      <c r="P59" s="82"/>
      <c r="Q59" s="81"/>
      <c r="R59" s="27" t="s">
        <v>76</v>
      </c>
      <c r="S59" s="27"/>
      <c r="T59" s="82"/>
      <c r="U59" s="83">
        <f>IF(AND(ISNUMBER(S59),S59&gt;0,ISNUMBER(T59)),MIN(1,T59/S59),"")</f>
      </c>
      <c r="V59" s="82" t="s">
        <v>76</v>
      </c>
      <c r="W59" s="27">
        <f>IF(AND(M59&lt;&gt;"",M59&gt;=46296),"Actual Start must be before Data Date",IF(AND(N59&lt;&gt;"",N59&gt;=46296),"Actual Finish must be before Data Date",IF(AND(N59&lt;&gt;"",M59&lt;&gt;"",N59&lt;M59),"Finish before Start",IF(AND(O59&lt;&gt;"",O59&gt;=100,N59=""),"100% needs Actual Finish",IF(AND(O59&lt;&gt;"",O59&gt;0,M59="",I59=""),"Enter Actual Start",IF(AND(Q59&lt;&gt;"",Q59&lt;46296),"Expected Finish must be after Data Date","OK"))))))</f>
      </c>
    </row>
  </sheetData>
  <autoFilter ref="A4:W4"/>
  <mergeCells count="2">
    <mergeCell ref="A1:W1"/>
    <mergeCell ref="A2:W2"/>
  </mergeCells>
  <conditionalFormatting sqref="W5:W59">
    <cfRule type="containsText" dxfId="0" priority="1">
      <formula>NOT(ISERROR(SEARCH("OK",W5)))</formula>
    </cfRule>
  </conditionalFormatting>
  <dataValidations count="8">
    <dataValidation type="date" operator="lessThan" allowBlank="1" showErrorMessage="1" errorTitle="Actual Start" error="Actual dates must be before the Data Date 01-Oct-2026" sqref="M10:M59">
      <formula1>46296</formula1>
    </dataValidation>
    <dataValidation type="date" operator="lessThan" allowBlank="1" showErrorMessage="1" errorTitle="Actual Start" error="Actual dates must be before the Data Date 01-Oct-2026" sqref="M5:M59">
      <formula1>46296</formula1>
    </dataValidation>
    <dataValidation type="date" operator="lessThan" allowBlank="1" showErrorMessage="1" errorTitle="Actual Finish" error="Actual dates must be before the Data Date 01-Oct-2026" sqref="N10:N59">
      <formula1>46296</formula1>
    </dataValidation>
    <dataValidation type="date" operator="lessThan" allowBlank="1" showErrorMessage="1" errorTitle="Actual Finish" error="Actual dates must be before the Data Date 01-Oct-2026" sqref="N5:N59">
      <formula1>46296</formula1>
    </dataValidation>
    <dataValidation type="decimal" allowBlank="1" showErrorMessage="1" errorTitle="% Complete" error="Enter a number from 0 to 100" sqref="O10:O59">
      <formula1>0</formula1>
      <formula2>100</formula2>
    </dataValidation>
    <dataValidation type="decimal" allowBlank="1" showErrorMessage="1" errorTitle="% Complete" error="Enter a number from 0 to 100" sqref="O5:O59">
      <formula1>0</formula1>
      <formula2>100</formula2>
    </dataValidation>
    <dataValidation type="decimal" operator="greaterThanOrEqual" allowBlank="1" showErrorMessage="1" errorTitle="Remaining duration" error="Remaining duration must be 0 or more days" sqref="P10:P59">
      <formula1>0</formula1>
    </dataValidation>
    <dataValidation type="decimal" operator="greaterThanOrEqual" allowBlank="1" showErrorMessage="1" errorTitle="Remaining duration" error="Remaining duration must be 0 or more days" sqref="P5:P59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1DA"/>
  </sheetPr>
  <dimension ref="A1:K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6" customWidth="1"/>
    <col min="3" max="3" width="18" customWidth="1"/>
    <col min="4" max="4" width="14" customWidth="1"/>
    <col min="5" max="5" width="12" customWidth="1"/>
    <col min="6" max="7" width="11" customWidth="1"/>
    <col min="8" max="8" width="8" customWidth="1"/>
    <col min="10" max="10" width="8" customWidth="1"/>
    <col min="11" max="11" width="16" customWidth="1"/>
  </cols>
  <sheetData>
    <row r="1" ht="30" customHeight="1" spans="1:11" x14ac:dyDescent="0.25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0" customHeight="1" spans="1:11" x14ac:dyDescent="0.25">
      <c r="A4" s="87" t="s">
        <v>57</v>
      </c>
      <c r="B4" s="87" t="s">
        <v>58</v>
      </c>
      <c r="C4" s="87" t="s">
        <v>45</v>
      </c>
      <c r="D4" s="87" t="s">
        <v>59</v>
      </c>
      <c r="E4" s="87" t="s">
        <v>60</v>
      </c>
      <c r="F4" s="87" t="s">
        <v>64</v>
      </c>
      <c r="G4" s="87" t="s">
        <v>65</v>
      </c>
      <c r="H4" s="87" t="s">
        <v>62</v>
      </c>
      <c r="I4" s="87" t="s">
        <v>63</v>
      </c>
      <c r="J4" s="87" t="s">
        <v>71</v>
      </c>
      <c r="K4" s="87" t="s">
        <v>327</v>
      </c>
    </row>
    <row r="5" spans="1:11" s="27" customFormat="1" x14ac:dyDescent="0.25">
      <c r="A5" s="28" t="s">
        <v>141</v>
      </c>
      <c r="B5" s="28" t="s">
        <v>103</v>
      </c>
      <c r="C5" s="28" t="s">
        <v>21</v>
      </c>
      <c r="D5" s="28" t="s">
        <v>29</v>
      </c>
      <c r="E5" s="28" t="s">
        <v>77</v>
      </c>
      <c r="F5" s="31">
        <v>46188</v>
      </c>
      <c r="G5" s="31">
        <v>46318</v>
      </c>
      <c r="H5" s="28">
        <v>18</v>
      </c>
      <c r="I5" s="30">
        <v>0.82</v>
      </c>
      <c r="J5" s="28">
        <v>34</v>
      </c>
      <c r="K5" s="28" t="s">
        <v>328</v>
      </c>
    </row>
    <row r="6" spans="1:11" s="27" customFormat="1" x14ac:dyDescent="0.25">
      <c r="A6" s="28" t="s">
        <v>173</v>
      </c>
      <c r="B6" s="28" t="s">
        <v>119</v>
      </c>
      <c r="C6" s="28" t="s">
        <v>22</v>
      </c>
      <c r="D6" s="28" t="s">
        <v>30</v>
      </c>
      <c r="E6" s="28" t="s">
        <v>77</v>
      </c>
      <c r="F6" s="31">
        <v>46197</v>
      </c>
      <c r="G6" s="31">
        <v>46296</v>
      </c>
      <c r="H6" s="28">
        <v>1</v>
      </c>
      <c r="I6" s="30">
        <v>0.99</v>
      </c>
      <c r="J6" s="28">
        <v>79</v>
      </c>
      <c r="K6" s="28" t="s">
        <v>328</v>
      </c>
    </row>
    <row r="7" spans="1:11" s="27" customFormat="1" x14ac:dyDescent="0.25">
      <c r="A7" s="28" t="s">
        <v>189</v>
      </c>
      <c r="B7" s="28" t="s">
        <v>103</v>
      </c>
      <c r="C7" s="28" t="s">
        <v>23</v>
      </c>
      <c r="D7" s="28" t="s">
        <v>29</v>
      </c>
      <c r="E7" s="28" t="s">
        <v>77</v>
      </c>
      <c r="F7" s="31">
        <v>46204</v>
      </c>
      <c r="G7" s="31">
        <v>46296</v>
      </c>
      <c r="H7" s="28">
        <v>1</v>
      </c>
      <c r="I7" s="30">
        <v>0.98</v>
      </c>
      <c r="J7" s="28">
        <v>83</v>
      </c>
      <c r="K7" s="28" t="s">
        <v>328</v>
      </c>
    </row>
    <row r="8" spans="1:11" s="27" customFormat="1" x14ac:dyDescent="0.25">
      <c r="A8" s="28" t="s">
        <v>150</v>
      </c>
      <c r="B8" s="28" t="s">
        <v>119</v>
      </c>
      <c r="C8" s="28" t="s">
        <v>21</v>
      </c>
      <c r="D8" s="28" t="s">
        <v>30</v>
      </c>
      <c r="E8" s="28" t="s">
        <v>77</v>
      </c>
      <c r="F8" s="31">
        <v>46211</v>
      </c>
      <c r="G8" s="31">
        <v>46356</v>
      </c>
      <c r="H8" s="28">
        <v>49</v>
      </c>
      <c r="I8" s="30">
        <v>0.52</v>
      </c>
      <c r="J8" s="28">
        <v>49</v>
      </c>
      <c r="K8" s="28" t="s">
        <v>328</v>
      </c>
    </row>
    <row r="9" spans="1:11" s="27" customFormat="1" x14ac:dyDescent="0.25">
      <c r="A9" s="28" t="s">
        <v>167</v>
      </c>
      <c r="B9" s="28" t="s">
        <v>107</v>
      </c>
      <c r="C9" s="28" t="s">
        <v>22</v>
      </c>
      <c r="D9" s="28" t="s">
        <v>29</v>
      </c>
      <c r="E9" s="28" t="s">
        <v>77</v>
      </c>
      <c r="F9" s="31">
        <v>46212</v>
      </c>
      <c r="G9" s="31">
        <v>46336</v>
      </c>
      <c r="H9" s="28">
        <v>32</v>
      </c>
      <c r="I9" s="30">
        <v>0.62</v>
      </c>
      <c r="J9" s="28">
        <v>77</v>
      </c>
      <c r="K9" s="28" t="s">
        <v>328</v>
      </c>
    </row>
    <row r="10" spans="1:11" s="27" customFormat="1" x14ac:dyDescent="0.25">
      <c r="A10" s="28" t="s">
        <v>174</v>
      </c>
      <c r="B10" s="28" t="s">
        <v>121</v>
      </c>
      <c r="C10" s="28" t="s">
        <v>22</v>
      </c>
      <c r="D10" s="28" t="s">
        <v>30</v>
      </c>
      <c r="E10" s="28" t="s">
        <v>77</v>
      </c>
      <c r="F10" s="31">
        <v>46226</v>
      </c>
      <c r="G10" s="31">
        <v>46307</v>
      </c>
      <c r="H10" s="28">
        <v>9</v>
      </c>
      <c r="I10" s="30">
        <v>0.77</v>
      </c>
      <c r="J10" s="28">
        <v>99</v>
      </c>
      <c r="K10" s="28" t="s">
        <v>328</v>
      </c>
    </row>
    <row r="11" spans="1:11" s="27" customFormat="1" x14ac:dyDescent="0.25">
      <c r="A11" s="28" t="s">
        <v>233</v>
      </c>
      <c r="B11" s="28" t="s">
        <v>96</v>
      </c>
      <c r="C11" s="28" t="s">
        <v>25</v>
      </c>
      <c r="D11" s="28" t="s">
        <v>28</v>
      </c>
      <c r="E11" s="28" t="s">
        <v>77</v>
      </c>
      <c r="F11" s="31">
        <v>46232</v>
      </c>
      <c r="G11" s="31">
        <v>46304</v>
      </c>
      <c r="H11" s="28">
        <v>6</v>
      </c>
      <c r="I11" s="30">
        <v>0.84</v>
      </c>
      <c r="J11" s="28">
        <v>51</v>
      </c>
      <c r="K11" s="28" t="s">
        <v>328</v>
      </c>
    </row>
    <row r="12" spans="1:11" s="27" customFormat="1" x14ac:dyDescent="0.25">
      <c r="A12" s="28" t="s">
        <v>124</v>
      </c>
      <c r="B12" s="28" t="s">
        <v>125</v>
      </c>
      <c r="C12" s="28" t="s">
        <v>20</v>
      </c>
      <c r="D12" s="28" t="s">
        <v>30</v>
      </c>
      <c r="E12" s="28" t="s">
        <v>77</v>
      </c>
      <c r="F12" s="31">
        <v>46238</v>
      </c>
      <c r="G12" s="31">
        <v>46318</v>
      </c>
      <c r="H12" s="28">
        <v>18</v>
      </c>
      <c r="I12" s="30">
        <v>0.62</v>
      </c>
      <c r="J12" s="28">
        <v>158</v>
      </c>
      <c r="K12" s="28" t="s">
        <v>328</v>
      </c>
    </row>
    <row r="13" spans="1:11" s="27" customFormat="1" x14ac:dyDescent="0.25">
      <c r="A13" s="28" t="s">
        <v>212</v>
      </c>
      <c r="B13" s="28" t="s">
        <v>103</v>
      </c>
      <c r="C13" s="28" t="s">
        <v>24</v>
      </c>
      <c r="D13" s="28" t="s">
        <v>29</v>
      </c>
      <c r="E13" s="28" t="s">
        <v>77</v>
      </c>
      <c r="F13" s="31">
        <v>46238</v>
      </c>
      <c r="G13" s="31">
        <v>46361</v>
      </c>
      <c r="H13" s="28">
        <v>54</v>
      </c>
      <c r="I13" s="30">
        <v>0.29</v>
      </c>
      <c r="J13" s="28">
        <v>46</v>
      </c>
      <c r="K13" s="28" t="s">
        <v>328</v>
      </c>
    </row>
    <row r="14" spans="1:11" s="27" customFormat="1" x14ac:dyDescent="0.25">
      <c r="A14" s="28" t="s">
        <v>126</v>
      </c>
      <c r="B14" s="28" t="s">
        <v>127</v>
      </c>
      <c r="C14" s="28" t="s">
        <v>20</v>
      </c>
      <c r="D14" s="28" t="s">
        <v>30</v>
      </c>
      <c r="E14" s="28" t="s">
        <v>77</v>
      </c>
      <c r="F14" s="31">
        <v>46239</v>
      </c>
      <c r="G14" s="31">
        <v>46309</v>
      </c>
      <c r="H14" s="28">
        <v>11</v>
      </c>
      <c r="I14" s="30">
        <v>0.73</v>
      </c>
      <c r="J14" s="28">
        <v>179</v>
      </c>
      <c r="K14" s="28" t="s">
        <v>328</v>
      </c>
    </row>
    <row r="15" spans="1:11" s="27" customFormat="1" x14ac:dyDescent="0.25">
      <c r="A15" s="28" t="s">
        <v>151</v>
      </c>
      <c r="B15" s="28" t="s">
        <v>121</v>
      </c>
      <c r="C15" s="28" t="s">
        <v>21</v>
      </c>
      <c r="D15" s="28" t="s">
        <v>30</v>
      </c>
      <c r="E15" s="28" t="s">
        <v>77</v>
      </c>
      <c r="F15" s="31">
        <v>46240</v>
      </c>
      <c r="G15" s="31">
        <v>46339</v>
      </c>
      <c r="H15" s="28">
        <v>35</v>
      </c>
      <c r="I15" s="30">
        <v>0.49</v>
      </c>
      <c r="J15" s="28">
        <v>81</v>
      </c>
      <c r="K15" s="28" t="s">
        <v>328</v>
      </c>
    </row>
    <row r="16" spans="1:11" s="27" customFormat="1" x14ac:dyDescent="0.25">
      <c r="A16" s="28" t="s">
        <v>244</v>
      </c>
      <c r="B16" s="28" t="s">
        <v>115</v>
      </c>
      <c r="C16" s="28" t="s">
        <v>25</v>
      </c>
      <c r="D16" s="28" t="s">
        <v>30</v>
      </c>
      <c r="E16" s="28" t="s">
        <v>77</v>
      </c>
      <c r="F16" s="31">
        <v>46240</v>
      </c>
      <c r="G16" s="31">
        <v>46314</v>
      </c>
      <c r="H16" s="28">
        <v>15</v>
      </c>
      <c r="I16" s="30">
        <v>0.58</v>
      </c>
      <c r="J16" s="28">
        <v>72</v>
      </c>
      <c r="K16" s="28" t="s">
        <v>328</v>
      </c>
    </row>
    <row r="17" spans="1:11" s="27" customFormat="1" x14ac:dyDescent="0.25">
      <c r="A17" s="28" t="s">
        <v>191</v>
      </c>
      <c r="B17" s="28" t="s">
        <v>107</v>
      </c>
      <c r="C17" s="28" t="s">
        <v>23</v>
      </c>
      <c r="D17" s="28" t="s">
        <v>29</v>
      </c>
      <c r="E17" s="28" t="s">
        <v>77</v>
      </c>
      <c r="F17" s="31">
        <v>46241</v>
      </c>
      <c r="G17" s="31">
        <v>46336</v>
      </c>
      <c r="H17" s="28">
        <v>32</v>
      </c>
      <c r="I17" s="30">
        <v>0.49</v>
      </c>
      <c r="J17" s="28">
        <v>96</v>
      </c>
      <c r="K17" s="28" t="s">
        <v>328</v>
      </c>
    </row>
    <row r="18" spans="1:11" s="27" customFormat="1" x14ac:dyDescent="0.25">
      <c r="A18" s="28" t="s">
        <v>234</v>
      </c>
      <c r="B18" s="28" t="s">
        <v>98</v>
      </c>
      <c r="C18" s="28" t="s">
        <v>25</v>
      </c>
      <c r="D18" s="28" t="s">
        <v>28</v>
      </c>
      <c r="E18" s="28" t="s">
        <v>77</v>
      </c>
      <c r="F18" s="31">
        <v>46246</v>
      </c>
      <c r="G18" s="31">
        <v>46304</v>
      </c>
      <c r="H18" s="28">
        <v>1</v>
      </c>
      <c r="I18" s="30">
        <v>0.95</v>
      </c>
      <c r="J18" s="28">
        <v>151</v>
      </c>
      <c r="K18" s="28" t="s">
        <v>328</v>
      </c>
    </row>
    <row r="19" spans="1:11" s="27" customFormat="1" x14ac:dyDescent="0.25">
      <c r="A19" s="28" t="s">
        <v>143</v>
      </c>
      <c r="B19" s="28" t="s">
        <v>107</v>
      </c>
      <c r="C19" s="28" t="s">
        <v>21</v>
      </c>
      <c r="D19" s="28" t="s">
        <v>29</v>
      </c>
      <c r="E19" s="28" t="s">
        <v>77</v>
      </c>
      <c r="F19" s="31">
        <v>46252</v>
      </c>
      <c r="G19" s="31">
        <v>46406</v>
      </c>
      <c r="H19" s="28">
        <v>91</v>
      </c>
      <c r="I19" s="30">
        <v>0.27</v>
      </c>
      <c r="J19" s="28">
        <v>0</v>
      </c>
      <c r="K19" s="28" t="s">
        <v>328</v>
      </c>
    </row>
    <row r="20" spans="1:11" s="27" customFormat="1" x14ac:dyDescent="0.25">
      <c r="A20" s="28" t="s">
        <v>197</v>
      </c>
      <c r="B20" s="28" t="s">
        <v>119</v>
      </c>
      <c r="C20" s="28" t="s">
        <v>23</v>
      </c>
      <c r="D20" s="28" t="s">
        <v>30</v>
      </c>
      <c r="E20" s="28" t="s">
        <v>77</v>
      </c>
      <c r="F20" s="31">
        <v>46253</v>
      </c>
      <c r="G20" s="31">
        <v>46333</v>
      </c>
      <c r="H20" s="28">
        <v>31</v>
      </c>
      <c r="I20" s="30">
        <v>0.41</v>
      </c>
      <c r="J20" s="28">
        <v>98</v>
      </c>
      <c r="K20" s="28" t="s">
        <v>328</v>
      </c>
    </row>
    <row r="21" spans="1:11" s="27" customFormat="1" x14ac:dyDescent="0.25">
      <c r="A21" s="28" t="s">
        <v>214</v>
      </c>
      <c r="B21" s="28" t="s">
        <v>105</v>
      </c>
      <c r="C21" s="28" t="s">
        <v>24</v>
      </c>
      <c r="D21" s="28" t="s">
        <v>29</v>
      </c>
      <c r="E21" s="28" t="s">
        <v>77</v>
      </c>
      <c r="F21" s="31">
        <v>46254</v>
      </c>
      <c r="G21" s="31">
        <v>46310</v>
      </c>
      <c r="H21" s="28">
        <v>12</v>
      </c>
      <c r="I21" s="30">
        <v>0.44</v>
      </c>
      <c r="J21" s="28">
        <v>11</v>
      </c>
      <c r="K21" s="28" t="s">
        <v>328</v>
      </c>
    </row>
    <row r="22" spans="1:11" s="27" customFormat="1" x14ac:dyDescent="0.25">
      <c r="A22" s="28" t="s">
        <v>245</v>
      </c>
      <c r="B22" s="28" t="s">
        <v>121</v>
      </c>
      <c r="C22" s="28" t="s">
        <v>25</v>
      </c>
      <c r="D22" s="28" t="s">
        <v>30</v>
      </c>
      <c r="E22" s="28" t="s">
        <v>77</v>
      </c>
      <c r="F22" s="31">
        <v>46260</v>
      </c>
      <c r="G22" s="31">
        <v>46394</v>
      </c>
      <c r="H22" s="28">
        <v>31</v>
      </c>
      <c r="I22" s="30">
        <v>0.05</v>
      </c>
      <c r="J22" s="28">
        <v>76</v>
      </c>
      <c r="K22" s="28" t="s">
        <v>328</v>
      </c>
    </row>
    <row r="23" spans="1:11" s="27" customFormat="1" x14ac:dyDescent="0.25">
      <c r="A23" s="28" t="s">
        <v>247</v>
      </c>
      <c r="B23" s="28" t="s">
        <v>125</v>
      </c>
      <c r="C23" s="28" t="s">
        <v>25</v>
      </c>
      <c r="D23" s="28" t="s">
        <v>30</v>
      </c>
      <c r="E23" s="28" t="s">
        <v>77</v>
      </c>
      <c r="F23" s="31">
        <v>46260</v>
      </c>
      <c r="G23" s="31">
        <v>46435</v>
      </c>
      <c r="H23" s="28">
        <v>41</v>
      </c>
      <c r="I23" s="30">
        <v>0.05</v>
      </c>
      <c r="J23" s="28">
        <v>62</v>
      </c>
      <c r="K23" s="28" t="s">
        <v>328</v>
      </c>
    </row>
    <row r="24" spans="1:11" s="27" customFormat="1" x14ac:dyDescent="0.25">
      <c r="A24" s="28" t="s">
        <v>237</v>
      </c>
      <c r="B24" s="28" t="s">
        <v>103</v>
      </c>
      <c r="C24" s="28" t="s">
        <v>25</v>
      </c>
      <c r="D24" s="28" t="s">
        <v>29</v>
      </c>
      <c r="E24" s="28" t="s">
        <v>77</v>
      </c>
      <c r="F24" s="31">
        <v>46263</v>
      </c>
      <c r="G24" s="31">
        <v>46347</v>
      </c>
      <c r="H24" s="28">
        <v>42</v>
      </c>
      <c r="I24" s="30">
        <v>0.05</v>
      </c>
      <c r="J24" s="28">
        <v>87</v>
      </c>
      <c r="K24" s="28" t="s">
        <v>328</v>
      </c>
    </row>
    <row r="25" spans="1:11" s="27" customFormat="1" x14ac:dyDescent="0.25">
      <c r="A25" s="28" t="s">
        <v>198</v>
      </c>
      <c r="B25" s="28" t="s">
        <v>121</v>
      </c>
      <c r="C25" s="28" t="s">
        <v>23</v>
      </c>
      <c r="D25" s="28" t="s">
        <v>30</v>
      </c>
      <c r="E25" s="28" t="s">
        <v>85</v>
      </c>
      <c r="F25" s="31">
        <v>46296</v>
      </c>
      <c r="G25" s="31">
        <v>46336</v>
      </c>
      <c r="H25" s="28">
        <v>32</v>
      </c>
      <c r="I25" s="30">
        <v>0</v>
      </c>
      <c r="J25" s="28">
        <v>118</v>
      </c>
      <c r="K25" s="28" t="s">
        <v>329</v>
      </c>
    </row>
    <row r="26" spans="1:11" s="27" customFormat="1" x14ac:dyDescent="0.25">
      <c r="A26" s="28" t="s">
        <v>222</v>
      </c>
      <c r="B26" s="28" t="s">
        <v>119</v>
      </c>
      <c r="C26" s="28" t="s">
        <v>24</v>
      </c>
      <c r="D26" s="28" t="s">
        <v>30</v>
      </c>
      <c r="E26" s="28" t="s">
        <v>85</v>
      </c>
      <c r="F26" s="31">
        <v>46296</v>
      </c>
      <c r="G26" s="31">
        <v>46379</v>
      </c>
      <c r="H26" s="28">
        <v>69</v>
      </c>
      <c r="I26" s="30">
        <v>0</v>
      </c>
      <c r="J26" s="28">
        <v>61</v>
      </c>
      <c r="K26" s="28" t="s">
        <v>329</v>
      </c>
    </row>
    <row r="27" spans="1:11" s="27" customFormat="1" x14ac:dyDescent="0.25">
      <c r="A27" s="28" t="s">
        <v>175</v>
      </c>
      <c r="B27" s="28" t="s">
        <v>123</v>
      </c>
      <c r="C27" s="28" t="s">
        <v>22</v>
      </c>
      <c r="D27" s="28" t="s">
        <v>30</v>
      </c>
      <c r="E27" s="28" t="s">
        <v>85</v>
      </c>
      <c r="F27" s="31">
        <v>46296</v>
      </c>
      <c r="G27" s="31">
        <v>46336</v>
      </c>
      <c r="H27" s="28">
        <v>32</v>
      </c>
      <c r="I27" s="30">
        <v>0</v>
      </c>
      <c r="J27" s="28">
        <v>116</v>
      </c>
      <c r="K27" s="28" t="s">
        <v>329</v>
      </c>
    </row>
    <row r="28" spans="1:11" s="27" customFormat="1" x14ac:dyDescent="0.25">
      <c r="A28" s="28" t="s">
        <v>238</v>
      </c>
      <c r="B28" s="28" t="s">
        <v>105</v>
      </c>
      <c r="C28" s="28" t="s">
        <v>25</v>
      </c>
      <c r="D28" s="28" t="s">
        <v>29</v>
      </c>
      <c r="E28" s="28" t="s">
        <v>85</v>
      </c>
      <c r="F28" s="31">
        <v>46305</v>
      </c>
      <c r="G28" s="31">
        <v>46318</v>
      </c>
      <c r="H28" s="28">
        <v>11</v>
      </c>
      <c r="I28" s="30">
        <v>0</v>
      </c>
      <c r="J28" s="28">
        <v>62</v>
      </c>
      <c r="K28" s="28" t="s">
        <v>329</v>
      </c>
    </row>
    <row r="29" spans="1:11" s="27" customFormat="1" x14ac:dyDescent="0.25">
      <c r="A29" s="28" t="s">
        <v>216</v>
      </c>
      <c r="B29" s="28" t="s">
        <v>107</v>
      </c>
      <c r="C29" s="28" t="s">
        <v>24</v>
      </c>
      <c r="D29" s="28" t="s">
        <v>29</v>
      </c>
      <c r="E29" s="28" t="s">
        <v>85</v>
      </c>
      <c r="F29" s="31">
        <v>46311</v>
      </c>
      <c r="G29" s="31">
        <v>46423</v>
      </c>
      <c r="H29" s="28">
        <v>93</v>
      </c>
      <c r="I29" s="30">
        <v>0</v>
      </c>
      <c r="J29" s="28">
        <v>11</v>
      </c>
      <c r="K29" s="28" t="s">
        <v>330</v>
      </c>
    </row>
    <row r="30" spans="1:11" s="27" customFormat="1" x14ac:dyDescent="0.25">
      <c r="A30" s="28" t="s">
        <v>248</v>
      </c>
      <c r="B30" s="28" t="s">
        <v>117</v>
      </c>
      <c r="C30" s="28" t="s">
        <v>25</v>
      </c>
      <c r="D30" s="28" t="s">
        <v>30</v>
      </c>
      <c r="E30" s="28" t="s">
        <v>85</v>
      </c>
      <c r="F30" s="31">
        <v>46316</v>
      </c>
      <c r="G30" s="31">
        <v>46332</v>
      </c>
      <c r="H30" s="28">
        <v>15</v>
      </c>
      <c r="I30" s="30">
        <v>0</v>
      </c>
      <c r="J30" s="28">
        <v>72</v>
      </c>
      <c r="K30" s="28" t="s">
        <v>330</v>
      </c>
    </row>
    <row r="31" spans="1:11" s="27" customFormat="1" x14ac:dyDescent="0.25">
      <c r="A31" s="28" t="s">
        <v>129</v>
      </c>
      <c r="B31" s="28" t="s">
        <v>130</v>
      </c>
      <c r="C31" s="28" t="s">
        <v>20</v>
      </c>
      <c r="D31" s="28" t="s">
        <v>30</v>
      </c>
      <c r="E31" s="28" t="s">
        <v>85</v>
      </c>
      <c r="F31" s="31">
        <v>46319</v>
      </c>
      <c r="G31" s="31">
        <v>46336</v>
      </c>
      <c r="H31" s="28">
        <v>14</v>
      </c>
      <c r="I31" s="30">
        <v>0</v>
      </c>
      <c r="J31" s="28">
        <v>158</v>
      </c>
      <c r="K31" s="28" t="s">
        <v>330</v>
      </c>
    </row>
    <row r="32" spans="1:11" s="27" customFormat="1" x14ac:dyDescent="0.25">
      <c r="A32" s="28" t="s">
        <v>240</v>
      </c>
      <c r="B32" s="28" t="s">
        <v>107</v>
      </c>
      <c r="C32" s="28" t="s">
        <v>25</v>
      </c>
      <c r="D32" s="28" t="s">
        <v>29</v>
      </c>
      <c r="E32" s="28" t="s">
        <v>85</v>
      </c>
      <c r="F32" s="31">
        <v>46319</v>
      </c>
      <c r="G32" s="31">
        <v>46386</v>
      </c>
      <c r="H32" s="28">
        <v>56</v>
      </c>
      <c r="I32" s="30">
        <v>0</v>
      </c>
      <c r="J32" s="28">
        <v>62</v>
      </c>
      <c r="K32" s="28" t="s">
        <v>330</v>
      </c>
    </row>
    <row r="33" spans="1:11" s="27" customFormat="1" x14ac:dyDescent="0.25">
      <c r="A33" s="28" t="s">
        <v>223</v>
      </c>
      <c r="B33" s="28" t="s">
        <v>121</v>
      </c>
      <c r="C33" s="28" t="s">
        <v>24</v>
      </c>
      <c r="D33" s="28" t="s">
        <v>30</v>
      </c>
      <c r="E33" s="28" t="s">
        <v>85</v>
      </c>
      <c r="F33" s="31">
        <v>46322</v>
      </c>
      <c r="G33" s="31">
        <v>46377</v>
      </c>
      <c r="H33" s="28">
        <v>47</v>
      </c>
      <c r="I33" s="30">
        <v>0</v>
      </c>
      <c r="J33" s="28">
        <v>86</v>
      </c>
      <c r="K33" s="28" t="s">
        <v>330</v>
      </c>
    </row>
    <row r="34" spans="1:11" s="27" customFormat="1" x14ac:dyDescent="0.25">
      <c r="A34" s="28" t="s">
        <v>199</v>
      </c>
      <c r="B34" s="28" t="s">
        <v>123</v>
      </c>
      <c r="C34" s="28" t="s">
        <v>23</v>
      </c>
      <c r="D34" s="28" t="s">
        <v>30</v>
      </c>
      <c r="E34" s="28" t="s">
        <v>85</v>
      </c>
      <c r="F34" s="31">
        <v>46329</v>
      </c>
      <c r="G34" s="31">
        <v>46356</v>
      </c>
      <c r="H34" s="28">
        <v>23</v>
      </c>
      <c r="I34" s="30">
        <v>0</v>
      </c>
      <c r="J34" s="28">
        <v>101</v>
      </c>
      <c r="K34" s="28" t="s">
        <v>331</v>
      </c>
    </row>
    <row r="35" spans="1:11" s="27" customFormat="1" x14ac:dyDescent="0.25">
      <c r="A35" s="28" t="s">
        <v>249</v>
      </c>
      <c r="B35" s="28" t="s">
        <v>119</v>
      </c>
      <c r="C35" s="28" t="s">
        <v>25</v>
      </c>
      <c r="D35" s="28" t="s">
        <v>30</v>
      </c>
      <c r="E35" s="28" t="s">
        <v>85</v>
      </c>
      <c r="F35" s="31">
        <v>46333</v>
      </c>
      <c r="G35" s="31">
        <v>46385</v>
      </c>
      <c r="H35" s="28">
        <v>43</v>
      </c>
      <c r="I35" s="30">
        <v>0</v>
      </c>
      <c r="J35" s="28">
        <v>72</v>
      </c>
      <c r="K35" s="28" t="s">
        <v>331</v>
      </c>
    </row>
    <row r="36" spans="1:11" s="27" customFormat="1" x14ac:dyDescent="0.25">
      <c r="A36" s="28" t="s">
        <v>131</v>
      </c>
      <c r="B36" s="28" t="s">
        <v>132</v>
      </c>
      <c r="C36" s="28" t="s">
        <v>20</v>
      </c>
      <c r="D36" s="28" t="s">
        <v>30</v>
      </c>
      <c r="E36" s="28" t="s">
        <v>85</v>
      </c>
      <c r="F36" s="31">
        <v>46336</v>
      </c>
      <c r="G36" s="31">
        <v>46336</v>
      </c>
      <c r="H36" s="28">
        <v>0</v>
      </c>
      <c r="I36" s="30">
        <v>0</v>
      </c>
      <c r="J36" s="28">
        <v>158</v>
      </c>
      <c r="K36" s="28" t="s">
        <v>331</v>
      </c>
    </row>
    <row r="37" spans="1:11" s="27" customFormat="1" x14ac:dyDescent="0.25">
      <c r="A37" s="28" t="s">
        <v>200</v>
      </c>
      <c r="B37" s="28" t="s">
        <v>125</v>
      </c>
      <c r="C37" s="28" t="s">
        <v>23</v>
      </c>
      <c r="D37" s="28" t="s">
        <v>30</v>
      </c>
      <c r="E37" s="28" t="s">
        <v>85</v>
      </c>
      <c r="F37" s="31">
        <v>46337</v>
      </c>
      <c r="G37" s="31">
        <v>46393</v>
      </c>
      <c r="H37" s="28">
        <v>48</v>
      </c>
      <c r="I37" s="30">
        <v>0</v>
      </c>
      <c r="J37" s="28">
        <v>96</v>
      </c>
      <c r="K37" s="28" t="s">
        <v>331</v>
      </c>
    </row>
    <row r="38" spans="1:11" s="27" customFormat="1" x14ac:dyDescent="0.25">
      <c r="A38" s="28" t="s">
        <v>177</v>
      </c>
      <c r="B38" s="28" t="s">
        <v>125</v>
      </c>
      <c r="C38" s="28" t="s">
        <v>22</v>
      </c>
      <c r="D38" s="28" t="s">
        <v>30</v>
      </c>
      <c r="E38" s="28" t="s">
        <v>85</v>
      </c>
      <c r="F38" s="31">
        <v>46337</v>
      </c>
      <c r="G38" s="31">
        <v>46410</v>
      </c>
      <c r="H38" s="28">
        <v>63</v>
      </c>
      <c r="I38" s="30">
        <v>0</v>
      </c>
      <c r="J38" s="28">
        <v>77</v>
      </c>
      <c r="K38" s="28" t="s">
        <v>331</v>
      </c>
    </row>
    <row r="39" spans="1:11" s="27" customFormat="1" x14ac:dyDescent="0.25">
      <c r="A39" s="28" t="s">
        <v>178</v>
      </c>
      <c r="B39" s="28" t="s">
        <v>127</v>
      </c>
      <c r="C39" s="28" t="s">
        <v>22</v>
      </c>
      <c r="D39" s="28" t="s">
        <v>30</v>
      </c>
      <c r="E39" s="28" t="s">
        <v>85</v>
      </c>
      <c r="F39" s="31">
        <v>46337</v>
      </c>
      <c r="G39" s="31">
        <v>46386</v>
      </c>
      <c r="H39" s="28">
        <v>42</v>
      </c>
      <c r="I39" s="30">
        <v>0</v>
      </c>
      <c r="J39" s="28">
        <v>116</v>
      </c>
      <c r="K39" s="28" t="s">
        <v>331</v>
      </c>
    </row>
    <row r="40" spans="1:11" s="27" customFormat="1" x14ac:dyDescent="0.25">
      <c r="A40" s="28" t="s">
        <v>152</v>
      </c>
      <c r="B40" s="28" t="s">
        <v>123</v>
      </c>
      <c r="C40" s="28" t="s">
        <v>21</v>
      </c>
      <c r="D40" s="28" t="s">
        <v>30</v>
      </c>
      <c r="E40" s="28" t="s">
        <v>85</v>
      </c>
      <c r="F40" s="31">
        <v>46351</v>
      </c>
      <c r="G40" s="31">
        <v>46396</v>
      </c>
      <c r="H40" s="28">
        <v>39</v>
      </c>
      <c r="I40" s="30">
        <v>0</v>
      </c>
      <c r="J40" s="28">
        <v>49</v>
      </c>
      <c r="K40" s="28" t="s">
        <v>331</v>
      </c>
    </row>
  </sheetData>
  <autoFilter ref="A4:K4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C204B"/>
  </sheetPr>
  <dimension ref="A1:P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customWidth="1"/>
    <col min="3" max="3" width="44" customWidth="1"/>
    <col min="4" max="4" width="18" customWidth="1"/>
    <col min="5" max="5" width="14" customWidth="1"/>
    <col min="6" max="6" width="12" customWidth="1"/>
    <col min="7" max="10" width="11" customWidth="1"/>
    <col min="11" max="12" width="7" customWidth="1"/>
    <col min="13" max="13" width="20" customWidth="1"/>
    <col min="14" max="14" width="60" customWidth="1"/>
    <col min="15" max="15" width="40" customWidth="1"/>
    <col min="16" max="16" width="16" customWidth="1"/>
  </cols>
  <sheetData>
    <row r="1" ht="30" customHeight="1" spans="1:16" x14ac:dyDescent="0.25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0" customHeight="1" spans="1:16" x14ac:dyDescent="0.25">
      <c r="A4" s="88" t="s">
        <v>333</v>
      </c>
      <c r="B4" s="88" t="s">
        <v>57</v>
      </c>
      <c r="C4" s="88" t="s">
        <v>58</v>
      </c>
      <c r="D4" s="88" t="s">
        <v>45</v>
      </c>
      <c r="E4" s="88" t="s">
        <v>59</v>
      </c>
      <c r="F4" s="88" t="s">
        <v>60</v>
      </c>
      <c r="G4" s="88" t="s">
        <v>334</v>
      </c>
      <c r="H4" s="88" t="s">
        <v>335</v>
      </c>
      <c r="I4" s="88" t="s">
        <v>64</v>
      </c>
      <c r="J4" s="88" t="s">
        <v>65</v>
      </c>
      <c r="K4" s="88" t="s">
        <v>272</v>
      </c>
      <c r="L4" s="88" t="s">
        <v>336</v>
      </c>
      <c r="M4" s="88" t="s">
        <v>337</v>
      </c>
      <c r="N4" s="88" t="s">
        <v>338</v>
      </c>
      <c r="O4" s="88" t="s">
        <v>339</v>
      </c>
      <c r="P4" s="88" t="s">
        <v>340</v>
      </c>
    </row>
    <row r="5" spans="1:16" s="27" customFormat="1" x14ac:dyDescent="0.25">
      <c r="A5" s="28" t="s">
        <v>13</v>
      </c>
      <c r="B5" s="28" t="s">
        <v>126</v>
      </c>
      <c r="C5" s="28" t="s">
        <v>127</v>
      </c>
      <c r="D5" s="28" t="s">
        <v>20</v>
      </c>
      <c r="E5" s="28" t="s">
        <v>30</v>
      </c>
      <c r="F5" s="28" t="s">
        <v>77</v>
      </c>
      <c r="G5" s="31">
        <v>46239</v>
      </c>
      <c r="H5" s="31">
        <v>46293</v>
      </c>
      <c r="I5" s="31">
        <v>46239</v>
      </c>
      <c r="J5" s="31">
        <v>46309</v>
      </c>
      <c r="K5" s="30">
        <v>0.73</v>
      </c>
      <c r="L5" s="28">
        <v>179</v>
      </c>
      <c r="M5" s="28" t="s">
        <v>76</v>
      </c>
      <c r="N5" s="28" t="s">
        <v>341</v>
      </c>
      <c r="O5" s="28" t="s">
        <v>76</v>
      </c>
      <c r="P5" s="28" t="s">
        <v>76</v>
      </c>
    </row>
    <row r="6" spans="1:16" s="27" customFormat="1" x14ac:dyDescent="0.25">
      <c r="A6" s="28" t="s">
        <v>13</v>
      </c>
      <c r="B6" s="28" t="s">
        <v>173</v>
      </c>
      <c r="C6" s="28" t="s">
        <v>119</v>
      </c>
      <c r="D6" s="28" t="s">
        <v>22</v>
      </c>
      <c r="E6" s="28" t="s">
        <v>30</v>
      </c>
      <c r="F6" s="28" t="s">
        <v>77</v>
      </c>
      <c r="G6" s="31">
        <v>46197</v>
      </c>
      <c r="H6" s="31">
        <v>46275</v>
      </c>
      <c r="I6" s="31">
        <v>46197</v>
      </c>
      <c r="J6" s="31">
        <v>46296</v>
      </c>
      <c r="K6" s="30">
        <v>0.99</v>
      </c>
      <c r="L6" s="28">
        <v>79</v>
      </c>
      <c r="M6" s="28" t="s">
        <v>76</v>
      </c>
      <c r="N6" s="28" t="s">
        <v>341</v>
      </c>
      <c r="O6" s="28" t="s">
        <v>76</v>
      </c>
      <c r="P6" s="28" t="s">
        <v>76</v>
      </c>
    </row>
    <row r="7" spans="1:16" s="27" customFormat="1" x14ac:dyDescent="0.25">
      <c r="A7" s="28" t="s">
        <v>12</v>
      </c>
      <c r="B7" s="28" t="s">
        <v>175</v>
      </c>
      <c r="C7" s="28" t="s">
        <v>123</v>
      </c>
      <c r="D7" s="28" t="s">
        <v>22</v>
      </c>
      <c r="E7" s="28" t="s">
        <v>30</v>
      </c>
      <c r="F7" s="28" t="s">
        <v>85</v>
      </c>
      <c r="G7" s="31">
        <v>46270</v>
      </c>
      <c r="H7" s="31">
        <v>46308</v>
      </c>
      <c r="I7" s="31">
        <v>46296</v>
      </c>
      <c r="J7" s="31">
        <v>46336</v>
      </c>
      <c r="K7" s="30">
        <v>0</v>
      </c>
      <c r="L7" s="28">
        <v>116</v>
      </c>
      <c r="M7" s="28" t="s">
        <v>76</v>
      </c>
      <c r="N7" s="28" t="s">
        <v>341</v>
      </c>
      <c r="O7" s="28" t="s">
        <v>76</v>
      </c>
      <c r="P7" s="28" t="s">
        <v>76</v>
      </c>
    </row>
    <row r="8" spans="1:16" s="27" customFormat="1" x14ac:dyDescent="0.25">
      <c r="A8" s="28" t="s">
        <v>13</v>
      </c>
      <c r="B8" s="28" t="s">
        <v>174</v>
      </c>
      <c r="C8" s="28" t="s">
        <v>121</v>
      </c>
      <c r="D8" s="28" t="s">
        <v>22</v>
      </c>
      <c r="E8" s="28" t="s">
        <v>30</v>
      </c>
      <c r="F8" s="28" t="s">
        <v>77</v>
      </c>
      <c r="G8" s="31">
        <v>46226</v>
      </c>
      <c r="H8" s="31">
        <v>46287</v>
      </c>
      <c r="I8" s="31">
        <v>46226</v>
      </c>
      <c r="J8" s="31">
        <v>46307</v>
      </c>
      <c r="K8" s="30">
        <v>0.77</v>
      </c>
      <c r="L8" s="28">
        <v>99</v>
      </c>
      <c r="M8" s="28" t="s">
        <v>76</v>
      </c>
      <c r="N8" s="28" t="s">
        <v>341</v>
      </c>
      <c r="O8" s="28" t="s">
        <v>76</v>
      </c>
      <c r="P8" s="28" t="s">
        <v>76</v>
      </c>
    </row>
    <row r="9" spans="1:16" s="27" customFormat="1" x14ac:dyDescent="0.25">
      <c r="A9" s="28" t="s">
        <v>13</v>
      </c>
      <c r="B9" s="28" t="s">
        <v>189</v>
      </c>
      <c r="C9" s="28" t="s">
        <v>103</v>
      </c>
      <c r="D9" s="28" t="s">
        <v>23</v>
      </c>
      <c r="E9" s="28" t="s">
        <v>29</v>
      </c>
      <c r="F9" s="28" t="s">
        <v>77</v>
      </c>
      <c r="G9" s="31">
        <v>46204</v>
      </c>
      <c r="H9" s="31">
        <v>46282</v>
      </c>
      <c r="I9" s="31">
        <v>46204</v>
      </c>
      <c r="J9" s="31">
        <v>46296</v>
      </c>
      <c r="K9" s="30">
        <v>0.98</v>
      </c>
      <c r="L9" s="28">
        <v>83</v>
      </c>
      <c r="M9" s="28" t="s">
        <v>76</v>
      </c>
      <c r="N9" s="28" t="s">
        <v>341</v>
      </c>
      <c r="O9" s="28" t="s">
        <v>76</v>
      </c>
      <c r="P9" s="28" t="s">
        <v>76</v>
      </c>
    </row>
    <row r="10" spans="1:16" s="27" customFormat="1" x14ac:dyDescent="0.25">
      <c r="A10" s="28" t="s">
        <v>12</v>
      </c>
      <c r="B10" s="28" t="s">
        <v>198</v>
      </c>
      <c r="C10" s="28" t="s">
        <v>121</v>
      </c>
      <c r="D10" s="28" t="s">
        <v>23</v>
      </c>
      <c r="E10" s="28" t="s">
        <v>30</v>
      </c>
      <c r="F10" s="28" t="s">
        <v>85</v>
      </c>
      <c r="G10" s="31">
        <v>46276</v>
      </c>
      <c r="H10" s="31">
        <v>46314</v>
      </c>
      <c r="I10" s="31">
        <v>46296</v>
      </c>
      <c r="J10" s="31">
        <v>46336</v>
      </c>
      <c r="K10" s="30">
        <v>0</v>
      </c>
      <c r="L10" s="28">
        <v>118</v>
      </c>
      <c r="M10" s="28" t="s">
        <v>76</v>
      </c>
      <c r="N10" s="28" t="s">
        <v>341</v>
      </c>
      <c r="O10" s="28" t="s">
        <v>76</v>
      </c>
      <c r="P10" s="28" t="s">
        <v>76</v>
      </c>
    </row>
    <row r="11" spans="1:16" s="27" customFormat="1" x14ac:dyDescent="0.25">
      <c r="A11" s="28" t="s">
        <v>13</v>
      </c>
      <c r="B11" s="28" t="s">
        <v>214</v>
      </c>
      <c r="C11" s="28" t="s">
        <v>105</v>
      </c>
      <c r="D11" s="28" t="s">
        <v>24</v>
      </c>
      <c r="E11" s="28" t="s">
        <v>29</v>
      </c>
      <c r="F11" s="28" t="s">
        <v>77</v>
      </c>
      <c r="G11" s="31">
        <v>46254</v>
      </c>
      <c r="H11" s="31">
        <v>46279</v>
      </c>
      <c r="I11" s="31">
        <v>46254</v>
      </c>
      <c r="J11" s="31">
        <v>46310</v>
      </c>
      <c r="K11" s="30">
        <v>0.44</v>
      </c>
      <c r="L11" s="28">
        <v>11</v>
      </c>
      <c r="M11" s="28" t="s">
        <v>76</v>
      </c>
      <c r="N11" s="28" t="s">
        <v>341</v>
      </c>
      <c r="O11" s="28" t="s">
        <v>76</v>
      </c>
      <c r="P11" s="28" t="s">
        <v>76</v>
      </c>
    </row>
    <row r="12" spans="1:16" s="27" customFormat="1" x14ac:dyDescent="0.25">
      <c r="A12" s="28" t="s">
        <v>12</v>
      </c>
      <c r="B12" s="28" t="s">
        <v>216</v>
      </c>
      <c r="C12" s="28" t="s">
        <v>107</v>
      </c>
      <c r="D12" s="28" t="s">
        <v>24</v>
      </c>
      <c r="E12" s="28" t="s">
        <v>29</v>
      </c>
      <c r="F12" s="28" t="s">
        <v>85</v>
      </c>
      <c r="G12" s="31">
        <v>46280</v>
      </c>
      <c r="H12" s="31">
        <v>46392</v>
      </c>
      <c r="I12" s="31">
        <v>46311</v>
      </c>
      <c r="J12" s="31">
        <v>46423</v>
      </c>
      <c r="K12" s="30">
        <v>0</v>
      </c>
      <c r="L12" s="28">
        <v>11</v>
      </c>
      <c r="M12" s="28" t="s">
        <v>76</v>
      </c>
      <c r="N12" s="28" t="s">
        <v>341</v>
      </c>
      <c r="O12" s="28" t="s">
        <v>76</v>
      </c>
      <c r="P12" s="28" t="s">
        <v>76</v>
      </c>
    </row>
    <row r="13" spans="1:16" s="27" customFormat="1" x14ac:dyDescent="0.25">
      <c r="A13" s="28" t="s">
        <v>12</v>
      </c>
      <c r="B13" s="28" t="s">
        <v>222</v>
      </c>
      <c r="C13" s="28" t="s">
        <v>119</v>
      </c>
      <c r="D13" s="28" t="s">
        <v>24</v>
      </c>
      <c r="E13" s="28" t="s">
        <v>30</v>
      </c>
      <c r="F13" s="28" t="s">
        <v>85</v>
      </c>
      <c r="G13" s="31">
        <v>46266</v>
      </c>
      <c r="H13" s="31">
        <v>46349</v>
      </c>
      <c r="I13" s="31">
        <v>46296</v>
      </c>
      <c r="J13" s="31">
        <v>46379</v>
      </c>
      <c r="K13" s="30">
        <v>0</v>
      </c>
      <c r="L13" s="28">
        <v>61</v>
      </c>
      <c r="M13" s="28" t="s">
        <v>76</v>
      </c>
      <c r="N13" s="28" t="s">
        <v>341</v>
      </c>
      <c r="O13" s="28" t="s">
        <v>76</v>
      </c>
      <c r="P13" s="28" t="s">
        <v>76</v>
      </c>
    </row>
    <row r="14" spans="1:16" s="27" customFormat="1" x14ac:dyDescent="0.25">
      <c r="A14" s="28" t="s">
        <v>12</v>
      </c>
      <c r="B14" s="28" t="s">
        <v>223</v>
      </c>
      <c r="C14" s="28" t="s">
        <v>121</v>
      </c>
      <c r="D14" s="28" t="s">
        <v>24</v>
      </c>
      <c r="E14" s="28" t="s">
        <v>30</v>
      </c>
      <c r="F14" s="28" t="s">
        <v>85</v>
      </c>
      <c r="G14" s="31">
        <v>46289</v>
      </c>
      <c r="H14" s="31">
        <v>46346</v>
      </c>
      <c r="I14" s="31">
        <v>46322</v>
      </c>
      <c r="J14" s="31">
        <v>46377</v>
      </c>
      <c r="K14" s="30">
        <v>0</v>
      </c>
      <c r="L14" s="28">
        <v>86</v>
      </c>
      <c r="M14" s="28" t="s">
        <v>76</v>
      </c>
      <c r="N14" s="28" t="s">
        <v>341</v>
      </c>
      <c r="O14" s="28" t="s">
        <v>76</v>
      </c>
      <c r="P14" s="28" t="s">
        <v>76</v>
      </c>
    </row>
    <row r="15" spans="1:16" s="27" customFormat="1" x14ac:dyDescent="0.25">
      <c r="A15" s="28" t="s">
        <v>13</v>
      </c>
      <c r="B15" s="28" t="s">
        <v>233</v>
      </c>
      <c r="C15" s="28" t="s">
        <v>96</v>
      </c>
      <c r="D15" s="28" t="s">
        <v>25</v>
      </c>
      <c r="E15" s="28" t="s">
        <v>28</v>
      </c>
      <c r="F15" s="28" t="s">
        <v>77</v>
      </c>
      <c r="G15" s="31">
        <v>46232</v>
      </c>
      <c r="H15" s="31">
        <v>46273</v>
      </c>
      <c r="I15" s="31">
        <v>46232</v>
      </c>
      <c r="J15" s="31">
        <v>46304</v>
      </c>
      <c r="K15" s="30">
        <v>0.84</v>
      </c>
      <c r="L15" s="28">
        <v>51</v>
      </c>
      <c r="M15" s="28" t="s">
        <v>76</v>
      </c>
      <c r="N15" s="28" t="s">
        <v>341</v>
      </c>
      <c r="O15" s="28" t="s">
        <v>76</v>
      </c>
      <c r="P15" s="28" t="s">
        <v>76</v>
      </c>
    </row>
    <row r="16" spans="1:16" s="27" customFormat="1" x14ac:dyDescent="0.25">
      <c r="A16" s="28" t="s">
        <v>13</v>
      </c>
      <c r="B16" s="28" t="s">
        <v>234</v>
      </c>
      <c r="C16" s="28" t="s">
        <v>98</v>
      </c>
      <c r="D16" s="28" t="s">
        <v>25</v>
      </c>
      <c r="E16" s="28" t="s">
        <v>28</v>
      </c>
      <c r="F16" s="28" t="s">
        <v>77</v>
      </c>
      <c r="G16" s="31">
        <v>46246</v>
      </c>
      <c r="H16" s="31">
        <v>46273</v>
      </c>
      <c r="I16" s="31">
        <v>46246</v>
      </c>
      <c r="J16" s="31">
        <v>46304</v>
      </c>
      <c r="K16" s="30">
        <v>0.95</v>
      </c>
      <c r="L16" s="28">
        <v>151</v>
      </c>
      <c r="M16" s="28" t="s">
        <v>76</v>
      </c>
      <c r="N16" s="28" t="s">
        <v>341</v>
      </c>
      <c r="O16" s="28" t="s">
        <v>76</v>
      </c>
      <c r="P16" s="28" t="s">
        <v>76</v>
      </c>
    </row>
    <row r="17" spans="1:16" s="27" customFormat="1" x14ac:dyDescent="0.25">
      <c r="A17" s="28" t="s">
        <v>13</v>
      </c>
      <c r="B17" s="28" t="s">
        <v>238</v>
      </c>
      <c r="C17" s="28" t="s">
        <v>105</v>
      </c>
      <c r="D17" s="28" t="s">
        <v>25</v>
      </c>
      <c r="E17" s="28" t="s">
        <v>29</v>
      </c>
      <c r="F17" s="28" t="s">
        <v>85</v>
      </c>
      <c r="G17" s="31">
        <v>46274</v>
      </c>
      <c r="H17" s="31">
        <v>46286</v>
      </c>
      <c r="I17" s="31">
        <v>46305</v>
      </c>
      <c r="J17" s="31">
        <v>46318</v>
      </c>
      <c r="K17" s="30">
        <v>0</v>
      </c>
      <c r="L17" s="28">
        <v>62</v>
      </c>
      <c r="M17" s="28" t="s">
        <v>76</v>
      </c>
      <c r="N17" s="28" t="s">
        <v>341</v>
      </c>
      <c r="O17" s="28" t="s">
        <v>76</v>
      </c>
      <c r="P17" s="28" t="s">
        <v>76</v>
      </c>
    </row>
    <row r="18" spans="1:16" s="27" customFormat="1" x14ac:dyDescent="0.25">
      <c r="A18" s="28" t="s">
        <v>12</v>
      </c>
      <c r="B18" s="28" t="s">
        <v>238</v>
      </c>
      <c r="C18" s="28" t="s">
        <v>105</v>
      </c>
      <c r="D18" s="28" t="s">
        <v>25</v>
      </c>
      <c r="E18" s="28" t="s">
        <v>29</v>
      </c>
      <c r="F18" s="28" t="s">
        <v>85</v>
      </c>
      <c r="G18" s="31">
        <v>46274</v>
      </c>
      <c r="H18" s="31">
        <v>46286</v>
      </c>
      <c r="I18" s="31">
        <v>46305</v>
      </c>
      <c r="J18" s="31">
        <v>46318</v>
      </c>
      <c r="K18" s="30">
        <v>0</v>
      </c>
      <c r="L18" s="28">
        <v>62</v>
      </c>
      <c r="M18" s="28" t="s">
        <v>76</v>
      </c>
      <c r="N18" s="28" t="s">
        <v>341</v>
      </c>
      <c r="O18" s="28" t="s">
        <v>76</v>
      </c>
      <c r="P18" s="28" t="s">
        <v>76</v>
      </c>
    </row>
    <row r="19" spans="1:16" s="27" customFormat="1" x14ac:dyDescent="0.25">
      <c r="A19" s="28" t="s">
        <v>12</v>
      </c>
      <c r="B19" s="28" t="s">
        <v>240</v>
      </c>
      <c r="C19" s="28" t="s">
        <v>107</v>
      </c>
      <c r="D19" s="28" t="s">
        <v>25</v>
      </c>
      <c r="E19" s="28" t="s">
        <v>29</v>
      </c>
      <c r="F19" s="28" t="s">
        <v>85</v>
      </c>
      <c r="G19" s="31">
        <v>46287</v>
      </c>
      <c r="H19" s="31">
        <v>46354</v>
      </c>
      <c r="I19" s="31">
        <v>46319</v>
      </c>
      <c r="J19" s="31">
        <v>46386</v>
      </c>
      <c r="K19" s="30">
        <v>0</v>
      </c>
      <c r="L19" s="28">
        <v>62</v>
      </c>
      <c r="M19" s="28" t="s">
        <v>76</v>
      </c>
      <c r="N19" s="28" t="s">
        <v>341</v>
      </c>
      <c r="O19" s="28" t="s">
        <v>76</v>
      </c>
      <c r="P19" s="28" t="s">
        <v>76</v>
      </c>
    </row>
    <row r="20" spans="1:16" s="27" customFormat="1" x14ac:dyDescent="0.25">
      <c r="A20" s="28" t="s">
        <v>13</v>
      </c>
      <c r="B20" s="28" t="s">
        <v>244</v>
      </c>
      <c r="C20" s="28" t="s">
        <v>115</v>
      </c>
      <c r="D20" s="28" t="s">
        <v>25</v>
      </c>
      <c r="E20" s="28" t="s">
        <v>30</v>
      </c>
      <c r="F20" s="28" t="s">
        <v>77</v>
      </c>
      <c r="G20" s="31">
        <v>46240</v>
      </c>
      <c r="H20" s="31">
        <v>46282</v>
      </c>
      <c r="I20" s="31">
        <v>46240</v>
      </c>
      <c r="J20" s="31">
        <v>46314</v>
      </c>
      <c r="K20" s="30">
        <v>0.58</v>
      </c>
      <c r="L20" s="28">
        <v>72</v>
      </c>
      <c r="M20" s="28" t="s">
        <v>76</v>
      </c>
      <c r="N20" s="28" t="s">
        <v>341</v>
      </c>
      <c r="O20" s="28" t="s">
        <v>76</v>
      </c>
      <c r="P20" s="28" t="s">
        <v>76</v>
      </c>
    </row>
    <row r="21" spans="1:16" s="27" customFormat="1" x14ac:dyDescent="0.25">
      <c r="A21" s="28" t="s">
        <v>12</v>
      </c>
      <c r="B21" s="28" t="s">
        <v>248</v>
      </c>
      <c r="C21" s="28" t="s">
        <v>117</v>
      </c>
      <c r="D21" s="28" t="s">
        <v>25</v>
      </c>
      <c r="E21" s="28" t="s">
        <v>30</v>
      </c>
      <c r="F21" s="28" t="s">
        <v>85</v>
      </c>
      <c r="G21" s="31">
        <v>46283</v>
      </c>
      <c r="H21" s="31">
        <v>46301</v>
      </c>
      <c r="I21" s="31">
        <v>46316</v>
      </c>
      <c r="J21" s="31">
        <v>46332</v>
      </c>
      <c r="K21" s="30">
        <v>0</v>
      </c>
      <c r="L21" s="28">
        <v>72</v>
      </c>
      <c r="M21" s="28" t="s">
        <v>76</v>
      </c>
      <c r="N21" s="28" t="s">
        <v>341</v>
      </c>
      <c r="O21" s="28" t="s">
        <v>76</v>
      </c>
      <c r="P21" s="28" t="s">
        <v>76</v>
      </c>
    </row>
    <row r="22" spans="1:16" s="27" customFormat="1" x14ac:dyDescent="0.25">
      <c r="A22" s="28" t="s">
        <v>342</v>
      </c>
      <c r="B22" s="28" t="s">
        <v>245</v>
      </c>
      <c r="C22" s="28" t="s">
        <v>121</v>
      </c>
      <c r="D22" s="28" t="s">
        <v>25</v>
      </c>
      <c r="E22" s="28" t="s">
        <v>30</v>
      </c>
      <c r="F22" s="28" t="s">
        <v>77</v>
      </c>
      <c r="G22" s="31">
        <v>46260</v>
      </c>
      <c r="H22" s="31">
        <v>46363</v>
      </c>
      <c r="I22" s="31">
        <v>46260</v>
      </c>
      <c r="J22" s="31">
        <v>46394</v>
      </c>
      <c r="K22" s="30">
        <v>0.05</v>
      </c>
      <c r="L22" s="28">
        <v>76</v>
      </c>
      <c r="M22" s="28" t="s">
        <v>76</v>
      </c>
      <c r="N22" s="28" t="s">
        <v>341</v>
      </c>
      <c r="O22" s="28" t="s">
        <v>76</v>
      </c>
      <c r="P22" s="28" t="s">
        <v>76</v>
      </c>
    </row>
    <row r="23" spans="1:16" s="27" customFormat="1" x14ac:dyDescent="0.25">
      <c r="A23" s="28" t="s">
        <v>343</v>
      </c>
      <c r="B23" s="28" t="s">
        <v>245</v>
      </c>
      <c r="C23" s="28" t="s">
        <v>121</v>
      </c>
      <c r="D23" s="28" t="s">
        <v>25</v>
      </c>
      <c r="E23" s="28" t="s">
        <v>30</v>
      </c>
      <c r="F23" s="28" t="s">
        <v>77</v>
      </c>
      <c r="G23" s="31">
        <v>46260</v>
      </c>
      <c r="H23" s="31">
        <v>46363</v>
      </c>
      <c r="I23" s="31">
        <v>46260</v>
      </c>
      <c r="J23" s="31">
        <v>46394</v>
      </c>
      <c r="K23" s="30">
        <v>0.05</v>
      </c>
      <c r="L23" s="28">
        <v>76</v>
      </c>
      <c r="M23" s="28" t="s">
        <v>76</v>
      </c>
      <c r="N23" s="28" t="s">
        <v>341</v>
      </c>
      <c r="O23" s="28" t="s">
        <v>76</v>
      </c>
      <c r="P23" s="28" t="s">
        <v>76</v>
      </c>
    </row>
    <row r="24" spans="1:16" s="27" customFormat="1" x14ac:dyDescent="0.25">
      <c r="A24" s="28" t="s">
        <v>342</v>
      </c>
      <c r="B24" s="28" t="s">
        <v>247</v>
      </c>
      <c r="C24" s="28" t="s">
        <v>125</v>
      </c>
      <c r="D24" s="28" t="s">
        <v>25</v>
      </c>
      <c r="E24" s="28" t="s">
        <v>30</v>
      </c>
      <c r="F24" s="28" t="s">
        <v>77</v>
      </c>
      <c r="G24" s="31">
        <v>46260</v>
      </c>
      <c r="H24" s="31">
        <v>46403</v>
      </c>
      <c r="I24" s="31">
        <v>46260</v>
      </c>
      <c r="J24" s="31">
        <v>46435</v>
      </c>
      <c r="K24" s="30">
        <v>0.05</v>
      </c>
      <c r="L24" s="28">
        <v>62</v>
      </c>
      <c r="M24" s="28" t="s">
        <v>76</v>
      </c>
      <c r="N24" s="28" t="s">
        <v>341</v>
      </c>
      <c r="O24" s="28" t="s">
        <v>76</v>
      </c>
      <c r="P24" s="28" t="s">
        <v>76</v>
      </c>
    </row>
    <row r="25" spans="1:16" s="27" customFormat="1" x14ac:dyDescent="0.25">
      <c r="A25" s="28" t="s">
        <v>343</v>
      </c>
      <c r="B25" s="28" t="s">
        <v>247</v>
      </c>
      <c r="C25" s="28" t="s">
        <v>125</v>
      </c>
      <c r="D25" s="28" t="s">
        <v>25</v>
      </c>
      <c r="E25" s="28" t="s">
        <v>30</v>
      </c>
      <c r="F25" s="28" t="s">
        <v>77</v>
      </c>
      <c r="G25" s="31">
        <v>46260</v>
      </c>
      <c r="H25" s="31">
        <v>46403</v>
      </c>
      <c r="I25" s="31">
        <v>46260</v>
      </c>
      <c r="J25" s="31">
        <v>46435</v>
      </c>
      <c r="K25" s="30">
        <v>0.05</v>
      </c>
      <c r="L25" s="28">
        <v>62</v>
      </c>
      <c r="M25" s="28" t="s">
        <v>76</v>
      </c>
      <c r="N25" s="28" t="s">
        <v>341</v>
      </c>
      <c r="O25" s="28" t="s">
        <v>76</v>
      </c>
      <c r="P25" s="28" t="s">
        <v>76</v>
      </c>
    </row>
  </sheetData>
  <autoFilter ref="A4:P4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007E"/>
  </sheetPr>
  <dimension ref="A1:M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44" customWidth="1"/>
    <col min="5" max="5" width="26" customWidth="1"/>
    <col min="6" max="6" width="22" customWidth="1"/>
    <col min="7" max="7" width="70" customWidth="1"/>
    <col min="8" max="8" width="44" customWidth="1"/>
    <col min="9" max="9" width="16" customWidth="1"/>
    <col min="10" max="12" width="11" customWidth="1"/>
    <col min="13" max="13" width="7" customWidth="1"/>
  </cols>
  <sheetData>
    <row r="1" ht="30" customHeight="1" spans="1:13" x14ac:dyDescent="0.25">
      <c r="A1" s="1" t="s">
        <v>344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30" customHeight="1" spans="1:13" x14ac:dyDescent="0.25">
      <c r="A4" s="89" t="s">
        <v>45</v>
      </c>
      <c r="B4" s="89" t="s">
        <v>59</v>
      </c>
      <c r="C4" s="89" t="s">
        <v>57</v>
      </c>
      <c r="D4" s="89" t="s">
        <v>58</v>
      </c>
      <c r="E4" s="89" t="s">
        <v>72</v>
      </c>
      <c r="F4" s="89" t="s">
        <v>345</v>
      </c>
      <c r="G4" s="89" t="s">
        <v>338</v>
      </c>
      <c r="H4" s="89" t="s">
        <v>339</v>
      </c>
      <c r="I4" s="89" t="s">
        <v>340</v>
      </c>
      <c r="J4" s="89" t="s">
        <v>346</v>
      </c>
      <c r="K4" s="89" t="s">
        <v>347</v>
      </c>
      <c r="L4" s="89" t="s">
        <v>65</v>
      </c>
      <c r="M4" s="89" t="s">
        <v>336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83698"/>
  </sheetPr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6" max="6" width="80" customWidth="1"/>
  </cols>
  <sheetData>
    <row r="1" ht="30" customHeight="1" spans="1:6" x14ac:dyDescent="0.25">
      <c r="A1" s="1" t="s">
        <v>348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6" x14ac:dyDescent="0.25">
      <c r="A4" s="90" t="s">
        <v>322</v>
      </c>
      <c r="B4" s="90" t="s">
        <v>349</v>
      </c>
      <c r="C4" s="90" t="s">
        <v>350</v>
      </c>
      <c r="D4" s="90" t="s">
        <v>351</v>
      </c>
      <c r="E4" s="90" t="s">
        <v>272</v>
      </c>
      <c r="F4" s="90" t="s">
        <v>352</v>
      </c>
    </row>
    <row r="5" spans="1:6" s="27" customFormat="1" x14ac:dyDescent="0.25">
      <c r="A5" s="28" t="s">
        <v>353</v>
      </c>
      <c r="B5" s="28" t="s">
        <v>354</v>
      </c>
      <c r="C5" s="28">
        <v>0</v>
      </c>
      <c r="D5" s="28">
        <v>55</v>
      </c>
      <c r="E5" s="28">
        <v>0</v>
      </c>
      <c r="F5" s="28" t="s">
        <v>355</v>
      </c>
    </row>
    <row r="6" spans="1:6" s="27" customFormat="1" x14ac:dyDescent="0.25">
      <c r="A6" s="28" t="s">
        <v>356</v>
      </c>
      <c r="B6" s="28" t="s">
        <v>357</v>
      </c>
      <c r="C6" s="28">
        <v>6</v>
      </c>
      <c r="D6" s="28">
        <v>156</v>
      </c>
      <c r="E6" s="28">
        <v>3.8</v>
      </c>
      <c r="F6" s="28" t="s">
        <v>358</v>
      </c>
    </row>
    <row r="7" spans="1:6" s="27" customFormat="1" x14ac:dyDescent="0.25">
      <c r="A7" s="28" t="s">
        <v>359</v>
      </c>
      <c r="B7" s="28" t="s">
        <v>357</v>
      </c>
      <c r="C7" s="28">
        <v>46</v>
      </c>
      <c r="D7" s="28">
        <v>156</v>
      </c>
      <c r="E7" s="28">
        <v>29.5</v>
      </c>
      <c r="F7" s="28" t="s">
        <v>360</v>
      </c>
    </row>
    <row r="8" spans="1:6" s="27" customFormat="1" x14ac:dyDescent="0.25">
      <c r="A8" s="28" t="s">
        <v>361</v>
      </c>
      <c r="B8" s="28" t="s">
        <v>357</v>
      </c>
      <c r="C8" s="28">
        <v>48</v>
      </c>
      <c r="D8" s="28">
        <v>156</v>
      </c>
      <c r="E8" s="28">
        <v>69.2</v>
      </c>
      <c r="F8" s="28" t="s">
        <v>362</v>
      </c>
    </row>
    <row r="9" spans="1:6" s="27" customFormat="1" x14ac:dyDescent="0.25">
      <c r="A9" s="28" t="s">
        <v>363</v>
      </c>
      <c r="B9" s="28" t="s">
        <v>354</v>
      </c>
      <c r="C9" s="28">
        <v>0</v>
      </c>
      <c r="D9" s="28">
        <v>55</v>
      </c>
      <c r="E9" s="28">
        <v>0</v>
      </c>
      <c r="F9" s="28" t="s">
        <v>364</v>
      </c>
    </row>
    <row r="10" spans="1:6" s="27" customFormat="1" x14ac:dyDescent="0.25">
      <c r="A10" s="28" t="s">
        <v>365</v>
      </c>
      <c r="B10" s="28" t="s">
        <v>357</v>
      </c>
      <c r="C10" s="28">
        <v>44</v>
      </c>
      <c r="D10" s="28">
        <v>55</v>
      </c>
      <c r="E10" s="28">
        <v>80</v>
      </c>
      <c r="F10" s="28" t="s">
        <v>366</v>
      </c>
    </row>
    <row r="11" spans="1:6" s="27" customFormat="1" x14ac:dyDescent="0.25">
      <c r="A11" s="28" t="s">
        <v>367</v>
      </c>
      <c r="B11" s="28" t="s">
        <v>354</v>
      </c>
      <c r="C11" s="28">
        <v>0</v>
      </c>
      <c r="D11" s="28">
        <v>55</v>
      </c>
      <c r="E11" s="28">
        <v>0</v>
      </c>
      <c r="F11" s="28" t="s">
        <v>368</v>
      </c>
    </row>
    <row r="12" spans="1:6" s="27" customFormat="1" x14ac:dyDescent="0.25">
      <c r="A12" s="28" t="s">
        <v>369</v>
      </c>
      <c r="B12" s="28" t="s">
        <v>357</v>
      </c>
      <c r="C12" s="28">
        <v>20</v>
      </c>
      <c r="D12" s="28">
        <v>55</v>
      </c>
      <c r="E12" s="28">
        <v>36.4</v>
      </c>
      <c r="F12" s="28" t="s">
        <v>370</v>
      </c>
    </row>
    <row r="13" spans="1:6" s="27" customFormat="1" x14ac:dyDescent="0.25">
      <c r="A13" s="28" t="s">
        <v>371</v>
      </c>
      <c r="B13" s="28" t="s">
        <v>354</v>
      </c>
      <c r="C13" s="28">
        <v>0</v>
      </c>
      <c r="D13" s="28">
        <v>116</v>
      </c>
      <c r="E13" s="28">
        <v>0</v>
      </c>
      <c r="F13" s="28" t="s">
        <v>372</v>
      </c>
    </row>
    <row r="14" spans="1:6" s="27" customFormat="1" x14ac:dyDescent="0.25">
      <c r="A14" s="28" t="s">
        <v>373</v>
      </c>
      <c r="B14" s="28" t="s">
        <v>357</v>
      </c>
      <c r="C14" s="28">
        <v>82</v>
      </c>
      <c r="D14" s="28">
        <v>84</v>
      </c>
      <c r="E14" s="28">
        <v>97.6</v>
      </c>
      <c r="F14" s="28" t="s">
        <v>374</v>
      </c>
    </row>
    <row r="15" spans="1:6" s="27" customFormat="1" x14ac:dyDescent="0.25">
      <c r="A15" s="28" t="s">
        <v>375</v>
      </c>
      <c r="B15" s="28" t="s">
        <v>354</v>
      </c>
      <c r="C15" s="28">
        <v>5</v>
      </c>
      <c r="D15" s="28">
        <v>55</v>
      </c>
      <c r="E15" s="28">
        <v>9.1</v>
      </c>
      <c r="F15" s="28" t="s">
        <v>376</v>
      </c>
    </row>
    <row r="16" spans="1:6" s="27" customFormat="1" x14ac:dyDescent="0.25">
      <c r="A16" s="28" t="s">
        <v>377</v>
      </c>
      <c r="B16" s="28" t="s">
        <v>357</v>
      </c>
      <c r="C16" s="28">
        <v>61</v>
      </c>
      <c r="D16" s="28">
        <v>84</v>
      </c>
      <c r="E16" s="28">
        <v>72.6</v>
      </c>
      <c r="F16" s="28" t="s">
        <v>378</v>
      </c>
    </row>
    <row r="17" spans="1:6" s="27" customFormat="1" x14ac:dyDescent="0.25">
      <c r="A17" s="28" t="s">
        <v>379</v>
      </c>
      <c r="B17" s="28" t="s">
        <v>354</v>
      </c>
      <c r="C17" s="28">
        <v>0</v>
      </c>
      <c r="D17" s="28">
        <v>116</v>
      </c>
      <c r="E17" s="28">
        <v>0</v>
      </c>
      <c r="F17" s="28" t="s">
        <v>380</v>
      </c>
    </row>
  </sheetData>
  <autoFilter ref="A4:F4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</sheetPr>
  <dimension ref="A1:E5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4" customWidth="1"/>
    <col min="3" max="3" width="18" customWidth="1"/>
    <col min="4" max="4" width="70" customWidth="1"/>
    <col min="5" max="5" width="12" customWidth="1"/>
  </cols>
  <sheetData>
    <row r="1" ht="30" customHeight="1" spans="1:5" x14ac:dyDescent="0.25">
      <c r="A1" s="1" t="s">
        <v>381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91" t="s">
        <v>57</v>
      </c>
      <c r="B4" s="91" t="s">
        <v>58</v>
      </c>
      <c r="C4" s="91" t="s">
        <v>45</v>
      </c>
      <c r="D4" s="91" t="s">
        <v>382</v>
      </c>
      <c r="E4" s="91" t="s">
        <v>383</v>
      </c>
    </row>
    <row r="5" spans="1:5" s="27" customFormat="1" x14ac:dyDescent="0.25">
      <c r="A5" s="28" t="s">
        <v>83</v>
      </c>
      <c r="B5" s="28" t="s">
        <v>84</v>
      </c>
      <c r="C5" s="28" t="s">
        <v>19</v>
      </c>
      <c r="D5" s="28" t="s">
        <v>76</v>
      </c>
      <c r="E5" s="28">
        <v>-12</v>
      </c>
    </row>
    <row r="6" spans="1:5" s="27" customFormat="1" x14ac:dyDescent="0.25">
      <c r="A6" s="28" t="s">
        <v>124</v>
      </c>
      <c r="B6" s="28" t="s">
        <v>125</v>
      </c>
      <c r="C6" s="28" t="s">
        <v>20</v>
      </c>
      <c r="D6" s="28" t="s">
        <v>384</v>
      </c>
      <c r="E6" s="28">
        <v>16</v>
      </c>
    </row>
    <row r="7" spans="1:5" s="27" customFormat="1" x14ac:dyDescent="0.25">
      <c r="A7" s="28" t="s">
        <v>126</v>
      </c>
      <c r="B7" s="28" t="s">
        <v>127</v>
      </c>
      <c r="C7" s="28" t="s">
        <v>20</v>
      </c>
      <c r="D7" s="28" t="s">
        <v>385</v>
      </c>
      <c r="E7" s="28">
        <v>13</v>
      </c>
    </row>
    <row r="8" spans="1:5" s="27" customFormat="1" x14ac:dyDescent="0.25">
      <c r="A8" s="28" t="s">
        <v>129</v>
      </c>
      <c r="B8" s="28" t="s">
        <v>130</v>
      </c>
      <c r="C8" s="28" t="s">
        <v>20</v>
      </c>
      <c r="D8" s="28" t="s">
        <v>76</v>
      </c>
      <c r="E8" s="28">
        <v>16</v>
      </c>
    </row>
    <row r="9" spans="1:5" s="27" customFormat="1" x14ac:dyDescent="0.25">
      <c r="A9" s="28" t="s">
        <v>131</v>
      </c>
      <c r="B9" s="28" t="s">
        <v>132</v>
      </c>
      <c r="C9" s="28" t="s">
        <v>20</v>
      </c>
      <c r="D9" s="28" t="s">
        <v>76</v>
      </c>
      <c r="E9" s="28">
        <v>16</v>
      </c>
    </row>
    <row r="10" spans="1:5" s="27" customFormat="1" x14ac:dyDescent="0.25">
      <c r="A10" s="28" t="s">
        <v>141</v>
      </c>
      <c r="B10" s="28" t="s">
        <v>103</v>
      </c>
      <c r="C10" s="28" t="s">
        <v>21</v>
      </c>
      <c r="D10" s="28" t="s">
        <v>386</v>
      </c>
      <c r="E10" s="28">
        <v>-1</v>
      </c>
    </row>
    <row r="11" spans="1:5" s="27" customFormat="1" x14ac:dyDescent="0.25">
      <c r="A11" s="28" t="s">
        <v>143</v>
      </c>
      <c r="B11" s="28" t="s">
        <v>107</v>
      </c>
      <c r="C11" s="28" t="s">
        <v>21</v>
      </c>
      <c r="D11" s="28" t="s">
        <v>387</v>
      </c>
      <c r="E11" s="28">
        <v>-12</v>
      </c>
    </row>
    <row r="12" spans="1:5" s="27" customFormat="1" x14ac:dyDescent="0.25">
      <c r="A12" s="28" t="s">
        <v>150</v>
      </c>
      <c r="B12" s="28" t="s">
        <v>119</v>
      </c>
      <c r="C12" s="28" t="s">
        <v>21</v>
      </c>
      <c r="D12" s="28" t="s">
        <v>388</v>
      </c>
      <c r="E12" s="28">
        <v>-13</v>
      </c>
    </row>
    <row r="13" spans="1:5" s="27" customFormat="1" x14ac:dyDescent="0.25">
      <c r="A13" s="28" t="s">
        <v>152</v>
      </c>
      <c r="B13" s="28" t="s">
        <v>123</v>
      </c>
      <c r="C13" s="28" t="s">
        <v>21</v>
      </c>
      <c r="D13" s="28" t="s">
        <v>76</v>
      </c>
      <c r="E13" s="28">
        <v>-13</v>
      </c>
    </row>
    <row r="14" spans="1:5" s="27" customFormat="1" x14ac:dyDescent="0.25">
      <c r="A14" s="28" t="s">
        <v>151</v>
      </c>
      <c r="B14" s="28" t="s">
        <v>121</v>
      </c>
      <c r="C14" s="28" t="s">
        <v>21</v>
      </c>
      <c r="D14" s="28" t="s">
        <v>389</v>
      </c>
      <c r="E14" s="28">
        <v>12</v>
      </c>
    </row>
    <row r="15" spans="1:5" s="27" customFormat="1" x14ac:dyDescent="0.25">
      <c r="A15" s="28" t="s">
        <v>154</v>
      </c>
      <c r="B15" s="28" t="s">
        <v>125</v>
      </c>
      <c r="C15" s="28" t="s">
        <v>21</v>
      </c>
      <c r="D15" s="28" t="s">
        <v>76</v>
      </c>
      <c r="E15" s="28">
        <v>-12</v>
      </c>
    </row>
    <row r="16" spans="1:5" s="27" customFormat="1" x14ac:dyDescent="0.25">
      <c r="A16" s="28" t="s">
        <v>153</v>
      </c>
      <c r="B16" s="28" t="s">
        <v>127</v>
      </c>
      <c r="C16" s="28" t="s">
        <v>21</v>
      </c>
      <c r="D16" s="28" t="s">
        <v>76</v>
      </c>
      <c r="E16" s="28">
        <v>-13</v>
      </c>
    </row>
    <row r="17" spans="1:5" s="27" customFormat="1" x14ac:dyDescent="0.25">
      <c r="A17" s="28" t="s">
        <v>155</v>
      </c>
      <c r="B17" s="28" t="s">
        <v>130</v>
      </c>
      <c r="C17" s="28" t="s">
        <v>21</v>
      </c>
      <c r="D17" s="28" t="s">
        <v>76</v>
      </c>
      <c r="E17" s="28">
        <v>-12</v>
      </c>
    </row>
    <row r="18" spans="1:5" s="27" customFormat="1" x14ac:dyDescent="0.25">
      <c r="A18" s="28" t="s">
        <v>156</v>
      </c>
      <c r="B18" s="28" t="s">
        <v>132</v>
      </c>
      <c r="C18" s="28" t="s">
        <v>21</v>
      </c>
      <c r="D18" s="28" t="s">
        <v>76</v>
      </c>
      <c r="E18" s="28">
        <v>-12</v>
      </c>
    </row>
    <row r="19" spans="1:5" s="27" customFormat="1" x14ac:dyDescent="0.25">
      <c r="A19" s="28" t="s">
        <v>167</v>
      </c>
      <c r="B19" s="28" t="s">
        <v>107</v>
      </c>
      <c r="C19" s="28" t="s">
        <v>22</v>
      </c>
      <c r="D19" s="28" t="s">
        <v>384</v>
      </c>
      <c r="E19" s="28">
        <v>8</v>
      </c>
    </row>
    <row r="20" spans="1:5" s="27" customFormat="1" x14ac:dyDescent="0.25">
      <c r="A20" s="28" t="s">
        <v>173</v>
      </c>
      <c r="B20" s="28" t="s">
        <v>119</v>
      </c>
      <c r="C20" s="28" t="s">
        <v>22</v>
      </c>
      <c r="D20" s="28" t="s">
        <v>390</v>
      </c>
      <c r="E20" s="28">
        <v>18</v>
      </c>
    </row>
    <row r="21" spans="1:5" s="27" customFormat="1" x14ac:dyDescent="0.25">
      <c r="A21" s="28" t="s">
        <v>175</v>
      </c>
      <c r="B21" s="28" t="s">
        <v>123</v>
      </c>
      <c r="C21" s="28" t="s">
        <v>22</v>
      </c>
      <c r="D21" s="28" t="s">
        <v>76</v>
      </c>
      <c r="E21" s="28">
        <v>22</v>
      </c>
    </row>
    <row r="22" spans="1:5" s="27" customFormat="1" x14ac:dyDescent="0.25">
      <c r="A22" s="28" t="s">
        <v>174</v>
      </c>
      <c r="B22" s="28" t="s">
        <v>121</v>
      </c>
      <c r="C22" s="28" t="s">
        <v>22</v>
      </c>
      <c r="D22" s="28" t="s">
        <v>391</v>
      </c>
      <c r="E22" s="28">
        <v>16</v>
      </c>
    </row>
    <row r="23" spans="1:5" s="27" customFormat="1" x14ac:dyDescent="0.25">
      <c r="A23" s="28" t="s">
        <v>177</v>
      </c>
      <c r="B23" s="28" t="s">
        <v>125</v>
      </c>
      <c r="C23" s="28" t="s">
        <v>22</v>
      </c>
      <c r="D23" s="28" t="s">
        <v>76</v>
      </c>
      <c r="E23" s="28">
        <v>8</v>
      </c>
    </row>
    <row r="24" spans="1:5" s="27" customFormat="1" x14ac:dyDescent="0.25">
      <c r="A24" s="28" t="s">
        <v>178</v>
      </c>
      <c r="B24" s="28" t="s">
        <v>127</v>
      </c>
      <c r="C24" s="28" t="s">
        <v>22</v>
      </c>
      <c r="D24" s="28" t="s">
        <v>76</v>
      </c>
      <c r="E24" s="28">
        <v>22</v>
      </c>
    </row>
    <row r="25" spans="1:5" s="27" customFormat="1" x14ac:dyDescent="0.25">
      <c r="A25" s="28" t="s">
        <v>179</v>
      </c>
      <c r="B25" s="28" t="s">
        <v>130</v>
      </c>
      <c r="C25" s="28" t="s">
        <v>22</v>
      </c>
      <c r="D25" s="28" t="s">
        <v>76</v>
      </c>
      <c r="E25" s="28">
        <v>8</v>
      </c>
    </row>
    <row r="26" spans="1:5" s="27" customFormat="1" x14ac:dyDescent="0.25">
      <c r="A26" s="28" t="s">
        <v>180</v>
      </c>
      <c r="B26" s="28" t="s">
        <v>132</v>
      </c>
      <c r="C26" s="28" t="s">
        <v>22</v>
      </c>
      <c r="D26" s="28" t="s">
        <v>76</v>
      </c>
      <c r="E26" s="28">
        <v>8</v>
      </c>
    </row>
    <row r="27" spans="1:5" s="27" customFormat="1" x14ac:dyDescent="0.25">
      <c r="A27" s="28" t="s">
        <v>189</v>
      </c>
      <c r="B27" s="28" t="s">
        <v>103</v>
      </c>
      <c r="C27" s="28" t="s">
        <v>23</v>
      </c>
      <c r="D27" s="28" t="s">
        <v>392</v>
      </c>
      <c r="E27" s="28">
        <v>12</v>
      </c>
    </row>
    <row r="28" spans="1:5" s="27" customFormat="1" x14ac:dyDescent="0.25">
      <c r="A28" s="28" t="s">
        <v>191</v>
      </c>
      <c r="B28" s="28" t="s">
        <v>107</v>
      </c>
      <c r="C28" s="28" t="s">
        <v>23</v>
      </c>
      <c r="D28" s="28" t="s">
        <v>389</v>
      </c>
      <c r="E28" s="28">
        <v>7</v>
      </c>
    </row>
    <row r="29" spans="1:5" s="27" customFormat="1" x14ac:dyDescent="0.25">
      <c r="A29" s="28" t="s">
        <v>197</v>
      </c>
      <c r="B29" s="28" t="s">
        <v>119</v>
      </c>
      <c r="C29" s="28" t="s">
        <v>23</v>
      </c>
      <c r="D29" s="28" t="s">
        <v>393</v>
      </c>
      <c r="E29" s="28">
        <v>12</v>
      </c>
    </row>
    <row r="30" spans="1:5" s="27" customFormat="1" x14ac:dyDescent="0.25">
      <c r="A30" s="28" t="s">
        <v>199</v>
      </c>
      <c r="B30" s="28" t="s">
        <v>123</v>
      </c>
      <c r="C30" s="28" t="s">
        <v>23</v>
      </c>
      <c r="D30" s="28" t="s">
        <v>76</v>
      </c>
      <c r="E30" s="28">
        <v>12</v>
      </c>
    </row>
    <row r="31" spans="1:5" s="27" customFormat="1" x14ac:dyDescent="0.25">
      <c r="A31" s="28" t="s">
        <v>198</v>
      </c>
      <c r="B31" s="28" t="s">
        <v>121</v>
      </c>
      <c r="C31" s="28" t="s">
        <v>23</v>
      </c>
      <c r="D31" s="28" t="s">
        <v>76</v>
      </c>
      <c r="E31" s="28">
        <v>17</v>
      </c>
    </row>
    <row r="32" spans="1:5" s="27" customFormat="1" x14ac:dyDescent="0.25">
      <c r="A32" s="28" t="s">
        <v>200</v>
      </c>
      <c r="B32" s="28" t="s">
        <v>125</v>
      </c>
      <c r="C32" s="28" t="s">
        <v>23</v>
      </c>
      <c r="D32" s="28" t="s">
        <v>76</v>
      </c>
      <c r="E32" s="28">
        <v>7</v>
      </c>
    </row>
    <row r="33" spans="1:5" s="27" customFormat="1" x14ac:dyDescent="0.25">
      <c r="A33" s="28" t="s">
        <v>201</v>
      </c>
      <c r="B33" s="28" t="s">
        <v>127</v>
      </c>
      <c r="C33" s="28" t="s">
        <v>23</v>
      </c>
      <c r="D33" s="28" t="s">
        <v>76</v>
      </c>
      <c r="E33" s="28">
        <v>12</v>
      </c>
    </row>
    <row r="34" spans="1:5" s="27" customFormat="1" x14ac:dyDescent="0.25">
      <c r="A34" s="28" t="s">
        <v>202</v>
      </c>
      <c r="B34" s="28" t="s">
        <v>130</v>
      </c>
      <c r="C34" s="28" t="s">
        <v>23</v>
      </c>
      <c r="D34" s="28" t="s">
        <v>76</v>
      </c>
      <c r="E34" s="28">
        <v>7</v>
      </c>
    </row>
    <row r="35" spans="1:5" s="27" customFormat="1" x14ac:dyDescent="0.25">
      <c r="A35" s="28" t="s">
        <v>203</v>
      </c>
      <c r="B35" s="28" t="s">
        <v>132</v>
      </c>
      <c r="C35" s="28" t="s">
        <v>23</v>
      </c>
      <c r="D35" s="28" t="s">
        <v>76</v>
      </c>
      <c r="E35" s="28">
        <v>7</v>
      </c>
    </row>
    <row r="36" spans="1:5" s="27" customFormat="1" x14ac:dyDescent="0.25">
      <c r="A36" s="28" t="s">
        <v>212</v>
      </c>
      <c r="B36" s="28" t="s">
        <v>103</v>
      </c>
      <c r="C36" s="28" t="s">
        <v>24</v>
      </c>
      <c r="D36" s="28" t="s">
        <v>76</v>
      </c>
      <c r="E36" s="28">
        <v>26</v>
      </c>
    </row>
    <row r="37" spans="1:5" s="27" customFormat="1" x14ac:dyDescent="0.25">
      <c r="A37" s="28" t="s">
        <v>214</v>
      </c>
      <c r="B37" s="28" t="s">
        <v>105</v>
      </c>
      <c r="C37" s="28" t="s">
        <v>24</v>
      </c>
      <c r="D37" s="28" t="s">
        <v>76</v>
      </c>
      <c r="E37" s="28">
        <v>26</v>
      </c>
    </row>
    <row r="38" spans="1:5" s="27" customFormat="1" x14ac:dyDescent="0.25">
      <c r="A38" s="28" t="s">
        <v>216</v>
      </c>
      <c r="B38" s="28" t="s">
        <v>107</v>
      </c>
      <c r="C38" s="28" t="s">
        <v>24</v>
      </c>
      <c r="D38" s="28" t="s">
        <v>76</v>
      </c>
      <c r="E38" s="28">
        <v>26</v>
      </c>
    </row>
    <row r="39" spans="1:5" s="27" customFormat="1" x14ac:dyDescent="0.25">
      <c r="A39" s="28" t="s">
        <v>222</v>
      </c>
      <c r="B39" s="28" t="s">
        <v>119</v>
      </c>
      <c r="C39" s="28" t="s">
        <v>24</v>
      </c>
      <c r="D39" s="28" t="s">
        <v>76</v>
      </c>
      <c r="E39" s="28">
        <v>26</v>
      </c>
    </row>
    <row r="40" spans="1:5" s="27" customFormat="1" x14ac:dyDescent="0.25">
      <c r="A40" s="28" t="s">
        <v>224</v>
      </c>
      <c r="B40" s="28" t="s">
        <v>123</v>
      </c>
      <c r="C40" s="28" t="s">
        <v>24</v>
      </c>
      <c r="D40" s="28" t="s">
        <v>76</v>
      </c>
      <c r="E40" s="28">
        <v>26</v>
      </c>
    </row>
    <row r="41" spans="1:5" s="27" customFormat="1" x14ac:dyDescent="0.25">
      <c r="A41" s="28" t="s">
        <v>223</v>
      </c>
      <c r="B41" s="28" t="s">
        <v>121</v>
      </c>
      <c r="C41" s="28" t="s">
        <v>24</v>
      </c>
      <c r="D41" s="28" t="s">
        <v>76</v>
      </c>
      <c r="E41" s="28">
        <v>26</v>
      </c>
    </row>
    <row r="42" spans="1:5" s="27" customFormat="1" x14ac:dyDescent="0.25">
      <c r="A42" s="28" t="s">
        <v>226</v>
      </c>
      <c r="B42" s="28" t="s">
        <v>125</v>
      </c>
      <c r="C42" s="28" t="s">
        <v>24</v>
      </c>
      <c r="D42" s="28" t="s">
        <v>76</v>
      </c>
      <c r="E42" s="28">
        <v>26</v>
      </c>
    </row>
    <row r="43" spans="1:5" s="27" customFormat="1" x14ac:dyDescent="0.25">
      <c r="A43" s="28" t="s">
        <v>225</v>
      </c>
      <c r="B43" s="28" t="s">
        <v>127</v>
      </c>
      <c r="C43" s="28" t="s">
        <v>24</v>
      </c>
      <c r="D43" s="28" t="s">
        <v>76</v>
      </c>
      <c r="E43" s="28">
        <v>26</v>
      </c>
    </row>
    <row r="44" spans="1:5" s="27" customFormat="1" x14ac:dyDescent="0.25">
      <c r="A44" s="28" t="s">
        <v>227</v>
      </c>
      <c r="B44" s="28" t="s">
        <v>130</v>
      </c>
      <c r="C44" s="28" t="s">
        <v>24</v>
      </c>
      <c r="D44" s="28" t="s">
        <v>76</v>
      </c>
      <c r="E44" s="28">
        <v>26</v>
      </c>
    </row>
    <row r="45" spans="1:5" s="27" customFormat="1" x14ac:dyDescent="0.25">
      <c r="A45" s="28" t="s">
        <v>228</v>
      </c>
      <c r="B45" s="28" t="s">
        <v>132</v>
      </c>
      <c r="C45" s="28" t="s">
        <v>24</v>
      </c>
      <c r="D45" s="28" t="s">
        <v>76</v>
      </c>
      <c r="E45" s="28">
        <v>26</v>
      </c>
    </row>
    <row r="46" spans="1:5" s="27" customFormat="1" x14ac:dyDescent="0.25">
      <c r="A46" s="28" t="s">
        <v>233</v>
      </c>
      <c r="B46" s="28" t="s">
        <v>96</v>
      </c>
      <c r="C46" s="28" t="s">
        <v>25</v>
      </c>
      <c r="D46" s="28" t="s">
        <v>76</v>
      </c>
      <c r="E46" s="28">
        <v>22</v>
      </c>
    </row>
    <row r="47" spans="1:5" s="27" customFormat="1" x14ac:dyDescent="0.25">
      <c r="A47" s="28" t="s">
        <v>234</v>
      </c>
      <c r="B47" s="28" t="s">
        <v>98</v>
      </c>
      <c r="C47" s="28" t="s">
        <v>25</v>
      </c>
      <c r="D47" s="28" t="s">
        <v>76</v>
      </c>
      <c r="E47" s="28">
        <v>22</v>
      </c>
    </row>
    <row r="48" spans="1:5" s="27" customFormat="1" x14ac:dyDescent="0.25">
      <c r="A48" s="28" t="s">
        <v>237</v>
      </c>
      <c r="B48" s="28" t="s">
        <v>103</v>
      </c>
      <c r="C48" s="28" t="s">
        <v>25</v>
      </c>
      <c r="D48" s="28" t="s">
        <v>76</v>
      </c>
      <c r="E48" s="28">
        <v>26</v>
      </c>
    </row>
    <row r="49" spans="1:5" s="27" customFormat="1" x14ac:dyDescent="0.25">
      <c r="A49" s="28" t="s">
        <v>238</v>
      </c>
      <c r="B49" s="28" t="s">
        <v>105</v>
      </c>
      <c r="C49" s="28" t="s">
        <v>25</v>
      </c>
      <c r="D49" s="28" t="s">
        <v>76</v>
      </c>
      <c r="E49" s="28">
        <v>26</v>
      </c>
    </row>
    <row r="50" spans="1:5" s="27" customFormat="1" x14ac:dyDescent="0.25">
      <c r="A50" s="28" t="s">
        <v>240</v>
      </c>
      <c r="B50" s="28" t="s">
        <v>107</v>
      </c>
      <c r="C50" s="28" t="s">
        <v>25</v>
      </c>
      <c r="D50" s="28" t="s">
        <v>76</v>
      </c>
      <c r="E50" s="28">
        <v>26</v>
      </c>
    </row>
    <row r="51" spans="1:5" s="27" customFormat="1" x14ac:dyDescent="0.25">
      <c r="A51" s="28" t="s">
        <v>244</v>
      </c>
      <c r="B51" s="28" t="s">
        <v>115</v>
      </c>
      <c r="C51" s="28" t="s">
        <v>25</v>
      </c>
      <c r="D51" s="28" t="s">
        <v>76</v>
      </c>
      <c r="E51" s="28">
        <v>26</v>
      </c>
    </row>
    <row r="52" spans="1:5" s="27" customFormat="1" x14ac:dyDescent="0.25">
      <c r="A52" s="28" t="s">
        <v>248</v>
      </c>
      <c r="B52" s="28" t="s">
        <v>117</v>
      </c>
      <c r="C52" s="28" t="s">
        <v>25</v>
      </c>
      <c r="D52" s="28" t="s">
        <v>76</v>
      </c>
      <c r="E52" s="28">
        <v>26</v>
      </c>
    </row>
    <row r="53" spans="1:5" s="27" customFormat="1" x14ac:dyDescent="0.25">
      <c r="A53" s="28" t="s">
        <v>249</v>
      </c>
      <c r="B53" s="28" t="s">
        <v>119</v>
      </c>
      <c r="C53" s="28" t="s">
        <v>25</v>
      </c>
      <c r="D53" s="28" t="s">
        <v>76</v>
      </c>
      <c r="E53" s="28">
        <v>26</v>
      </c>
    </row>
    <row r="54" spans="1:5" s="27" customFormat="1" x14ac:dyDescent="0.25">
      <c r="A54" s="28" t="s">
        <v>250</v>
      </c>
      <c r="B54" s="28" t="s">
        <v>123</v>
      </c>
      <c r="C54" s="28" t="s">
        <v>25</v>
      </c>
      <c r="D54" s="28" t="s">
        <v>76</v>
      </c>
      <c r="E54" s="28">
        <v>26</v>
      </c>
    </row>
    <row r="55" spans="1:5" s="27" customFormat="1" x14ac:dyDescent="0.25">
      <c r="A55" s="28" t="s">
        <v>245</v>
      </c>
      <c r="B55" s="28" t="s">
        <v>121</v>
      </c>
      <c r="C55" s="28" t="s">
        <v>25</v>
      </c>
      <c r="D55" s="28" t="s">
        <v>76</v>
      </c>
      <c r="E55" s="28">
        <v>26</v>
      </c>
    </row>
    <row r="56" spans="1:5" s="27" customFormat="1" x14ac:dyDescent="0.25">
      <c r="A56" s="28" t="s">
        <v>247</v>
      </c>
      <c r="B56" s="28" t="s">
        <v>125</v>
      </c>
      <c r="C56" s="28" t="s">
        <v>25</v>
      </c>
      <c r="D56" s="28" t="s">
        <v>76</v>
      </c>
      <c r="E56" s="28">
        <v>26</v>
      </c>
    </row>
    <row r="57" spans="1:5" s="27" customFormat="1" x14ac:dyDescent="0.25">
      <c r="A57" s="28" t="s">
        <v>251</v>
      </c>
      <c r="B57" s="28" t="s">
        <v>127</v>
      </c>
      <c r="C57" s="28" t="s">
        <v>25</v>
      </c>
      <c r="D57" s="28" t="s">
        <v>76</v>
      </c>
      <c r="E57" s="28">
        <v>26</v>
      </c>
    </row>
    <row r="58" spans="1:5" s="27" customFormat="1" x14ac:dyDescent="0.25">
      <c r="A58" s="28" t="s">
        <v>252</v>
      </c>
      <c r="B58" s="28" t="s">
        <v>130</v>
      </c>
      <c r="C58" s="28" t="s">
        <v>25</v>
      </c>
      <c r="D58" s="28" t="s">
        <v>76</v>
      </c>
      <c r="E58" s="28">
        <v>26</v>
      </c>
    </row>
    <row r="59" spans="1:5" s="27" customFormat="1" x14ac:dyDescent="0.25">
      <c r="A59" s="28" t="s">
        <v>253</v>
      </c>
      <c r="B59" s="28" t="s">
        <v>132</v>
      </c>
      <c r="C59" s="28" t="s">
        <v>25</v>
      </c>
      <c r="D59" s="28" t="s">
        <v>76</v>
      </c>
      <c r="E59" s="28">
        <v>26</v>
      </c>
    </row>
  </sheetData>
  <autoFilter ref="A4:E4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0A68"/>
  </sheetPr>
  <dimension ref="A1:F16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0" customWidth="1"/>
    <col min="3" max="3" width="6" customWidth="1"/>
    <col min="4" max="4" width="7" customWidth="1"/>
    <col min="5" max="5" width="15" customWidth="1"/>
    <col min="6" max="6" width="40" customWidth="1"/>
  </cols>
  <sheetData>
    <row r="1" ht="30" customHeight="1" spans="1:6" x14ac:dyDescent="0.25">
      <c r="A1" s="1" t="s">
        <v>394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6" x14ac:dyDescent="0.25">
      <c r="A4" s="92" t="s">
        <v>395</v>
      </c>
      <c r="B4" s="92" t="s">
        <v>396</v>
      </c>
      <c r="C4" s="92" t="s">
        <v>397</v>
      </c>
      <c r="D4" s="92" t="s">
        <v>398</v>
      </c>
      <c r="E4" s="92" t="s">
        <v>399</v>
      </c>
      <c r="F4" s="92" t="s">
        <v>400</v>
      </c>
    </row>
    <row r="5" spans="1:6" s="27" customFormat="1" x14ac:dyDescent="0.25">
      <c r="A5" s="28" t="s">
        <v>81</v>
      </c>
      <c r="B5" s="28" t="s">
        <v>82</v>
      </c>
      <c r="C5" s="28" t="s">
        <v>401</v>
      </c>
      <c r="D5" s="28">
        <v>0</v>
      </c>
      <c r="E5" s="28" t="s">
        <v>91</v>
      </c>
      <c r="F5" s="28" t="s">
        <v>92</v>
      </c>
    </row>
    <row r="6" spans="1:6" s="27" customFormat="1" x14ac:dyDescent="0.25">
      <c r="A6" s="28" t="s">
        <v>91</v>
      </c>
      <c r="B6" s="28" t="s">
        <v>92</v>
      </c>
      <c r="C6" s="28" t="s">
        <v>402</v>
      </c>
      <c r="D6" s="28">
        <v>5</v>
      </c>
      <c r="E6" s="28" t="s">
        <v>93</v>
      </c>
      <c r="F6" s="28" t="s">
        <v>94</v>
      </c>
    </row>
    <row r="7" spans="1:6" s="27" customFormat="1" x14ac:dyDescent="0.25">
      <c r="A7" s="28" t="s">
        <v>91</v>
      </c>
      <c r="B7" s="28" t="s">
        <v>92</v>
      </c>
      <c r="C7" s="28" t="s">
        <v>401</v>
      </c>
      <c r="D7" s="28">
        <v>0</v>
      </c>
      <c r="E7" s="28" t="s">
        <v>95</v>
      </c>
      <c r="F7" s="28" t="s">
        <v>96</v>
      </c>
    </row>
    <row r="8" spans="1:6" s="27" customFormat="1" x14ac:dyDescent="0.25">
      <c r="A8" s="28" t="s">
        <v>93</v>
      </c>
      <c r="B8" s="28" t="s">
        <v>94</v>
      </c>
      <c r="C8" s="28" t="s">
        <v>401</v>
      </c>
      <c r="D8" s="28">
        <v>0</v>
      </c>
      <c r="E8" s="28" t="s">
        <v>97</v>
      </c>
      <c r="F8" s="28" t="s">
        <v>98</v>
      </c>
    </row>
    <row r="9" spans="1:6" s="27" customFormat="1" x14ac:dyDescent="0.25">
      <c r="A9" s="28" t="s">
        <v>95</v>
      </c>
      <c r="B9" s="28" t="s">
        <v>96</v>
      </c>
      <c r="C9" s="28" t="s">
        <v>403</v>
      </c>
      <c r="D9" s="28">
        <v>0</v>
      </c>
      <c r="E9" s="28" t="s">
        <v>97</v>
      </c>
      <c r="F9" s="28" t="s">
        <v>98</v>
      </c>
    </row>
    <row r="10" spans="1:6" s="27" customFormat="1" x14ac:dyDescent="0.25">
      <c r="A10" s="28" t="s">
        <v>93</v>
      </c>
      <c r="B10" s="28" t="s">
        <v>94</v>
      </c>
      <c r="C10" s="28" t="s">
        <v>401</v>
      </c>
      <c r="D10" s="28">
        <v>0</v>
      </c>
      <c r="E10" s="28" t="s">
        <v>100</v>
      </c>
      <c r="F10" s="28" t="s">
        <v>101</v>
      </c>
    </row>
    <row r="11" spans="1:6" s="27" customFormat="1" x14ac:dyDescent="0.25">
      <c r="A11" s="28" t="s">
        <v>100</v>
      </c>
      <c r="B11" s="28" t="s">
        <v>101</v>
      </c>
      <c r="C11" s="28" t="s">
        <v>401</v>
      </c>
      <c r="D11" s="28">
        <v>0</v>
      </c>
      <c r="E11" s="28" t="s">
        <v>102</v>
      </c>
      <c r="F11" s="28" t="s">
        <v>103</v>
      </c>
    </row>
    <row r="12" spans="1:6" s="27" customFormat="1" x14ac:dyDescent="0.25">
      <c r="A12" s="28" t="s">
        <v>95</v>
      </c>
      <c r="B12" s="28" t="s">
        <v>96</v>
      </c>
      <c r="C12" s="28" t="s">
        <v>401</v>
      </c>
      <c r="D12" s="28">
        <v>0</v>
      </c>
      <c r="E12" s="28" t="s">
        <v>104</v>
      </c>
      <c r="F12" s="28" t="s">
        <v>105</v>
      </c>
    </row>
    <row r="13" spans="1:6" s="27" customFormat="1" x14ac:dyDescent="0.25">
      <c r="A13" s="28" t="s">
        <v>104</v>
      </c>
      <c r="B13" s="28" t="s">
        <v>105</v>
      </c>
      <c r="C13" s="28" t="s">
        <v>401</v>
      </c>
      <c r="D13" s="28">
        <v>0</v>
      </c>
      <c r="E13" s="28" t="s">
        <v>106</v>
      </c>
      <c r="F13" s="28" t="s">
        <v>107</v>
      </c>
    </row>
    <row r="14" spans="1:6" s="27" customFormat="1" x14ac:dyDescent="0.25">
      <c r="A14" s="28" t="s">
        <v>81</v>
      </c>
      <c r="B14" s="28" t="s">
        <v>82</v>
      </c>
      <c r="C14" s="28" t="s">
        <v>401</v>
      </c>
      <c r="D14" s="28">
        <v>0</v>
      </c>
      <c r="E14" s="28" t="s">
        <v>110</v>
      </c>
      <c r="F14" s="28" t="s">
        <v>111</v>
      </c>
    </row>
    <row r="15" spans="1:6" s="27" customFormat="1" x14ac:dyDescent="0.25">
      <c r="A15" s="28" t="s">
        <v>110</v>
      </c>
      <c r="B15" s="28" t="s">
        <v>111</v>
      </c>
      <c r="C15" s="28" t="s">
        <v>401</v>
      </c>
      <c r="D15" s="28">
        <v>0</v>
      </c>
      <c r="E15" s="28" t="s">
        <v>112</v>
      </c>
      <c r="F15" s="28" t="s">
        <v>113</v>
      </c>
    </row>
    <row r="16" spans="1:6" s="27" customFormat="1" x14ac:dyDescent="0.25">
      <c r="A16" s="28" t="s">
        <v>93</v>
      </c>
      <c r="B16" s="28" t="s">
        <v>94</v>
      </c>
      <c r="C16" s="28" t="s">
        <v>402</v>
      </c>
      <c r="D16" s="28">
        <v>10</v>
      </c>
      <c r="E16" s="28" t="s">
        <v>112</v>
      </c>
      <c r="F16" s="28" t="s">
        <v>113</v>
      </c>
    </row>
    <row r="17" spans="1:6" s="27" customFormat="1" x14ac:dyDescent="0.25">
      <c r="A17" s="28" t="s">
        <v>112</v>
      </c>
      <c r="B17" s="28" t="s">
        <v>113</v>
      </c>
      <c r="C17" s="28" t="s">
        <v>402</v>
      </c>
      <c r="D17" s="28">
        <v>7</v>
      </c>
      <c r="E17" s="28" t="s">
        <v>114</v>
      </c>
      <c r="F17" s="28" t="s">
        <v>115</v>
      </c>
    </row>
    <row r="18" spans="1:6" s="27" customFormat="1" x14ac:dyDescent="0.25">
      <c r="A18" s="28" t="s">
        <v>114</v>
      </c>
      <c r="B18" s="28" t="s">
        <v>115</v>
      </c>
      <c r="C18" s="28" t="s">
        <v>401</v>
      </c>
      <c r="D18" s="28">
        <v>0</v>
      </c>
      <c r="E18" s="28" t="s">
        <v>116</v>
      </c>
      <c r="F18" s="28" t="s">
        <v>117</v>
      </c>
    </row>
    <row r="19" spans="1:6" s="27" customFormat="1" x14ac:dyDescent="0.25">
      <c r="A19" s="28" t="s">
        <v>116</v>
      </c>
      <c r="B19" s="28" t="s">
        <v>117</v>
      </c>
      <c r="C19" s="28" t="s">
        <v>401</v>
      </c>
      <c r="D19" s="28">
        <v>0</v>
      </c>
      <c r="E19" s="28" t="s">
        <v>118</v>
      </c>
      <c r="F19" s="28" t="s">
        <v>119</v>
      </c>
    </row>
    <row r="20" spans="1:6" s="27" customFormat="1" x14ac:dyDescent="0.25">
      <c r="A20" s="28" t="s">
        <v>102</v>
      </c>
      <c r="B20" s="28" t="s">
        <v>103</v>
      </c>
      <c r="C20" s="28" t="s">
        <v>402</v>
      </c>
      <c r="D20" s="28">
        <v>15</v>
      </c>
      <c r="E20" s="28" t="s">
        <v>118</v>
      </c>
      <c r="F20" s="28" t="s">
        <v>119</v>
      </c>
    </row>
    <row r="21" spans="1:6" s="27" customFormat="1" x14ac:dyDescent="0.25">
      <c r="A21" s="28" t="s">
        <v>118</v>
      </c>
      <c r="B21" s="28" t="s">
        <v>119</v>
      </c>
      <c r="C21" s="28" t="s">
        <v>401</v>
      </c>
      <c r="D21" s="28">
        <v>-5</v>
      </c>
      <c r="E21" s="28" t="s">
        <v>122</v>
      </c>
      <c r="F21" s="28" t="s">
        <v>123</v>
      </c>
    </row>
    <row r="22" spans="1:6" s="27" customFormat="1" x14ac:dyDescent="0.25">
      <c r="A22" s="28" t="s">
        <v>118</v>
      </c>
      <c r="B22" s="28" t="s">
        <v>119</v>
      </c>
      <c r="C22" s="28" t="s">
        <v>402</v>
      </c>
      <c r="D22" s="28">
        <v>20</v>
      </c>
      <c r="E22" s="28" t="s">
        <v>120</v>
      </c>
      <c r="F22" s="28" t="s">
        <v>121</v>
      </c>
    </row>
    <row r="23" spans="1:6" s="27" customFormat="1" x14ac:dyDescent="0.25">
      <c r="A23" s="28" t="s">
        <v>120</v>
      </c>
      <c r="B23" s="28" t="s">
        <v>121</v>
      </c>
      <c r="C23" s="28" t="s">
        <v>402</v>
      </c>
      <c r="D23" s="28">
        <v>10</v>
      </c>
      <c r="E23" s="28" t="s">
        <v>124</v>
      </c>
      <c r="F23" s="28" t="s">
        <v>125</v>
      </c>
    </row>
    <row r="24" spans="1:6" s="27" customFormat="1" x14ac:dyDescent="0.25">
      <c r="A24" s="28" t="s">
        <v>106</v>
      </c>
      <c r="B24" s="28" t="s">
        <v>107</v>
      </c>
      <c r="C24" s="28" t="s">
        <v>401</v>
      </c>
      <c r="D24" s="28">
        <v>0</v>
      </c>
      <c r="E24" s="28" t="s">
        <v>124</v>
      </c>
      <c r="F24" s="28" t="s">
        <v>125</v>
      </c>
    </row>
    <row r="25" spans="1:6" s="27" customFormat="1" x14ac:dyDescent="0.25">
      <c r="A25" s="28" t="s">
        <v>120</v>
      </c>
      <c r="B25" s="28" t="s">
        <v>121</v>
      </c>
      <c r="C25" s="28" t="s">
        <v>401</v>
      </c>
      <c r="D25" s="28">
        <v>0</v>
      </c>
      <c r="E25" s="28" t="s">
        <v>126</v>
      </c>
      <c r="F25" s="28" t="s">
        <v>127</v>
      </c>
    </row>
    <row r="26" spans="1:6" s="27" customFormat="1" x14ac:dyDescent="0.25">
      <c r="A26" s="28" t="s">
        <v>122</v>
      </c>
      <c r="B26" s="28" t="s">
        <v>123</v>
      </c>
      <c r="C26" s="28" t="s">
        <v>401</v>
      </c>
      <c r="D26" s="28">
        <v>0</v>
      </c>
      <c r="E26" s="28" t="s">
        <v>126</v>
      </c>
      <c r="F26" s="28" t="s">
        <v>127</v>
      </c>
    </row>
    <row r="27" spans="1:6" s="27" customFormat="1" x14ac:dyDescent="0.25">
      <c r="A27" s="28" t="s">
        <v>124</v>
      </c>
      <c r="B27" s="28" t="s">
        <v>125</v>
      </c>
      <c r="C27" s="28" t="s">
        <v>401</v>
      </c>
      <c r="D27" s="28">
        <v>0</v>
      </c>
      <c r="E27" s="28" t="s">
        <v>129</v>
      </c>
      <c r="F27" s="28" t="s">
        <v>130</v>
      </c>
    </row>
    <row r="28" spans="1:6" s="27" customFormat="1" x14ac:dyDescent="0.25">
      <c r="A28" s="28" t="s">
        <v>126</v>
      </c>
      <c r="B28" s="28" t="s">
        <v>127</v>
      </c>
      <c r="C28" s="28" t="s">
        <v>403</v>
      </c>
      <c r="D28" s="28">
        <v>0</v>
      </c>
      <c r="E28" s="28" t="s">
        <v>129</v>
      </c>
      <c r="F28" s="28" t="s">
        <v>130</v>
      </c>
    </row>
    <row r="29" spans="1:6" s="27" customFormat="1" x14ac:dyDescent="0.25">
      <c r="A29" s="28" t="s">
        <v>129</v>
      </c>
      <c r="B29" s="28" t="s">
        <v>130</v>
      </c>
      <c r="C29" s="28" t="s">
        <v>401</v>
      </c>
      <c r="D29" s="28">
        <v>0</v>
      </c>
      <c r="E29" s="28" t="s">
        <v>131</v>
      </c>
      <c r="F29" s="28" t="s">
        <v>132</v>
      </c>
    </row>
    <row r="30" spans="1:6" s="27" customFormat="1" x14ac:dyDescent="0.25">
      <c r="A30" s="28" t="s">
        <v>131</v>
      </c>
      <c r="B30" s="28" t="s">
        <v>132</v>
      </c>
      <c r="C30" s="28" t="s">
        <v>401</v>
      </c>
      <c r="D30" s="28">
        <v>0</v>
      </c>
      <c r="E30" s="28" t="s">
        <v>83</v>
      </c>
      <c r="F30" s="28" t="s">
        <v>84</v>
      </c>
    </row>
    <row r="31" spans="1:6" s="27" customFormat="1" x14ac:dyDescent="0.25">
      <c r="A31" s="28" t="s">
        <v>81</v>
      </c>
      <c r="B31" s="28" t="s">
        <v>82</v>
      </c>
      <c r="C31" s="28" t="s">
        <v>401</v>
      </c>
      <c r="D31" s="28">
        <v>10</v>
      </c>
      <c r="E31" s="28" t="s">
        <v>135</v>
      </c>
      <c r="F31" s="28" t="s">
        <v>92</v>
      </c>
    </row>
    <row r="32" spans="1:6" s="27" customFormat="1" x14ac:dyDescent="0.25">
      <c r="A32" s="28" t="s">
        <v>135</v>
      </c>
      <c r="B32" s="28" t="s">
        <v>92</v>
      </c>
      <c r="C32" s="28" t="s">
        <v>402</v>
      </c>
      <c r="D32" s="28">
        <v>5</v>
      </c>
      <c r="E32" s="28" t="s">
        <v>136</v>
      </c>
      <c r="F32" s="28" t="s">
        <v>94</v>
      </c>
    </row>
    <row r="33" spans="1:6" s="27" customFormat="1" x14ac:dyDescent="0.25">
      <c r="A33" s="28" t="s">
        <v>135</v>
      </c>
      <c r="B33" s="28" t="s">
        <v>92</v>
      </c>
      <c r="C33" s="28" t="s">
        <v>401</v>
      </c>
      <c r="D33" s="28">
        <v>0</v>
      </c>
      <c r="E33" s="28" t="s">
        <v>137</v>
      </c>
      <c r="F33" s="28" t="s">
        <v>96</v>
      </c>
    </row>
    <row r="34" spans="1:6" s="27" customFormat="1" x14ac:dyDescent="0.25">
      <c r="A34" s="28" t="s">
        <v>136</v>
      </c>
      <c r="B34" s="28" t="s">
        <v>94</v>
      </c>
      <c r="C34" s="28" t="s">
        <v>401</v>
      </c>
      <c r="D34" s="28">
        <v>0</v>
      </c>
      <c r="E34" s="28" t="s">
        <v>138</v>
      </c>
      <c r="F34" s="28" t="s">
        <v>98</v>
      </c>
    </row>
    <row r="35" spans="1:6" s="27" customFormat="1" x14ac:dyDescent="0.25">
      <c r="A35" s="28" t="s">
        <v>137</v>
      </c>
      <c r="B35" s="28" t="s">
        <v>96</v>
      </c>
      <c r="C35" s="28" t="s">
        <v>403</v>
      </c>
      <c r="D35" s="28">
        <v>0</v>
      </c>
      <c r="E35" s="28" t="s">
        <v>138</v>
      </c>
      <c r="F35" s="28" t="s">
        <v>98</v>
      </c>
    </row>
    <row r="36" spans="1:6" s="27" customFormat="1" x14ac:dyDescent="0.25">
      <c r="A36" s="28" t="s">
        <v>136</v>
      </c>
      <c r="B36" s="28" t="s">
        <v>94</v>
      </c>
      <c r="C36" s="28" t="s">
        <v>401</v>
      </c>
      <c r="D36" s="28">
        <v>0</v>
      </c>
      <c r="E36" s="28" t="s">
        <v>140</v>
      </c>
      <c r="F36" s="28" t="s">
        <v>101</v>
      </c>
    </row>
    <row r="37" spans="1:6" s="27" customFormat="1" x14ac:dyDescent="0.25">
      <c r="A37" s="28" t="s">
        <v>140</v>
      </c>
      <c r="B37" s="28" t="s">
        <v>101</v>
      </c>
      <c r="C37" s="28" t="s">
        <v>401</v>
      </c>
      <c r="D37" s="28">
        <v>0</v>
      </c>
      <c r="E37" s="28" t="s">
        <v>141</v>
      </c>
      <c r="F37" s="28" t="s">
        <v>103</v>
      </c>
    </row>
    <row r="38" spans="1:6" s="27" customFormat="1" x14ac:dyDescent="0.25">
      <c r="A38" s="28" t="s">
        <v>137</v>
      </c>
      <c r="B38" s="28" t="s">
        <v>96</v>
      </c>
      <c r="C38" s="28" t="s">
        <v>401</v>
      </c>
      <c r="D38" s="28">
        <v>0</v>
      </c>
      <c r="E38" s="28" t="s">
        <v>142</v>
      </c>
      <c r="F38" s="28" t="s">
        <v>105</v>
      </c>
    </row>
    <row r="39" spans="1:6" s="27" customFormat="1" x14ac:dyDescent="0.25">
      <c r="A39" s="28" t="s">
        <v>142</v>
      </c>
      <c r="B39" s="28" t="s">
        <v>105</v>
      </c>
      <c r="C39" s="28" t="s">
        <v>401</v>
      </c>
      <c r="D39" s="28">
        <v>0</v>
      </c>
      <c r="E39" s="28" t="s">
        <v>143</v>
      </c>
      <c r="F39" s="28" t="s">
        <v>107</v>
      </c>
    </row>
    <row r="40" spans="1:6" s="27" customFormat="1" x14ac:dyDescent="0.25">
      <c r="A40" s="28" t="s">
        <v>81</v>
      </c>
      <c r="B40" s="28" t="s">
        <v>82</v>
      </c>
      <c r="C40" s="28" t="s">
        <v>401</v>
      </c>
      <c r="D40" s="28">
        <v>10</v>
      </c>
      <c r="E40" s="28" t="s">
        <v>146</v>
      </c>
      <c r="F40" s="28" t="s">
        <v>111</v>
      </c>
    </row>
    <row r="41" spans="1:6" s="27" customFormat="1" x14ac:dyDescent="0.25">
      <c r="A41" s="28" t="s">
        <v>146</v>
      </c>
      <c r="B41" s="28" t="s">
        <v>111</v>
      </c>
      <c r="C41" s="28" t="s">
        <v>401</v>
      </c>
      <c r="D41" s="28">
        <v>0</v>
      </c>
      <c r="E41" s="28" t="s">
        <v>147</v>
      </c>
      <c r="F41" s="28" t="s">
        <v>113</v>
      </c>
    </row>
    <row r="42" spans="1:6" s="27" customFormat="1" x14ac:dyDescent="0.25">
      <c r="A42" s="28" t="s">
        <v>136</v>
      </c>
      <c r="B42" s="28" t="s">
        <v>94</v>
      </c>
      <c r="C42" s="28" t="s">
        <v>402</v>
      </c>
      <c r="D42" s="28">
        <v>10</v>
      </c>
      <c r="E42" s="28" t="s">
        <v>147</v>
      </c>
      <c r="F42" s="28" t="s">
        <v>113</v>
      </c>
    </row>
    <row r="43" spans="1:6" s="27" customFormat="1" x14ac:dyDescent="0.25">
      <c r="A43" s="28" t="s">
        <v>147</v>
      </c>
      <c r="B43" s="28" t="s">
        <v>113</v>
      </c>
      <c r="C43" s="28" t="s">
        <v>402</v>
      </c>
      <c r="D43" s="28">
        <v>7</v>
      </c>
      <c r="E43" s="28" t="s">
        <v>148</v>
      </c>
      <c r="F43" s="28" t="s">
        <v>115</v>
      </c>
    </row>
    <row r="44" spans="1:6" s="27" customFormat="1" x14ac:dyDescent="0.25">
      <c r="A44" s="28" t="s">
        <v>148</v>
      </c>
      <c r="B44" s="28" t="s">
        <v>115</v>
      </c>
      <c r="C44" s="28" t="s">
        <v>401</v>
      </c>
      <c r="D44" s="28">
        <v>0</v>
      </c>
      <c r="E44" s="28" t="s">
        <v>149</v>
      </c>
      <c r="F44" s="28" t="s">
        <v>117</v>
      </c>
    </row>
    <row r="45" spans="1:6" s="27" customFormat="1" x14ac:dyDescent="0.25">
      <c r="A45" s="28" t="s">
        <v>149</v>
      </c>
      <c r="B45" s="28" t="s">
        <v>117</v>
      </c>
      <c r="C45" s="28" t="s">
        <v>401</v>
      </c>
      <c r="D45" s="28">
        <v>0</v>
      </c>
      <c r="E45" s="28" t="s">
        <v>150</v>
      </c>
      <c r="F45" s="28" t="s">
        <v>119</v>
      </c>
    </row>
    <row r="46" spans="1:6" s="27" customFormat="1" x14ac:dyDescent="0.25">
      <c r="A46" s="28" t="s">
        <v>141</v>
      </c>
      <c r="B46" s="28" t="s">
        <v>103</v>
      </c>
      <c r="C46" s="28" t="s">
        <v>402</v>
      </c>
      <c r="D46" s="28">
        <v>15</v>
      </c>
      <c r="E46" s="28" t="s">
        <v>150</v>
      </c>
      <c r="F46" s="28" t="s">
        <v>119</v>
      </c>
    </row>
    <row r="47" spans="1:6" s="27" customFormat="1" x14ac:dyDescent="0.25">
      <c r="A47" s="28" t="s">
        <v>150</v>
      </c>
      <c r="B47" s="28" t="s">
        <v>119</v>
      </c>
      <c r="C47" s="28" t="s">
        <v>401</v>
      </c>
      <c r="D47" s="28">
        <v>-5</v>
      </c>
      <c r="E47" s="28" t="s">
        <v>152</v>
      </c>
      <c r="F47" s="28" t="s">
        <v>123</v>
      </c>
    </row>
    <row r="48" spans="1:6" s="27" customFormat="1" x14ac:dyDescent="0.25">
      <c r="A48" s="28" t="s">
        <v>150</v>
      </c>
      <c r="B48" s="28" t="s">
        <v>119</v>
      </c>
      <c r="C48" s="28" t="s">
        <v>402</v>
      </c>
      <c r="D48" s="28">
        <v>20</v>
      </c>
      <c r="E48" s="28" t="s">
        <v>151</v>
      </c>
      <c r="F48" s="28" t="s">
        <v>121</v>
      </c>
    </row>
    <row r="49" spans="1:6" s="27" customFormat="1" x14ac:dyDescent="0.25">
      <c r="A49" s="28" t="s">
        <v>151</v>
      </c>
      <c r="B49" s="28" t="s">
        <v>121</v>
      </c>
      <c r="C49" s="28" t="s">
        <v>402</v>
      </c>
      <c r="D49" s="28">
        <v>10</v>
      </c>
      <c r="E49" s="28" t="s">
        <v>154</v>
      </c>
      <c r="F49" s="28" t="s">
        <v>125</v>
      </c>
    </row>
    <row r="50" spans="1:6" s="27" customFormat="1" x14ac:dyDescent="0.25">
      <c r="A50" s="28" t="s">
        <v>143</v>
      </c>
      <c r="B50" s="28" t="s">
        <v>107</v>
      </c>
      <c r="C50" s="28" t="s">
        <v>401</v>
      </c>
      <c r="D50" s="28">
        <v>0</v>
      </c>
      <c r="E50" s="28" t="s">
        <v>154</v>
      </c>
      <c r="F50" s="28" t="s">
        <v>125</v>
      </c>
    </row>
    <row r="51" spans="1:6" s="27" customFormat="1" x14ac:dyDescent="0.25">
      <c r="A51" s="28" t="s">
        <v>151</v>
      </c>
      <c r="B51" s="28" t="s">
        <v>121</v>
      </c>
      <c r="C51" s="28" t="s">
        <v>401</v>
      </c>
      <c r="D51" s="28">
        <v>0</v>
      </c>
      <c r="E51" s="28" t="s">
        <v>153</v>
      </c>
      <c r="F51" s="28" t="s">
        <v>127</v>
      </c>
    </row>
    <row r="52" spans="1:6" s="27" customFormat="1" x14ac:dyDescent="0.25">
      <c r="A52" s="28" t="s">
        <v>152</v>
      </c>
      <c r="B52" s="28" t="s">
        <v>123</v>
      </c>
      <c r="C52" s="28" t="s">
        <v>401</v>
      </c>
      <c r="D52" s="28">
        <v>0</v>
      </c>
      <c r="E52" s="28" t="s">
        <v>153</v>
      </c>
      <c r="F52" s="28" t="s">
        <v>127</v>
      </c>
    </row>
    <row r="53" spans="1:6" s="27" customFormat="1" x14ac:dyDescent="0.25">
      <c r="A53" s="28" t="s">
        <v>154</v>
      </c>
      <c r="B53" s="28" t="s">
        <v>125</v>
      </c>
      <c r="C53" s="28" t="s">
        <v>401</v>
      </c>
      <c r="D53" s="28">
        <v>0</v>
      </c>
      <c r="E53" s="28" t="s">
        <v>155</v>
      </c>
      <c r="F53" s="28" t="s">
        <v>130</v>
      </c>
    </row>
    <row r="54" spans="1:6" s="27" customFormat="1" x14ac:dyDescent="0.25">
      <c r="A54" s="28" t="s">
        <v>153</v>
      </c>
      <c r="B54" s="28" t="s">
        <v>127</v>
      </c>
      <c r="C54" s="28" t="s">
        <v>403</v>
      </c>
      <c r="D54" s="28">
        <v>0</v>
      </c>
      <c r="E54" s="28" t="s">
        <v>155</v>
      </c>
      <c r="F54" s="28" t="s">
        <v>130</v>
      </c>
    </row>
    <row r="55" spans="1:6" s="27" customFormat="1" x14ac:dyDescent="0.25">
      <c r="A55" s="28" t="s">
        <v>155</v>
      </c>
      <c r="B55" s="28" t="s">
        <v>130</v>
      </c>
      <c r="C55" s="28" t="s">
        <v>401</v>
      </c>
      <c r="D55" s="28">
        <v>0</v>
      </c>
      <c r="E55" s="28" t="s">
        <v>156</v>
      </c>
      <c r="F55" s="28" t="s">
        <v>132</v>
      </c>
    </row>
    <row r="56" spans="1:6" s="27" customFormat="1" x14ac:dyDescent="0.25">
      <c r="A56" s="28" t="s">
        <v>156</v>
      </c>
      <c r="B56" s="28" t="s">
        <v>132</v>
      </c>
      <c r="C56" s="28" t="s">
        <v>401</v>
      </c>
      <c r="D56" s="28">
        <v>0</v>
      </c>
      <c r="E56" s="28" t="s">
        <v>83</v>
      </c>
      <c r="F56" s="28" t="s">
        <v>84</v>
      </c>
    </row>
    <row r="57" spans="1:6" s="27" customFormat="1" x14ac:dyDescent="0.25">
      <c r="A57" s="28" t="s">
        <v>81</v>
      </c>
      <c r="B57" s="28" t="s">
        <v>82</v>
      </c>
      <c r="C57" s="28" t="s">
        <v>401</v>
      </c>
      <c r="D57" s="28">
        <v>40</v>
      </c>
      <c r="E57" s="28" t="s">
        <v>159</v>
      </c>
      <c r="F57" s="28" t="s">
        <v>92</v>
      </c>
    </row>
    <row r="58" spans="1:6" s="27" customFormat="1" x14ac:dyDescent="0.25">
      <c r="A58" s="28" t="s">
        <v>159</v>
      </c>
      <c r="B58" s="28" t="s">
        <v>92</v>
      </c>
      <c r="C58" s="28" t="s">
        <v>402</v>
      </c>
      <c r="D58" s="28">
        <v>5</v>
      </c>
      <c r="E58" s="28" t="s">
        <v>160</v>
      </c>
      <c r="F58" s="28" t="s">
        <v>94</v>
      </c>
    </row>
    <row r="59" spans="1:6" s="27" customFormat="1" x14ac:dyDescent="0.25">
      <c r="A59" s="28" t="s">
        <v>159</v>
      </c>
      <c r="B59" s="28" t="s">
        <v>92</v>
      </c>
      <c r="C59" s="28" t="s">
        <v>401</v>
      </c>
      <c r="D59" s="28">
        <v>0</v>
      </c>
      <c r="E59" s="28" t="s">
        <v>161</v>
      </c>
      <c r="F59" s="28" t="s">
        <v>96</v>
      </c>
    </row>
    <row r="60" spans="1:6" s="27" customFormat="1" x14ac:dyDescent="0.25">
      <c r="A60" s="28" t="s">
        <v>160</v>
      </c>
      <c r="B60" s="28" t="s">
        <v>94</v>
      </c>
      <c r="C60" s="28" t="s">
        <v>401</v>
      </c>
      <c r="D60" s="28">
        <v>0</v>
      </c>
      <c r="E60" s="28" t="s">
        <v>162</v>
      </c>
      <c r="F60" s="28" t="s">
        <v>98</v>
      </c>
    </row>
    <row r="61" spans="1:6" s="27" customFormat="1" x14ac:dyDescent="0.25">
      <c r="A61" s="28" t="s">
        <v>161</v>
      </c>
      <c r="B61" s="28" t="s">
        <v>96</v>
      </c>
      <c r="C61" s="28" t="s">
        <v>403</v>
      </c>
      <c r="D61" s="28">
        <v>0</v>
      </c>
      <c r="E61" s="28" t="s">
        <v>162</v>
      </c>
      <c r="F61" s="28" t="s">
        <v>98</v>
      </c>
    </row>
    <row r="62" spans="1:6" s="27" customFormat="1" x14ac:dyDescent="0.25">
      <c r="A62" s="28" t="s">
        <v>160</v>
      </c>
      <c r="B62" s="28" t="s">
        <v>94</v>
      </c>
      <c r="C62" s="28" t="s">
        <v>401</v>
      </c>
      <c r="D62" s="28">
        <v>0</v>
      </c>
      <c r="E62" s="28" t="s">
        <v>164</v>
      </c>
      <c r="F62" s="28" t="s">
        <v>101</v>
      </c>
    </row>
    <row r="63" spans="1:6" s="27" customFormat="1" x14ac:dyDescent="0.25">
      <c r="A63" s="28" t="s">
        <v>164</v>
      </c>
      <c r="B63" s="28" t="s">
        <v>101</v>
      </c>
      <c r="C63" s="28" t="s">
        <v>401</v>
      </c>
      <c r="D63" s="28">
        <v>0</v>
      </c>
      <c r="E63" s="28" t="s">
        <v>165</v>
      </c>
      <c r="F63" s="28" t="s">
        <v>103</v>
      </c>
    </row>
    <row r="64" spans="1:6" s="27" customFormat="1" x14ac:dyDescent="0.25">
      <c r="A64" s="28" t="s">
        <v>161</v>
      </c>
      <c r="B64" s="28" t="s">
        <v>96</v>
      </c>
      <c r="C64" s="28" t="s">
        <v>401</v>
      </c>
      <c r="D64" s="28">
        <v>0</v>
      </c>
      <c r="E64" s="28" t="s">
        <v>166</v>
      </c>
      <c r="F64" s="28" t="s">
        <v>105</v>
      </c>
    </row>
    <row r="65" spans="1:6" s="27" customFormat="1" x14ac:dyDescent="0.25">
      <c r="A65" s="28" t="s">
        <v>166</v>
      </c>
      <c r="B65" s="28" t="s">
        <v>105</v>
      </c>
      <c r="C65" s="28" t="s">
        <v>401</v>
      </c>
      <c r="D65" s="28">
        <v>0</v>
      </c>
      <c r="E65" s="28" t="s">
        <v>167</v>
      </c>
      <c r="F65" s="28" t="s">
        <v>107</v>
      </c>
    </row>
    <row r="66" spans="1:6" s="27" customFormat="1" x14ac:dyDescent="0.25">
      <c r="A66" s="28" t="s">
        <v>81</v>
      </c>
      <c r="B66" s="28" t="s">
        <v>82</v>
      </c>
      <c r="C66" s="28" t="s">
        <v>401</v>
      </c>
      <c r="D66" s="28">
        <v>40</v>
      </c>
      <c r="E66" s="28" t="s">
        <v>169</v>
      </c>
      <c r="F66" s="28" t="s">
        <v>111</v>
      </c>
    </row>
    <row r="67" spans="1:6" s="27" customFormat="1" x14ac:dyDescent="0.25">
      <c r="A67" s="28" t="s">
        <v>169</v>
      </c>
      <c r="B67" s="28" t="s">
        <v>111</v>
      </c>
      <c r="C67" s="28" t="s">
        <v>401</v>
      </c>
      <c r="D67" s="28">
        <v>0</v>
      </c>
      <c r="E67" s="28" t="s">
        <v>170</v>
      </c>
      <c r="F67" s="28" t="s">
        <v>113</v>
      </c>
    </row>
    <row r="68" spans="1:6" s="27" customFormat="1" x14ac:dyDescent="0.25">
      <c r="A68" s="28" t="s">
        <v>160</v>
      </c>
      <c r="B68" s="28" t="s">
        <v>94</v>
      </c>
      <c r="C68" s="28" t="s">
        <v>402</v>
      </c>
      <c r="D68" s="28">
        <v>10</v>
      </c>
      <c r="E68" s="28" t="s">
        <v>170</v>
      </c>
      <c r="F68" s="28" t="s">
        <v>113</v>
      </c>
    </row>
    <row r="69" spans="1:6" s="27" customFormat="1" x14ac:dyDescent="0.25">
      <c r="A69" s="28" t="s">
        <v>170</v>
      </c>
      <c r="B69" s="28" t="s">
        <v>113</v>
      </c>
      <c r="C69" s="28" t="s">
        <v>402</v>
      </c>
      <c r="D69" s="28">
        <v>7</v>
      </c>
      <c r="E69" s="28" t="s">
        <v>171</v>
      </c>
      <c r="F69" s="28" t="s">
        <v>115</v>
      </c>
    </row>
    <row r="70" spans="1:6" s="27" customFormat="1" x14ac:dyDescent="0.25">
      <c r="A70" s="28" t="s">
        <v>171</v>
      </c>
      <c r="B70" s="28" t="s">
        <v>115</v>
      </c>
      <c r="C70" s="28" t="s">
        <v>401</v>
      </c>
      <c r="D70" s="28">
        <v>0</v>
      </c>
      <c r="E70" s="28" t="s">
        <v>172</v>
      </c>
      <c r="F70" s="28" t="s">
        <v>117</v>
      </c>
    </row>
    <row r="71" spans="1:6" s="27" customFormat="1" x14ac:dyDescent="0.25">
      <c r="A71" s="28" t="s">
        <v>172</v>
      </c>
      <c r="B71" s="28" t="s">
        <v>117</v>
      </c>
      <c r="C71" s="28" t="s">
        <v>401</v>
      </c>
      <c r="D71" s="28">
        <v>0</v>
      </c>
      <c r="E71" s="28" t="s">
        <v>173</v>
      </c>
      <c r="F71" s="28" t="s">
        <v>119</v>
      </c>
    </row>
    <row r="72" spans="1:6" s="27" customFormat="1" x14ac:dyDescent="0.25">
      <c r="A72" s="28" t="s">
        <v>165</v>
      </c>
      <c r="B72" s="28" t="s">
        <v>103</v>
      </c>
      <c r="C72" s="28" t="s">
        <v>402</v>
      </c>
      <c r="D72" s="28">
        <v>15</v>
      </c>
      <c r="E72" s="28" t="s">
        <v>173</v>
      </c>
      <c r="F72" s="28" t="s">
        <v>119</v>
      </c>
    </row>
    <row r="73" spans="1:6" s="27" customFormat="1" x14ac:dyDescent="0.25">
      <c r="A73" s="28" t="s">
        <v>173</v>
      </c>
      <c r="B73" s="28" t="s">
        <v>119</v>
      </c>
      <c r="C73" s="28" t="s">
        <v>401</v>
      </c>
      <c r="D73" s="28">
        <v>-5</v>
      </c>
      <c r="E73" s="28" t="s">
        <v>175</v>
      </c>
      <c r="F73" s="28" t="s">
        <v>123</v>
      </c>
    </row>
    <row r="74" spans="1:6" s="27" customFormat="1" x14ac:dyDescent="0.25">
      <c r="A74" s="28" t="s">
        <v>173</v>
      </c>
      <c r="B74" s="28" t="s">
        <v>119</v>
      </c>
      <c r="C74" s="28" t="s">
        <v>402</v>
      </c>
      <c r="D74" s="28">
        <v>20</v>
      </c>
      <c r="E74" s="28" t="s">
        <v>174</v>
      </c>
      <c r="F74" s="28" t="s">
        <v>121</v>
      </c>
    </row>
    <row r="75" spans="1:6" s="27" customFormat="1" x14ac:dyDescent="0.25">
      <c r="A75" s="28" t="s">
        <v>174</v>
      </c>
      <c r="B75" s="28" t="s">
        <v>121</v>
      </c>
      <c r="C75" s="28" t="s">
        <v>402</v>
      </c>
      <c r="D75" s="28">
        <v>10</v>
      </c>
      <c r="E75" s="28" t="s">
        <v>177</v>
      </c>
      <c r="F75" s="28" t="s">
        <v>125</v>
      </c>
    </row>
    <row r="76" spans="1:6" s="27" customFormat="1" x14ac:dyDescent="0.25">
      <c r="A76" s="28" t="s">
        <v>167</v>
      </c>
      <c r="B76" s="28" t="s">
        <v>107</v>
      </c>
      <c r="C76" s="28" t="s">
        <v>401</v>
      </c>
      <c r="D76" s="28">
        <v>0</v>
      </c>
      <c r="E76" s="28" t="s">
        <v>177</v>
      </c>
      <c r="F76" s="28" t="s">
        <v>125</v>
      </c>
    </row>
    <row r="77" spans="1:6" s="27" customFormat="1" x14ac:dyDescent="0.25">
      <c r="A77" s="28" t="s">
        <v>174</v>
      </c>
      <c r="B77" s="28" t="s">
        <v>121</v>
      </c>
      <c r="C77" s="28" t="s">
        <v>401</v>
      </c>
      <c r="D77" s="28">
        <v>0</v>
      </c>
      <c r="E77" s="28" t="s">
        <v>178</v>
      </c>
      <c r="F77" s="28" t="s">
        <v>127</v>
      </c>
    </row>
    <row r="78" spans="1:6" s="27" customFormat="1" x14ac:dyDescent="0.25">
      <c r="A78" s="28" t="s">
        <v>175</v>
      </c>
      <c r="B78" s="28" t="s">
        <v>123</v>
      </c>
      <c r="C78" s="28" t="s">
        <v>401</v>
      </c>
      <c r="D78" s="28">
        <v>0</v>
      </c>
      <c r="E78" s="28" t="s">
        <v>178</v>
      </c>
      <c r="F78" s="28" t="s">
        <v>127</v>
      </c>
    </row>
    <row r="79" spans="1:6" s="27" customFormat="1" x14ac:dyDescent="0.25">
      <c r="A79" s="28" t="s">
        <v>177</v>
      </c>
      <c r="B79" s="28" t="s">
        <v>125</v>
      </c>
      <c r="C79" s="28" t="s">
        <v>401</v>
      </c>
      <c r="D79" s="28">
        <v>0</v>
      </c>
      <c r="E79" s="28" t="s">
        <v>179</v>
      </c>
      <c r="F79" s="28" t="s">
        <v>130</v>
      </c>
    </row>
    <row r="80" spans="1:6" s="27" customFormat="1" x14ac:dyDescent="0.25">
      <c r="A80" s="28" t="s">
        <v>178</v>
      </c>
      <c r="B80" s="28" t="s">
        <v>127</v>
      </c>
      <c r="C80" s="28" t="s">
        <v>403</v>
      </c>
      <c r="D80" s="28">
        <v>0</v>
      </c>
      <c r="E80" s="28" t="s">
        <v>179</v>
      </c>
      <c r="F80" s="28" t="s">
        <v>130</v>
      </c>
    </row>
    <row r="81" spans="1:6" s="27" customFormat="1" x14ac:dyDescent="0.25">
      <c r="A81" s="28" t="s">
        <v>179</v>
      </c>
      <c r="B81" s="28" t="s">
        <v>130</v>
      </c>
      <c r="C81" s="28" t="s">
        <v>401</v>
      </c>
      <c r="D81" s="28">
        <v>0</v>
      </c>
      <c r="E81" s="28" t="s">
        <v>180</v>
      </c>
      <c r="F81" s="28" t="s">
        <v>132</v>
      </c>
    </row>
    <row r="82" spans="1:6" s="27" customFormat="1" x14ac:dyDescent="0.25">
      <c r="A82" s="28" t="s">
        <v>180</v>
      </c>
      <c r="B82" s="28" t="s">
        <v>132</v>
      </c>
      <c r="C82" s="28" t="s">
        <v>401</v>
      </c>
      <c r="D82" s="28">
        <v>0</v>
      </c>
      <c r="E82" s="28" t="s">
        <v>83</v>
      </c>
      <c r="F82" s="28" t="s">
        <v>84</v>
      </c>
    </row>
    <row r="83" spans="1:6" s="27" customFormat="1" x14ac:dyDescent="0.25">
      <c r="A83" s="28" t="s">
        <v>81</v>
      </c>
      <c r="B83" s="28" t="s">
        <v>82</v>
      </c>
      <c r="C83" s="28" t="s">
        <v>401</v>
      </c>
      <c r="D83" s="28">
        <v>60</v>
      </c>
      <c r="E83" s="28" t="s">
        <v>183</v>
      </c>
      <c r="F83" s="28" t="s">
        <v>92</v>
      </c>
    </row>
    <row r="84" spans="1:6" s="27" customFormat="1" x14ac:dyDescent="0.25">
      <c r="A84" s="28" t="s">
        <v>183</v>
      </c>
      <c r="B84" s="28" t="s">
        <v>92</v>
      </c>
      <c r="C84" s="28" t="s">
        <v>402</v>
      </c>
      <c r="D84" s="28">
        <v>5</v>
      </c>
      <c r="E84" s="28" t="s">
        <v>184</v>
      </c>
      <c r="F84" s="28" t="s">
        <v>94</v>
      </c>
    </row>
    <row r="85" spans="1:6" s="27" customFormat="1" x14ac:dyDescent="0.25">
      <c r="A85" s="28" t="s">
        <v>183</v>
      </c>
      <c r="B85" s="28" t="s">
        <v>92</v>
      </c>
      <c r="C85" s="28" t="s">
        <v>401</v>
      </c>
      <c r="D85" s="28">
        <v>0</v>
      </c>
      <c r="E85" s="28" t="s">
        <v>185</v>
      </c>
      <c r="F85" s="28" t="s">
        <v>96</v>
      </c>
    </row>
    <row r="86" spans="1:6" s="27" customFormat="1" x14ac:dyDescent="0.25">
      <c r="A86" s="28" t="s">
        <v>184</v>
      </c>
      <c r="B86" s="28" t="s">
        <v>94</v>
      </c>
      <c r="C86" s="28" t="s">
        <v>401</v>
      </c>
      <c r="D86" s="28">
        <v>0</v>
      </c>
      <c r="E86" s="28" t="s">
        <v>186</v>
      </c>
      <c r="F86" s="28" t="s">
        <v>98</v>
      </c>
    </row>
    <row r="87" spans="1:6" s="27" customFormat="1" x14ac:dyDescent="0.25">
      <c r="A87" s="28" t="s">
        <v>185</v>
      </c>
      <c r="B87" s="28" t="s">
        <v>96</v>
      </c>
      <c r="C87" s="28" t="s">
        <v>403</v>
      </c>
      <c r="D87" s="28">
        <v>0</v>
      </c>
      <c r="E87" s="28" t="s">
        <v>186</v>
      </c>
      <c r="F87" s="28" t="s">
        <v>98</v>
      </c>
    </row>
    <row r="88" spans="1:6" s="27" customFormat="1" x14ac:dyDescent="0.25">
      <c r="A88" s="28" t="s">
        <v>184</v>
      </c>
      <c r="B88" s="28" t="s">
        <v>94</v>
      </c>
      <c r="C88" s="28" t="s">
        <v>401</v>
      </c>
      <c r="D88" s="28">
        <v>0</v>
      </c>
      <c r="E88" s="28" t="s">
        <v>188</v>
      </c>
      <c r="F88" s="28" t="s">
        <v>101</v>
      </c>
    </row>
    <row r="89" spans="1:6" s="27" customFormat="1" x14ac:dyDescent="0.25">
      <c r="A89" s="28" t="s">
        <v>188</v>
      </c>
      <c r="B89" s="28" t="s">
        <v>101</v>
      </c>
      <c r="C89" s="28" t="s">
        <v>401</v>
      </c>
      <c r="D89" s="28">
        <v>0</v>
      </c>
      <c r="E89" s="28" t="s">
        <v>189</v>
      </c>
      <c r="F89" s="28" t="s">
        <v>103</v>
      </c>
    </row>
    <row r="90" spans="1:6" s="27" customFormat="1" x14ac:dyDescent="0.25">
      <c r="A90" s="28" t="s">
        <v>185</v>
      </c>
      <c r="B90" s="28" t="s">
        <v>96</v>
      </c>
      <c r="C90" s="28" t="s">
        <v>401</v>
      </c>
      <c r="D90" s="28">
        <v>0</v>
      </c>
      <c r="E90" s="28" t="s">
        <v>190</v>
      </c>
      <c r="F90" s="28" t="s">
        <v>105</v>
      </c>
    </row>
    <row r="91" spans="1:6" s="27" customFormat="1" x14ac:dyDescent="0.25">
      <c r="A91" s="28" t="s">
        <v>190</v>
      </c>
      <c r="B91" s="28" t="s">
        <v>105</v>
      </c>
      <c r="C91" s="28" t="s">
        <v>401</v>
      </c>
      <c r="D91" s="28">
        <v>0</v>
      </c>
      <c r="E91" s="28" t="s">
        <v>191</v>
      </c>
      <c r="F91" s="28" t="s">
        <v>107</v>
      </c>
    </row>
    <row r="92" spans="1:6" s="27" customFormat="1" x14ac:dyDescent="0.25">
      <c r="A92" s="28" t="s">
        <v>81</v>
      </c>
      <c r="B92" s="28" t="s">
        <v>82</v>
      </c>
      <c r="C92" s="28" t="s">
        <v>401</v>
      </c>
      <c r="D92" s="28">
        <v>60</v>
      </c>
      <c r="E92" s="28" t="s">
        <v>193</v>
      </c>
      <c r="F92" s="28" t="s">
        <v>111</v>
      </c>
    </row>
    <row r="93" spans="1:6" s="27" customFormat="1" x14ac:dyDescent="0.25">
      <c r="A93" s="28" t="s">
        <v>193</v>
      </c>
      <c r="B93" s="28" t="s">
        <v>111</v>
      </c>
      <c r="C93" s="28" t="s">
        <v>401</v>
      </c>
      <c r="D93" s="28">
        <v>0</v>
      </c>
      <c r="E93" s="28" t="s">
        <v>194</v>
      </c>
      <c r="F93" s="28" t="s">
        <v>113</v>
      </c>
    </row>
    <row r="94" spans="1:6" s="27" customFormat="1" x14ac:dyDescent="0.25">
      <c r="A94" s="28" t="s">
        <v>184</v>
      </c>
      <c r="B94" s="28" t="s">
        <v>94</v>
      </c>
      <c r="C94" s="28" t="s">
        <v>402</v>
      </c>
      <c r="D94" s="28">
        <v>10</v>
      </c>
      <c r="E94" s="28" t="s">
        <v>194</v>
      </c>
      <c r="F94" s="28" t="s">
        <v>113</v>
      </c>
    </row>
    <row r="95" spans="1:6" s="27" customFormat="1" x14ac:dyDescent="0.25">
      <c r="A95" s="28" t="s">
        <v>194</v>
      </c>
      <c r="B95" s="28" t="s">
        <v>113</v>
      </c>
      <c r="C95" s="28" t="s">
        <v>402</v>
      </c>
      <c r="D95" s="28">
        <v>7</v>
      </c>
      <c r="E95" s="28" t="s">
        <v>195</v>
      </c>
      <c r="F95" s="28" t="s">
        <v>115</v>
      </c>
    </row>
    <row r="96" spans="1:6" s="27" customFormat="1" x14ac:dyDescent="0.25">
      <c r="A96" s="28" t="s">
        <v>195</v>
      </c>
      <c r="B96" s="28" t="s">
        <v>115</v>
      </c>
      <c r="C96" s="28" t="s">
        <v>401</v>
      </c>
      <c r="D96" s="28">
        <v>0</v>
      </c>
      <c r="E96" s="28" t="s">
        <v>196</v>
      </c>
      <c r="F96" s="28" t="s">
        <v>117</v>
      </c>
    </row>
    <row r="97" spans="1:6" s="27" customFormat="1" x14ac:dyDescent="0.25">
      <c r="A97" s="28" t="s">
        <v>196</v>
      </c>
      <c r="B97" s="28" t="s">
        <v>117</v>
      </c>
      <c r="C97" s="28" t="s">
        <v>401</v>
      </c>
      <c r="D97" s="28">
        <v>0</v>
      </c>
      <c r="E97" s="28" t="s">
        <v>197</v>
      </c>
      <c r="F97" s="28" t="s">
        <v>119</v>
      </c>
    </row>
    <row r="98" spans="1:6" s="27" customFormat="1" x14ac:dyDescent="0.25">
      <c r="A98" s="28" t="s">
        <v>189</v>
      </c>
      <c r="B98" s="28" t="s">
        <v>103</v>
      </c>
      <c r="C98" s="28" t="s">
        <v>402</v>
      </c>
      <c r="D98" s="28">
        <v>15</v>
      </c>
      <c r="E98" s="28" t="s">
        <v>197</v>
      </c>
      <c r="F98" s="28" t="s">
        <v>119</v>
      </c>
    </row>
    <row r="99" spans="1:6" s="27" customFormat="1" x14ac:dyDescent="0.25">
      <c r="A99" s="28" t="s">
        <v>197</v>
      </c>
      <c r="B99" s="28" t="s">
        <v>119</v>
      </c>
      <c r="C99" s="28" t="s">
        <v>401</v>
      </c>
      <c r="D99" s="28">
        <v>-5</v>
      </c>
      <c r="E99" s="28" t="s">
        <v>199</v>
      </c>
      <c r="F99" s="28" t="s">
        <v>123</v>
      </c>
    </row>
    <row r="100" spans="1:6" s="27" customFormat="1" x14ac:dyDescent="0.25">
      <c r="A100" s="28" t="s">
        <v>197</v>
      </c>
      <c r="B100" s="28" t="s">
        <v>119</v>
      </c>
      <c r="C100" s="28" t="s">
        <v>402</v>
      </c>
      <c r="D100" s="28">
        <v>20</v>
      </c>
      <c r="E100" s="28" t="s">
        <v>198</v>
      </c>
      <c r="F100" s="28" t="s">
        <v>121</v>
      </c>
    </row>
    <row r="101" spans="1:6" s="27" customFormat="1" x14ac:dyDescent="0.25">
      <c r="A101" s="28" t="s">
        <v>198</v>
      </c>
      <c r="B101" s="28" t="s">
        <v>121</v>
      </c>
      <c r="C101" s="28" t="s">
        <v>402</v>
      </c>
      <c r="D101" s="28">
        <v>10</v>
      </c>
      <c r="E101" s="28" t="s">
        <v>200</v>
      </c>
      <c r="F101" s="28" t="s">
        <v>125</v>
      </c>
    </row>
    <row r="102" spans="1:6" s="27" customFormat="1" x14ac:dyDescent="0.25">
      <c r="A102" s="28" t="s">
        <v>191</v>
      </c>
      <c r="B102" s="28" t="s">
        <v>107</v>
      </c>
      <c r="C102" s="28" t="s">
        <v>401</v>
      </c>
      <c r="D102" s="28">
        <v>0</v>
      </c>
      <c r="E102" s="28" t="s">
        <v>200</v>
      </c>
      <c r="F102" s="28" t="s">
        <v>125</v>
      </c>
    </row>
    <row r="103" spans="1:6" s="27" customFormat="1" x14ac:dyDescent="0.25">
      <c r="A103" s="28" t="s">
        <v>198</v>
      </c>
      <c r="B103" s="28" t="s">
        <v>121</v>
      </c>
      <c r="C103" s="28" t="s">
        <v>401</v>
      </c>
      <c r="D103" s="28">
        <v>0</v>
      </c>
      <c r="E103" s="28" t="s">
        <v>201</v>
      </c>
      <c r="F103" s="28" t="s">
        <v>127</v>
      </c>
    </row>
    <row r="104" spans="1:6" s="27" customFormat="1" x14ac:dyDescent="0.25">
      <c r="A104" s="28" t="s">
        <v>199</v>
      </c>
      <c r="B104" s="28" t="s">
        <v>123</v>
      </c>
      <c r="C104" s="28" t="s">
        <v>401</v>
      </c>
      <c r="D104" s="28">
        <v>0</v>
      </c>
      <c r="E104" s="28" t="s">
        <v>201</v>
      </c>
      <c r="F104" s="28" t="s">
        <v>127</v>
      </c>
    </row>
    <row r="105" spans="1:6" s="27" customFormat="1" x14ac:dyDescent="0.25">
      <c r="A105" s="28" t="s">
        <v>200</v>
      </c>
      <c r="B105" s="28" t="s">
        <v>125</v>
      </c>
      <c r="C105" s="28" t="s">
        <v>401</v>
      </c>
      <c r="D105" s="28">
        <v>0</v>
      </c>
      <c r="E105" s="28" t="s">
        <v>202</v>
      </c>
      <c r="F105" s="28" t="s">
        <v>130</v>
      </c>
    </row>
    <row r="106" spans="1:6" s="27" customFormat="1" x14ac:dyDescent="0.25">
      <c r="A106" s="28" t="s">
        <v>201</v>
      </c>
      <c r="B106" s="28" t="s">
        <v>127</v>
      </c>
      <c r="C106" s="28" t="s">
        <v>403</v>
      </c>
      <c r="D106" s="28">
        <v>0</v>
      </c>
      <c r="E106" s="28" t="s">
        <v>202</v>
      </c>
      <c r="F106" s="28" t="s">
        <v>130</v>
      </c>
    </row>
    <row r="107" spans="1:6" s="27" customFormat="1" x14ac:dyDescent="0.25">
      <c r="A107" s="28" t="s">
        <v>202</v>
      </c>
      <c r="B107" s="28" t="s">
        <v>130</v>
      </c>
      <c r="C107" s="28" t="s">
        <v>401</v>
      </c>
      <c r="D107" s="28">
        <v>0</v>
      </c>
      <c r="E107" s="28" t="s">
        <v>203</v>
      </c>
      <c r="F107" s="28" t="s">
        <v>132</v>
      </c>
    </row>
    <row r="108" spans="1:6" s="27" customFormat="1" x14ac:dyDescent="0.25">
      <c r="A108" s="28" t="s">
        <v>203</v>
      </c>
      <c r="B108" s="28" t="s">
        <v>132</v>
      </c>
      <c r="C108" s="28" t="s">
        <v>401</v>
      </c>
      <c r="D108" s="28">
        <v>0</v>
      </c>
      <c r="E108" s="28" t="s">
        <v>83</v>
      </c>
      <c r="F108" s="28" t="s">
        <v>84</v>
      </c>
    </row>
    <row r="109" spans="1:6" s="27" customFormat="1" x14ac:dyDescent="0.25">
      <c r="A109" s="28" t="s">
        <v>81</v>
      </c>
      <c r="B109" s="28" t="s">
        <v>82</v>
      </c>
      <c r="C109" s="28" t="s">
        <v>401</v>
      </c>
      <c r="D109" s="28">
        <v>90</v>
      </c>
      <c r="E109" s="28" t="s">
        <v>206</v>
      </c>
      <c r="F109" s="28" t="s">
        <v>92</v>
      </c>
    </row>
    <row r="110" spans="1:6" s="27" customFormat="1" x14ac:dyDescent="0.25">
      <c r="A110" s="28" t="s">
        <v>206</v>
      </c>
      <c r="B110" s="28" t="s">
        <v>92</v>
      </c>
      <c r="C110" s="28" t="s">
        <v>402</v>
      </c>
      <c r="D110" s="28">
        <v>5</v>
      </c>
      <c r="E110" s="28" t="s">
        <v>207</v>
      </c>
      <c r="F110" s="28" t="s">
        <v>94</v>
      </c>
    </row>
    <row r="111" spans="1:6" s="27" customFormat="1" x14ac:dyDescent="0.25">
      <c r="A111" s="28" t="s">
        <v>206</v>
      </c>
      <c r="B111" s="28" t="s">
        <v>92</v>
      </c>
      <c r="C111" s="28" t="s">
        <v>401</v>
      </c>
      <c r="D111" s="28">
        <v>0</v>
      </c>
      <c r="E111" s="28" t="s">
        <v>208</v>
      </c>
      <c r="F111" s="28" t="s">
        <v>96</v>
      </c>
    </row>
    <row r="112" spans="1:6" s="27" customFormat="1" x14ac:dyDescent="0.25">
      <c r="A112" s="28" t="s">
        <v>207</v>
      </c>
      <c r="B112" s="28" t="s">
        <v>94</v>
      </c>
      <c r="C112" s="28" t="s">
        <v>401</v>
      </c>
      <c r="D112" s="28">
        <v>0</v>
      </c>
      <c r="E112" s="28" t="s">
        <v>209</v>
      </c>
      <c r="F112" s="28" t="s">
        <v>98</v>
      </c>
    </row>
    <row r="113" spans="1:6" s="27" customFormat="1" x14ac:dyDescent="0.25">
      <c r="A113" s="28" t="s">
        <v>208</v>
      </c>
      <c r="B113" s="28" t="s">
        <v>96</v>
      </c>
      <c r="C113" s="28" t="s">
        <v>403</v>
      </c>
      <c r="D113" s="28">
        <v>0</v>
      </c>
      <c r="E113" s="28" t="s">
        <v>209</v>
      </c>
      <c r="F113" s="28" t="s">
        <v>98</v>
      </c>
    </row>
    <row r="114" spans="1:6" s="27" customFormat="1" x14ac:dyDescent="0.25">
      <c r="A114" s="28" t="s">
        <v>207</v>
      </c>
      <c r="B114" s="28" t="s">
        <v>94</v>
      </c>
      <c r="C114" s="28" t="s">
        <v>401</v>
      </c>
      <c r="D114" s="28">
        <v>0</v>
      </c>
      <c r="E114" s="28" t="s">
        <v>211</v>
      </c>
      <c r="F114" s="28" t="s">
        <v>101</v>
      </c>
    </row>
    <row r="115" spans="1:6" s="27" customFormat="1" x14ac:dyDescent="0.25">
      <c r="A115" s="28" t="s">
        <v>211</v>
      </c>
      <c r="B115" s="28" t="s">
        <v>101</v>
      </c>
      <c r="C115" s="28" t="s">
        <v>401</v>
      </c>
      <c r="D115" s="28">
        <v>0</v>
      </c>
      <c r="E115" s="28" t="s">
        <v>212</v>
      </c>
      <c r="F115" s="28" t="s">
        <v>103</v>
      </c>
    </row>
    <row r="116" spans="1:6" s="27" customFormat="1" x14ac:dyDescent="0.25">
      <c r="A116" s="28" t="s">
        <v>208</v>
      </c>
      <c r="B116" s="28" t="s">
        <v>96</v>
      </c>
      <c r="C116" s="28" t="s">
        <v>401</v>
      </c>
      <c r="D116" s="28">
        <v>0</v>
      </c>
      <c r="E116" s="28" t="s">
        <v>214</v>
      </c>
      <c r="F116" s="28" t="s">
        <v>105</v>
      </c>
    </row>
    <row r="117" spans="1:6" s="27" customFormat="1" x14ac:dyDescent="0.25">
      <c r="A117" s="28" t="s">
        <v>214</v>
      </c>
      <c r="B117" s="28" t="s">
        <v>105</v>
      </c>
      <c r="C117" s="28" t="s">
        <v>401</v>
      </c>
      <c r="D117" s="28">
        <v>0</v>
      </c>
      <c r="E117" s="28" t="s">
        <v>216</v>
      </c>
      <c r="F117" s="28" t="s">
        <v>107</v>
      </c>
    </row>
    <row r="118" spans="1:6" s="27" customFormat="1" x14ac:dyDescent="0.25">
      <c r="A118" s="28" t="s">
        <v>81</v>
      </c>
      <c r="B118" s="28" t="s">
        <v>82</v>
      </c>
      <c r="C118" s="28" t="s">
        <v>401</v>
      </c>
      <c r="D118" s="28">
        <v>90</v>
      </c>
      <c r="E118" s="28" t="s">
        <v>218</v>
      </c>
      <c r="F118" s="28" t="s">
        <v>111</v>
      </c>
    </row>
    <row r="119" spans="1:6" s="27" customFormat="1" x14ac:dyDescent="0.25">
      <c r="A119" s="28" t="s">
        <v>218</v>
      </c>
      <c r="B119" s="28" t="s">
        <v>111</v>
      </c>
      <c r="C119" s="28" t="s">
        <v>401</v>
      </c>
      <c r="D119" s="28">
        <v>0</v>
      </c>
      <c r="E119" s="28" t="s">
        <v>219</v>
      </c>
      <c r="F119" s="28" t="s">
        <v>113</v>
      </c>
    </row>
    <row r="120" spans="1:6" s="27" customFormat="1" x14ac:dyDescent="0.25">
      <c r="A120" s="28" t="s">
        <v>207</v>
      </c>
      <c r="B120" s="28" t="s">
        <v>94</v>
      </c>
      <c r="C120" s="28" t="s">
        <v>402</v>
      </c>
      <c r="D120" s="28">
        <v>10</v>
      </c>
      <c r="E120" s="28" t="s">
        <v>219</v>
      </c>
      <c r="F120" s="28" t="s">
        <v>113</v>
      </c>
    </row>
    <row r="121" spans="1:6" s="27" customFormat="1" x14ac:dyDescent="0.25">
      <c r="A121" s="28" t="s">
        <v>219</v>
      </c>
      <c r="B121" s="28" t="s">
        <v>113</v>
      </c>
      <c r="C121" s="28" t="s">
        <v>402</v>
      </c>
      <c r="D121" s="28">
        <v>7</v>
      </c>
      <c r="E121" s="28" t="s">
        <v>220</v>
      </c>
      <c r="F121" s="28" t="s">
        <v>115</v>
      </c>
    </row>
    <row r="122" spans="1:6" s="27" customFormat="1" x14ac:dyDescent="0.25">
      <c r="A122" s="28" t="s">
        <v>220</v>
      </c>
      <c r="B122" s="28" t="s">
        <v>115</v>
      </c>
      <c r="C122" s="28" t="s">
        <v>401</v>
      </c>
      <c r="D122" s="28">
        <v>0</v>
      </c>
      <c r="E122" s="28" t="s">
        <v>221</v>
      </c>
      <c r="F122" s="28" t="s">
        <v>117</v>
      </c>
    </row>
    <row r="123" spans="1:6" s="27" customFormat="1" x14ac:dyDescent="0.25">
      <c r="A123" s="28" t="s">
        <v>221</v>
      </c>
      <c r="B123" s="28" t="s">
        <v>117</v>
      </c>
      <c r="C123" s="28" t="s">
        <v>401</v>
      </c>
      <c r="D123" s="28">
        <v>0</v>
      </c>
      <c r="E123" s="28" t="s">
        <v>222</v>
      </c>
      <c r="F123" s="28" t="s">
        <v>119</v>
      </c>
    </row>
    <row r="124" spans="1:6" s="27" customFormat="1" x14ac:dyDescent="0.25">
      <c r="A124" s="28" t="s">
        <v>212</v>
      </c>
      <c r="B124" s="28" t="s">
        <v>103</v>
      </c>
      <c r="C124" s="28" t="s">
        <v>402</v>
      </c>
      <c r="D124" s="28">
        <v>15</v>
      </c>
      <c r="E124" s="28" t="s">
        <v>222</v>
      </c>
      <c r="F124" s="28" t="s">
        <v>119</v>
      </c>
    </row>
    <row r="125" spans="1:6" s="27" customFormat="1" x14ac:dyDescent="0.25">
      <c r="A125" s="28" t="s">
        <v>222</v>
      </c>
      <c r="B125" s="28" t="s">
        <v>119</v>
      </c>
      <c r="C125" s="28" t="s">
        <v>401</v>
      </c>
      <c r="D125" s="28">
        <v>-5</v>
      </c>
      <c r="E125" s="28" t="s">
        <v>224</v>
      </c>
      <c r="F125" s="28" t="s">
        <v>123</v>
      </c>
    </row>
    <row r="126" spans="1:6" s="27" customFormat="1" x14ac:dyDescent="0.25">
      <c r="A126" s="28" t="s">
        <v>222</v>
      </c>
      <c r="B126" s="28" t="s">
        <v>119</v>
      </c>
      <c r="C126" s="28" t="s">
        <v>402</v>
      </c>
      <c r="D126" s="28">
        <v>20</v>
      </c>
      <c r="E126" s="28" t="s">
        <v>223</v>
      </c>
      <c r="F126" s="28" t="s">
        <v>121</v>
      </c>
    </row>
    <row r="127" spans="1:6" s="27" customFormat="1" x14ac:dyDescent="0.25">
      <c r="A127" s="28" t="s">
        <v>223</v>
      </c>
      <c r="B127" s="28" t="s">
        <v>121</v>
      </c>
      <c r="C127" s="28" t="s">
        <v>402</v>
      </c>
      <c r="D127" s="28">
        <v>10</v>
      </c>
      <c r="E127" s="28" t="s">
        <v>226</v>
      </c>
      <c r="F127" s="28" t="s">
        <v>125</v>
      </c>
    </row>
    <row r="128" spans="1:6" s="27" customFormat="1" x14ac:dyDescent="0.25">
      <c r="A128" s="28" t="s">
        <v>216</v>
      </c>
      <c r="B128" s="28" t="s">
        <v>107</v>
      </c>
      <c r="C128" s="28" t="s">
        <v>401</v>
      </c>
      <c r="D128" s="28">
        <v>0</v>
      </c>
      <c r="E128" s="28" t="s">
        <v>226</v>
      </c>
      <c r="F128" s="28" t="s">
        <v>125</v>
      </c>
    </row>
    <row r="129" spans="1:6" s="27" customFormat="1" x14ac:dyDescent="0.25">
      <c r="A129" s="28" t="s">
        <v>223</v>
      </c>
      <c r="B129" s="28" t="s">
        <v>121</v>
      </c>
      <c r="C129" s="28" t="s">
        <v>401</v>
      </c>
      <c r="D129" s="28">
        <v>0</v>
      </c>
      <c r="E129" s="28" t="s">
        <v>225</v>
      </c>
      <c r="F129" s="28" t="s">
        <v>127</v>
      </c>
    </row>
    <row r="130" spans="1:6" s="27" customFormat="1" x14ac:dyDescent="0.25">
      <c r="A130" s="28" t="s">
        <v>224</v>
      </c>
      <c r="B130" s="28" t="s">
        <v>123</v>
      </c>
      <c r="C130" s="28" t="s">
        <v>401</v>
      </c>
      <c r="D130" s="28">
        <v>0</v>
      </c>
      <c r="E130" s="28" t="s">
        <v>225</v>
      </c>
      <c r="F130" s="28" t="s">
        <v>127</v>
      </c>
    </row>
    <row r="131" spans="1:6" s="27" customFormat="1" x14ac:dyDescent="0.25">
      <c r="A131" s="28" t="s">
        <v>226</v>
      </c>
      <c r="B131" s="28" t="s">
        <v>125</v>
      </c>
      <c r="C131" s="28" t="s">
        <v>401</v>
      </c>
      <c r="D131" s="28">
        <v>0</v>
      </c>
      <c r="E131" s="28" t="s">
        <v>227</v>
      </c>
      <c r="F131" s="28" t="s">
        <v>130</v>
      </c>
    </row>
    <row r="132" spans="1:6" s="27" customFormat="1" x14ac:dyDescent="0.25">
      <c r="A132" s="28" t="s">
        <v>225</v>
      </c>
      <c r="B132" s="28" t="s">
        <v>127</v>
      </c>
      <c r="C132" s="28" t="s">
        <v>403</v>
      </c>
      <c r="D132" s="28">
        <v>0</v>
      </c>
      <c r="E132" s="28" t="s">
        <v>227</v>
      </c>
      <c r="F132" s="28" t="s">
        <v>130</v>
      </c>
    </row>
    <row r="133" spans="1:6" s="27" customFormat="1" x14ac:dyDescent="0.25">
      <c r="A133" s="28" t="s">
        <v>227</v>
      </c>
      <c r="B133" s="28" t="s">
        <v>130</v>
      </c>
      <c r="C133" s="28" t="s">
        <v>401</v>
      </c>
      <c r="D133" s="28">
        <v>0</v>
      </c>
      <c r="E133" s="28" t="s">
        <v>228</v>
      </c>
      <c r="F133" s="28" t="s">
        <v>132</v>
      </c>
    </row>
    <row r="134" spans="1:6" s="27" customFormat="1" x14ac:dyDescent="0.25">
      <c r="A134" s="28" t="s">
        <v>228</v>
      </c>
      <c r="B134" s="28" t="s">
        <v>132</v>
      </c>
      <c r="C134" s="28" t="s">
        <v>401</v>
      </c>
      <c r="D134" s="28">
        <v>0</v>
      </c>
      <c r="E134" s="28" t="s">
        <v>83</v>
      </c>
      <c r="F134" s="28" t="s">
        <v>84</v>
      </c>
    </row>
    <row r="135" spans="1:6" s="27" customFormat="1" x14ac:dyDescent="0.25">
      <c r="A135" s="28" t="s">
        <v>81</v>
      </c>
      <c r="B135" s="28" t="s">
        <v>82</v>
      </c>
      <c r="C135" s="28" t="s">
        <v>401</v>
      </c>
      <c r="D135" s="28">
        <v>120</v>
      </c>
      <c r="E135" s="28" t="s">
        <v>231</v>
      </c>
      <c r="F135" s="28" t="s">
        <v>92</v>
      </c>
    </row>
    <row r="136" spans="1:6" s="27" customFormat="1" x14ac:dyDescent="0.25">
      <c r="A136" s="28" t="s">
        <v>231</v>
      </c>
      <c r="B136" s="28" t="s">
        <v>92</v>
      </c>
      <c r="C136" s="28" t="s">
        <v>402</v>
      </c>
      <c r="D136" s="28">
        <v>5</v>
      </c>
      <c r="E136" s="28" t="s">
        <v>232</v>
      </c>
      <c r="F136" s="28" t="s">
        <v>94</v>
      </c>
    </row>
    <row r="137" spans="1:6" s="27" customFormat="1" x14ac:dyDescent="0.25">
      <c r="A137" s="28" t="s">
        <v>231</v>
      </c>
      <c r="B137" s="28" t="s">
        <v>92</v>
      </c>
      <c r="C137" s="28" t="s">
        <v>401</v>
      </c>
      <c r="D137" s="28">
        <v>0</v>
      </c>
      <c r="E137" s="28" t="s">
        <v>233</v>
      </c>
      <c r="F137" s="28" t="s">
        <v>96</v>
      </c>
    </row>
    <row r="138" spans="1:6" s="27" customFormat="1" x14ac:dyDescent="0.25">
      <c r="A138" s="28" t="s">
        <v>232</v>
      </c>
      <c r="B138" s="28" t="s">
        <v>94</v>
      </c>
      <c r="C138" s="28" t="s">
        <v>401</v>
      </c>
      <c r="D138" s="28">
        <v>0</v>
      </c>
      <c r="E138" s="28" t="s">
        <v>234</v>
      </c>
      <c r="F138" s="28" t="s">
        <v>98</v>
      </c>
    </row>
    <row r="139" spans="1:6" s="27" customFormat="1" x14ac:dyDescent="0.25">
      <c r="A139" s="28" t="s">
        <v>233</v>
      </c>
      <c r="B139" s="28" t="s">
        <v>96</v>
      </c>
      <c r="C139" s="28" t="s">
        <v>403</v>
      </c>
      <c r="D139" s="28">
        <v>0</v>
      </c>
      <c r="E139" s="28" t="s">
        <v>234</v>
      </c>
      <c r="F139" s="28" t="s">
        <v>98</v>
      </c>
    </row>
    <row r="140" spans="1:6" s="27" customFormat="1" x14ac:dyDescent="0.25">
      <c r="A140" s="28" t="s">
        <v>232</v>
      </c>
      <c r="B140" s="28" t="s">
        <v>94</v>
      </c>
      <c r="C140" s="28" t="s">
        <v>401</v>
      </c>
      <c r="D140" s="28">
        <v>0</v>
      </c>
      <c r="E140" s="28" t="s">
        <v>236</v>
      </c>
      <c r="F140" s="28" t="s">
        <v>101</v>
      </c>
    </row>
    <row r="141" spans="1:6" s="27" customFormat="1" x14ac:dyDescent="0.25">
      <c r="A141" s="28" t="s">
        <v>236</v>
      </c>
      <c r="B141" s="28" t="s">
        <v>101</v>
      </c>
      <c r="C141" s="28" t="s">
        <v>401</v>
      </c>
      <c r="D141" s="28">
        <v>0</v>
      </c>
      <c r="E141" s="28" t="s">
        <v>237</v>
      </c>
      <c r="F141" s="28" t="s">
        <v>103</v>
      </c>
    </row>
    <row r="142" spans="1:6" s="27" customFormat="1" x14ac:dyDescent="0.25">
      <c r="A142" s="28" t="s">
        <v>233</v>
      </c>
      <c r="B142" s="28" t="s">
        <v>96</v>
      </c>
      <c r="C142" s="28" t="s">
        <v>401</v>
      </c>
      <c r="D142" s="28">
        <v>0</v>
      </c>
      <c r="E142" s="28" t="s">
        <v>238</v>
      </c>
      <c r="F142" s="28" t="s">
        <v>105</v>
      </c>
    </row>
    <row r="143" spans="1:6" s="27" customFormat="1" x14ac:dyDescent="0.25">
      <c r="A143" s="28" t="s">
        <v>238</v>
      </c>
      <c r="B143" s="28" t="s">
        <v>105</v>
      </c>
      <c r="C143" s="28" t="s">
        <v>401</v>
      </c>
      <c r="D143" s="28">
        <v>0</v>
      </c>
      <c r="E143" s="28" t="s">
        <v>240</v>
      </c>
      <c r="F143" s="28" t="s">
        <v>107</v>
      </c>
    </row>
    <row r="144" spans="1:6" s="27" customFormat="1" x14ac:dyDescent="0.25">
      <c r="A144" s="28" t="s">
        <v>81</v>
      </c>
      <c r="B144" s="28" t="s">
        <v>82</v>
      </c>
      <c r="C144" s="28" t="s">
        <v>401</v>
      </c>
      <c r="D144" s="28">
        <v>120</v>
      </c>
      <c r="E144" s="28" t="s">
        <v>242</v>
      </c>
      <c r="F144" s="28" t="s">
        <v>111</v>
      </c>
    </row>
    <row r="145" spans="1:6" s="27" customFormat="1" x14ac:dyDescent="0.25">
      <c r="A145" s="28" t="s">
        <v>242</v>
      </c>
      <c r="B145" s="28" t="s">
        <v>111</v>
      </c>
      <c r="C145" s="28" t="s">
        <v>401</v>
      </c>
      <c r="D145" s="28">
        <v>0</v>
      </c>
      <c r="E145" s="28" t="s">
        <v>243</v>
      </c>
      <c r="F145" s="28" t="s">
        <v>113</v>
      </c>
    </row>
    <row r="146" spans="1:6" s="27" customFormat="1" x14ac:dyDescent="0.25">
      <c r="A146" s="28" t="s">
        <v>232</v>
      </c>
      <c r="B146" s="28" t="s">
        <v>94</v>
      </c>
      <c r="C146" s="28" t="s">
        <v>402</v>
      </c>
      <c r="D146" s="28">
        <v>10</v>
      </c>
      <c r="E146" s="28" t="s">
        <v>243</v>
      </c>
      <c r="F146" s="28" t="s">
        <v>113</v>
      </c>
    </row>
    <row r="147" spans="1:6" s="27" customFormat="1" x14ac:dyDescent="0.25">
      <c r="A147" s="28" t="s">
        <v>243</v>
      </c>
      <c r="B147" s="28" t="s">
        <v>113</v>
      </c>
      <c r="C147" s="28" t="s">
        <v>402</v>
      </c>
      <c r="D147" s="28">
        <v>7</v>
      </c>
      <c r="E147" s="28" t="s">
        <v>244</v>
      </c>
      <c r="F147" s="28" t="s">
        <v>115</v>
      </c>
    </row>
    <row r="148" spans="1:6" s="27" customFormat="1" x14ac:dyDescent="0.25">
      <c r="A148" s="28" t="s">
        <v>244</v>
      </c>
      <c r="B148" s="28" t="s">
        <v>115</v>
      </c>
      <c r="C148" s="28" t="s">
        <v>401</v>
      </c>
      <c r="D148" s="28">
        <v>0</v>
      </c>
      <c r="E148" s="28" t="s">
        <v>248</v>
      </c>
      <c r="F148" s="28" t="s">
        <v>117</v>
      </c>
    </row>
    <row r="149" spans="1:6" s="27" customFormat="1" x14ac:dyDescent="0.25">
      <c r="A149" s="28" t="s">
        <v>248</v>
      </c>
      <c r="B149" s="28" t="s">
        <v>117</v>
      </c>
      <c r="C149" s="28" t="s">
        <v>401</v>
      </c>
      <c r="D149" s="28">
        <v>0</v>
      </c>
      <c r="E149" s="28" t="s">
        <v>249</v>
      </c>
      <c r="F149" s="28" t="s">
        <v>119</v>
      </c>
    </row>
    <row r="150" spans="1:6" s="27" customFormat="1" x14ac:dyDescent="0.25">
      <c r="A150" s="28" t="s">
        <v>237</v>
      </c>
      <c r="B150" s="28" t="s">
        <v>103</v>
      </c>
      <c r="C150" s="28" t="s">
        <v>402</v>
      </c>
      <c r="D150" s="28">
        <v>15</v>
      </c>
      <c r="E150" s="28" t="s">
        <v>249</v>
      </c>
      <c r="F150" s="28" t="s">
        <v>119</v>
      </c>
    </row>
    <row r="151" spans="1:6" s="27" customFormat="1" x14ac:dyDescent="0.25">
      <c r="A151" s="28" t="s">
        <v>249</v>
      </c>
      <c r="B151" s="28" t="s">
        <v>119</v>
      </c>
      <c r="C151" s="28" t="s">
        <v>401</v>
      </c>
      <c r="D151" s="28">
        <v>-5</v>
      </c>
      <c r="E151" s="28" t="s">
        <v>250</v>
      </c>
      <c r="F151" s="28" t="s">
        <v>123</v>
      </c>
    </row>
    <row r="152" spans="1:6" s="27" customFormat="1" x14ac:dyDescent="0.25">
      <c r="A152" s="28" t="s">
        <v>249</v>
      </c>
      <c r="B152" s="28" t="s">
        <v>119</v>
      </c>
      <c r="C152" s="28" t="s">
        <v>402</v>
      </c>
      <c r="D152" s="28">
        <v>20</v>
      </c>
      <c r="E152" s="28" t="s">
        <v>245</v>
      </c>
      <c r="F152" s="28" t="s">
        <v>121</v>
      </c>
    </row>
    <row r="153" spans="1:6" s="27" customFormat="1" x14ac:dyDescent="0.25">
      <c r="A153" s="28" t="s">
        <v>245</v>
      </c>
      <c r="B153" s="28" t="s">
        <v>121</v>
      </c>
      <c r="C153" s="28" t="s">
        <v>402</v>
      </c>
      <c r="D153" s="28">
        <v>10</v>
      </c>
      <c r="E153" s="28" t="s">
        <v>247</v>
      </c>
      <c r="F153" s="28" t="s">
        <v>125</v>
      </c>
    </row>
    <row r="154" spans="1:6" s="27" customFormat="1" x14ac:dyDescent="0.25">
      <c r="A154" s="28" t="s">
        <v>240</v>
      </c>
      <c r="B154" s="28" t="s">
        <v>107</v>
      </c>
      <c r="C154" s="28" t="s">
        <v>401</v>
      </c>
      <c r="D154" s="28">
        <v>0</v>
      </c>
      <c r="E154" s="28" t="s">
        <v>247</v>
      </c>
      <c r="F154" s="28" t="s">
        <v>125</v>
      </c>
    </row>
    <row r="155" spans="1:6" s="27" customFormat="1" x14ac:dyDescent="0.25">
      <c r="A155" s="28" t="s">
        <v>245</v>
      </c>
      <c r="B155" s="28" t="s">
        <v>121</v>
      </c>
      <c r="C155" s="28" t="s">
        <v>401</v>
      </c>
      <c r="D155" s="28">
        <v>0</v>
      </c>
      <c r="E155" s="28" t="s">
        <v>251</v>
      </c>
      <c r="F155" s="28" t="s">
        <v>127</v>
      </c>
    </row>
    <row r="156" spans="1:6" s="27" customFormat="1" x14ac:dyDescent="0.25">
      <c r="A156" s="28" t="s">
        <v>250</v>
      </c>
      <c r="B156" s="28" t="s">
        <v>123</v>
      </c>
      <c r="C156" s="28" t="s">
        <v>401</v>
      </c>
      <c r="D156" s="28">
        <v>0</v>
      </c>
      <c r="E156" s="28" t="s">
        <v>251</v>
      </c>
      <c r="F156" s="28" t="s">
        <v>127</v>
      </c>
    </row>
    <row r="157" spans="1:6" s="27" customFormat="1" x14ac:dyDescent="0.25">
      <c r="A157" s="28" t="s">
        <v>247</v>
      </c>
      <c r="B157" s="28" t="s">
        <v>125</v>
      </c>
      <c r="C157" s="28" t="s">
        <v>401</v>
      </c>
      <c r="D157" s="28">
        <v>0</v>
      </c>
      <c r="E157" s="28" t="s">
        <v>252</v>
      </c>
      <c r="F157" s="28" t="s">
        <v>130</v>
      </c>
    </row>
    <row r="158" spans="1:6" s="27" customFormat="1" x14ac:dyDescent="0.25">
      <c r="A158" s="28" t="s">
        <v>251</v>
      </c>
      <c r="B158" s="28" t="s">
        <v>127</v>
      </c>
      <c r="C158" s="28" t="s">
        <v>403</v>
      </c>
      <c r="D158" s="28">
        <v>0</v>
      </c>
      <c r="E158" s="28" t="s">
        <v>252</v>
      </c>
      <c r="F158" s="28" t="s">
        <v>130</v>
      </c>
    </row>
    <row r="159" spans="1:6" s="27" customFormat="1" x14ac:dyDescent="0.25">
      <c r="A159" s="28" t="s">
        <v>252</v>
      </c>
      <c r="B159" s="28" t="s">
        <v>130</v>
      </c>
      <c r="C159" s="28" t="s">
        <v>401</v>
      </c>
      <c r="D159" s="28">
        <v>0</v>
      </c>
      <c r="E159" s="28" t="s">
        <v>253</v>
      </c>
      <c r="F159" s="28" t="s">
        <v>132</v>
      </c>
    </row>
    <row r="160" spans="1:6" s="27" customFormat="1" x14ac:dyDescent="0.25">
      <c r="A160" s="28" t="s">
        <v>253</v>
      </c>
      <c r="B160" s="28" t="s">
        <v>132</v>
      </c>
      <c r="C160" s="28" t="s">
        <v>401</v>
      </c>
      <c r="D160" s="28">
        <v>0</v>
      </c>
      <c r="E160" s="28" t="s">
        <v>83</v>
      </c>
      <c r="F160" s="28" t="s">
        <v>84</v>
      </c>
    </row>
  </sheetData>
  <autoFilter ref="A4:F4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Building x EPC</vt:lpstr>
      <vt:lpstr>Schedule</vt:lpstr>
      <vt:lpstr>Gantt</vt:lpstr>
      <vt:lpstr>Update Sheet</vt:lpstr>
      <vt:lpstr>Look-ahead</vt:lpstr>
      <vt:lpstr>Attention</vt:lpstr>
      <vt:lpstr>Concerns</vt:lpstr>
      <vt:lpstr>Health Check</vt:lpstr>
      <vt:lpstr>Change Log</vt:lpstr>
      <vt:lpstr>Relationships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Schedule Engine</dc:creator>
  <dc:title>Industrial Plant Expansion - Phase 2 (Demo)</dc:title>
  <dc:subject/>
  <dc:description/>
  <cp:keywords/>
  <cp:category/>
  <cp:lastModifiedBy>Unknown</cp:lastModifiedBy>
  <dcterms:created xsi:type="dcterms:W3CDTF">2026-09-28T09:07:00Z</dcterms:created>
  <dcterms:modified xsi:type="dcterms:W3CDTF">2026-09-28T09:07:00Z</dcterms:modified>
</cp:coreProperties>
</file>