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shboard" state="visible" r:id="rId4"/>
    <sheet sheetId="2" name="Building x EPC" state="visible" r:id="rId5"/>
    <sheet sheetId="3" name="Schedule" state="visible" r:id="rId6"/>
    <sheet sheetId="4" name="Gantt" state="visible" r:id="rId7"/>
    <sheet sheetId="5" name="Update Sheet" state="visible" r:id="rId8"/>
    <sheet sheetId="6" name="Look-ahead" state="visible" r:id="rId9"/>
    <sheet sheetId="7" name="Attention" state="visible" r:id="rId10"/>
    <sheet sheetId="8" name="Concerns" state="visible" r:id="rId11"/>
    <sheet sheetId="9" name="Health Check" state="visible" r:id="rId12"/>
    <sheet sheetId="10" name="Change Log" state="visible" r:id="rId13"/>
    <sheet sheetId="11" name="Relationships" state="visible" r:id="rId14"/>
  </sheets>
  <calcPr calcId="171027"/>
</workbook>
</file>

<file path=xl/sharedStrings.xml><?xml version="1.0" encoding="utf-8"?>
<sst xmlns="http://schemas.openxmlformats.org/spreadsheetml/2006/main" count="5101" uniqueCount="499">
  <si>
    <t>Schedule Engine  |  Monthly Progress Dashboard</t>
  </si>
  <si>
    <t>Pellet Plant Complex - Area Schedule (Demo)   |   Data Date: 01-Oct-2026   |   Generated 28/9/2026, 10:07:44 am by Schedule Engine</t>
  </si>
  <si>
    <t>KEY FIGURES</t>
  </si>
  <si>
    <t>Total activities</t>
  </si>
  <si>
    <t>Completed</t>
  </si>
  <si>
    <t>In progress</t>
  </si>
  <si>
    <t>Not started</t>
  </si>
  <si>
    <t>Planned %</t>
  </si>
  <si>
    <t>Actual %</t>
  </si>
  <si>
    <t>Variance</t>
  </si>
  <si>
    <t>Forecast finish</t>
  </si>
  <si>
    <t>Critical</t>
  </si>
  <si>
    <t>Late start</t>
  </si>
  <si>
    <t>Overdue</t>
  </si>
  <si>
    <t>Pending update</t>
  </si>
  <si>
    <t>Area-wise progress</t>
  </si>
  <si>
    <t>Area-wise</t>
  </si>
  <si>
    <t>Activities</t>
  </si>
  <si>
    <t>Gained this period</t>
  </si>
  <si>
    <t>Project Milestones</t>
  </si>
  <si>
    <t>Pellet Plant-1</t>
  </si>
  <si>
    <t>Pellet Plant-2</t>
  </si>
  <si>
    <t>Filtration Plant</t>
  </si>
  <si>
    <t>Building-wise progress</t>
  </si>
  <si>
    <t>Building-wise</t>
  </si>
  <si>
    <t>Additive Storage Shed (Pellet Plant-1)</t>
  </si>
  <si>
    <t>Additive Grinding Building</t>
  </si>
  <si>
    <t>Green Pelletizing Building (Pellet Plant-1)</t>
  </si>
  <si>
    <t>Induration Furnace Building</t>
  </si>
  <si>
    <t>Additive Storage Shed (Pellet Plant-2)</t>
  </si>
  <si>
    <t>Green Pelletizing Building (Pellet Plant-2)</t>
  </si>
  <si>
    <t>Screen House</t>
  </si>
  <si>
    <t>Filtration Building</t>
  </si>
  <si>
    <t>Return Fines Building</t>
  </si>
  <si>
    <t>EPC-wise progress</t>
  </si>
  <si>
    <t>EPC-wise</t>
  </si>
  <si>
    <t>Engineering</t>
  </si>
  <si>
    <t>Procurement</t>
  </si>
  <si>
    <t>Construction</t>
  </si>
  <si>
    <t>Others</t>
  </si>
  <si>
    <t>ENGINE INSIGHTS</t>
  </si>
  <si>
    <t>•  Overall progress is 57.6% against a planned 74.6% as of 01-Oct-2026 (-17.0%). Progress gained this period: 3.0%.</t>
  </si>
  <si>
    <t>•  11 activities were due to start before the Data Date but have not started.</t>
  </si>
  <si>
    <t>•  13 activities are past their finish date and still open.</t>
  </si>
  <si>
    <t>•  2 future activities show progress - check these were really started early.</t>
  </si>
  <si>
    <t>•  28 activities still need your update this month.</t>
  </si>
  <si>
    <t>•  3 activities are progressing out of sequence.</t>
  </si>
  <si>
    <t>•  Return Fines Building is the most behind: 55.0% vs 80.9% planned (-25.9%).</t>
  </si>
  <si>
    <t>•  Additive Storage Shed (Pellet Plant-1) is on/ahead of plan at 100.0% (+0.0%).</t>
  </si>
  <si>
    <t>•  EPC progress: Engineering 100%, Procurement 57%, Construction 44%.</t>
  </si>
  <si>
    <t>•  Forecast project finish: 19-Jun-2027 - 37 working days later than baseline.</t>
  </si>
  <si>
    <t>•  9 milestones are forecast late; worst: FLT-RFB-C1190 Building handover to client (16-Dec-26 → 20-Feb-27).</t>
  </si>
  <si>
    <t>•  6 activities are critical. Watch them in the look-ahead.</t>
  </si>
  <si>
    <t>Progress matrix - Building x EPC (Actual % / Planned %)</t>
  </si>
  <si>
    <t>Building</t>
  </si>
  <si>
    <t>Engineering Actual</t>
  </si>
  <si>
    <t>Engineering Planned</t>
  </si>
  <si>
    <t>Procurement Actual</t>
  </si>
  <si>
    <t>Procurement Planned</t>
  </si>
  <si>
    <t>Construction Actual</t>
  </si>
  <si>
    <t>Construction Planned</t>
  </si>
  <si>
    <t>Others Actual</t>
  </si>
  <si>
    <t>Others Planned</t>
  </si>
  <si>
    <t>Overall Actual</t>
  </si>
  <si>
    <t>Overall Planned</t>
  </si>
  <si>
    <t>Schedule - Pellet Plant Complex - Area Schedule (Demo)</t>
  </si>
  <si>
    <t>Activity ID</t>
  </si>
  <si>
    <t>Activity Name</t>
  </si>
  <si>
    <t>EPC</t>
  </si>
  <si>
    <t>Status</t>
  </si>
  <si>
    <t>Orig Dur</t>
  </si>
  <si>
    <t>Rem Dur</t>
  </si>
  <si>
    <t>% Complete</t>
  </si>
  <si>
    <t>Start</t>
  </si>
  <si>
    <t>Finish</t>
  </si>
  <si>
    <t>Actual Start</t>
  </si>
  <si>
    <t>Actual Finish</t>
  </si>
  <si>
    <t>BL Start</t>
  </si>
  <si>
    <t>BL Finish</t>
  </si>
  <si>
    <t>Finish Var (d)</t>
  </si>
  <si>
    <t>Total Float</t>
  </si>
  <si>
    <t>Flags</t>
  </si>
  <si>
    <t>Remarks</t>
  </si>
  <si>
    <t>PPC-AS</t>
  </si>
  <si>
    <t>Pellet Plant Complex - Area Schedule (Demo)</t>
  </si>
  <si>
    <t/>
  </si>
  <si>
    <t>In Progress</t>
  </si>
  <si>
    <t>173 activities</t>
  </si>
  <si>
    <t>GEN</t>
  </si>
  <si>
    <t>2 activities</t>
  </si>
  <si>
    <t>MS-1000</t>
  </si>
  <si>
    <t>Notice to proceed / Project start</t>
  </si>
  <si>
    <t>MS-9000</t>
  </si>
  <si>
    <t>Pellet plant complex - mechanical completion</t>
  </si>
  <si>
    <t>Not Started</t>
  </si>
  <si>
    <t>Yes</t>
  </si>
  <si>
    <t>PP1</t>
  </si>
  <si>
    <t>76 activities</t>
  </si>
  <si>
    <t>PP1.ASS</t>
  </si>
  <si>
    <t>Additive Storage Shed</t>
  </si>
  <si>
    <t>19 activities</t>
  </si>
  <si>
    <t>PP1.ASS.E</t>
  </si>
  <si>
    <t>4 activities</t>
  </si>
  <si>
    <t>PP1-ASS-E1010</t>
  </si>
  <si>
    <t>Design basis &amp; architectural layout</t>
  </si>
  <si>
    <t>PP1-ASS-E1020</t>
  </si>
  <si>
    <t>Structural design &amp; IFC drawings</t>
  </si>
  <si>
    <t>PP1-ASS-E1030</t>
  </si>
  <si>
    <t>MEP design &amp; drawings</t>
  </si>
  <si>
    <t>PP1-ASS-E1040</t>
  </si>
  <si>
    <t>Drawing approval by client</t>
  </si>
  <si>
    <t>PP1.ASS.P</t>
  </si>
  <si>
    <t>PP1-ASS-P1050</t>
  </si>
  <si>
    <t>Structural steel - PO placement</t>
  </si>
  <si>
    <t>PP1-ASS-P1060</t>
  </si>
  <si>
    <t>Structural steel - fabrication &amp; supply to site</t>
  </si>
  <si>
    <t>PP1-ASS-P1070</t>
  </si>
  <si>
    <t>MEP equipment - PO placement</t>
  </si>
  <si>
    <t>PP1-ASS-P1080</t>
  </si>
  <si>
    <t>MEP equipment - manufacturing &amp; delivery</t>
  </si>
  <si>
    <t>PP1.ASS.C</t>
  </si>
  <si>
    <t>11 activities</t>
  </si>
  <si>
    <t>PP1-ASS-C1090</t>
  </si>
  <si>
    <t>Site mobilisation &amp; survey</t>
  </si>
  <si>
    <t>PP1-ASS-C1100</t>
  </si>
  <si>
    <t>Excavation</t>
  </si>
  <si>
    <t>PP1-ASS-C1110</t>
  </si>
  <si>
    <t>PCC &amp; foundation concreting</t>
  </si>
  <si>
    <t>PP1-ASS-C1120</t>
  </si>
  <si>
    <t>Plinth beam &amp; backfilling</t>
  </si>
  <si>
    <t>PP1-ASS-C1130</t>
  </si>
  <si>
    <t>Superstructure - RCC / steel erection</t>
  </si>
  <si>
    <t>PP1-ASS-C1150</t>
  </si>
  <si>
    <t>Masonry &amp; plastering</t>
  </si>
  <si>
    <t>PP1-ASS-C1140</t>
  </si>
  <si>
    <t>Roofing &amp; cladding</t>
  </si>
  <si>
    <t>PP1-ASS-C1160</t>
  </si>
  <si>
    <t>MEP installation</t>
  </si>
  <si>
    <t>PP1-ASS-C1170</t>
  </si>
  <si>
    <t>Finishes - flooring &amp; painting</t>
  </si>
  <si>
    <t>PP1-ASS-C1180</t>
  </si>
  <si>
    <t>Testing &amp; commissioning</t>
  </si>
  <si>
    <t>PP1-ASS-C1190</t>
  </si>
  <si>
    <t>Building handover to client</t>
  </si>
  <si>
    <t>PP1.AGB</t>
  </si>
  <si>
    <t>PP1.AGB.E</t>
  </si>
  <si>
    <t>PP1-AGB-E1010</t>
  </si>
  <si>
    <t>PP1-AGB-E1020</t>
  </si>
  <si>
    <t>PP1-AGB-E1030</t>
  </si>
  <si>
    <t>PP1-AGB-E1040</t>
  </si>
  <si>
    <t>PP1.AGB.P</t>
  </si>
  <si>
    <t>PP1-AGB-P1050</t>
  </si>
  <si>
    <t>PP1-AGB-P1060</t>
  </si>
  <si>
    <t>PP1-AGB-P1070</t>
  </si>
  <si>
    <t>PP1-AGB-P1080</t>
  </si>
  <si>
    <t>PP1.AGB.C</t>
  </si>
  <si>
    <t>PP1-AGB-C1090</t>
  </si>
  <si>
    <t>PP1-AGB-C1100</t>
  </si>
  <si>
    <t>PP1-AGB-C1110</t>
  </si>
  <si>
    <t>PP1-AGB-C1120</t>
  </si>
  <si>
    <t>PP1-AGB-C1130</t>
  </si>
  <si>
    <t>PP1-AGB-C1150</t>
  </si>
  <si>
    <t>Overdue, Due this period, In progress, No concern yet</t>
  </si>
  <si>
    <t>PP1-AGB-C1140</t>
  </si>
  <si>
    <t>Due this period, In progress, Out of sequence, No concern yet</t>
  </si>
  <si>
    <t>PP1-AGB-C1160</t>
  </si>
  <si>
    <t>PP1-AGB-C1170</t>
  </si>
  <si>
    <t>PP1-AGB-C1180</t>
  </si>
  <si>
    <t>PP1-AGB-C1190</t>
  </si>
  <si>
    <t>PP1.GPB</t>
  </si>
  <si>
    <t>Green Pelletizing Building</t>
  </si>
  <si>
    <t>PP1.GPB.E</t>
  </si>
  <si>
    <t>PP1-GPB-E1010</t>
  </si>
  <si>
    <t>PP1-GPB-E1020</t>
  </si>
  <si>
    <t>PP1-GPB-E1030</t>
  </si>
  <si>
    <t>PP1-GPB-E1040</t>
  </si>
  <si>
    <t>PP1.GPB.P</t>
  </si>
  <si>
    <t>PP1-GPB-P1050</t>
  </si>
  <si>
    <t>PP1-GPB-P1060</t>
  </si>
  <si>
    <t>PP1-GPB-P1070</t>
  </si>
  <si>
    <t>PP1-GPB-P1080</t>
  </si>
  <si>
    <t>PP1.GPB.C</t>
  </si>
  <si>
    <t>PP1-GPB-C1090</t>
  </si>
  <si>
    <t>PP1-GPB-C1100</t>
  </si>
  <si>
    <t>PP1-GPB-C1110</t>
  </si>
  <si>
    <t>PP1-GPB-C1120</t>
  </si>
  <si>
    <t>PP1-GPB-C1130</t>
  </si>
  <si>
    <t>PP1-GPB-C1150</t>
  </si>
  <si>
    <t>PP1-GPB-C1140</t>
  </si>
  <si>
    <t>PP1-GPB-C1170</t>
  </si>
  <si>
    <t>PP1-GPB-C1160</t>
  </si>
  <si>
    <t>PP1-GPB-C1180</t>
  </si>
  <si>
    <t>PP1-GPB-C1190</t>
  </si>
  <si>
    <t>PP1.IFB</t>
  </si>
  <si>
    <t>PP1.IFB.E</t>
  </si>
  <si>
    <t>PP1-IFB-E1010</t>
  </si>
  <si>
    <t>PP1-IFB-E1020</t>
  </si>
  <si>
    <t>PP1-IFB-E1030</t>
  </si>
  <si>
    <t>PP1-IFB-E1040</t>
  </si>
  <si>
    <t>PP1.IFB.P</t>
  </si>
  <si>
    <t>PP1-IFB-P1050</t>
  </si>
  <si>
    <t>PP1-IFB-P1060</t>
  </si>
  <si>
    <t>PP1-IFB-P1070</t>
  </si>
  <si>
    <t>PP1-IFB-P1080</t>
  </si>
  <si>
    <t>Late start, Due this period, Pending update, No concern yet</t>
  </si>
  <si>
    <t>PP1.IFB.C</t>
  </si>
  <si>
    <t>PP1-IFB-C1090</t>
  </si>
  <si>
    <t>PP1-IFB-C1100</t>
  </si>
  <si>
    <t>PP1-IFB-C1110</t>
  </si>
  <si>
    <t>PP1-IFB-C1120</t>
  </si>
  <si>
    <t>PP1-IFB-C1130</t>
  </si>
  <si>
    <t>PP1-IFB-C1160</t>
  </si>
  <si>
    <t>Future progress, In progress, Out of sequence, No concern yet</t>
  </si>
  <si>
    <t>PP1-IFB-C1150</t>
  </si>
  <si>
    <t>PP1-IFB-C1140</t>
  </si>
  <si>
    <t>PP1-IFB-C1170</t>
  </si>
  <si>
    <t>PP1-IFB-C1180</t>
  </si>
  <si>
    <t>PP1-IFB-C1190</t>
  </si>
  <si>
    <t>PP2</t>
  </si>
  <si>
    <t>57 activities</t>
  </si>
  <si>
    <t>PP2.ASS</t>
  </si>
  <si>
    <t>PP2.ASS.E</t>
  </si>
  <si>
    <t>PP2-ASS-E1010</t>
  </si>
  <si>
    <t>PP2-ASS-E1020</t>
  </si>
  <si>
    <t>PP2-ASS-E1030</t>
  </si>
  <si>
    <t>PP2-ASS-E1040</t>
  </si>
  <si>
    <t>PP2.ASS.P</t>
  </si>
  <si>
    <t>PP2-ASS-P1050</t>
  </si>
  <si>
    <t>PP2-ASS-P1060</t>
  </si>
  <si>
    <t>PP2-ASS-P1070</t>
  </si>
  <si>
    <t>PP2-ASS-P1080</t>
  </si>
  <si>
    <t>Overdue, Due this period, In progress, Pending update, No concern yet</t>
  </si>
  <si>
    <t>PP2.ASS.C</t>
  </si>
  <si>
    <t>PP2-ASS-C1090</t>
  </si>
  <si>
    <t>PP2-ASS-C1100</t>
  </si>
  <si>
    <t>PP2-ASS-C1110</t>
  </si>
  <si>
    <t>PP2-ASS-C1120</t>
  </si>
  <si>
    <t>PP2-ASS-C1130</t>
  </si>
  <si>
    <t>PP2-ASS-C1150</t>
  </si>
  <si>
    <t>PP2-ASS-C1140</t>
  </si>
  <si>
    <t>Late start, Overdue, Due this period, Pending update, No concern yet</t>
  </si>
  <si>
    <t>PP2-ASS-C1170</t>
  </si>
  <si>
    <t>PP2-ASS-C1160</t>
  </si>
  <si>
    <t>PP2-ASS-C1180</t>
  </si>
  <si>
    <t>PP2-ASS-C1190</t>
  </si>
  <si>
    <t>PP2.GPB</t>
  </si>
  <si>
    <t>PP2.GPB.E</t>
  </si>
  <si>
    <t>PP2-GPB-E1010</t>
  </si>
  <si>
    <t>PP2-GPB-E1020</t>
  </si>
  <si>
    <t>PP2-GPB-E1030</t>
  </si>
  <si>
    <t>PP2-GPB-E1040</t>
  </si>
  <si>
    <t>PP2.GPB.P</t>
  </si>
  <si>
    <t>PP2-GPB-P1050</t>
  </si>
  <si>
    <t>PP2-GPB-P1060</t>
  </si>
  <si>
    <t>In progress, Pending update</t>
  </si>
  <si>
    <t>PP2-GPB-P1070</t>
  </si>
  <si>
    <t>Late start, Overdue, Due this period, Pending update, Critical, No concern yet</t>
  </si>
  <si>
    <t>PP2-GPB-P1080</t>
  </si>
  <si>
    <t>Late start, Due this period, Pending update, Critical, No concern yet</t>
  </si>
  <si>
    <t>PP2.GPB.C</t>
  </si>
  <si>
    <t>PP2-GPB-C1090</t>
  </si>
  <si>
    <t>PP2-GPB-C1100</t>
  </si>
  <si>
    <t>PP2-GPB-C1110</t>
  </si>
  <si>
    <t>PP2-GPB-C1120</t>
  </si>
  <si>
    <t>PP2-GPB-C1130</t>
  </si>
  <si>
    <t>PP2-GPB-C1150</t>
  </si>
  <si>
    <t>PP2-GPB-C1140</t>
  </si>
  <si>
    <t>PP2-GPB-C1160</t>
  </si>
  <si>
    <t>PP2-GPB-C1170</t>
  </si>
  <si>
    <t>PP2-GPB-C1180</t>
  </si>
  <si>
    <t>PP2-GPB-C1190</t>
  </si>
  <si>
    <t>PP2.SCH</t>
  </si>
  <si>
    <t>PP2.SCH.E</t>
  </si>
  <si>
    <t>PP2-SCH-E1010</t>
  </si>
  <si>
    <t>PP2-SCH-E1020</t>
  </si>
  <si>
    <t>PP2-SCH-E1030</t>
  </si>
  <si>
    <t>PP2-SCH-E1040</t>
  </si>
  <si>
    <t>PP2.SCH.P</t>
  </si>
  <si>
    <t>PP2-SCH-P1050</t>
  </si>
  <si>
    <t>PP2-SCH-P1060</t>
  </si>
  <si>
    <t>PP2-SCH-P1070</t>
  </si>
  <si>
    <t>PP2-SCH-P1080</t>
  </si>
  <si>
    <t>PP2.SCH.C</t>
  </si>
  <si>
    <t>PP2-SCH-C1090</t>
  </si>
  <si>
    <t>PP2-SCH-C1100</t>
  </si>
  <si>
    <t>PP2-SCH-C1110</t>
  </si>
  <si>
    <t>PP2-SCH-C1120</t>
  </si>
  <si>
    <t>PP2-SCH-C1130</t>
  </si>
  <si>
    <t>PP2-SCH-C1150</t>
  </si>
  <si>
    <t>PP2-SCH-C1140</t>
  </si>
  <si>
    <t>PP2-SCH-C1170</t>
  </si>
  <si>
    <t>PP2-SCH-C1160</t>
  </si>
  <si>
    <t>PP2-SCH-C1180</t>
  </si>
  <si>
    <t>PP2-SCH-C1190</t>
  </si>
  <si>
    <t>FLT</t>
  </si>
  <si>
    <t>38 activities</t>
  </si>
  <si>
    <t>FLT.FLB</t>
  </si>
  <si>
    <t>FLT.FLB.E</t>
  </si>
  <si>
    <t>FLT-FLB-E1010</t>
  </si>
  <si>
    <t>FLT-FLB-E1020</t>
  </si>
  <si>
    <t>FLT-FLB-E1030</t>
  </si>
  <si>
    <t>FLT-FLB-E1040</t>
  </si>
  <si>
    <t>FLT.FLB.P</t>
  </si>
  <si>
    <t>FLT-FLB-P1050</t>
  </si>
  <si>
    <t>FLT-FLB-P1060</t>
  </si>
  <si>
    <t>FLT-FLB-P1070</t>
  </si>
  <si>
    <t>FLT-FLB-P1080</t>
  </si>
  <si>
    <t>FLT.FLB.C</t>
  </si>
  <si>
    <t>FLT-FLB-C1090</t>
  </si>
  <si>
    <t>FLT-FLB-C1100</t>
  </si>
  <si>
    <t>FLT-FLB-C1110</t>
  </si>
  <si>
    <t>FLT-FLB-C1120</t>
  </si>
  <si>
    <t>FLT-FLB-C1130</t>
  </si>
  <si>
    <t>FLT-FLB-C1150</t>
  </si>
  <si>
    <t>FLT-FLB-C1160</t>
  </si>
  <si>
    <t>Future progress, In progress, Pending update, Out of sequence, No concern yet</t>
  </si>
  <si>
    <t>FLT-FLB-C1140</t>
  </si>
  <si>
    <t>FLT-FLB-C1170</t>
  </si>
  <si>
    <t>FLT-FLB-C1180</t>
  </si>
  <si>
    <t>FLT-FLB-C1190</t>
  </si>
  <si>
    <t>FLT.RFB</t>
  </si>
  <si>
    <t>FLT.RFB.E</t>
  </si>
  <si>
    <t>FLT-RFB-E1010</t>
  </si>
  <si>
    <t>FLT-RFB-E1020</t>
  </si>
  <si>
    <t>FLT-RFB-E1030</t>
  </si>
  <si>
    <t>FLT-RFB-E1040</t>
  </si>
  <si>
    <t>FLT.RFB.P</t>
  </si>
  <si>
    <t>FLT-RFB-P1050</t>
  </si>
  <si>
    <t>FLT-RFB-P1060</t>
  </si>
  <si>
    <t>FLT-RFB-P1070</t>
  </si>
  <si>
    <t>FLT-RFB-P1080</t>
  </si>
  <si>
    <t>FLT.RFB.C</t>
  </si>
  <si>
    <t>FLT-RFB-C1090</t>
  </si>
  <si>
    <t>FLT-RFB-C1100</t>
  </si>
  <si>
    <t>FLT-RFB-C1110</t>
  </si>
  <si>
    <t>FLT-RFB-C1120</t>
  </si>
  <si>
    <t>FLT-RFB-C1130</t>
  </si>
  <si>
    <t>FLT-RFB-C1150</t>
  </si>
  <si>
    <t>FLT-RFB-C1140</t>
  </si>
  <si>
    <t>FLT-RFB-C1160</t>
  </si>
  <si>
    <t>FLT-RFB-C1170</t>
  </si>
  <si>
    <t>FLT-RFB-C1180</t>
  </si>
  <si>
    <t>FLT-RFB-C1190</t>
  </si>
  <si>
    <t>Gantt chart - weekly timescale  (dark = actual, blue = remaining, red = critical, ◆ = milestone, red line = Data Date)</t>
  </si>
  <si>
    <t>Jan-26</t>
  </si>
  <si>
    <t>Feb-26</t>
  </si>
  <si>
    <t>Mar-26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</si>
  <si>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</si>
  <si>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</si>
  <si>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</si>
  <si>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</si>
  <si>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</si>
  <si>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</si>
  <si>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</si>
  <si>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</si>
  <si>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</si>
  <si>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</si>
  <si>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</si>
  <si>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</si>
  <si>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Apr-27</t>
  </si>
  <si>
    <t>May-27</t>
  </si>
  <si>
    <t>Jun-27</t>
  </si>
  <si>
    <t>%</t>
  </si>
  <si>
    <t xml:space="preserve">  Project Milestones</t>
  </si>
  <si>
    <t xml:space="preserve">    Notice to proceed / Project start</t>
  </si>
  <si>
    <t>◆</t>
  </si>
  <si>
    <t xml:space="preserve">    Pellet plant complex - mechanical completion</t>
  </si>
  <si>
    <t xml:space="preserve">  Pellet Plant-1</t>
  </si>
  <si>
    <t xml:space="preserve">    Additive Storage Shed</t>
  </si>
  <si>
    <t xml:space="preserve">      Engineering</t>
  </si>
  <si>
    <t xml:space="preserve">        Design basis &amp; architectural layout</t>
  </si>
  <si>
    <t xml:space="preserve">        Structural design &amp; IFC drawings</t>
  </si>
  <si>
    <t xml:space="preserve">        MEP design &amp; drawings</t>
  </si>
  <si>
    <t xml:space="preserve">        Drawing approval by client</t>
  </si>
  <si>
    <t xml:space="preserve">      Procurement</t>
  </si>
  <si>
    <t xml:space="preserve">        Structural steel - PO placement</t>
  </si>
  <si>
    <t xml:space="preserve">        Structural steel - fabrication &amp; supply to site</t>
  </si>
  <si>
    <t xml:space="preserve">        MEP equipment - PO placement</t>
  </si>
  <si>
    <t xml:space="preserve">        MEP equipment - manufacturing &amp; delivery</t>
  </si>
  <si>
    <t xml:space="preserve">      Construction</t>
  </si>
  <si>
    <t xml:space="preserve">        Site mobilisation &amp; survey</t>
  </si>
  <si>
    <t xml:space="preserve">        Excavation</t>
  </si>
  <si>
    <t xml:space="preserve">        PCC &amp; foundation concreting</t>
  </si>
  <si>
    <t xml:space="preserve">        Plinth beam &amp; backfilling</t>
  </si>
  <si>
    <t xml:space="preserve">        Superstructure - RCC / steel erection</t>
  </si>
  <si>
    <t xml:space="preserve">        Masonry &amp; plastering</t>
  </si>
  <si>
    <t xml:space="preserve">        Roofing &amp; cladding</t>
  </si>
  <si>
    <t xml:space="preserve">        MEP installation</t>
  </si>
  <si>
    <t xml:space="preserve">        Finishes - flooring &amp; painting</t>
  </si>
  <si>
    <t xml:space="preserve">        Testing &amp; commissioning</t>
  </si>
  <si>
    <t xml:space="preserve">        Building handover to client</t>
  </si>
  <si>
    <t xml:space="preserve">    Additive Grinding Building</t>
  </si>
  <si>
    <t xml:space="preserve">    Green Pelletizing Building</t>
  </si>
  <si>
    <t xml:space="preserve">    Induration Furnace Building</t>
  </si>
  <si>
    <t xml:space="preserve">  Pellet Plant-2</t>
  </si>
  <si>
    <t xml:space="preserve">    Screen House</t>
  </si>
  <si>
    <t xml:space="preserve">  Filtration Plant</t>
  </si>
  <si>
    <t xml:space="preserve">    Filtration Building</t>
  </si>
  <si>
    <t xml:space="preserve">    Return Fines Building</t>
  </si>
  <si>
    <t>UPDATE SHEET  -  fill the orange columns, then File &gt; Import Update Sheet in Schedule Engine</t>
  </si>
  <si>
    <t>Data Date 01-Oct-2026: actual dates must be BEFORE 01-Oct-2026.  % is 0-100.  Leave a cell blank to keep the current value.  Qty % = Done ÷ Scope (use it to decide the % complete).</t>
  </si>
  <si>
    <t>Planned Start</t>
  </si>
  <si>
    <t>Planned Finish</t>
  </si>
  <si>
    <t>Current Actual Start</t>
  </si>
  <si>
    <t>Current Actual Finish</t>
  </si>
  <si>
    <t>Current %</t>
  </si>
  <si>
    <t>Current Rem Dur</t>
  </si>
  <si>
    <t>New Actual Start</t>
  </si>
  <si>
    <t>New Actual Finish</t>
  </si>
  <si>
    <t>New % Complete</t>
  </si>
  <si>
    <t>New Remaining Dur</t>
  </si>
  <si>
    <t>Expected Finish</t>
  </si>
  <si>
    <t>Unit</t>
  </si>
  <si>
    <t>Scope Qty</t>
  </si>
  <si>
    <t>Done Qty</t>
  </si>
  <si>
    <t>Qty %</t>
  </si>
  <si>
    <t>Check</t>
  </si>
  <si>
    <t>MT</t>
  </si>
  <si>
    <t>Nos</t>
  </si>
  <si>
    <t>8-week look-ahead from 01-Oct-2026</t>
  </si>
  <si>
    <t>Window</t>
  </si>
  <si>
    <t>Ongoing</t>
  </si>
  <si>
    <t>0-2 weeks</t>
  </si>
  <si>
    <t>2-4 weeks</t>
  </si>
  <si>
    <t>4-8 weeks</t>
  </si>
  <si>
    <t>Activities needing attention (flag + concern raised)</t>
  </si>
  <si>
    <t>Flag</t>
  </si>
  <si>
    <t>Ref Start</t>
  </si>
  <si>
    <t>Ref Finish</t>
  </si>
  <si>
    <t>TF</t>
  </si>
  <si>
    <t>Concern category</t>
  </si>
  <si>
    <t>Concern</t>
  </si>
  <si>
    <t>Action</t>
  </si>
  <si>
    <t>Owner</t>
  </si>
  <si>
    <t>Out of sequence</t>
  </si>
  <si>
    <t>NOT RAISED</t>
  </si>
  <si>
    <t>Future progress</t>
  </si>
  <si>
    <t>Concerns register - 0 concerns as of 01-Oct-2026</t>
  </si>
  <si>
    <t>Category</t>
  </si>
  <si>
    <t>Target date</t>
  </si>
  <si>
    <t>Raised</t>
  </si>
  <si>
    <t>Schedule health check - score 46%</t>
  </si>
  <si>
    <t>Result</t>
  </si>
  <si>
    <t>Count</t>
  </si>
  <si>
    <t>Of</t>
  </si>
  <si>
    <t>Guideline</t>
  </si>
  <si>
    <t>Missing logic (open ends)</t>
  </si>
  <si>
    <t>PASS</t>
  </si>
  <si>
    <t>Activities without a predecessor or a successor (first/last milestones excepted). Target ≤ 5%.</t>
  </si>
  <si>
    <t>Leads (negative lags)</t>
  </si>
  <si>
    <t>FAIL</t>
  </si>
  <si>
    <t>Relationships with a negative lag hide logic. Target 0.</t>
  </si>
  <si>
    <t>Positive lags</t>
  </si>
  <si>
    <t>Lags should be replaced with activities where possible. Target ≤ 5%.</t>
  </si>
  <si>
    <t>Relationship types (FS ≥ 90%)</t>
  </si>
  <si>
    <t>Finish-to-Start should dominate. Shows the share of FS links.</t>
  </si>
  <si>
    <t>Hard constraints</t>
  </si>
  <si>
    <t>Must/finish-on or before constraints block logic. Target ≤ 5%.</t>
  </si>
  <si>
    <t>High float (&gt; 44 days)</t>
  </si>
  <si>
    <t>Usually means missing successors. Target ≤ 5%.</t>
  </si>
  <si>
    <t>Negative float</t>
  </si>
  <si>
    <t>Project is late against a constraint / must-finish date. Target 0.</t>
  </si>
  <si>
    <t>High duration (&gt; 44 days)</t>
  </si>
  <si>
    <t>Break long activities down for better control. Target ≤ 5%.</t>
  </si>
  <si>
    <t>Invalid dates</t>
  </si>
  <si>
    <t>Actuals after the Data Date or forecasts before it. Target 0.</t>
  </si>
  <si>
    <t>Missed activities (finished late vs baseline)</t>
  </si>
  <si>
    <t>Planned to finish by the Data Date but finished late or not at all. Target ≤ 5%.</t>
  </si>
  <si>
    <t>Critical path exists</t>
  </si>
  <si>
    <t>A continuous critical path should drive the finish.</t>
  </si>
  <si>
    <t>Baseline Execution Index (BEI ≥ 0.95)</t>
  </si>
  <si>
    <t>Activities completed ÷ activities that should have been completed. 0.77</t>
  </si>
  <si>
    <t>Logic loops</t>
  </si>
  <si>
    <t>No circular logic.</t>
  </si>
  <si>
    <t>Changes vs previous update (01-Sep-2026 → 01-Oct-2026)</t>
  </si>
  <si>
    <t>Changes this period</t>
  </si>
  <si>
    <t>Finish movement (d)</t>
  </si>
  <si>
    <t>% 49 → 69</t>
  </si>
  <si>
    <t>% 68 → 88</t>
  </si>
  <si>
    <t>Status Not Started → In Progress; % 0 → 15; AS — → 28-Sep-26</t>
  </si>
  <si>
    <t>% 64 → 84</t>
  </si>
  <si>
    <t>% 73 → 93</t>
  </si>
  <si>
    <t>% 11 → 31</t>
  </si>
  <si>
    <t>% 58 → 78</t>
  </si>
  <si>
    <t>% 43 → 63</t>
  </si>
  <si>
    <t>% 41 → 61</t>
  </si>
  <si>
    <t>% 52 → 72</t>
  </si>
  <si>
    <t>% 14 → 34</t>
  </si>
  <si>
    <t>% 5 → 25</t>
  </si>
  <si>
    <t>Relationships</t>
  </si>
  <si>
    <t>Predecessor</t>
  </si>
  <si>
    <t>Predecessor Name</t>
  </si>
  <si>
    <t>Type</t>
  </si>
  <si>
    <t>Lag (d)</t>
  </si>
  <si>
    <t>Successor</t>
  </si>
  <si>
    <t>Successor Name</t>
  </si>
  <si>
    <t>FS</t>
  </si>
  <si>
    <t>SS</t>
  </si>
  <si>
    <t>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</si>
</sst>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-mmm-yy"/>
  </numFmts>
  <fonts count="25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i/>
      <color rgb="FFFFFFFF"/>
      <sz val="9"/>
      <name val="Arial"/>
    </font>
    <font>
      <b/>
      <color rgb="FF00338D"/>
      <sz val="11"/>
    </font>
    <font>
      <color rgb="FF595959"/>
      <sz val="8"/>
    </font>
    <font>
      <b/>
      <color rgb="FF00338D"/>
      <sz val="16"/>
    </font>
    <font>
      <b/>
      <color rgb="FFBC204B"/>
      <sz val="16"/>
    </font>
    <font>
      <b/>
      <color rgb="FFFFFFFF"/>
      <sz val="9"/>
      <name val="Arial"/>
    </font>
    <font>
      <b/>
      <color rgb="FF009A44"/>
    </font>
    <font>
      <b/>
      <color rgb="FFBC204B"/>
    </font>
    <font>
      <color rgb="FFBC204B"/>
      <sz val="10"/>
    </font>
    <font>
      <color rgb="FF262626"/>
      <sz val="10"/>
    </font>
    <font>
      <color rgb="FF009A44"/>
      <sz val="10"/>
    </font>
    <font>
      <b/>
      <color rgb="FFFFFFFF"/>
      <sz val="9"/>
    </font>
    <font>
      <sz val="9"/>
    </font>
    <font>
      <color rgb="FFBC204B"/>
      <sz val="9"/>
    </font>
    <font>
      <b/>
      <color rgb="FFBC204B"/>
      <sz val="9"/>
    </font>
    <font>
      <b/>
      <color rgb="FF1D1D1B"/>
      <sz val="9"/>
    </font>
    <font>
      <b/>
      <color rgb="FFFFFFFF"/>
      <sz val="8"/>
    </font>
    <font>
      <b/>
      <color rgb="FFFFFFFF"/>
      <sz val="7"/>
    </font>
    <font>
      <b/>
      <color rgb="FF00338D"/>
      <sz val="8"/>
    </font>
    <font>
      <sz val="8"/>
    </font>
    <font>
      <b/>
      <color rgb="FF00338D"/>
      <sz val="9"/>
    </font>
    <font>
      <b/>
      <color rgb="FF1D1D1B"/>
      <sz val="8"/>
    </font>
    <font>
      <b/>
      <color rgb="FF470A68"/>
      <sz val="9"/>
    </font>
  </fonts>
  <fills count="23">
    <fill>
      <patternFill patternType="none"/>
    </fill>
    <fill>
      <patternFill patternType="gray125"/>
    </fill>
    <fill>
      <patternFill patternType="solid">
        <fgColor rgb="FF00338D"/>
      </patternFill>
    </fill>
    <fill>
      <patternFill patternType="solid">
        <fgColor rgb="FF005EB8"/>
      </patternFill>
    </fill>
    <fill>
      <patternFill patternType="solid">
        <fgColor rgb="FFF2F5FB"/>
      </patternFill>
    </fill>
    <fill>
      <patternFill patternType="solid">
        <fgColor rgb="FF00A3A1"/>
      </patternFill>
    </fill>
    <fill>
      <patternFill patternType="solid">
        <fgColor rgb="FFDCE6F4"/>
      </patternFill>
    </fill>
    <fill>
      <patternFill patternType="solid">
        <fgColor rgb="FFEEF3FA"/>
      </patternFill>
    </fill>
    <fill>
      <patternFill patternType="solid">
        <fgColor rgb="FFFBE3E8"/>
      </patternFill>
    </fill>
    <fill>
      <patternFill patternType="solid">
        <fgColor rgb="FFFFF1CC"/>
      </patternFill>
    </fill>
    <fill>
      <patternFill patternType="solid">
        <fgColor rgb="FFEFE3F7"/>
      </patternFill>
    </fill>
    <fill>
      <patternFill patternType="solid">
        <fgColor rgb="FFBC204B"/>
      </patternFill>
    </fill>
    <fill>
      <patternFill patternType="darkHorizontal">
        <fgColor rgb="FF404040"/>
        <bgColor rgb="FFFFFFFF"/>
      </patternFill>
    </fill>
    <fill>
      <patternFill patternType="solid">
        <fgColor rgb="FF00338D"/>
        <bgColor rgb="FFFFFFFF"/>
      </patternFill>
    </fill>
    <fill>
      <patternFill patternType="solid">
        <fgColor rgb="FF0091DA"/>
        <bgColor rgb="FFFFFFFF"/>
      </patternFill>
    </fill>
    <fill>
      <patternFill patternType="solid">
        <fgColor rgb="FFBC204B"/>
        <bgColor rgb="FFFFFFFF"/>
      </patternFill>
    </fill>
    <fill>
      <patternFill patternType="solid">
        <fgColor rgb="FFF68D2E"/>
      </patternFill>
    </fill>
    <fill>
      <patternFill patternType="solid">
        <fgColor rgb="FFFFF4E5"/>
      </patternFill>
    </fill>
    <fill>
      <patternFill patternType="solid">
        <fgColor rgb="FF0091DA"/>
      </patternFill>
    </fill>
    <fill>
      <patternFill patternType="solid">
        <fgColor rgb="FFC6007E"/>
      </patternFill>
    </fill>
    <fill>
      <patternFill patternType="solid">
        <fgColor rgb="FF483698"/>
      </patternFill>
    </fill>
    <fill>
      <patternFill patternType="solid">
        <fgColor rgb="FF7F7F7F"/>
      </patternFill>
    </fill>
    <fill>
      <patternFill patternType="solid">
        <fgColor rgb="FF470A68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D9DEE8"/>
      </left>
      <right style="thin">
        <color rgb="FFD9DEE8"/>
      </right>
      <top style="thin">
        <color rgb="FFD9DEE8"/>
      </top>
      <bottom style="thin">
        <color rgb="FFD9DEE8"/>
      </bottom>
      <diagonal/>
    </border>
    <border>
      <left style="medium">
        <color rgb="FFBC204B"/>
      </left>
      <right/>
      <top/>
      <bottom/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3" borderId="0" xfId="0" applyFont="1" applyFill="1" applyAlignment="1">
      <alignment indent="1"/>
    </xf>
    <xf numFmtId="0" fontId="3" fillId="0" borderId="0" xfId="0" applyFont="1"/>
    <xf numFmtId="0" fontId="4" fillId="4" borderId="0" xfId="0" applyFont="1" applyFill="1"/>
    <xf numFmtId="0" fontId="5" fillId="4" borderId="0" xfId="0" applyFont="1" applyFill="1"/>
    <xf numFmtId="164" fontId="5" fillId="4" borderId="0" xfId="0" applyNumberFormat="1" applyFont="1" applyFill="1"/>
    <xf numFmtId="164" fontId="6" fillId="4" borderId="0" xfId="0" applyNumberFormat="1" applyFont="1" applyFill="1"/>
    <xf numFmtId="165" fontId="5" fillId="4" borderId="0" xfId="0" applyNumberFormat="1" applyFont="1" applyFill="1"/>
    <xf numFmtId="0" fontId="7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164" fontId="8" fillId="0" borderId="2" xfId="0" applyNumberFormat="1" applyFont="1" applyBorder="1"/>
    <xf numFmtId="165" fontId="0" fillId="0" borderId="2" xfId="0" applyNumberFormat="1" applyBorder="1"/>
    <xf numFmtId="164" fontId="9" fillId="0" borderId="2" xfId="0" applyNumberFormat="1" applyFont="1" applyBorder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7" fillId="5" borderId="1" xfId="0" applyFont="1" applyFill="1" applyBorder="1" applyAlignment="1">
      <alignment horizontal="center" vertical="center" wrapText="1"/>
    </xf>
    <xf numFmtId="9" fontId="0" fillId="0" borderId="2" xfId="0" applyNumberFormat="1" applyBorder="1" applyAlignment="1">
      <alignment horizontal="center"/>
    </xf>
    <xf numFmtId="0" fontId="13" fillId="2" borderId="2" xfId="0" applyFont="1" applyFill="1" applyBorder="1"/>
    <xf numFmtId="0" fontId="13" fillId="2" borderId="2" xfId="0" applyFont="1" applyFill="1" applyBorder="1" applyAlignment="1"/>
    <xf numFmtId="9" fontId="13" fillId="2" borderId="2" xfId="0" applyNumberFormat="1" applyFont="1" applyFill="1" applyBorder="1"/>
    <xf numFmtId="165" fontId="13" fillId="2" borderId="2" xfId="0" applyNumberFormat="1" applyFont="1" applyFill="1" applyBorder="1"/>
    <xf numFmtId="0" fontId="13" fillId="3" borderId="2" xfId="0" applyFont="1" applyFill="1" applyBorder="1"/>
    <xf numFmtId="0" fontId="13" fillId="3" borderId="2" xfId="0" applyFont="1" applyFill="1" applyBorder="1" applyAlignment="1">
      <alignment indent="1"/>
    </xf>
    <xf numFmtId="9" fontId="13" fillId="3" borderId="2" xfId="0" applyNumberFormat="1" applyFont="1" applyFill="1" applyBorder="1"/>
    <xf numFmtId="165" fontId="13" fillId="3" borderId="2" xfId="0" applyNumberFormat="1" applyFont="1" applyFill="1" applyBorder="1"/>
    <xf numFmtId="0" fontId="14" fillId="0" borderId="0" xfId="0" applyFont="1"/>
    <xf numFmtId="0" fontId="14" fillId="0" borderId="2" xfId="0" applyFont="1" applyBorder="1"/>
    <xf numFmtId="0" fontId="14" fillId="0" borderId="2" xfId="0" applyFont="1" applyBorder="1" applyAlignment="1">
      <alignment indent="2"/>
    </xf>
    <xf numFmtId="9" fontId="14" fillId="0" borderId="2" xfId="0" applyNumberFormat="1" applyFont="1" applyBorder="1"/>
    <xf numFmtId="165" fontId="14" fillId="0" borderId="2" xfId="0" applyNumberFormat="1" applyFont="1" applyBorder="1"/>
    <xf numFmtId="0" fontId="15" fillId="0" borderId="2" xfId="0" applyFont="1" applyBorder="1"/>
    <xf numFmtId="0" fontId="16" fillId="0" borderId="2" xfId="0" applyFont="1" applyBorder="1"/>
    <xf numFmtId="0" fontId="17" fillId="6" borderId="2" xfId="0" applyFont="1" applyFill="1" applyBorder="1"/>
    <xf numFmtId="0" fontId="17" fillId="6" borderId="2" xfId="0" applyFont="1" applyFill="1" applyBorder="1" applyAlignment="1">
      <alignment indent="2"/>
    </xf>
    <xf numFmtId="9" fontId="17" fillId="6" borderId="2" xfId="0" applyNumberFormat="1" applyFont="1" applyFill="1" applyBorder="1"/>
    <xf numFmtId="165" fontId="17" fillId="6" borderId="2" xfId="0" applyNumberFormat="1" applyFont="1" applyFill="1" applyBorder="1"/>
    <xf numFmtId="0" fontId="17" fillId="7" borderId="2" xfId="0" applyFont="1" applyFill="1" applyBorder="1"/>
    <xf numFmtId="0" fontId="17" fillId="7" borderId="2" xfId="0" applyFont="1" applyFill="1" applyBorder="1" applyAlignment="1">
      <alignment indent="3"/>
    </xf>
    <xf numFmtId="9" fontId="17" fillId="7" borderId="2" xfId="0" applyNumberFormat="1" applyFont="1" applyFill="1" applyBorder="1"/>
    <xf numFmtId="165" fontId="17" fillId="7" borderId="2" xfId="0" applyNumberFormat="1" applyFont="1" applyFill="1" applyBorder="1"/>
    <xf numFmtId="0" fontId="14" fillId="0" borderId="2" xfId="0" applyFont="1" applyBorder="1" applyAlignment="1">
      <alignment indent="4"/>
    </xf>
    <xf numFmtId="0" fontId="14" fillId="8" borderId="2" xfId="0" applyFont="1" applyFill="1" applyBorder="1"/>
    <xf numFmtId="0" fontId="14" fillId="8" borderId="2" xfId="0" applyFont="1" applyFill="1" applyBorder="1" applyAlignment="1">
      <alignment indent="4"/>
    </xf>
    <xf numFmtId="9" fontId="14" fillId="8" borderId="2" xfId="0" applyNumberFormat="1" applyFont="1" applyFill="1" applyBorder="1"/>
    <xf numFmtId="165" fontId="14" fillId="8" borderId="2" xfId="0" applyNumberFormat="1" applyFont="1" applyFill="1" applyBorder="1"/>
    <xf numFmtId="0" fontId="15" fillId="8" borderId="2" xfId="0" applyFont="1" applyFill="1" applyBorder="1"/>
    <xf numFmtId="0" fontId="14" fillId="9" borderId="2" xfId="0" applyFont="1" applyFill="1" applyBorder="1"/>
    <xf numFmtId="0" fontId="14" fillId="9" borderId="2" xfId="0" applyFont="1" applyFill="1" applyBorder="1" applyAlignment="1">
      <alignment indent="4"/>
    </xf>
    <xf numFmtId="9" fontId="14" fillId="9" borderId="2" xfId="0" applyNumberFormat="1" applyFont="1" applyFill="1" applyBorder="1"/>
    <xf numFmtId="165" fontId="14" fillId="9" borderId="2" xfId="0" applyNumberFormat="1" applyFont="1" applyFill="1" applyBorder="1"/>
    <xf numFmtId="0" fontId="15" fillId="9" borderId="2" xfId="0" applyFont="1" applyFill="1" applyBorder="1"/>
    <xf numFmtId="0" fontId="14" fillId="10" borderId="2" xfId="0" applyFont="1" applyFill="1" applyBorder="1"/>
    <xf numFmtId="0" fontId="14" fillId="10" borderId="2" xfId="0" applyFont="1" applyFill="1" applyBorder="1" applyAlignment="1">
      <alignment indent="4"/>
    </xf>
    <xf numFmtId="9" fontId="14" fillId="10" borderId="2" xfId="0" applyNumberFormat="1" applyFont="1" applyFill="1" applyBorder="1"/>
    <xf numFmtId="165" fontId="14" fillId="10" borderId="2" xfId="0" applyNumberFormat="1" applyFont="1" applyFill="1" applyBorder="1"/>
    <xf numFmtId="0" fontId="15" fillId="10" borderId="2" xfId="0" applyFont="1" applyFill="1" applyBorder="1"/>
    <xf numFmtId="0" fontId="16" fillId="8" borderId="2" xfId="0" applyFont="1" applyFill="1" applyBorder="1"/>
    <xf numFmtId="0" fontId="16" fillId="9" borderId="2" xfId="0" applyFont="1" applyFill="1" applyBorder="1"/>
    <xf numFmtId="0" fontId="18" fillId="2" borderId="0" xfId="0" applyFont="1" applyFill="1" applyAlignment="1">
      <alignment horizontal="center"/>
    </xf>
    <xf numFmtId="0" fontId="19" fillId="3" borderId="0" xfId="0" applyFont="1" applyFill="1" applyAlignment="1">
      <alignment horizontal="center"/>
    </xf>
    <xf numFmtId="0" fontId="19" fillId="11" borderId="0" xfId="0" applyFont="1" applyFill="1" applyAlignment="1">
      <alignment horizontal="center"/>
    </xf>
    <xf numFmtId="0" fontId="20" fillId="7" borderId="0" xfId="0" applyFont="1" applyFill="1"/>
    <xf numFmtId="165" fontId="20" fillId="7" borderId="0" xfId="0" applyNumberFormat="1" applyFont="1" applyFill="1"/>
    <xf numFmtId="9" fontId="20" fillId="7" borderId="0" xfId="0" applyNumberFormat="1" applyFont="1" applyFill="1"/>
    <xf numFmtId="0" fontId="0" fillId="12" borderId="0" xfId="0" applyFill="1"/>
    <xf numFmtId="0" fontId="0" fillId="12" borderId="3" xfId="0" applyFill="1" applyBorder="1"/>
    <xf numFmtId="0" fontId="21" fillId="0" borderId="0" xfId="0" applyFont="1"/>
    <xf numFmtId="165" fontId="21" fillId="0" borderId="0" xfId="0" applyNumberFormat="1" applyFont="1"/>
    <xf numFmtId="9" fontId="21" fillId="0" borderId="0" xfId="0" applyNumberFormat="1" applyFont="1"/>
    <xf numFmtId="0" fontId="22" fillId="0" borderId="0" xfId="0" applyFont="1" applyAlignment="1">
      <alignment horizontal="center"/>
    </xf>
    <xf numFmtId="0" fontId="21" fillId="0" borderId="3" xfId="0" applyFont="1" applyBorder="1"/>
    <xf numFmtId="0" fontId="16" fillId="0" borderId="0" xfId="0" applyFont="1" applyAlignment="1">
      <alignment horizontal="center"/>
    </xf>
    <xf numFmtId="0" fontId="23" fillId="7" borderId="0" xfId="0" applyFont="1" applyFill="1"/>
    <xf numFmtId="165" fontId="23" fillId="7" borderId="0" xfId="0" applyNumberFormat="1" applyFont="1" applyFill="1"/>
    <xf numFmtId="9" fontId="23" fillId="7" borderId="0" xfId="0" applyNumberFormat="1" applyFont="1" applyFill="1"/>
    <xf numFmtId="0" fontId="0" fillId="0" borderId="3" xfId="0" applyBorder="1"/>
    <xf numFmtId="0" fontId="21" fillId="13" borderId="0" xfId="0" applyFont="1" applyFill="1"/>
    <xf numFmtId="0" fontId="21" fillId="14" borderId="3" xfId="0" applyFont="1" applyFill="1" applyBorder="1"/>
    <xf numFmtId="0" fontId="21" fillId="14" borderId="0" xfId="0" applyFont="1" applyFill="1"/>
    <xf numFmtId="0" fontId="24" fillId="0" borderId="0" xfId="0" applyFont="1" applyAlignment="1">
      <alignment horizontal="center"/>
    </xf>
    <xf numFmtId="0" fontId="21" fillId="15" borderId="3" xfId="0" applyFont="1" applyFill="1" applyBorder="1"/>
    <xf numFmtId="0" fontId="21" fillId="15" borderId="0" xfId="0" applyFont="1" applyFill="1"/>
    <xf numFmtId="0" fontId="7" fillId="16" borderId="1" xfId="0" applyFont="1" applyFill="1" applyBorder="1" applyAlignment="1">
      <alignment horizontal="center" vertical="center" wrapText="1"/>
    </xf>
    <xf numFmtId="165" fontId="14" fillId="0" borderId="0" xfId="0" applyNumberFormat="1" applyFont="1"/>
    <xf numFmtId="9" fontId="14" fillId="0" borderId="0" xfId="0" applyNumberFormat="1" applyFont="1"/>
    <xf numFmtId="165" fontId="14" fillId="17" borderId="2" xfId="0" applyNumberFormat="1" applyFont="1" applyFill="1" applyBorder="1"/>
    <xf numFmtId="0" fontId="14" fillId="17" borderId="2" xfId="0" applyFont="1" applyFill="1" applyBorder="1"/>
    <xf numFmtId="164" fontId="14" fillId="0" borderId="0" xfId="0" applyNumberFormat="1" applyFont="1"/>
    <xf numFmtId="0" fontId="14" fillId="8" borderId="0" xfId="0" applyFont="1" applyFill="1"/>
    <xf numFmtId="0" fontId="14" fillId="10" borderId="0" xfId="0" applyFont="1" applyFill="1"/>
    <xf numFmtId="0" fontId="14" fillId="9" borderId="0" xfId="0" applyFont="1" applyFill="1"/>
    <xf numFmtId="0" fontId="7" fillId="18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b/>
        <color rgb="FF009A44"/>
      </font>
    </dxf>
    <dxf>
      <font>
        <b/>
        <color rgb="FFBC20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338D"/>
  </sheetPr>
  <dimension ref="A1:M52"/>
  <sheetViews>
    <sheetView workbookViewId="0" showGridLines="0"/>
  </sheetViews>
  <sheetFormatPr defaultRowHeight="15" outlineLevelRow="0" outlineLevelCol="0" x14ac:dyDescent="55"/>
  <cols>
    <col min="1" max="1" width="26" customWidth="1"/>
    <col min="2" max="2" width="12" customWidth="1"/>
    <col min="3" max="5" width="10" customWidth="1"/>
    <col min="6" max="8" width="12" customWidth="1"/>
    <col min="9" max="9" width="13" customWidth="1"/>
    <col min="10" max="12" width="11" customWidth="1"/>
    <col min="13" max="13" width="14" customWidth="1"/>
  </cols>
  <sheetData>
    <row r="1" ht="30" customHeight="1" spans="1:1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" x14ac:dyDescent="0.25">
      <c r="A4" s="3" t="s">
        <v>2</v>
      </c>
    </row>
    <row r="5" spans="1:11" x14ac:dyDescent="0.25">
      <c r="A5" s="4" t="s">
        <v>3</v>
      </c>
      <c r="C5" s="4" t="s">
        <v>4</v>
      </c>
      <c r="E5" s="4" t="s">
        <v>5</v>
      </c>
      <c r="G5" s="4" t="s">
        <v>6</v>
      </c>
      <c r="I5" s="4" t="s">
        <v>7</v>
      </c>
      <c r="K5" s="4" t="s">
        <v>8</v>
      </c>
    </row>
    <row r="6" spans="1:11" x14ac:dyDescent="0.25">
      <c r="A6" s="5">
        <v>173</v>
      </c>
      <c r="C6" s="5">
        <v>96</v>
      </c>
      <c r="E6" s="5">
        <v>29</v>
      </c>
      <c r="G6" s="5">
        <v>48</v>
      </c>
      <c r="I6" s="6">
        <v>0.746</v>
      </c>
      <c r="K6" s="6">
        <v>0.5760000000000001</v>
      </c>
    </row>
    <row r="7" spans="1:11" x14ac:dyDescent="0.25">
      <c r="A7" s="4" t="s">
        <v>9</v>
      </c>
      <c r="C7" s="4" t="s">
        <v>10</v>
      </c>
      <c r="E7" s="4" t="s">
        <v>11</v>
      </c>
      <c r="G7" s="4" t="s">
        <v>12</v>
      </c>
      <c r="I7" s="4" t="s">
        <v>13</v>
      </c>
      <c r="K7" s="4" t="s">
        <v>14</v>
      </c>
    </row>
    <row r="8" spans="1:11" x14ac:dyDescent="0.25">
      <c r="A8" s="7">
        <v>-0.17027487352445214</v>
      </c>
      <c r="C8" s="8">
        <v>46557</v>
      </c>
      <c r="E8" s="5">
        <v>6</v>
      </c>
      <c r="G8" s="5">
        <v>11</v>
      </c>
      <c r="I8" s="5">
        <v>13</v>
      </c>
      <c r="K8" s="5">
        <v>28</v>
      </c>
    </row>
    <row r="10" spans="1:1" x14ac:dyDescent="0.25">
      <c r="A10" s="3" t="s">
        <v>15</v>
      </c>
    </row>
    <row r="11" ht="30" customHeight="1" spans="1:13" x14ac:dyDescent="0.25">
      <c r="A11" s="9" t="s">
        <v>16</v>
      </c>
      <c r="B11" s="9" t="s">
        <v>17</v>
      </c>
      <c r="C11" s="9" t="s">
        <v>6</v>
      </c>
      <c r="D11" s="9" t="s">
        <v>5</v>
      </c>
      <c r="E11" s="9" t="s">
        <v>4</v>
      </c>
      <c r="F11" s="9" t="s">
        <v>7</v>
      </c>
      <c r="G11" s="9" t="s">
        <v>8</v>
      </c>
      <c r="H11" s="9" t="s">
        <v>9</v>
      </c>
      <c r="I11" s="9" t="s">
        <v>18</v>
      </c>
      <c r="J11" s="9" t="s">
        <v>12</v>
      </c>
      <c r="K11" s="9" t="s">
        <v>13</v>
      </c>
      <c r="L11" s="9" t="s">
        <v>11</v>
      </c>
      <c r="M11" s="9" t="s">
        <v>10</v>
      </c>
    </row>
    <row r="12" spans="1:13" x14ac:dyDescent="0.25">
      <c r="A12" s="10" t="s">
        <v>19</v>
      </c>
      <c r="B12" s="10">
        <v>2</v>
      </c>
      <c r="C12" s="10">
        <v>1</v>
      </c>
      <c r="D12" s="10">
        <v>0</v>
      </c>
      <c r="E12" s="10">
        <v>1</v>
      </c>
      <c r="F12" s="11">
        <v>0</v>
      </c>
      <c r="G12" s="11">
        <v>0</v>
      </c>
      <c r="H12" s="12">
        <v>0</v>
      </c>
      <c r="I12" s="11">
        <v>0</v>
      </c>
      <c r="J12" s="10">
        <v>0</v>
      </c>
      <c r="K12" s="10">
        <v>0</v>
      </c>
      <c r="L12" s="10">
        <v>1</v>
      </c>
      <c r="M12" s="13">
        <v>46557</v>
      </c>
    </row>
    <row r="13" spans="1:13" x14ac:dyDescent="0.25">
      <c r="A13" s="10" t="s">
        <v>20</v>
      </c>
      <c r="B13" s="10">
        <v>76</v>
      </c>
      <c r="C13" s="10">
        <v>15</v>
      </c>
      <c r="D13" s="10">
        <v>12</v>
      </c>
      <c r="E13" s="10">
        <v>49</v>
      </c>
      <c r="F13" s="11">
        <v>0.7977606717984603</v>
      </c>
      <c r="G13" s="11">
        <v>0.6647760671798459</v>
      </c>
      <c r="H13" s="14">
        <v>-0.1329846046186144</v>
      </c>
      <c r="I13" s="11">
        <v>0.0613191042687194</v>
      </c>
      <c r="J13" s="10">
        <v>2</v>
      </c>
      <c r="K13" s="10">
        <v>2</v>
      </c>
      <c r="L13" s="10">
        <v>0</v>
      </c>
      <c r="M13" s="13">
        <v>46531</v>
      </c>
    </row>
    <row r="14" spans="1:13" x14ac:dyDescent="0.25">
      <c r="A14" s="10" t="s">
        <v>21</v>
      </c>
      <c r="B14" s="10">
        <v>57</v>
      </c>
      <c r="C14" s="10">
        <v>23</v>
      </c>
      <c r="D14" s="10">
        <v>9</v>
      </c>
      <c r="E14" s="10">
        <v>25</v>
      </c>
      <c r="F14" s="11">
        <v>0.6268412438625205</v>
      </c>
      <c r="G14" s="11">
        <v>0.41910529187124934</v>
      </c>
      <c r="H14" s="14">
        <v>-0.20773595199127115</v>
      </c>
      <c r="I14" s="11">
        <v>0</v>
      </c>
      <c r="J14" s="10">
        <v>8</v>
      </c>
      <c r="K14" s="10">
        <v>9</v>
      </c>
      <c r="L14" s="10">
        <v>5</v>
      </c>
      <c r="M14" s="13">
        <v>46557</v>
      </c>
    </row>
    <row r="15" spans="1:13" x14ac:dyDescent="0.25">
      <c r="A15" s="10" t="s">
        <v>22</v>
      </c>
      <c r="B15" s="10">
        <v>38</v>
      </c>
      <c r="C15" s="10">
        <v>9</v>
      </c>
      <c r="D15" s="10">
        <v>8</v>
      </c>
      <c r="E15" s="10">
        <v>21</v>
      </c>
      <c r="F15" s="11">
        <v>0.8030669895076676</v>
      </c>
      <c r="G15" s="11">
        <v>0.6021953188054884</v>
      </c>
      <c r="H15" s="14">
        <v>-0.20087167070217923</v>
      </c>
      <c r="I15" s="11">
        <v>0</v>
      </c>
      <c r="J15" s="10">
        <v>1</v>
      </c>
      <c r="K15" s="10">
        <v>2</v>
      </c>
      <c r="L15" s="10">
        <v>0</v>
      </c>
      <c r="M15" s="13">
        <v>46478</v>
      </c>
    </row>
    <row r="18" spans="1:1" x14ac:dyDescent="0.25">
      <c r="A18" s="3" t="s">
        <v>23</v>
      </c>
    </row>
    <row r="19" ht="30" customHeight="1" spans="1:13" x14ac:dyDescent="0.25">
      <c r="A19" s="9" t="s">
        <v>24</v>
      </c>
      <c r="B19" s="9" t="s">
        <v>17</v>
      </c>
      <c r="C19" s="9" t="s">
        <v>6</v>
      </c>
      <c r="D19" s="9" t="s">
        <v>5</v>
      </c>
      <c r="E19" s="9" t="s">
        <v>4</v>
      </c>
      <c r="F19" s="9" t="s">
        <v>7</v>
      </c>
      <c r="G19" s="9" t="s">
        <v>8</v>
      </c>
      <c r="H19" s="9" t="s">
        <v>9</v>
      </c>
      <c r="I19" s="9" t="s">
        <v>18</v>
      </c>
      <c r="J19" s="9" t="s">
        <v>12</v>
      </c>
      <c r="K19" s="9" t="s">
        <v>13</v>
      </c>
      <c r="L19" s="9" t="s">
        <v>11</v>
      </c>
      <c r="M19" s="9" t="s">
        <v>10</v>
      </c>
    </row>
    <row r="20" spans="1:13" x14ac:dyDescent="0.25">
      <c r="A20" s="10" t="s">
        <v>19</v>
      </c>
      <c r="B20" s="10">
        <v>2</v>
      </c>
      <c r="C20" s="10">
        <v>1</v>
      </c>
      <c r="D20" s="10">
        <v>0</v>
      </c>
      <c r="E20" s="10">
        <v>1</v>
      </c>
      <c r="F20" s="11">
        <v>0</v>
      </c>
      <c r="G20" s="11">
        <v>0</v>
      </c>
      <c r="H20" s="12">
        <v>0</v>
      </c>
      <c r="I20" s="11">
        <v>0</v>
      </c>
      <c r="J20" s="10">
        <v>0</v>
      </c>
      <c r="K20" s="10">
        <v>0</v>
      </c>
      <c r="L20" s="10">
        <v>1</v>
      </c>
      <c r="M20" s="13">
        <v>46557</v>
      </c>
    </row>
    <row r="21" spans="1:13" x14ac:dyDescent="0.25">
      <c r="A21" s="10" t="s">
        <v>25</v>
      </c>
      <c r="B21" s="10">
        <v>19</v>
      </c>
      <c r="C21" s="10">
        <v>0</v>
      </c>
      <c r="D21" s="10">
        <v>0</v>
      </c>
      <c r="E21" s="10">
        <v>19</v>
      </c>
      <c r="F21" s="11">
        <v>1</v>
      </c>
      <c r="G21" s="11">
        <v>1</v>
      </c>
      <c r="H21" s="12">
        <v>0</v>
      </c>
      <c r="I21" s="11">
        <v>0</v>
      </c>
      <c r="J21" s="10">
        <v>0</v>
      </c>
      <c r="K21" s="10">
        <v>0</v>
      </c>
      <c r="L21" s="10">
        <v>0</v>
      </c>
      <c r="M21" s="13">
        <v>46253</v>
      </c>
    </row>
    <row r="22" spans="1:13" x14ac:dyDescent="0.25">
      <c r="A22" s="10" t="s">
        <v>26</v>
      </c>
      <c r="B22" s="10">
        <v>19</v>
      </c>
      <c r="C22" s="10">
        <v>4</v>
      </c>
      <c r="D22" s="10">
        <v>4</v>
      </c>
      <c r="E22" s="10">
        <v>11</v>
      </c>
      <c r="F22" s="11">
        <v>0.8561736770691994</v>
      </c>
      <c r="G22" s="11">
        <v>0.7263500678426053</v>
      </c>
      <c r="H22" s="14">
        <v>-0.12982360922659425</v>
      </c>
      <c r="I22" s="11">
        <v>0.07035278154681152</v>
      </c>
      <c r="J22" s="10">
        <v>0</v>
      </c>
      <c r="K22" s="10">
        <v>1</v>
      </c>
      <c r="L22" s="10">
        <v>0</v>
      </c>
      <c r="M22" s="13">
        <v>46430</v>
      </c>
    </row>
    <row r="23" spans="1:13" x14ac:dyDescent="0.25">
      <c r="A23" s="10" t="s">
        <v>27</v>
      </c>
      <c r="B23" s="10">
        <v>19</v>
      </c>
      <c r="C23" s="10">
        <v>5</v>
      </c>
      <c r="D23" s="10">
        <v>4</v>
      </c>
      <c r="E23" s="10">
        <v>10</v>
      </c>
      <c r="F23" s="11">
        <v>0.7077267637178052</v>
      </c>
      <c r="G23" s="11">
        <v>0.6061142217245241</v>
      </c>
      <c r="H23" s="14">
        <v>-0.10161254199328106</v>
      </c>
      <c r="I23" s="11">
        <v>0.0792833146696529</v>
      </c>
      <c r="J23" s="10">
        <v>0</v>
      </c>
      <c r="K23" s="10">
        <v>0</v>
      </c>
      <c r="L23" s="10">
        <v>0</v>
      </c>
      <c r="M23" s="13">
        <v>46531</v>
      </c>
    </row>
    <row r="24" spans="1:13" x14ac:dyDescent="0.25">
      <c r="A24" s="10" t="s">
        <v>28</v>
      </c>
      <c r="B24" s="10">
        <v>19</v>
      </c>
      <c r="C24" s="10">
        <v>6</v>
      </c>
      <c r="D24" s="10">
        <v>4</v>
      </c>
      <c r="E24" s="10">
        <v>9</v>
      </c>
      <c r="F24" s="11">
        <v>0.7301790281329923</v>
      </c>
      <c r="G24" s="11">
        <v>0.4825447570332482</v>
      </c>
      <c r="H24" s="14">
        <v>-0.24763427109974415</v>
      </c>
      <c r="I24" s="11">
        <v>0.06726342710997457</v>
      </c>
      <c r="J24" s="10">
        <v>2</v>
      </c>
      <c r="K24" s="10">
        <v>1</v>
      </c>
      <c r="L24" s="10">
        <v>0</v>
      </c>
      <c r="M24" s="13">
        <v>46506</v>
      </c>
    </row>
    <row r="25" spans="1:13" x14ac:dyDescent="0.25">
      <c r="A25" s="10" t="s">
        <v>29</v>
      </c>
      <c r="B25" s="10">
        <v>19</v>
      </c>
      <c r="C25" s="10">
        <v>5</v>
      </c>
      <c r="D25" s="10">
        <v>3</v>
      </c>
      <c r="E25" s="10">
        <v>11</v>
      </c>
      <c r="F25" s="11">
        <v>0.9334811529933481</v>
      </c>
      <c r="G25" s="11">
        <v>0.694789356984479</v>
      </c>
      <c r="H25" s="14">
        <v>-0.23869179600886908</v>
      </c>
      <c r="I25" s="11">
        <v>0</v>
      </c>
      <c r="J25" s="10">
        <v>3</v>
      </c>
      <c r="K25" s="10">
        <v>4</v>
      </c>
      <c r="L25" s="10">
        <v>0</v>
      </c>
      <c r="M25" s="13">
        <v>46389</v>
      </c>
    </row>
    <row r="26" spans="1:13" x14ac:dyDescent="0.25">
      <c r="A26" s="10" t="s">
        <v>30</v>
      </c>
      <c r="B26" s="10">
        <v>19</v>
      </c>
      <c r="C26" s="10">
        <v>9</v>
      </c>
      <c r="D26" s="10">
        <v>2</v>
      </c>
      <c r="E26" s="10">
        <v>8</v>
      </c>
      <c r="F26" s="11">
        <v>0.5191326530612245</v>
      </c>
      <c r="G26" s="11">
        <v>0.3302040816326531</v>
      </c>
      <c r="H26" s="14">
        <v>-0.1889285714285714</v>
      </c>
      <c r="I26" s="11">
        <v>0</v>
      </c>
      <c r="J26" s="10">
        <v>2</v>
      </c>
      <c r="K26" s="10">
        <v>1</v>
      </c>
      <c r="L26" s="10">
        <v>5</v>
      </c>
      <c r="M26" s="13">
        <v>46557</v>
      </c>
    </row>
    <row r="27" spans="1:13" x14ac:dyDescent="0.25">
      <c r="A27" s="10" t="s">
        <v>31</v>
      </c>
      <c r="B27" s="10">
        <v>19</v>
      </c>
      <c r="C27" s="10">
        <v>9</v>
      </c>
      <c r="D27" s="10">
        <v>4</v>
      </c>
      <c r="E27" s="10">
        <v>6</v>
      </c>
      <c r="F27" s="11">
        <v>0.5367892976588629</v>
      </c>
      <c r="G27" s="11">
        <v>0.3277424749163879</v>
      </c>
      <c r="H27" s="14">
        <v>-0.209046822742475</v>
      </c>
      <c r="I27" s="11">
        <v>-7.105427357601002e-17</v>
      </c>
      <c r="J27" s="10">
        <v>3</v>
      </c>
      <c r="K27" s="10">
        <v>4</v>
      </c>
      <c r="L27" s="10">
        <v>0</v>
      </c>
      <c r="M27" s="13">
        <v>46499</v>
      </c>
    </row>
    <row r="28" spans="1:13" x14ac:dyDescent="0.25">
      <c r="A28" s="10" t="s">
        <v>32</v>
      </c>
      <c r="B28" s="10">
        <v>19</v>
      </c>
      <c r="C28" s="10">
        <v>4</v>
      </c>
      <c r="D28" s="10">
        <v>4</v>
      </c>
      <c r="E28" s="10">
        <v>11</v>
      </c>
      <c r="F28" s="11">
        <v>0.7985915492957747</v>
      </c>
      <c r="G28" s="11">
        <v>0.6412676056338029</v>
      </c>
      <c r="H28" s="14">
        <v>-0.15732394366197183</v>
      </c>
      <c r="I28" s="11">
        <v>0</v>
      </c>
      <c r="J28" s="10">
        <v>1</v>
      </c>
      <c r="K28" s="10">
        <v>1</v>
      </c>
      <c r="L28" s="10">
        <v>0</v>
      </c>
      <c r="M28" s="13">
        <v>46478</v>
      </c>
    </row>
    <row r="29" spans="1:13" x14ac:dyDescent="0.25">
      <c r="A29" s="10" t="s">
        <v>33</v>
      </c>
      <c r="B29" s="10">
        <v>19</v>
      </c>
      <c r="C29" s="10">
        <v>5</v>
      </c>
      <c r="D29" s="10">
        <v>4</v>
      </c>
      <c r="E29" s="10">
        <v>10</v>
      </c>
      <c r="F29" s="11">
        <v>0.8090737240075615</v>
      </c>
      <c r="G29" s="11">
        <v>0.5497542533081287</v>
      </c>
      <c r="H29" s="14">
        <v>-0.2593194706994328</v>
      </c>
      <c r="I29" s="11">
        <v>1.4210854715202004e-16</v>
      </c>
      <c r="J29" s="10">
        <v>0</v>
      </c>
      <c r="K29" s="10">
        <v>1</v>
      </c>
      <c r="L29" s="10">
        <v>0</v>
      </c>
      <c r="M29" s="13">
        <v>46438</v>
      </c>
    </row>
    <row r="32" spans="1:1" x14ac:dyDescent="0.25">
      <c r="A32" s="3" t="s">
        <v>34</v>
      </c>
    </row>
    <row r="33" ht="30" customHeight="1" spans="1:13" x14ac:dyDescent="0.25">
      <c r="A33" s="9" t="s">
        <v>35</v>
      </c>
      <c r="B33" s="9" t="s">
        <v>17</v>
      </c>
      <c r="C33" s="9" t="s">
        <v>6</v>
      </c>
      <c r="D33" s="9" t="s">
        <v>5</v>
      </c>
      <c r="E33" s="9" t="s">
        <v>4</v>
      </c>
      <c r="F33" s="9" t="s">
        <v>7</v>
      </c>
      <c r="G33" s="9" t="s">
        <v>8</v>
      </c>
      <c r="H33" s="9" t="s">
        <v>9</v>
      </c>
      <c r="I33" s="9" t="s">
        <v>18</v>
      </c>
      <c r="J33" s="9" t="s">
        <v>12</v>
      </c>
      <c r="K33" s="9" t="s">
        <v>13</v>
      </c>
      <c r="L33" s="9" t="s">
        <v>11</v>
      </c>
      <c r="M33" s="9" t="s">
        <v>10</v>
      </c>
    </row>
    <row r="34" spans="1:13" x14ac:dyDescent="0.25">
      <c r="A34" s="10" t="s">
        <v>36</v>
      </c>
      <c r="B34" s="10">
        <v>36</v>
      </c>
      <c r="C34" s="10">
        <v>0</v>
      </c>
      <c r="D34" s="10">
        <v>2</v>
      </c>
      <c r="E34" s="10">
        <v>34</v>
      </c>
      <c r="F34" s="11">
        <v>1</v>
      </c>
      <c r="G34" s="11">
        <v>0.9974299065420561</v>
      </c>
      <c r="H34" s="12">
        <v>-0.0025700934579438693</v>
      </c>
      <c r="I34" s="11">
        <v>0</v>
      </c>
      <c r="J34" s="10">
        <v>0</v>
      </c>
      <c r="K34" s="10">
        <v>2</v>
      </c>
      <c r="L34" s="10">
        <v>0</v>
      </c>
      <c r="M34" s="13">
        <v>46300</v>
      </c>
    </row>
    <row r="35" spans="1:13" x14ac:dyDescent="0.25">
      <c r="A35" s="10" t="s">
        <v>37</v>
      </c>
      <c r="B35" s="10">
        <v>36</v>
      </c>
      <c r="C35" s="10">
        <v>5</v>
      </c>
      <c r="D35" s="10">
        <v>11</v>
      </c>
      <c r="E35" s="10">
        <v>20</v>
      </c>
      <c r="F35" s="11">
        <v>0.8377403846153846</v>
      </c>
      <c r="G35" s="11">
        <v>0.5676081730769231</v>
      </c>
      <c r="H35" s="14">
        <v>-0.2701322115384614</v>
      </c>
      <c r="I35" s="11">
        <v>0.049399038461538466</v>
      </c>
      <c r="J35" s="10">
        <v>5</v>
      </c>
      <c r="K35" s="10">
        <v>4</v>
      </c>
      <c r="L35" s="10">
        <v>2</v>
      </c>
      <c r="M35" s="13">
        <v>46440</v>
      </c>
    </row>
    <row r="36" spans="1:13" x14ac:dyDescent="0.25">
      <c r="A36" s="10" t="s">
        <v>38</v>
      </c>
      <c r="B36" s="10">
        <v>99</v>
      </c>
      <c r="C36" s="10">
        <v>42</v>
      </c>
      <c r="D36" s="10">
        <v>16</v>
      </c>
      <c r="E36" s="10">
        <v>41</v>
      </c>
      <c r="F36" s="11">
        <v>0.6132665832290363</v>
      </c>
      <c r="G36" s="11">
        <v>0.43883604505632046</v>
      </c>
      <c r="H36" s="14">
        <v>-0.17443053817271584</v>
      </c>
      <c r="I36" s="11">
        <v>0.02911451814768469</v>
      </c>
      <c r="J36" s="10">
        <v>6</v>
      </c>
      <c r="K36" s="10">
        <v>7</v>
      </c>
      <c r="L36" s="10">
        <v>3</v>
      </c>
      <c r="M36" s="13">
        <v>46557</v>
      </c>
    </row>
    <row r="37" spans="1:13" x14ac:dyDescent="0.25">
      <c r="A37" s="10" t="s">
        <v>39</v>
      </c>
      <c r="B37" s="10">
        <v>2</v>
      </c>
      <c r="C37" s="10">
        <v>1</v>
      </c>
      <c r="D37" s="10">
        <v>0</v>
      </c>
      <c r="E37" s="10">
        <v>1</v>
      </c>
      <c r="F37" s="11">
        <v>0</v>
      </c>
      <c r="G37" s="11">
        <v>0</v>
      </c>
      <c r="H37" s="12">
        <v>0</v>
      </c>
      <c r="I37" s="11">
        <v>0</v>
      </c>
      <c r="J37" s="10">
        <v>0</v>
      </c>
      <c r="K37" s="10">
        <v>0</v>
      </c>
      <c r="L37" s="10">
        <v>1</v>
      </c>
      <c r="M37" s="13">
        <v>46557</v>
      </c>
    </row>
    <row r="40" spans="1:1" x14ac:dyDescent="0.25">
      <c r="A40" s="3" t="s">
        <v>40</v>
      </c>
    </row>
    <row r="41" spans="1:13" x14ac:dyDescent="0.25">
      <c r="A41" s="15" t="s">
        <v>41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</row>
    <row r="42" spans="1:13" x14ac:dyDescent="0.25">
      <c r="A42" s="16" t="s">
        <v>42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</row>
    <row r="43" spans="1:13" x14ac:dyDescent="0.25">
      <c r="A43" s="15" t="s">
        <v>43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</row>
    <row r="44" spans="1:13" x14ac:dyDescent="0.25">
      <c r="A44" s="16" t="s">
        <v>44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</row>
    <row r="45" spans="1:13" x14ac:dyDescent="0.25">
      <c r="A45" s="16" t="s">
        <v>45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</row>
    <row r="46" spans="1:13" x14ac:dyDescent="0.25">
      <c r="A46" s="16" t="s">
        <v>46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</row>
    <row r="47" spans="1:13" x14ac:dyDescent="0.25">
      <c r="A47" s="15" t="s">
        <v>47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</row>
    <row r="48" spans="1:13" x14ac:dyDescent="0.25">
      <c r="A48" s="17" t="s">
        <v>48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</row>
    <row r="49" spans="1:13" x14ac:dyDescent="0.25">
      <c r="A49" s="16" t="s">
        <v>49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</row>
    <row r="50" spans="1:13" x14ac:dyDescent="0.25">
      <c r="A50" s="15" t="s">
        <v>50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</row>
    <row r="51" spans="1:13" x14ac:dyDescent="0.25">
      <c r="A51" s="16" t="s">
        <v>51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</row>
    <row r="52" spans="1:13" x14ac:dyDescent="0.25">
      <c r="A52" s="16" t="s">
        <v>52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</row>
  </sheetData>
  <mergeCells count="14">
    <mergeCell ref="A1:M1"/>
    <mergeCell ref="A2:M2"/>
    <mergeCell ref="A41:M41"/>
    <mergeCell ref="A42:M42"/>
    <mergeCell ref="A43:M43"/>
    <mergeCell ref="A44:M44"/>
    <mergeCell ref="A45:M45"/>
    <mergeCell ref="A46:M46"/>
    <mergeCell ref="A47:M47"/>
    <mergeCell ref="A48:M48"/>
    <mergeCell ref="A49:M49"/>
    <mergeCell ref="A50:M50"/>
    <mergeCell ref="A51:M51"/>
    <mergeCell ref="A52:M52"/>
  </mergeCells>
  <conditionalFormatting sqref="G12:G15">
    <cfRule type="dataBar" priority="1">
      <dataBar>
        <cfvo type="num" val="0"/>
        <cfvo type="num" val="1"/>
        <color rgb="FF0091DA"/>
      </dataBar>
      <extLst>
        <ext xmlns:x14="http://schemas.microsoft.com/office/spreadsheetml/2009/9/main" uri="{B025F937-C7B1-47D3-B67F-A62EFF666E3E}">
          <x14:id>{2BB7E9D4-3F84-41AA-B0EE-D5DA09A1ECFC}</x14:id>
        </ext>
      </extLst>
    </cfRule>
  </conditionalFormatting>
  <conditionalFormatting sqref="G20:G29">
    <cfRule type="dataBar" priority="2">
      <dataBar>
        <cfvo type="num" val="0"/>
        <cfvo type="num" val="1"/>
        <color rgb="FF0091DA"/>
      </dataBar>
      <extLst>
        <ext xmlns:x14="http://schemas.microsoft.com/office/spreadsheetml/2009/9/main" uri="{B025F937-C7B1-47D3-B67F-A62EFF666E3E}">
          <x14:id>{241AE4E7-C65D-4744-90BB-3998BE0B388E}</x14:id>
        </ext>
      </extLst>
    </cfRule>
  </conditionalFormatting>
  <conditionalFormatting sqref="G34:G37">
    <cfRule type="dataBar" priority="3">
      <dataBar>
        <cfvo type="num" val="0"/>
        <cfvo type="num" val="1"/>
        <color rgb="FF0091DA"/>
      </dataBar>
      <extLst>
        <ext xmlns:x14="http://schemas.microsoft.com/office/spreadsheetml/2009/9/main" uri="{B025F937-C7B1-47D3-B67F-A62EFF666E3E}">
          <x14:id>{3E730A66-8BCA-4347-861A-0D6572843C78}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B7E9D4-3F84-41AA-B0EE-D5DA09A1ECFC}">
            <x14:dataBar minLength="0" maxLength="100" gradient="0">
              <x14:cfvo type="num">
                <xm:f>0</xm:f>
              </x14:cfvo>
              <x14:cfvo type="num">
                <xm:f>1</xm:f>
              </x14:cfvo>
            </x14:dataBar>
          </x14:cfRule>
          <xm:sqref>G12:G15</xm:sqref>
        </x14:conditionalFormatting>
        <x14:conditionalFormatting xmlns:xm="http://schemas.microsoft.com/office/excel/2006/main">
          <x14:cfRule type="dataBar" id="{241AE4E7-C65D-4744-90BB-3998BE0B388E}">
            <x14:dataBar minLength="0" maxLength="100" gradient="0">
              <x14:cfvo type="num">
                <xm:f>0</xm:f>
              </x14:cfvo>
              <x14:cfvo type="num">
                <xm:f>1</xm:f>
              </x14:cfvo>
            </x14:dataBar>
          </x14:cfRule>
          <xm:sqref>G20:G29</xm:sqref>
        </x14:conditionalFormatting>
        <x14:conditionalFormatting xmlns:xm="http://schemas.microsoft.com/office/excel/2006/main">
          <x14:cfRule type="dataBar" id="{3E730A66-8BCA-4347-861A-0D6572843C78}">
            <x14:dataBar minLength="0" maxLength="100" gradient="0">
              <x14:cfvo type="num">
                <xm:f>0</xm:f>
              </x14:cfvo>
              <x14:cfvo type="num">
                <xm:f>1</xm:f>
              </x14:cfvo>
            </x14:dataBar>
          </x14:cfRule>
          <xm:sqref>G34:G37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3A1"/>
  </sheetPr>
  <dimension ref="A1:K14"/>
  <sheetViews>
    <sheetView workbookViewId="0" showGridLines="0"/>
  </sheetViews>
  <sheetFormatPr defaultRowHeight="15" outlineLevelRow="0" outlineLevelCol="0" x14ac:dyDescent="55"/>
  <cols>
    <col min="1" max="1" width="30" customWidth="1"/>
    <col min="2" max="11" width="13" customWidth="1"/>
  </cols>
  <sheetData>
    <row r="1" ht="30" customHeight="1" spans="1:10" x14ac:dyDescent="0.25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ht="30" customHeight="1" spans="1:11" x14ac:dyDescent="0.25">
      <c r="A4" s="18" t="s">
        <v>54</v>
      </c>
      <c r="B4" s="18" t="s">
        <v>55</v>
      </c>
      <c r="C4" s="18" t="s">
        <v>56</v>
      </c>
      <c r="D4" s="18" t="s">
        <v>57</v>
      </c>
      <c r="E4" s="18" t="s">
        <v>58</v>
      </c>
      <c r="F4" s="18" t="s">
        <v>59</v>
      </c>
      <c r="G4" s="18" t="s">
        <v>60</v>
      </c>
      <c r="H4" s="18" t="s">
        <v>61</v>
      </c>
      <c r="I4" s="18" t="s">
        <v>62</v>
      </c>
      <c r="J4" s="18" t="s">
        <v>63</v>
      </c>
      <c r="K4" s="18" t="s">
        <v>64</v>
      </c>
    </row>
    <row r="5" spans="1:11" x14ac:dyDescent="0.25">
      <c r="A5" s="10" t="s">
        <v>19</v>
      </c>
      <c r="B5" s="19"/>
      <c r="C5" s="19"/>
      <c r="D5" s="19"/>
      <c r="E5" s="19"/>
      <c r="F5" s="19"/>
      <c r="G5" s="19"/>
      <c r="H5" s="19">
        <v>0</v>
      </c>
      <c r="I5" s="19">
        <v>0</v>
      </c>
      <c r="J5" s="19">
        <v>0</v>
      </c>
      <c r="K5" s="19">
        <v>0</v>
      </c>
    </row>
    <row r="6" spans="1:11" x14ac:dyDescent="0.25">
      <c r="A6" s="10" t="s">
        <v>25</v>
      </c>
      <c r="B6" s="19">
        <v>1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/>
      <c r="I6" s="19"/>
      <c r="J6" s="19">
        <v>1</v>
      </c>
      <c r="K6" s="19">
        <v>1</v>
      </c>
    </row>
    <row r="7" spans="1:11" x14ac:dyDescent="0.25">
      <c r="A7" s="10" t="s">
        <v>26</v>
      </c>
      <c r="B7" s="19">
        <v>1</v>
      </c>
      <c r="C7" s="19">
        <v>1</v>
      </c>
      <c r="D7" s="19">
        <v>0.856588785046729</v>
      </c>
      <c r="E7" s="19">
        <v>1</v>
      </c>
      <c r="F7" s="19">
        <v>0.5558701298701298</v>
      </c>
      <c r="G7" s="19">
        <v>0.7246753246753247</v>
      </c>
      <c r="H7" s="19"/>
      <c r="I7" s="19"/>
      <c r="J7" s="19">
        <v>0.7263500678426053</v>
      </c>
      <c r="K7" s="19">
        <v>0.8561736770691994</v>
      </c>
    </row>
    <row r="8" spans="1:11" x14ac:dyDescent="0.25">
      <c r="A8" s="10" t="s">
        <v>27</v>
      </c>
      <c r="B8" s="19">
        <v>1</v>
      </c>
      <c r="C8" s="19">
        <v>1</v>
      </c>
      <c r="D8" s="19">
        <v>0.6454065040650405</v>
      </c>
      <c r="E8" s="19">
        <v>0.8008130081300813</v>
      </c>
      <c r="F8" s="19">
        <v>0.46346855983772817</v>
      </c>
      <c r="G8" s="19">
        <v>0.5699797160243407</v>
      </c>
      <c r="H8" s="19"/>
      <c r="I8" s="19"/>
      <c r="J8" s="19">
        <v>0.6061142217245241</v>
      </c>
      <c r="K8" s="19">
        <v>0.7077267637178052</v>
      </c>
    </row>
    <row r="9" spans="1:11" x14ac:dyDescent="0.25">
      <c r="A9" s="10" t="s">
        <v>28</v>
      </c>
      <c r="B9" s="19">
        <v>1</v>
      </c>
      <c r="C9" s="19">
        <v>1</v>
      </c>
      <c r="D9" s="19">
        <v>0.4001793721973095</v>
      </c>
      <c r="E9" s="19">
        <v>0.8430493273542601</v>
      </c>
      <c r="F9" s="19">
        <v>0.35502380952380963</v>
      </c>
      <c r="G9" s="19">
        <v>0.580952380952381</v>
      </c>
      <c r="H9" s="19"/>
      <c r="I9" s="19"/>
      <c r="J9" s="19">
        <v>0.4825447570332482</v>
      </c>
      <c r="K9" s="19">
        <v>0.7301790281329923</v>
      </c>
    </row>
    <row r="10" spans="1:11" x14ac:dyDescent="0.25">
      <c r="A10" s="10" t="s">
        <v>29</v>
      </c>
      <c r="B10" s="19">
        <v>1</v>
      </c>
      <c r="C10" s="19">
        <v>1</v>
      </c>
      <c r="D10" s="19">
        <v>0.8274242424242424</v>
      </c>
      <c r="E10" s="19">
        <v>1</v>
      </c>
      <c r="F10" s="19">
        <v>0.5233609958506223</v>
      </c>
      <c r="G10" s="19">
        <v>0.8755186721991701</v>
      </c>
      <c r="H10" s="19"/>
      <c r="I10" s="19"/>
      <c r="J10" s="19">
        <v>0.694789356984479</v>
      </c>
      <c r="K10" s="19">
        <v>0.9334811529933481</v>
      </c>
    </row>
    <row r="11" spans="1:11" x14ac:dyDescent="0.25">
      <c r="A11" s="10" t="s">
        <v>30</v>
      </c>
      <c r="B11" s="19">
        <v>1</v>
      </c>
      <c r="C11" s="19">
        <v>1</v>
      </c>
      <c r="D11" s="19">
        <v>0.16480769230769232</v>
      </c>
      <c r="E11" s="19">
        <v>0.5528846153846154</v>
      </c>
      <c r="F11" s="19">
        <v>0.20317460317460317</v>
      </c>
      <c r="G11" s="19">
        <v>0.35600907029478457</v>
      </c>
      <c r="H11" s="19"/>
      <c r="I11" s="19"/>
      <c r="J11" s="19">
        <v>0.3302040816326531</v>
      </c>
      <c r="K11" s="19">
        <v>0.5191326530612245</v>
      </c>
    </row>
    <row r="12" spans="1:11" x14ac:dyDescent="0.25">
      <c r="A12" s="10" t="s">
        <v>31</v>
      </c>
      <c r="B12" s="19">
        <v>0.9752252252252253</v>
      </c>
      <c r="C12" s="19">
        <v>1</v>
      </c>
      <c r="D12" s="19">
        <v>0.1036723163841808</v>
      </c>
      <c r="E12" s="19">
        <v>0.5310734463276836</v>
      </c>
      <c r="F12" s="19">
        <v>0.22383870967741937</v>
      </c>
      <c r="G12" s="19">
        <v>0.3741935483870968</v>
      </c>
      <c r="H12" s="19"/>
      <c r="I12" s="19"/>
      <c r="J12" s="19">
        <v>0.3277424749163879</v>
      </c>
      <c r="K12" s="19">
        <v>0.5367892976588629</v>
      </c>
    </row>
    <row r="13" spans="1:11" x14ac:dyDescent="0.25">
      <c r="A13" s="10" t="s">
        <v>32</v>
      </c>
      <c r="B13" s="19">
        <v>1</v>
      </c>
      <c r="C13" s="19">
        <v>1</v>
      </c>
      <c r="D13" s="19">
        <v>0.7463730569948187</v>
      </c>
      <c r="E13" s="19">
        <v>0.9481865284974095</v>
      </c>
      <c r="F13" s="19">
        <v>0.4655844155844156</v>
      </c>
      <c r="G13" s="19">
        <v>0.6545454545454545</v>
      </c>
      <c r="H13" s="19"/>
      <c r="I13" s="19"/>
      <c r="J13" s="19">
        <v>0.6412676056338029</v>
      </c>
      <c r="K13" s="19">
        <v>0.7985915492957747</v>
      </c>
    </row>
    <row r="14" spans="1:11" x14ac:dyDescent="0.25">
      <c r="A14" s="10" t="s">
        <v>33</v>
      </c>
      <c r="B14" s="19">
        <v>1</v>
      </c>
      <c r="C14" s="19">
        <v>1</v>
      </c>
      <c r="D14" s="19">
        <v>0.5605517241379311</v>
      </c>
      <c r="E14" s="19">
        <v>1</v>
      </c>
      <c r="F14" s="19">
        <v>0.38570422535211263</v>
      </c>
      <c r="G14" s="19">
        <v>0.6443661971830985</v>
      </c>
      <c r="H14" s="19"/>
      <c r="I14" s="19"/>
      <c r="J14" s="19">
        <v>0.5497542533081287</v>
      </c>
      <c r="K14" s="19">
        <v>0.8090737240075615</v>
      </c>
    </row>
  </sheetData>
  <mergeCells count="2">
    <mergeCell ref="A1:J1"/>
    <mergeCell ref="A2:J2"/>
  </mergeCells>
  <conditionalFormatting sqref="B5:K14">
    <cfRule type="colorScale" priority="1">
      <colorScale>
        <cfvo type="num" val="0"/>
        <cfvo type="num" val="0.5"/>
        <cfvo type="num" val="1"/>
        <color rgb="FFF8D7DD"/>
        <color rgb="FFFFF2CC"/>
        <color rgb="FFD5EFDF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EB8"/>
    <outlinePr summaryBelow="0" summaryRight="0"/>
  </sheetPr>
  <dimension ref="A1:S218"/>
  <sheetViews>
    <sheetView workbookViewId="0">
      <pane xSplit="2" ySplit="4" topLeftCell="C5" activePane="bottomRight" state="frozen"/>
      <selection pane="bottomRight"/>
    </sheetView>
  </sheetViews>
  <sheetFormatPr defaultRowHeight="15" outlineLevelRow="1" outlineLevelCol="0" x14ac:dyDescent="55"/>
  <cols>
    <col min="1" max="1" width="16" customWidth="1"/>
    <col min="2" max="2" width="48" customWidth="1"/>
    <col min="3" max="3" width="18" customWidth="1"/>
    <col min="4" max="4" width="14" customWidth="1"/>
    <col min="5" max="5" width="12" customWidth="1"/>
    <col min="6" max="7" width="8" customWidth="1"/>
    <col min="9" max="14" width="11" customWidth="1"/>
    <col min="16" max="16" width="8" customWidth="1"/>
    <col min="17" max="17" width="7" customWidth="1"/>
    <col min="18" max="19" width="30" customWidth="1"/>
  </cols>
  <sheetData>
    <row r="1" ht="30" customHeight="1" spans="1:19" x14ac:dyDescent="0.25">
      <c r="A1" s="1" t="s">
        <v>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ht="30" customHeight="1" spans="1:19" x14ac:dyDescent="0.25">
      <c r="A4" s="9" t="s">
        <v>66</v>
      </c>
      <c r="B4" s="9" t="s">
        <v>67</v>
      </c>
      <c r="C4" s="9" t="s">
        <v>54</v>
      </c>
      <c r="D4" s="9" t="s">
        <v>68</v>
      </c>
      <c r="E4" s="9" t="s">
        <v>69</v>
      </c>
      <c r="F4" s="9" t="s">
        <v>70</v>
      </c>
      <c r="G4" s="9" t="s">
        <v>71</v>
      </c>
      <c r="H4" s="9" t="s">
        <v>72</v>
      </c>
      <c r="I4" s="9" t="s">
        <v>73</v>
      </c>
      <c r="J4" s="9" t="s">
        <v>74</v>
      </c>
      <c r="K4" s="9" t="s">
        <v>75</v>
      </c>
      <c r="L4" s="9" t="s">
        <v>76</v>
      </c>
      <c r="M4" s="9" t="s">
        <v>77</v>
      </c>
      <c r="N4" s="9" t="s">
        <v>78</v>
      </c>
      <c r="O4" s="9" t="s">
        <v>79</v>
      </c>
      <c r="P4" s="9" t="s">
        <v>80</v>
      </c>
      <c r="Q4" s="9" t="s">
        <v>11</v>
      </c>
      <c r="R4" s="9" t="s">
        <v>81</v>
      </c>
      <c r="S4" s="9" t="s">
        <v>82</v>
      </c>
    </row>
    <row r="5" spans="1:19" x14ac:dyDescent="0.25">
      <c r="A5" s="20" t="s">
        <v>83</v>
      </c>
      <c r="B5" s="21" t="s">
        <v>84</v>
      </c>
      <c r="C5" s="20" t="s">
        <v>85</v>
      </c>
      <c r="D5" s="20" t="s">
        <v>85</v>
      </c>
      <c r="E5" s="20" t="s">
        <v>86</v>
      </c>
      <c r="F5" s="20">
        <v>446</v>
      </c>
      <c r="G5" s="20"/>
      <c r="H5" s="22">
        <v>0.5757622259696457</v>
      </c>
      <c r="I5" s="23">
        <v>46027</v>
      </c>
      <c r="J5" s="23">
        <v>46557</v>
      </c>
      <c r="K5" s="23">
        <v>46027</v>
      </c>
      <c r="L5" s="23"/>
      <c r="M5" s="23">
        <v>46027</v>
      </c>
      <c r="N5" s="23">
        <v>46514</v>
      </c>
      <c r="O5" s="20">
        <v>37</v>
      </c>
      <c r="P5" s="20">
        <v>0</v>
      </c>
      <c r="Q5" s="20" t="s">
        <v>85</v>
      </c>
      <c r="R5" s="20" t="s">
        <v>87</v>
      </c>
      <c r="S5" s="20" t="s">
        <v>85</v>
      </c>
    </row>
    <row r="6" spans="1:19" x14ac:dyDescent="0.25">
      <c r="A6" s="24" t="s">
        <v>88</v>
      </c>
      <c r="B6" s="25" t="s">
        <v>19</v>
      </c>
      <c r="C6" s="24" t="s">
        <v>85</v>
      </c>
      <c r="D6" s="24" t="s">
        <v>85</v>
      </c>
      <c r="E6" s="24" t="s">
        <v>86</v>
      </c>
      <c r="F6" s="24">
        <v>446</v>
      </c>
      <c r="G6" s="24"/>
      <c r="H6" s="26">
        <v>0</v>
      </c>
      <c r="I6" s="27">
        <v>46027</v>
      </c>
      <c r="J6" s="27">
        <v>46557</v>
      </c>
      <c r="K6" s="27">
        <v>46027</v>
      </c>
      <c r="L6" s="27"/>
      <c r="M6" s="27">
        <v>46027</v>
      </c>
      <c r="N6" s="27">
        <v>46514</v>
      </c>
      <c r="O6" s="24">
        <v>37</v>
      </c>
      <c r="P6" s="24">
        <v>0</v>
      </c>
      <c r="Q6" s="24" t="s">
        <v>85</v>
      </c>
      <c r="R6" s="24" t="s">
        <v>89</v>
      </c>
      <c r="S6" s="24" t="s">
        <v>85</v>
      </c>
    </row>
    <row r="7" spans="1:19" s="28" customFormat="1" x14ac:dyDescent="0.25" outlineLevel="1" collapsed="1">
      <c r="A7" s="29" t="s">
        <v>90</v>
      </c>
      <c r="B7" s="30" t="s">
        <v>91</v>
      </c>
      <c r="C7" s="29" t="s">
        <v>19</v>
      </c>
      <c r="D7" s="29" t="s">
        <v>39</v>
      </c>
      <c r="E7" s="29" t="s">
        <v>4</v>
      </c>
      <c r="F7" s="29">
        <v>0</v>
      </c>
      <c r="G7" s="29">
        <v>0</v>
      </c>
      <c r="H7" s="31">
        <v>1</v>
      </c>
      <c r="I7" s="32">
        <v>46027</v>
      </c>
      <c r="J7" s="32">
        <v>46027</v>
      </c>
      <c r="K7" s="32">
        <v>46027</v>
      </c>
      <c r="L7" s="32">
        <v>46027</v>
      </c>
      <c r="M7" s="32">
        <v>46027</v>
      </c>
      <c r="N7" s="32">
        <v>46027</v>
      </c>
      <c r="O7" s="29">
        <v>0</v>
      </c>
      <c r="P7" s="29"/>
      <c r="Q7" s="29" t="s">
        <v>85</v>
      </c>
      <c r="R7" s="29" t="s">
        <v>85</v>
      </c>
      <c r="S7" s="29" t="s">
        <v>85</v>
      </c>
    </row>
    <row r="8" spans="1:19" s="28" customFormat="1" x14ac:dyDescent="0.25" outlineLevel="1" collapsed="1">
      <c r="A8" s="29" t="s">
        <v>92</v>
      </c>
      <c r="B8" s="30" t="s">
        <v>93</v>
      </c>
      <c r="C8" s="29" t="s">
        <v>19</v>
      </c>
      <c r="D8" s="29" t="s">
        <v>39</v>
      </c>
      <c r="E8" s="29" t="s">
        <v>94</v>
      </c>
      <c r="F8" s="29">
        <v>0</v>
      </c>
      <c r="G8" s="29">
        <v>0</v>
      </c>
      <c r="H8" s="31">
        <v>0</v>
      </c>
      <c r="I8" s="32">
        <v>46557</v>
      </c>
      <c r="J8" s="32">
        <v>46557</v>
      </c>
      <c r="K8" s="32"/>
      <c r="L8" s="32"/>
      <c r="M8" s="32">
        <v>46514</v>
      </c>
      <c r="N8" s="32">
        <v>46514</v>
      </c>
      <c r="O8" s="33">
        <v>37</v>
      </c>
      <c r="P8" s="29">
        <v>0</v>
      </c>
      <c r="Q8" s="34" t="s">
        <v>95</v>
      </c>
      <c r="R8" s="29" t="s">
        <v>11</v>
      </c>
      <c r="S8" s="29" t="s">
        <v>85</v>
      </c>
    </row>
    <row r="9" spans="1:19" x14ac:dyDescent="0.25">
      <c r="A9" s="24" t="s">
        <v>96</v>
      </c>
      <c r="B9" s="25" t="s">
        <v>20</v>
      </c>
      <c r="C9" s="24" t="s">
        <v>85</v>
      </c>
      <c r="D9" s="24" t="s">
        <v>85</v>
      </c>
      <c r="E9" s="24" t="s">
        <v>86</v>
      </c>
      <c r="F9" s="24">
        <v>421</v>
      </c>
      <c r="G9" s="24"/>
      <c r="H9" s="26">
        <v>0.6647760671798459</v>
      </c>
      <c r="I9" s="27">
        <v>46029</v>
      </c>
      <c r="J9" s="27">
        <v>46531</v>
      </c>
      <c r="K9" s="27">
        <v>46029</v>
      </c>
      <c r="L9" s="27"/>
      <c r="M9" s="27">
        <v>46027</v>
      </c>
      <c r="N9" s="27">
        <v>46493</v>
      </c>
      <c r="O9" s="24">
        <v>32</v>
      </c>
      <c r="P9" s="24">
        <v>23</v>
      </c>
      <c r="Q9" s="24" t="s">
        <v>85</v>
      </c>
      <c r="R9" s="24" t="s">
        <v>97</v>
      </c>
      <c r="S9" s="24" t="s">
        <v>85</v>
      </c>
    </row>
    <row r="10" spans="1:19" x14ac:dyDescent="0.25">
      <c r="A10" s="35" t="s">
        <v>98</v>
      </c>
      <c r="B10" s="36" t="s">
        <v>99</v>
      </c>
      <c r="C10" s="35" t="s">
        <v>85</v>
      </c>
      <c r="D10" s="35" t="s">
        <v>85</v>
      </c>
      <c r="E10" s="35" t="s">
        <v>4</v>
      </c>
      <c r="F10" s="35">
        <v>189</v>
      </c>
      <c r="G10" s="35"/>
      <c r="H10" s="37">
        <v>1</v>
      </c>
      <c r="I10" s="38">
        <v>46029</v>
      </c>
      <c r="J10" s="38">
        <v>46253</v>
      </c>
      <c r="K10" s="38">
        <v>46029</v>
      </c>
      <c r="L10" s="38">
        <v>46253</v>
      </c>
      <c r="M10" s="38">
        <v>46027</v>
      </c>
      <c r="N10" s="38">
        <v>46233</v>
      </c>
      <c r="O10" s="35">
        <v>16</v>
      </c>
      <c r="P10" s="35"/>
      <c r="Q10" s="35" t="s">
        <v>85</v>
      </c>
      <c r="R10" s="35" t="s">
        <v>100</v>
      </c>
      <c r="S10" s="35" t="s">
        <v>85</v>
      </c>
    </row>
    <row r="11" spans="1:19" x14ac:dyDescent="0.25">
      <c r="A11" s="39" t="s">
        <v>101</v>
      </c>
      <c r="B11" s="40" t="s">
        <v>36</v>
      </c>
      <c r="C11" s="39" t="s">
        <v>85</v>
      </c>
      <c r="D11" s="39" t="s">
        <v>85</v>
      </c>
      <c r="E11" s="39" t="s">
        <v>4</v>
      </c>
      <c r="F11" s="39">
        <v>66</v>
      </c>
      <c r="G11" s="39"/>
      <c r="H11" s="41">
        <v>1</v>
      </c>
      <c r="I11" s="42">
        <v>46029</v>
      </c>
      <c r="J11" s="42">
        <v>46107</v>
      </c>
      <c r="K11" s="42">
        <v>46029</v>
      </c>
      <c r="L11" s="42">
        <v>46107</v>
      </c>
      <c r="M11" s="42">
        <v>46027</v>
      </c>
      <c r="N11" s="42">
        <v>46092</v>
      </c>
      <c r="O11" s="39">
        <v>13</v>
      </c>
      <c r="P11" s="39"/>
      <c r="Q11" s="39" t="s">
        <v>85</v>
      </c>
      <c r="R11" s="39" t="s">
        <v>102</v>
      </c>
      <c r="S11" s="39" t="s">
        <v>85</v>
      </c>
    </row>
    <row r="12" spans="1:19" s="28" customFormat="1" x14ac:dyDescent="0.25" outlineLevel="1" collapsed="1">
      <c r="A12" s="29" t="s">
        <v>103</v>
      </c>
      <c r="B12" s="43" t="s">
        <v>104</v>
      </c>
      <c r="C12" s="29" t="s">
        <v>25</v>
      </c>
      <c r="D12" s="29" t="s">
        <v>36</v>
      </c>
      <c r="E12" s="29" t="s">
        <v>4</v>
      </c>
      <c r="F12" s="29">
        <v>16</v>
      </c>
      <c r="G12" s="29">
        <v>0</v>
      </c>
      <c r="H12" s="31">
        <v>1</v>
      </c>
      <c r="I12" s="32">
        <v>46029</v>
      </c>
      <c r="J12" s="32">
        <v>46056</v>
      </c>
      <c r="K12" s="32">
        <v>46029</v>
      </c>
      <c r="L12" s="32">
        <v>46056</v>
      </c>
      <c r="M12" s="32">
        <v>46027</v>
      </c>
      <c r="N12" s="32">
        <v>46049</v>
      </c>
      <c r="O12" s="33">
        <v>5</v>
      </c>
      <c r="P12" s="29"/>
      <c r="Q12" s="29" t="s">
        <v>85</v>
      </c>
      <c r="R12" s="29" t="s">
        <v>85</v>
      </c>
      <c r="S12" s="29" t="s">
        <v>85</v>
      </c>
    </row>
    <row r="13" spans="1:19" s="28" customFormat="1" x14ac:dyDescent="0.25" outlineLevel="1" collapsed="1">
      <c r="A13" s="29" t="s">
        <v>105</v>
      </c>
      <c r="B13" s="43" t="s">
        <v>106</v>
      </c>
      <c r="C13" s="29" t="s">
        <v>25</v>
      </c>
      <c r="D13" s="29" t="s">
        <v>36</v>
      </c>
      <c r="E13" s="29" t="s">
        <v>4</v>
      </c>
      <c r="F13" s="29">
        <v>28</v>
      </c>
      <c r="G13" s="29">
        <v>0</v>
      </c>
      <c r="H13" s="31">
        <v>1</v>
      </c>
      <c r="I13" s="32">
        <v>46043</v>
      </c>
      <c r="J13" s="32">
        <v>46087</v>
      </c>
      <c r="K13" s="32">
        <v>46043</v>
      </c>
      <c r="L13" s="32">
        <v>46087</v>
      </c>
      <c r="M13" s="32">
        <v>46034</v>
      </c>
      <c r="N13" s="32">
        <v>46072</v>
      </c>
      <c r="O13" s="33">
        <v>10</v>
      </c>
      <c r="P13" s="29"/>
      <c r="Q13" s="29" t="s">
        <v>85</v>
      </c>
      <c r="R13" s="29" t="s">
        <v>85</v>
      </c>
      <c r="S13" s="29" t="s">
        <v>85</v>
      </c>
    </row>
    <row r="14" spans="1:19" s="28" customFormat="1" x14ac:dyDescent="0.25" outlineLevel="1" collapsed="1">
      <c r="A14" s="29" t="s">
        <v>107</v>
      </c>
      <c r="B14" s="43" t="s">
        <v>108</v>
      </c>
      <c r="C14" s="29" t="s">
        <v>25</v>
      </c>
      <c r="D14" s="29" t="s">
        <v>36</v>
      </c>
      <c r="E14" s="29" t="s">
        <v>4</v>
      </c>
      <c r="F14" s="29">
        <v>30</v>
      </c>
      <c r="G14" s="29">
        <v>0</v>
      </c>
      <c r="H14" s="31">
        <v>1</v>
      </c>
      <c r="I14" s="32">
        <v>46062</v>
      </c>
      <c r="J14" s="32">
        <v>46107</v>
      </c>
      <c r="K14" s="32">
        <v>46062</v>
      </c>
      <c r="L14" s="32">
        <v>46107</v>
      </c>
      <c r="M14" s="32">
        <v>46050</v>
      </c>
      <c r="N14" s="32">
        <v>46092</v>
      </c>
      <c r="O14" s="33">
        <v>11</v>
      </c>
      <c r="P14" s="29"/>
      <c r="Q14" s="29" t="s">
        <v>85</v>
      </c>
      <c r="R14" s="29" t="s">
        <v>85</v>
      </c>
      <c r="S14" s="29" t="s">
        <v>85</v>
      </c>
    </row>
    <row r="15" spans="1:19" s="28" customFormat="1" x14ac:dyDescent="0.25" outlineLevel="1" collapsed="1">
      <c r="A15" s="29" t="s">
        <v>109</v>
      </c>
      <c r="B15" s="43" t="s">
        <v>110</v>
      </c>
      <c r="C15" s="29" t="s">
        <v>25</v>
      </c>
      <c r="D15" s="29" t="s">
        <v>36</v>
      </c>
      <c r="E15" s="29" t="s">
        <v>4</v>
      </c>
      <c r="F15" s="29">
        <v>9</v>
      </c>
      <c r="G15" s="29">
        <v>0</v>
      </c>
      <c r="H15" s="31">
        <v>1</v>
      </c>
      <c r="I15" s="32">
        <v>46090</v>
      </c>
      <c r="J15" s="32">
        <v>46107</v>
      </c>
      <c r="K15" s="32">
        <v>46090</v>
      </c>
      <c r="L15" s="32">
        <v>46107</v>
      </c>
      <c r="M15" s="32">
        <v>46079</v>
      </c>
      <c r="N15" s="32">
        <v>46092</v>
      </c>
      <c r="O15" s="33">
        <v>11</v>
      </c>
      <c r="P15" s="29"/>
      <c r="Q15" s="29" t="s">
        <v>85</v>
      </c>
      <c r="R15" s="29" t="s">
        <v>85</v>
      </c>
      <c r="S15" s="29" t="s">
        <v>85</v>
      </c>
    </row>
    <row r="16" spans="1:19" x14ac:dyDescent="0.25">
      <c r="A16" s="39" t="s">
        <v>111</v>
      </c>
      <c r="B16" s="40" t="s">
        <v>37</v>
      </c>
      <c r="C16" s="39" t="s">
        <v>85</v>
      </c>
      <c r="D16" s="39" t="s">
        <v>85</v>
      </c>
      <c r="E16" s="39" t="s">
        <v>4</v>
      </c>
      <c r="F16" s="39">
        <v>81</v>
      </c>
      <c r="G16" s="39"/>
      <c r="H16" s="41">
        <v>1</v>
      </c>
      <c r="I16" s="42">
        <v>46090</v>
      </c>
      <c r="J16" s="42">
        <v>46184</v>
      </c>
      <c r="K16" s="42">
        <v>46090</v>
      </c>
      <c r="L16" s="42">
        <v>46184</v>
      </c>
      <c r="M16" s="42">
        <v>46073</v>
      </c>
      <c r="N16" s="42">
        <v>46174</v>
      </c>
      <c r="O16" s="39">
        <v>9</v>
      </c>
      <c r="P16" s="39"/>
      <c r="Q16" s="39" t="s">
        <v>85</v>
      </c>
      <c r="R16" s="39" t="s">
        <v>102</v>
      </c>
      <c r="S16" s="39" t="s">
        <v>85</v>
      </c>
    </row>
    <row r="17" spans="1:19" s="28" customFormat="1" x14ac:dyDescent="0.25" outlineLevel="1" collapsed="1">
      <c r="A17" s="29" t="s">
        <v>112</v>
      </c>
      <c r="B17" s="43" t="s">
        <v>113</v>
      </c>
      <c r="C17" s="29" t="s">
        <v>25</v>
      </c>
      <c r="D17" s="29" t="s">
        <v>37</v>
      </c>
      <c r="E17" s="29" t="s">
        <v>4</v>
      </c>
      <c r="F17" s="29">
        <v>9</v>
      </c>
      <c r="G17" s="29">
        <v>0</v>
      </c>
      <c r="H17" s="31">
        <v>1</v>
      </c>
      <c r="I17" s="32">
        <v>46090</v>
      </c>
      <c r="J17" s="32">
        <v>46099</v>
      </c>
      <c r="K17" s="32">
        <v>46090</v>
      </c>
      <c r="L17" s="32">
        <v>46099</v>
      </c>
      <c r="M17" s="32">
        <v>46073</v>
      </c>
      <c r="N17" s="32">
        <v>46083</v>
      </c>
      <c r="O17" s="33">
        <v>13</v>
      </c>
      <c r="P17" s="29"/>
      <c r="Q17" s="29" t="s">
        <v>85</v>
      </c>
      <c r="R17" s="29" t="s">
        <v>85</v>
      </c>
      <c r="S17" s="29" t="s">
        <v>85</v>
      </c>
    </row>
    <row r="18" spans="1:19" s="28" customFormat="1" x14ac:dyDescent="0.25" outlineLevel="1" collapsed="1">
      <c r="A18" s="29" t="s">
        <v>114</v>
      </c>
      <c r="B18" s="43" t="s">
        <v>115</v>
      </c>
      <c r="C18" s="29" t="s">
        <v>25</v>
      </c>
      <c r="D18" s="29" t="s">
        <v>37</v>
      </c>
      <c r="E18" s="29" t="s">
        <v>4</v>
      </c>
      <c r="F18" s="29">
        <v>48</v>
      </c>
      <c r="G18" s="29">
        <v>0</v>
      </c>
      <c r="H18" s="31">
        <v>1</v>
      </c>
      <c r="I18" s="32">
        <v>46104</v>
      </c>
      <c r="J18" s="32">
        <v>46160</v>
      </c>
      <c r="K18" s="32">
        <v>46104</v>
      </c>
      <c r="L18" s="32">
        <v>46160</v>
      </c>
      <c r="M18" s="32">
        <v>46084</v>
      </c>
      <c r="N18" s="32">
        <v>46141</v>
      </c>
      <c r="O18" s="33">
        <v>16</v>
      </c>
      <c r="P18" s="29"/>
      <c r="Q18" s="29" t="s">
        <v>85</v>
      </c>
      <c r="R18" s="29" t="s">
        <v>85</v>
      </c>
      <c r="S18" s="29" t="s">
        <v>85</v>
      </c>
    </row>
    <row r="19" spans="1:19" s="28" customFormat="1" x14ac:dyDescent="0.25" outlineLevel="1" collapsed="1">
      <c r="A19" s="29" t="s">
        <v>116</v>
      </c>
      <c r="B19" s="43" t="s">
        <v>117</v>
      </c>
      <c r="C19" s="29" t="s">
        <v>25</v>
      </c>
      <c r="D19" s="29" t="s">
        <v>37</v>
      </c>
      <c r="E19" s="29" t="s">
        <v>4</v>
      </c>
      <c r="F19" s="29">
        <v>11</v>
      </c>
      <c r="G19" s="29">
        <v>0</v>
      </c>
      <c r="H19" s="31">
        <v>1</v>
      </c>
      <c r="I19" s="32">
        <v>46109</v>
      </c>
      <c r="J19" s="32">
        <v>46122</v>
      </c>
      <c r="K19" s="32">
        <v>46109</v>
      </c>
      <c r="L19" s="32">
        <v>46122</v>
      </c>
      <c r="M19" s="32">
        <v>46093</v>
      </c>
      <c r="N19" s="32">
        <v>46105</v>
      </c>
      <c r="O19" s="33">
        <v>14</v>
      </c>
      <c r="P19" s="29"/>
      <c r="Q19" s="29" t="s">
        <v>85</v>
      </c>
      <c r="R19" s="29" t="s">
        <v>85</v>
      </c>
      <c r="S19" s="29" t="s">
        <v>85</v>
      </c>
    </row>
    <row r="20" spans="1:19" s="28" customFormat="1" x14ac:dyDescent="0.25" outlineLevel="1" collapsed="1">
      <c r="A20" s="29" t="s">
        <v>118</v>
      </c>
      <c r="B20" s="43" t="s">
        <v>119</v>
      </c>
      <c r="C20" s="29" t="s">
        <v>25</v>
      </c>
      <c r="D20" s="29" t="s">
        <v>37</v>
      </c>
      <c r="E20" s="29" t="s">
        <v>4</v>
      </c>
      <c r="F20" s="29">
        <v>58</v>
      </c>
      <c r="G20" s="29">
        <v>0</v>
      </c>
      <c r="H20" s="31">
        <v>1</v>
      </c>
      <c r="I20" s="32">
        <v>46123</v>
      </c>
      <c r="J20" s="32">
        <v>46184</v>
      </c>
      <c r="K20" s="32">
        <v>46123</v>
      </c>
      <c r="L20" s="32">
        <v>46184</v>
      </c>
      <c r="M20" s="32">
        <v>46106</v>
      </c>
      <c r="N20" s="32">
        <v>46174</v>
      </c>
      <c r="O20" s="33">
        <v>9</v>
      </c>
      <c r="P20" s="29"/>
      <c r="Q20" s="29" t="s">
        <v>85</v>
      </c>
      <c r="R20" s="29" t="s">
        <v>85</v>
      </c>
      <c r="S20" s="29" t="s">
        <v>85</v>
      </c>
    </row>
    <row r="21" spans="1:19" x14ac:dyDescent="0.25">
      <c r="A21" s="39" t="s">
        <v>120</v>
      </c>
      <c r="B21" s="40" t="s">
        <v>38</v>
      </c>
      <c r="C21" s="39" t="s">
        <v>85</v>
      </c>
      <c r="D21" s="39" t="s">
        <v>85</v>
      </c>
      <c r="E21" s="39" t="s">
        <v>4</v>
      </c>
      <c r="F21" s="39">
        <v>187</v>
      </c>
      <c r="G21" s="39"/>
      <c r="H21" s="41">
        <v>1</v>
      </c>
      <c r="I21" s="42">
        <v>46031</v>
      </c>
      <c r="J21" s="42">
        <v>46253</v>
      </c>
      <c r="K21" s="42">
        <v>46031</v>
      </c>
      <c r="L21" s="42">
        <v>46253</v>
      </c>
      <c r="M21" s="42">
        <v>46027</v>
      </c>
      <c r="N21" s="42">
        <v>46233</v>
      </c>
      <c r="O21" s="39">
        <v>16</v>
      </c>
      <c r="P21" s="39"/>
      <c r="Q21" s="39" t="s">
        <v>85</v>
      </c>
      <c r="R21" s="39" t="s">
        <v>121</v>
      </c>
      <c r="S21" s="39" t="s">
        <v>85</v>
      </c>
    </row>
    <row r="22" spans="1:19" s="28" customFormat="1" x14ac:dyDescent="0.25" outlineLevel="1" collapsed="1">
      <c r="A22" s="29" t="s">
        <v>122</v>
      </c>
      <c r="B22" s="43" t="s">
        <v>123</v>
      </c>
      <c r="C22" s="29" t="s">
        <v>25</v>
      </c>
      <c r="D22" s="29" t="s">
        <v>38</v>
      </c>
      <c r="E22" s="29" t="s">
        <v>4</v>
      </c>
      <c r="F22" s="29">
        <v>4</v>
      </c>
      <c r="G22" s="29">
        <v>0</v>
      </c>
      <c r="H22" s="31">
        <v>1</v>
      </c>
      <c r="I22" s="32">
        <v>46031</v>
      </c>
      <c r="J22" s="32">
        <v>46036</v>
      </c>
      <c r="K22" s="32">
        <v>46031</v>
      </c>
      <c r="L22" s="32">
        <v>46036</v>
      </c>
      <c r="M22" s="32">
        <v>46027</v>
      </c>
      <c r="N22" s="32">
        <v>46030</v>
      </c>
      <c r="O22" s="33">
        <v>5</v>
      </c>
      <c r="P22" s="29"/>
      <c r="Q22" s="29" t="s">
        <v>85</v>
      </c>
      <c r="R22" s="29" t="s">
        <v>85</v>
      </c>
      <c r="S22" s="29" t="s">
        <v>85</v>
      </c>
    </row>
    <row r="23" spans="1:19" s="28" customFormat="1" x14ac:dyDescent="0.25" outlineLevel="1" collapsed="1">
      <c r="A23" s="29" t="s">
        <v>124</v>
      </c>
      <c r="B23" s="43" t="s">
        <v>125</v>
      </c>
      <c r="C23" s="29" t="s">
        <v>25</v>
      </c>
      <c r="D23" s="29" t="s">
        <v>38</v>
      </c>
      <c r="E23" s="29" t="s">
        <v>4</v>
      </c>
      <c r="F23" s="29">
        <v>14</v>
      </c>
      <c r="G23" s="29">
        <v>0</v>
      </c>
      <c r="H23" s="31">
        <v>1</v>
      </c>
      <c r="I23" s="32">
        <v>46056</v>
      </c>
      <c r="J23" s="32">
        <v>46071</v>
      </c>
      <c r="K23" s="32">
        <v>46056</v>
      </c>
      <c r="L23" s="32">
        <v>46071</v>
      </c>
      <c r="M23" s="32">
        <v>46045</v>
      </c>
      <c r="N23" s="32">
        <v>46062</v>
      </c>
      <c r="O23" s="33">
        <v>8</v>
      </c>
      <c r="P23" s="29"/>
      <c r="Q23" s="29" t="s">
        <v>85</v>
      </c>
      <c r="R23" s="29" t="s">
        <v>85</v>
      </c>
      <c r="S23" s="29" t="s">
        <v>85</v>
      </c>
    </row>
    <row r="24" spans="1:19" s="28" customFormat="1" x14ac:dyDescent="0.25" outlineLevel="1" collapsed="1">
      <c r="A24" s="29" t="s">
        <v>126</v>
      </c>
      <c r="B24" s="43" t="s">
        <v>127</v>
      </c>
      <c r="C24" s="29" t="s">
        <v>25</v>
      </c>
      <c r="D24" s="29" t="s">
        <v>38</v>
      </c>
      <c r="E24" s="29" t="s">
        <v>4</v>
      </c>
      <c r="F24" s="29">
        <v>25</v>
      </c>
      <c r="G24" s="29">
        <v>0</v>
      </c>
      <c r="H24" s="31">
        <v>1</v>
      </c>
      <c r="I24" s="32">
        <v>46065</v>
      </c>
      <c r="J24" s="32">
        <v>46100</v>
      </c>
      <c r="K24" s="32">
        <v>46065</v>
      </c>
      <c r="L24" s="32">
        <v>46100</v>
      </c>
      <c r="M24" s="32">
        <v>46055</v>
      </c>
      <c r="N24" s="32">
        <v>46083</v>
      </c>
      <c r="O24" s="33">
        <v>14</v>
      </c>
      <c r="P24" s="29"/>
      <c r="Q24" s="29" t="s">
        <v>85</v>
      </c>
      <c r="R24" s="29" t="s">
        <v>85</v>
      </c>
      <c r="S24" s="29" t="s">
        <v>85</v>
      </c>
    </row>
    <row r="25" spans="1:19" s="28" customFormat="1" x14ac:dyDescent="0.25" outlineLevel="1" collapsed="1">
      <c r="A25" s="29" t="s">
        <v>128</v>
      </c>
      <c r="B25" s="43" t="s">
        <v>129</v>
      </c>
      <c r="C25" s="29" t="s">
        <v>25</v>
      </c>
      <c r="D25" s="29" t="s">
        <v>38</v>
      </c>
      <c r="E25" s="29" t="s">
        <v>4</v>
      </c>
      <c r="F25" s="29">
        <v>17</v>
      </c>
      <c r="G25" s="29">
        <v>0</v>
      </c>
      <c r="H25" s="31">
        <v>1</v>
      </c>
      <c r="I25" s="32">
        <v>46106</v>
      </c>
      <c r="J25" s="32">
        <v>46125</v>
      </c>
      <c r="K25" s="32">
        <v>46106</v>
      </c>
      <c r="L25" s="32">
        <v>46125</v>
      </c>
      <c r="M25" s="32">
        <v>46084</v>
      </c>
      <c r="N25" s="32">
        <v>46104</v>
      </c>
      <c r="O25" s="33">
        <v>17</v>
      </c>
      <c r="P25" s="29"/>
      <c r="Q25" s="29" t="s">
        <v>85</v>
      </c>
      <c r="R25" s="29" t="s">
        <v>85</v>
      </c>
      <c r="S25" s="29" t="s">
        <v>85</v>
      </c>
    </row>
    <row r="26" spans="1:19" s="28" customFormat="1" x14ac:dyDescent="0.25" outlineLevel="1" collapsed="1">
      <c r="A26" s="29" t="s">
        <v>130</v>
      </c>
      <c r="B26" s="43" t="s">
        <v>131</v>
      </c>
      <c r="C26" s="29" t="s">
        <v>25</v>
      </c>
      <c r="D26" s="29" t="s">
        <v>38</v>
      </c>
      <c r="E26" s="29" t="s">
        <v>4</v>
      </c>
      <c r="F26" s="29">
        <v>45</v>
      </c>
      <c r="G26" s="29">
        <v>0</v>
      </c>
      <c r="H26" s="31">
        <v>1</v>
      </c>
      <c r="I26" s="32">
        <v>46128</v>
      </c>
      <c r="J26" s="32">
        <v>46185</v>
      </c>
      <c r="K26" s="32">
        <v>46128</v>
      </c>
      <c r="L26" s="32">
        <v>46185</v>
      </c>
      <c r="M26" s="32">
        <v>46105</v>
      </c>
      <c r="N26" s="32">
        <v>46157</v>
      </c>
      <c r="O26" s="33">
        <v>24</v>
      </c>
      <c r="P26" s="29"/>
      <c r="Q26" s="29" t="s">
        <v>85</v>
      </c>
      <c r="R26" s="29" t="s">
        <v>85</v>
      </c>
      <c r="S26" s="29" t="s">
        <v>85</v>
      </c>
    </row>
    <row r="27" spans="1:19" s="28" customFormat="1" x14ac:dyDescent="0.25" outlineLevel="1" collapsed="1">
      <c r="A27" s="29" t="s">
        <v>132</v>
      </c>
      <c r="B27" s="43" t="s">
        <v>133</v>
      </c>
      <c r="C27" s="29" t="s">
        <v>25</v>
      </c>
      <c r="D27" s="29" t="s">
        <v>38</v>
      </c>
      <c r="E27" s="29" t="s">
        <v>4</v>
      </c>
      <c r="F27" s="29">
        <v>30</v>
      </c>
      <c r="G27" s="29">
        <v>0</v>
      </c>
      <c r="H27" s="31">
        <v>1</v>
      </c>
      <c r="I27" s="32">
        <v>46154</v>
      </c>
      <c r="J27" s="32">
        <v>46185</v>
      </c>
      <c r="K27" s="32">
        <v>46154</v>
      </c>
      <c r="L27" s="32">
        <v>46185</v>
      </c>
      <c r="M27" s="32">
        <v>46129</v>
      </c>
      <c r="N27" s="32">
        <v>46163</v>
      </c>
      <c r="O27" s="33">
        <v>19</v>
      </c>
      <c r="P27" s="29"/>
      <c r="Q27" s="29" t="s">
        <v>85</v>
      </c>
      <c r="R27" s="29" t="s">
        <v>85</v>
      </c>
      <c r="S27" s="29" t="s">
        <v>85</v>
      </c>
    </row>
    <row r="28" spans="1:19" s="28" customFormat="1" x14ac:dyDescent="0.25" outlineLevel="1" collapsed="1">
      <c r="A28" s="29" t="s">
        <v>134</v>
      </c>
      <c r="B28" s="43" t="s">
        <v>135</v>
      </c>
      <c r="C28" s="29" t="s">
        <v>25</v>
      </c>
      <c r="D28" s="29" t="s">
        <v>38</v>
      </c>
      <c r="E28" s="29" t="s">
        <v>4</v>
      </c>
      <c r="F28" s="29">
        <v>18</v>
      </c>
      <c r="G28" s="29">
        <v>0</v>
      </c>
      <c r="H28" s="31">
        <v>1</v>
      </c>
      <c r="I28" s="32">
        <v>46185</v>
      </c>
      <c r="J28" s="32">
        <v>46209</v>
      </c>
      <c r="K28" s="32">
        <v>46185</v>
      </c>
      <c r="L28" s="32">
        <v>46209</v>
      </c>
      <c r="M28" s="32">
        <v>46153</v>
      </c>
      <c r="N28" s="32">
        <v>46172</v>
      </c>
      <c r="O28" s="33">
        <v>31</v>
      </c>
      <c r="P28" s="29"/>
      <c r="Q28" s="29" t="s">
        <v>85</v>
      </c>
      <c r="R28" s="29" t="s">
        <v>85</v>
      </c>
      <c r="S28" s="29" t="s">
        <v>85</v>
      </c>
    </row>
    <row r="29" spans="1:19" s="28" customFormat="1" x14ac:dyDescent="0.25" outlineLevel="1" collapsed="1">
      <c r="A29" s="29" t="s">
        <v>136</v>
      </c>
      <c r="B29" s="43" t="s">
        <v>137</v>
      </c>
      <c r="C29" s="29" t="s">
        <v>25</v>
      </c>
      <c r="D29" s="29" t="s">
        <v>38</v>
      </c>
      <c r="E29" s="29" t="s">
        <v>4</v>
      </c>
      <c r="F29" s="29">
        <v>40</v>
      </c>
      <c r="G29" s="29">
        <v>0</v>
      </c>
      <c r="H29" s="31">
        <v>1</v>
      </c>
      <c r="I29" s="32">
        <v>46190</v>
      </c>
      <c r="J29" s="32">
        <v>46232</v>
      </c>
      <c r="K29" s="32">
        <v>46190</v>
      </c>
      <c r="L29" s="32">
        <v>46232</v>
      </c>
      <c r="M29" s="32">
        <v>46175</v>
      </c>
      <c r="N29" s="32">
        <v>46220</v>
      </c>
      <c r="O29" s="33">
        <v>10</v>
      </c>
      <c r="P29" s="29"/>
      <c r="Q29" s="29" t="s">
        <v>85</v>
      </c>
      <c r="R29" s="29" t="s">
        <v>85</v>
      </c>
      <c r="S29" s="29" t="s">
        <v>85</v>
      </c>
    </row>
    <row r="30" spans="1:19" s="28" customFormat="1" x14ac:dyDescent="0.25" outlineLevel="1" collapsed="1">
      <c r="A30" s="29" t="s">
        <v>138</v>
      </c>
      <c r="B30" s="43" t="s">
        <v>139</v>
      </c>
      <c r="C30" s="29" t="s">
        <v>25</v>
      </c>
      <c r="D30" s="29" t="s">
        <v>38</v>
      </c>
      <c r="E30" s="29" t="s">
        <v>4</v>
      </c>
      <c r="F30" s="29">
        <v>33</v>
      </c>
      <c r="G30" s="29">
        <v>0</v>
      </c>
      <c r="H30" s="31">
        <v>1</v>
      </c>
      <c r="I30" s="32">
        <v>46212</v>
      </c>
      <c r="J30" s="32">
        <v>46248</v>
      </c>
      <c r="K30" s="32">
        <v>46212</v>
      </c>
      <c r="L30" s="32">
        <v>46248</v>
      </c>
      <c r="M30" s="32">
        <v>46174</v>
      </c>
      <c r="N30" s="32">
        <v>46211</v>
      </c>
      <c r="O30" s="33">
        <v>32</v>
      </c>
      <c r="P30" s="29"/>
      <c r="Q30" s="29" t="s">
        <v>85</v>
      </c>
      <c r="R30" s="29" t="s">
        <v>85</v>
      </c>
      <c r="S30" s="29" t="s">
        <v>85</v>
      </c>
    </row>
    <row r="31" spans="1:19" s="28" customFormat="1" x14ac:dyDescent="0.25" outlineLevel="1" collapsed="1">
      <c r="A31" s="29" t="s">
        <v>140</v>
      </c>
      <c r="B31" s="43" t="s">
        <v>141</v>
      </c>
      <c r="C31" s="29" t="s">
        <v>25</v>
      </c>
      <c r="D31" s="29" t="s">
        <v>38</v>
      </c>
      <c r="E31" s="29" t="s">
        <v>4</v>
      </c>
      <c r="F31" s="29">
        <v>11</v>
      </c>
      <c r="G31" s="29">
        <v>0</v>
      </c>
      <c r="H31" s="31">
        <v>1</v>
      </c>
      <c r="I31" s="32">
        <v>46238</v>
      </c>
      <c r="J31" s="32">
        <v>46251</v>
      </c>
      <c r="K31" s="32">
        <v>46238</v>
      </c>
      <c r="L31" s="32">
        <v>46251</v>
      </c>
      <c r="M31" s="32">
        <v>46221</v>
      </c>
      <c r="N31" s="32">
        <v>46233</v>
      </c>
      <c r="O31" s="33">
        <v>14</v>
      </c>
      <c r="P31" s="29"/>
      <c r="Q31" s="29" t="s">
        <v>85</v>
      </c>
      <c r="R31" s="29" t="s">
        <v>85</v>
      </c>
      <c r="S31" s="29" t="s">
        <v>85</v>
      </c>
    </row>
    <row r="32" spans="1:19" s="28" customFormat="1" x14ac:dyDescent="0.25" outlineLevel="1" collapsed="1">
      <c r="A32" s="29" t="s">
        <v>142</v>
      </c>
      <c r="B32" s="43" t="s">
        <v>143</v>
      </c>
      <c r="C32" s="29" t="s">
        <v>25</v>
      </c>
      <c r="D32" s="29" t="s">
        <v>38</v>
      </c>
      <c r="E32" s="29" t="s">
        <v>4</v>
      </c>
      <c r="F32" s="29">
        <v>0</v>
      </c>
      <c r="G32" s="29">
        <v>0</v>
      </c>
      <c r="H32" s="31">
        <v>1</v>
      </c>
      <c r="I32" s="32">
        <v>46253</v>
      </c>
      <c r="J32" s="32">
        <v>46253</v>
      </c>
      <c r="K32" s="32">
        <v>46253</v>
      </c>
      <c r="L32" s="32">
        <v>46253</v>
      </c>
      <c r="M32" s="32">
        <v>46233</v>
      </c>
      <c r="N32" s="32">
        <v>46233</v>
      </c>
      <c r="O32" s="33">
        <v>16</v>
      </c>
      <c r="P32" s="29"/>
      <c r="Q32" s="29" t="s">
        <v>85</v>
      </c>
      <c r="R32" s="29" t="s">
        <v>85</v>
      </c>
      <c r="S32" s="29" t="s">
        <v>85</v>
      </c>
    </row>
    <row r="33" spans="1:19" x14ac:dyDescent="0.25">
      <c r="A33" s="35" t="s">
        <v>144</v>
      </c>
      <c r="B33" s="36" t="s">
        <v>26</v>
      </c>
      <c r="C33" s="35" t="s">
        <v>85</v>
      </c>
      <c r="D33" s="35" t="s">
        <v>85</v>
      </c>
      <c r="E33" s="35" t="s">
        <v>86</v>
      </c>
      <c r="F33" s="35">
        <v>325</v>
      </c>
      <c r="G33" s="35"/>
      <c r="H33" s="37">
        <v>0.7263500678426053</v>
      </c>
      <c r="I33" s="38">
        <v>46042</v>
      </c>
      <c r="J33" s="38">
        <v>46430</v>
      </c>
      <c r="K33" s="38">
        <v>46042</v>
      </c>
      <c r="L33" s="38"/>
      <c r="M33" s="38">
        <v>46038</v>
      </c>
      <c r="N33" s="38">
        <v>46391</v>
      </c>
      <c r="O33" s="35">
        <v>33</v>
      </c>
      <c r="P33" s="35">
        <v>108</v>
      </c>
      <c r="Q33" s="35" t="s">
        <v>85</v>
      </c>
      <c r="R33" s="35" t="s">
        <v>100</v>
      </c>
      <c r="S33" s="35" t="s">
        <v>85</v>
      </c>
    </row>
    <row r="34" spans="1:19" x14ac:dyDescent="0.25">
      <c r="A34" s="39" t="s">
        <v>145</v>
      </c>
      <c r="B34" s="40" t="s">
        <v>36</v>
      </c>
      <c r="C34" s="39" t="s">
        <v>85</v>
      </c>
      <c r="D34" s="39" t="s">
        <v>85</v>
      </c>
      <c r="E34" s="39" t="s">
        <v>4</v>
      </c>
      <c r="F34" s="39">
        <v>97</v>
      </c>
      <c r="G34" s="39"/>
      <c r="H34" s="41">
        <v>1</v>
      </c>
      <c r="I34" s="42">
        <v>46049</v>
      </c>
      <c r="J34" s="42">
        <v>46163</v>
      </c>
      <c r="K34" s="42">
        <v>46049</v>
      </c>
      <c r="L34" s="42">
        <v>46163</v>
      </c>
      <c r="M34" s="42">
        <v>46041</v>
      </c>
      <c r="N34" s="42">
        <v>46155</v>
      </c>
      <c r="O34" s="39">
        <v>7</v>
      </c>
      <c r="P34" s="39"/>
      <c r="Q34" s="39" t="s">
        <v>85</v>
      </c>
      <c r="R34" s="39" t="s">
        <v>102</v>
      </c>
      <c r="S34" s="39" t="s">
        <v>85</v>
      </c>
    </row>
    <row r="35" spans="1:19" s="28" customFormat="1" x14ac:dyDescent="0.25" outlineLevel="1" collapsed="1">
      <c r="A35" s="29" t="s">
        <v>146</v>
      </c>
      <c r="B35" s="43" t="s">
        <v>104</v>
      </c>
      <c r="C35" s="29" t="s">
        <v>26</v>
      </c>
      <c r="D35" s="29" t="s">
        <v>36</v>
      </c>
      <c r="E35" s="29" t="s">
        <v>4</v>
      </c>
      <c r="F35" s="29">
        <v>26</v>
      </c>
      <c r="G35" s="29">
        <v>0</v>
      </c>
      <c r="H35" s="31">
        <v>1</v>
      </c>
      <c r="I35" s="32">
        <v>46049</v>
      </c>
      <c r="J35" s="32">
        <v>46084</v>
      </c>
      <c r="K35" s="32">
        <v>46049</v>
      </c>
      <c r="L35" s="32">
        <v>46084</v>
      </c>
      <c r="M35" s="32">
        <v>46041</v>
      </c>
      <c r="N35" s="32">
        <v>46077</v>
      </c>
      <c r="O35" s="33">
        <v>5</v>
      </c>
      <c r="P35" s="29"/>
      <c r="Q35" s="29" t="s">
        <v>85</v>
      </c>
      <c r="R35" s="29" t="s">
        <v>85</v>
      </c>
      <c r="S35" s="29" t="s">
        <v>85</v>
      </c>
    </row>
    <row r="36" spans="1:19" s="28" customFormat="1" x14ac:dyDescent="0.25" outlineLevel="1" collapsed="1">
      <c r="A36" s="29" t="s">
        <v>147</v>
      </c>
      <c r="B36" s="43" t="s">
        <v>106</v>
      </c>
      <c r="C36" s="29" t="s">
        <v>26</v>
      </c>
      <c r="D36" s="29" t="s">
        <v>36</v>
      </c>
      <c r="E36" s="29" t="s">
        <v>4</v>
      </c>
      <c r="F36" s="29">
        <v>42</v>
      </c>
      <c r="G36" s="29">
        <v>0</v>
      </c>
      <c r="H36" s="31">
        <v>1</v>
      </c>
      <c r="I36" s="32">
        <v>46065</v>
      </c>
      <c r="J36" s="32">
        <v>46127</v>
      </c>
      <c r="K36" s="32">
        <v>46065</v>
      </c>
      <c r="L36" s="32">
        <v>46127</v>
      </c>
      <c r="M36" s="32">
        <v>46049</v>
      </c>
      <c r="N36" s="32">
        <v>46107</v>
      </c>
      <c r="O36" s="33">
        <v>13</v>
      </c>
      <c r="P36" s="29"/>
      <c r="Q36" s="29" t="s">
        <v>85</v>
      </c>
      <c r="R36" s="29" t="s">
        <v>85</v>
      </c>
      <c r="S36" s="29" t="s">
        <v>85</v>
      </c>
    </row>
    <row r="37" spans="1:19" s="28" customFormat="1" x14ac:dyDescent="0.25" outlineLevel="1" collapsed="1">
      <c r="A37" s="29" t="s">
        <v>148</v>
      </c>
      <c r="B37" s="43" t="s">
        <v>108</v>
      </c>
      <c r="C37" s="29" t="s">
        <v>26</v>
      </c>
      <c r="D37" s="29" t="s">
        <v>36</v>
      </c>
      <c r="E37" s="29" t="s">
        <v>4</v>
      </c>
      <c r="F37" s="29">
        <v>54</v>
      </c>
      <c r="G37" s="29">
        <v>0</v>
      </c>
      <c r="H37" s="31">
        <v>1</v>
      </c>
      <c r="I37" s="32">
        <v>46092</v>
      </c>
      <c r="J37" s="32">
        <v>46163</v>
      </c>
      <c r="K37" s="32">
        <v>46092</v>
      </c>
      <c r="L37" s="32">
        <v>46163</v>
      </c>
      <c r="M37" s="32">
        <v>46078</v>
      </c>
      <c r="N37" s="32">
        <v>46155</v>
      </c>
      <c r="O37" s="33">
        <v>6</v>
      </c>
      <c r="P37" s="29"/>
      <c r="Q37" s="29" t="s">
        <v>85</v>
      </c>
      <c r="R37" s="29" t="s">
        <v>85</v>
      </c>
      <c r="S37" s="29" t="s">
        <v>85</v>
      </c>
    </row>
    <row r="38" spans="1:19" s="28" customFormat="1" x14ac:dyDescent="0.25" outlineLevel="1" collapsed="1">
      <c r="A38" s="29" t="s">
        <v>149</v>
      </c>
      <c r="B38" s="43" t="s">
        <v>110</v>
      </c>
      <c r="C38" s="29" t="s">
        <v>26</v>
      </c>
      <c r="D38" s="29" t="s">
        <v>36</v>
      </c>
      <c r="E38" s="29" t="s">
        <v>4</v>
      </c>
      <c r="F38" s="29">
        <v>16</v>
      </c>
      <c r="G38" s="29">
        <v>0</v>
      </c>
      <c r="H38" s="31">
        <v>1</v>
      </c>
      <c r="I38" s="32">
        <v>46136</v>
      </c>
      <c r="J38" s="32">
        <v>46163</v>
      </c>
      <c r="K38" s="32">
        <v>46136</v>
      </c>
      <c r="L38" s="32">
        <v>46163</v>
      </c>
      <c r="M38" s="32">
        <v>46134</v>
      </c>
      <c r="N38" s="32">
        <v>46155</v>
      </c>
      <c r="O38" s="33">
        <v>6</v>
      </c>
      <c r="P38" s="29"/>
      <c r="Q38" s="29" t="s">
        <v>85</v>
      </c>
      <c r="R38" s="29" t="s">
        <v>85</v>
      </c>
      <c r="S38" s="29" t="s">
        <v>85</v>
      </c>
    </row>
    <row r="39" spans="1:19" x14ac:dyDescent="0.25">
      <c r="A39" s="39" t="s">
        <v>150</v>
      </c>
      <c r="B39" s="40" t="s">
        <v>37</v>
      </c>
      <c r="C39" s="39" t="s">
        <v>85</v>
      </c>
      <c r="D39" s="39" t="s">
        <v>85</v>
      </c>
      <c r="E39" s="39" t="s">
        <v>86</v>
      </c>
      <c r="F39" s="39">
        <v>170</v>
      </c>
      <c r="G39" s="39"/>
      <c r="H39" s="41">
        <v>0.856588785046729</v>
      </c>
      <c r="I39" s="42">
        <v>46133</v>
      </c>
      <c r="J39" s="42">
        <v>46333</v>
      </c>
      <c r="K39" s="42">
        <v>46133</v>
      </c>
      <c r="L39" s="42"/>
      <c r="M39" s="42">
        <v>46108</v>
      </c>
      <c r="N39" s="42">
        <v>46293</v>
      </c>
      <c r="O39" s="39">
        <v>33</v>
      </c>
      <c r="P39" s="39">
        <v>108</v>
      </c>
      <c r="Q39" s="39" t="s">
        <v>85</v>
      </c>
      <c r="R39" s="39" t="s">
        <v>102</v>
      </c>
      <c r="S39" s="39" t="s">
        <v>85</v>
      </c>
    </row>
    <row r="40" spans="1:19" s="28" customFormat="1" x14ac:dyDescent="0.25" outlineLevel="1" collapsed="1">
      <c r="A40" s="29" t="s">
        <v>151</v>
      </c>
      <c r="B40" s="43" t="s">
        <v>113</v>
      </c>
      <c r="C40" s="29" t="s">
        <v>26</v>
      </c>
      <c r="D40" s="29" t="s">
        <v>37</v>
      </c>
      <c r="E40" s="29" t="s">
        <v>4</v>
      </c>
      <c r="F40" s="29">
        <v>18</v>
      </c>
      <c r="G40" s="29">
        <v>0</v>
      </c>
      <c r="H40" s="31">
        <v>1</v>
      </c>
      <c r="I40" s="32">
        <v>46133</v>
      </c>
      <c r="J40" s="32">
        <v>46155</v>
      </c>
      <c r="K40" s="32">
        <v>46133</v>
      </c>
      <c r="L40" s="32">
        <v>46155</v>
      </c>
      <c r="M40" s="32">
        <v>46108</v>
      </c>
      <c r="N40" s="32">
        <v>46129</v>
      </c>
      <c r="O40" s="33">
        <v>22</v>
      </c>
      <c r="P40" s="29"/>
      <c r="Q40" s="29" t="s">
        <v>85</v>
      </c>
      <c r="R40" s="29" t="s">
        <v>85</v>
      </c>
      <c r="S40" s="29" t="s">
        <v>85</v>
      </c>
    </row>
    <row r="41" spans="1:19" s="28" customFormat="1" x14ac:dyDescent="0.25" outlineLevel="1" collapsed="1">
      <c r="A41" s="29" t="s">
        <v>152</v>
      </c>
      <c r="B41" s="43" t="s">
        <v>115</v>
      </c>
      <c r="C41" s="29" t="s">
        <v>26</v>
      </c>
      <c r="D41" s="29" t="s">
        <v>37</v>
      </c>
      <c r="E41" s="29" t="s">
        <v>4</v>
      </c>
      <c r="F41" s="29">
        <v>79</v>
      </c>
      <c r="G41" s="29">
        <v>0</v>
      </c>
      <c r="H41" s="31">
        <v>1</v>
      </c>
      <c r="I41" s="32">
        <v>46161</v>
      </c>
      <c r="J41" s="32">
        <v>46261</v>
      </c>
      <c r="K41" s="32">
        <v>46161</v>
      </c>
      <c r="L41" s="32">
        <v>46261</v>
      </c>
      <c r="M41" s="32">
        <v>46130</v>
      </c>
      <c r="N41" s="32">
        <v>46221</v>
      </c>
      <c r="O41" s="33">
        <v>33</v>
      </c>
      <c r="P41" s="29"/>
      <c r="Q41" s="29" t="s">
        <v>85</v>
      </c>
      <c r="R41" s="29" t="s">
        <v>85</v>
      </c>
      <c r="S41" s="29" t="s">
        <v>85</v>
      </c>
    </row>
    <row r="42" spans="1:19" s="28" customFormat="1" x14ac:dyDescent="0.25" outlineLevel="1" collapsed="1">
      <c r="A42" s="29" t="s">
        <v>153</v>
      </c>
      <c r="B42" s="43" t="s">
        <v>117</v>
      </c>
      <c r="C42" s="29" t="s">
        <v>26</v>
      </c>
      <c r="D42" s="29" t="s">
        <v>37</v>
      </c>
      <c r="E42" s="29" t="s">
        <v>4</v>
      </c>
      <c r="F42" s="29">
        <v>18</v>
      </c>
      <c r="G42" s="29">
        <v>0</v>
      </c>
      <c r="H42" s="31">
        <v>1</v>
      </c>
      <c r="I42" s="32">
        <v>46171</v>
      </c>
      <c r="J42" s="32">
        <v>46191</v>
      </c>
      <c r="K42" s="32">
        <v>46171</v>
      </c>
      <c r="L42" s="32">
        <v>46191</v>
      </c>
      <c r="M42" s="32">
        <v>46156</v>
      </c>
      <c r="N42" s="32">
        <v>46176</v>
      </c>
      <c r="O42" s="33">
        <v>13</v>
      </c>
      <c r="P42" s="29"/>
      <c r="Q42" s="29" t="s">
        <v>85</v>
      </c>
      <c r="R42" s="29" t="s">
        <v>85</v>
      </c>
      <c r="S42" s="29" t="s">
        <v>85</v>
      </c>
    </row>
    <row r="43" spans="1:19" s="28" customFormat="1" x14ac:dyDescent="0.25" outlineLevel="1" collapsed="1">
      <c r="A43" s="29" t="s">
        <v>154</v>
      </c>
      <c r="B43" s="43" t="s">
        <v>119</v>
      </c>
      <c r="C43" s="29" t="s">
        <v>26</v>
      </c>
      <c r="D43" s="29" t="s">
        <v>37</v>
      </c>
      <c r="E43" s="29" t="s">
        <v>86</v>
      </c>
      <c r="F43" s="29">
        <v>99</v>
      </c>
      <c r="G43" s="29">
        <v>31</v>
      </c>
      <c r="H43" s="31">
        <v>0.69</v>
      </c>
      <c r="I43" s="32">
        <v>46195</v>
      </c>
      <c r="J43" s="32">
        <v>46333</v>
      </c>
      <c r="K43" s="32">
        <v>46195</v>
      </c>
      <c r="L43" s="32"/>
      <c r="M43" s="32">
        <v>46177</v>
      </c>
      <c r="N43" s="32">
        <v>46293</v>
      </c>
      <c r="O43" s="33">
        <v>33</v>
      </c>
      <c r="P43" s="29">
        <v>108</v>
      </c>
      <c r="Q43" s="29" t="s">
        <v>85</v>
      </c>
      <c r="R43" s="29" t="s">
        <v>5</v>
      </c>
      <c r="S43" s="29" t="s">
        <v>85</v>
      </c>
    </row>
    <row r="44" spans="1:19" x14ac:dyDescent="0.25">
      <c r="A44" s="39" t="s">
        <v>155</v>
      </c>
      <c r="B44" s="40" t="s">
        <v>38</v>
      </c>
      <c r="C44" s="39" t="s">
        <v>85</v>
      </c>
      <c r="D44" s="39" t="s">
        <v>85</v>
      </c>
      <c r="E44" s="39" t="s">
        <v>86</v>
      </c>
      <c r="F44" s="39">
        <v>325</v>
      </c>
      <c r="G44" s="39"/>
      <c r="H44" s="41">
        <v>0.5558701298701298</v>
      </c>
      <c r="I44" s="42">
        <v>46042</v>
      </c>
      <c r="J44" s="42">
        <v>46430</v>
      </c>
      <c r="K44" s="42">
        <v>46042</v>
      </c>
      <c r="L44" s="42"/>
      <c r="M44" s="42">
        <v>46038</v>
      </c>
      <c r="N44" s="42">
        <v>46391</v>
      </c>
      <c r="O44" s="39">
        <v>33</v>
      </c>
      <c r="P44" s="39">
        <v>108</v>
      </c>
      <c r="Q44" s="39" t="s">
        <v>85</v>
      </c>
      <c r="R44" s="39" t="s">
        <v>121</v>
      </c>
      <c r="S44" s="39" t="s">
        <v>85</v>
      </c>
    </row>
    <row r="45" spans="1:19" s="28" customFormat="1" x14ac:dyDescent="0.25" outlineLevel="1" collapsed="1">
      <c r="A45" s="29" t="s">
        <v>156</v>
      </c>
      <c r="B45" s="43" t="s">
        <v>123</v>
      </c>
      <c r="C45" s="29" t="s">
        <v>26</v>
      </c>
      <c r="D45" s="29" t="s">
        <v>38</v>
      </c>
      <c r="E45" s="29" t="s">
        <v>4</v>
      </c>
      <c r="F45" s="29">
        <v>8</v>
      </c>
      <c r="G45" s="29">
        <v>0</v>
      </c>
      <c r="H45" s="31">
        <v>1</v>
      </c>
      <c r="I45" s="32">
        <v>46042</v>
      </c>
      <c r="J45" s="32">
        <v>46053</v>
      </c>
      <c r="K45" s="32">
        <v>46042</v>
      </c>
      <c r="L45" s="32">
        <v>46053</v>
      </c>
      <c r="M45" s="32">
        <v>46038</v>
      </c>
      <c r="N45" s="32">
        <v>46046</v>
      </c>
      <c r="O45" s="33">
        <v>5</v>
      </c>
      <c r="P45" s="29"/>
      <c r="Q45" s="29" t="s">
        <v>85</v>
      </c>
      <c r="R45" s="29" t="s">
        <v>85</v>
      </c>
      <c r="S45" s="29" t="s">
        <v>85</v>
      </c>
    </row>
    <row r="46" spans="1:19" s="28" customFormat="1" x14ac:dyDescent="0.25" outlineLevel="1" collapsed="1">
      <c r="A46" s="29" t="s">
        <v>157</v>
      </c>
      <c r="B46" s="43" t="s">
        <v>125</v>
      </c>
      <c r="C46" s="29" t="s">
        <v>26</v>
      </c>
      <c r="D46" s="29" t="s">
        <v>38</v>
      </c>
      <c r="E46" s="29" t="s">
        <v>4</v>
      </c>
      <c r="F46" s="29">
        <v>25</v>
      </c>
      <c r="G46" s="29">
        <v>0</v>
      </c>
      <c r="H46" s="31">
        <v>1</v>
      </c>
      <c r="I46" s="32">
        <v>46087</v>
      </c>
      <c r="J46" s="32">
        <v>46118</v>
      </c>
      <c r="K46" s="32">
        <v>46087</v>
      </c>
      <c r="L46" s="32">
        <v>46118</v>
      </c>
      <c r="M46" s="32">
        <v>46060</v>
      </c>
      <c r="N46" s="32">
        <v>46090</v>
      </c>
      <c r="O46" s="33">
        <v>23</v>
      </c>
      <c r="P46" s="29"/>
      <c r="Q46" s="29" t="s">
        <v>85</v>
      </c>
      <c r="R46" s="29" t="s">
        <v>85</v>
      </c>
      <c r="S46" s="29" t="s">
        <v>85</v>
      </c>
    </row>
    <row r="47" spans="1:19" s="28" customFormat="1" x14ac:dyDescent="0.25" outlineLevel="1" collapsed="1">
      <c r="A47" s="29" t="s">
        <v>158</v>
      </c>
      <c r="B47" s="43" t="s">
        <v>127</v>
      </c>
      <c r="C47" s="29" t="s">
        <v>26</v>
      </c>
      <c r="D47" s="29" t="s">
        <v>38</v>
      </c>
      <c r="E47" s="29" t="s">
        <v>4</v>
      </c>
      <c r="F47" s="29">
        <v>36</v>
      </c>
      <c r="G47" s="29">
        <v>0</v>
      </c>
      <c r="H47" s="31">
        <v>1</v>
      </c>
      <c r="I47" s="32">
        <v>46101</v>
      </c>
      <c r="J47" s="32">
        <v>46148</v>
      </c>
      <c r="K47" s="32">
        <v>46101</v>
      </c>
      <c r="L47" s="32">
        <v>46148</v>
      </c>
      <c r="M47" s="32">
        <v>46069</v>
      </c>
      <c r="N47" s="32">
        <v>46111</v>
      </c>
      <c r="O47" s="33">
        <v>31</v>
      </c>
      <c r="P47" s="29"/>
      <c r="Q47" s="29" t="s">
        <v>85</v>
      </c>
      <c r="R47" s="29" t="s">
        <v>85</v>
      </c>
      <c r="S47" s="29" t="s">
        <v>85</v>
      </c>
    </row>
    <row r="48" spans="1:19" s="28" customFormat="1" x14ac:dyDescent="0.25" outlineLevel="1" collapsed="1">
      <c r="A48" s="29" t="s">
        <v>159</v>
      </c>
      <c r="B48" s="43" t="s">
        <v>129</v>
      </c>
      <c r="C48" s="29" t="s">
        <v>26</v>
      </c>
      <c r="D48" s="29" t="s">
        <v>38</v>
      </c>
      <c r="E48" s="29" t="s">
        <v>4</v>
      </c>
      <c r="F48" s="29">
        <v>22</v>
      </c>
      <c r="G48" s="29">
        <v>0</v>
      </c>
      <c r="H48" s="31">
        <v>1</v>
      </c>
      <c r="I48" s="32">
        <v>46153</v>
      </c>
      <c r="J48" s="32">
        <v>46176</v>
      </c>
      <c r="K48" s="32">
        <v>46153</v>
      </c>
      <c r="L48" s="32">
        <v>46176</v>
      </c>
      <c r="M48" s="32">
        <v>46112</v>
      </c>
      <c r="N48" s="32">
        <v>46137</v>
      </c>
      <c r="O48" s="33">
        <v>33</v>
      </c>
      <c r="P48" s="29"/>
      <c r="Q48" s="29" t="s">
        <v>85</v>
      </c>
      <c r="R48" s="29" t="s">
        <v>85</v>
      </c>
      <c r="S48" s="29" t="s">
        <v>85</v>
      </c>
    </row>
    <row r="49" spans="1:19" s="28" customFormat="1" x14ac:dyDescent="0.25" outlineLevel="1" collapsed="1">
      <c r="A49" s="29" t="s">
        <v>160</v>
      </c>
      <c r="B49" s="43" t="s">
        <v>131</v>
      </c>
      <c r="C49" s="29" t="s">
        <v>26</v>
      </c>
      <c r="D49" s="29" t="s">
        <v>38</v>
      </c>
      <c r="E49" s="29" t="s">
        <v>86</v>
      </c>
      <c r="F49" s="29">
        <v>82</v>
      </c>
      <c r="G49" s="29">
        <v>10</v>
      </c>
      <c r="H49" s="31">
        <v>0.88</v>
      </c>
      <c r="I49" s="32">
        <v>46186</v>
      </c>
      <c r="J49" s="32">
        <v>46308</v>
      </c>
      <c r="K49" s="32">
        <v>46186</v>
      </c>
      <c r="L49" s="32"/>
      <c r="M49" s="32">
        <v>46148</v>
      </c>
      <c r="N49" s="32">
        <v>46242</v>
      </c>
      <c r="O49" s="33">
        <v>54</v>
      </c>
      <c r="P49" s="29">
        <v>109</v>
      </c>
      <c r="Q49" s="29" t="s">
        <v>85</v>
      </c>
      <c r="R49" s="29" t="s">
        <v>5</v>
      </c>
      <c r="S49" s="29" t="s">
        <v>85</v>
      </c>
    </row>
    <row r="50" spans="1:19" s="28" customFormat="1" x14ac:dyDescent="0.25" outlineLevel="1" collapsed="1">
      <c r="A50" s="44" t="s">
        <v>161</v>
      </c>
      <c r="B50" s="45" t="s">
        <v>133</v>
      </c>
      <c r="C50" s="44" t="s">
        <v>26</v>
      </c>
      <c r="D50" s="44" t="s">
        <v>38</v>
      </c>
      <c r="E50" s="44" t="s">
        <v>86</v>
      </c>
      <c r="F50" s="44">
        <v>55</v>
      </c>
      <c r="G50" s="44">
        <v>9</v>
      </c>
      <c r="H50" s="46">
        <v>0.84</v>
      </c>
      <c r="I50" s="47">
        <v>46214</v>
      </c>
      <c r="J50" s="47">
        <v>46307</v>
      </c>
      <c r="K50" s="47">
        <v>46214</v>
      </c>
      <c r="L50" s="47"/>
      <c r="M50" s="47">
        <v>46171</v>
      </c>
      <c r="N50" s="47">
        <v>46234</v>
      </c>
      <c r="O50" s="48">
        <v>60</v>
      </c>
      <c r="P50" s="44">
        <v>129</v>
      </c>
      <c r="Q50" s="44" t="s">
        <v>85</v>
      </c>
      <c r="R50" s="44" t="s">
        <v>162</v>
      </c>
      <c r="S50" s="44" t="s">
        <v>85</v>
      </c>
    </row>
    <row r="51" spans="1:19" s="28" customFormat="1" x14ac:dyDescent="0.25" outlineLevel="1" collapsed="1">
      <c r="A51" s="29" t="s">
        <v>163</v>
      </c>
      <c r="B51" s="43" t="s">
        <v>135</v>
      </c>
      <c r="C51" s="29" t="s">
        <v>26</v>
      </c>
      <c r="D51" s="29" t="s">
        <v>38</v>
      </c>
      <c r="E51" s="29" t="s">
        <v>86</v>
      </c>
      <c r="F51" s="29">
        <v>31</v>
      </c>
      <c r="G51" s="29">
        <v>26</v>
      </c>
      <c r="H51" s="31">
        <v>0.15</v>
      </c>
      <c r="I51" s="32">
        <v>46293</v>
      </c>
      <c r="J51" s="32">
        <v>46333</v>
      </c>
      <c r="K51" s="32">
        <v>46293</v>
      </c>
      <c r="L51" s="32"/>
      <c r="M51" s="32">
        <v>46238</v>
      </c>
      <c r="N51" s="32">
        <v>46274</v>
      </c>
      <c r="O51" s="33">
        <v>49</v>
      </c>
      <c r="P51" s="29">
        <v>142</v>
      </c>
      <c r="Q51" s="29" t="s">
        <v>85</v>
      </c>
      <c r="R51" s="29" t="s">
        <v>164</v>
      </c>
      <c r="S51" s="29" t="s">
        <v>85</v>
      </c>
    </row>
    <row r="52" spans="1:19" s="28" customFormat="1" x14ac:dyDescent="0.25" outlineLevel="1" collapsed="1">
      <c r="A52" s="29" t="s">
        <v>165</v>
      </c>
      <c r="B52" s="43" t="s">
        <v>137</v>
      </c>
      <c r="C52" s="29" t="s">
        <v>26</v>
      </c>
      <c r="D52" s="29" t="s">
        <v>38</v>
      </c>
      <c r="E52" s="29" t="s">
        <v>94</v>
      </c>
      <c r="F52" s="29">
        <v>63</v>
      </c>
      <c r="G52" s="29">
        <v>63</v>
      </c>
      <c r="H52" s="31">
        <v>0</v>
      </c>
      <c r="I52" s="32">
        <v>46336</v>
      </c>
      <c r="J52" s="32">
        <v>46409</v>
      </c>
      <c r="K52" s="32"/>
      <c r="L52" s="32"/>
      <c r="M52" s="32">
        <v>46294</v>
      </c>
      <c r="N52" s="32">
        <v>46370</v>
      </c>
      <c r="O52" s="33">
        <v>33</v>
      </c>
      <c r="P52" s="29">
        <v>108</v>
      </c>
      <c r="Q52" s="29" t="s">
        <v>85</v>
      </c>
      <c r="R52" s="29" t="s">
        <v>85</v>
      </c>
      <c r="S52" s="29" t="s">
        <v>85</v>
      </c>
    </row>
    <row r="53" spans="1:19" s="28" customFormat="1" x14ac:dyDescent="0.25" outlineLevel="1" collapsed="1">
      <c r="A53" s="29" t="s">
        <v>166</v>
      </c>
      <c r="B53" s="43" t="s">
        <v>139</v>
      </c>
      <c r="C53" s="29" t="s">
        <v>26</v>
      </c>
      <c r="D53" s="29" t="s">
        <v>38</v>
      </c>
      <c r="E53" s="29" t="s">
        <v>94</v>
      </c>
      <c r="F53" s="29">
        <v>46</v>
      </c>
      <c r="G53" s="29">
        <v>46</v>
      </c>
      <c r="H53" s="31">
        <v>0</v>
      </c>
      <c r="I53" s="32">
        <v>46336</v>
      </c>
      <c r="J53" s="32">
        <v>46389</v>
      </c>
      <c r="K53" s="32"/>
      <c r="L53" s="32"/>
      <c r="M53" s="32">
        <v>46275</v>
      </c>
      <c r="N53" s="32">
        <v>46330</v>
      </c>
      <c r="O53" s="33">
        <v>49</v>
      </c>
      <c r="P53" s="29">
        <v>142</v>
      </c>
      <c r="Q53" s="29" t="s">
        <v>85</v>
      </c>
      <c r="R53" s="29" t="s">
        <v>85</v>
      </c>
      <c r="S53" s="29" t="s">
        <v>85</v>
      </c>
    </row>
    <row r="54" spans="1:19" s="28" customFormat="1" x14ac:dyDescent="0.25" outlineLevel="1" collapsed="1">
      <c r="A54" s="29" t="s">
        <v>167</v>
      </c>
      <c r="B54" s="43" t="s">
        <v>141</v>
      </c>
      <c r="C54" s="29" t="s">
        <v>26</v>
      </c>
      <c r="D54" s="29" t="s">
        <v>38</v>
      </c>
      <c r="E54" s="29" t="s">
        <v>94</v>
      </c>
      <c r="F54" s="29">
        <v>17</v>
      </c>
      <c r="G54" s="29">
        <v>17</v>
      </c>
      <c r="H54" s="31">
        <v>0</v>
      </c>
      <c r="I54" s="32">
        <v>46410</v>
      </c>
      <c r="J54" s="32">
        <v>46430</v>
      </c>
      <c r="K54" s="32"/>
      <c r="L54" s="32"/>
      <c r="M54" s="32">
        <v>46371</v>
      </c>
      <c r="N54" s="32">
        <v>46391</v>
      </c>
      <c r="O54" s="33">
        <v>33</v>
      </c>
      <c r="P54" s="29">
        <v>108</v>
      </c>
      <c r="Q54" s="29" t="s">
        <v>85</v>
      </c>
      <c r="R54" s="29" t="s">
        <v>85</v>
      </c>
      <c r="S54" s="29" t="s">
        <v>85</v>
      </c>
    </row>
    <row r="55" spans="1:19" s="28" customFormat="1" x14ac:dyDescent="0.25" outlineLevel="1" collapsed="1">
      <c r="A55" s="29" t="s">
        <v>168</v>
      </c>
      <c r="B55" s="43" t="s">
        <v>143</v>
      </c>
      <c r="C55" s="29" t="s">
        <v>26</v>
      </c>
      <c r="D55" s="29" t="s">
        <v>38</v>
      </c>
      <c r="E55" s="29" t="s">
        <v>94</v>
      </c>
      <c r="F55" s="29">
        <v>0</v>
      </c>
      <c r="G55" s="29">
        <v>0</v>
      </c>
      <c r="H55" s="31">
        <v>0</v>
      </c>
      <c r="I55" s="32">
        <v>46430</v>
      </c>
      <c r="J55" s="32">
        <v>46430</v>
      </c>
      <c r="K55" s="32"/>
      <c r="L55" s="32"/>
      <c r="M55" s="32">
        <v>46391</v>
      </c>
      <c r="N55" s="32">
        <v>46391</v>
      </c>
      <c r="O55" s="33">
        <v>33</v>
      </c>
      <c r="P55" s="29">
        <v>108</v>
      </c>
      <c r="Q55" s="29" t="s">
        <v>85</v>
      </c>
      <c r="R55" s="29" t="s">
        <v>85</v>
      </c>
      <c r="S55" s="29" t="s">
        <v>85</v>
      </c>
    </row>
    <row r="56" spans="1:19" x14ac:dyDescent="0.25">
      <c r="A56" s="35" t="s">
        <v>169</v>
      </c>
      <c r="B56" s="36" t="s">
        <v>170</v>
      </c>
      <c r="C56" s="35" t="s">
        <v>85</v>
      </c>
      <c r="D56" s="35" t="s">
        <v>85</v>
      </c>
      <c r="E56" s="35" t="s">
        <v>86</v>
      </c>
      <c r="F56" s="35">
        <v>403</v>
      </c>
      <c r="G56" s="35"/>
      <c r="H56" s="37">
        <v>0.6061142217245241</v>
      </c>
      <c r="I56" s="38">
        <v>46051</v>
      </c>
      <c r="J56" s="38">
        <v>46531</v>
      </c>
      <c r="K56" s="38">
        <v>46051</v>
      </c>
      <c r="L56" s="38"/>
      <c r="M56" s="38">
        <v>46051</v>
      </c>
      <c r="N56" s="38">
        <v>46493</v>
      </c>
      <c r="O56" s="35">
        <v>32</v>
      </c>
      <c r="P56" s="35">
        <v>23</v>
      </c>
      <c r="Q56" s="35" t="s">
        <v>85</v>
      </c>
      <c r="R56" s="35" t="s">
        <v>100</v>
      </c>
      <c r="S56" s="35" t="s">
        <v>85</v>
      </c>
    </row>
    <row r="57" spans="1:19" x14ac:dyDescent="0.25">
      <c r="A57" s="39" t="s">
        <v>171</v>
      </c>
      <c r="B57" s="40" t="s">
        <v>36</v>
      </c>
      <c r="C57" s="39" t="s">
        <v>85</v>
      </c>
      <c r="D57" s="39" t="s">
        <v>85</v>
      </c>
      <c r="E57" s="39" t="s">
        <v>4</v>
      </c>
      <c r="F57" s="39">
        <v>130</v>
      </c>
      <c r="G57" s="39"/>
      <c r="H57" s="41">
        <v>1</v>
      </c>
      <c r="I57" s="42">
        <v>46059</v>
      </c>
      <c r="J57" s="42">
        <v>46212</v>
      </c>
      <c r="K57" s="42">
        <v>46059</v>
      </c>
      <c r="L57" s="42">
        <v>46212</v>
      </c>
      <c r="M57" s="42">
        <v>46056</v>
      </c>
      <c r="N57" s="42">
        <v>46183</v>
      </c>
      <c r="O57" s="39">
        <v>25</v>
      </c>
      <c r="P57" s="39"/>
      <c r="Q57" s="39" t="s">
        <v>85</v>
      </c>
      <c r="R57" s="39" t="s">
        <v>102</v>
      </c>
      <c r="S57" s="39" t="s">
        <v>85</v>
      </c>
    </row>
    <row r="58" spans="1:19" s="28" customFormat="1" x14ac:dyDescent="0.25" outlineLevel="1" collapsed="1">
      <c r="A58" s="29" t="s">
        <v>172</v>
      </c>
      <c r="B58" s="43" t="s">
        <v>104</v>
      </c>
      <c r="C58" s="29" t="s">
        <v>27</v>
      </c>
      <c r="D58" s="29" t="s">
        <v>36</v>
      </c>
      <c r="E58" s="29" t="s">
        <v>4</v>
      </c>
      <c r="F58" s="29">
        <v>30</v>
      </c>
      <c r="G58" s="29">
        <v>0</v>
      </c>
      <c r="H58" s="31">
        <v>1</v>
      </c>
      <c r="I58" s="32">
        <v>46059</v>
      </c>
      <c r="J58" s="32">
        <v>46106</v>
      </c>
      <c r="K58" s="32">
        <v>46059</v>
      </c>
      <c r="L58" s="32">
        <v>46106</v>
      </c>
      <c r="M58" s="32">
        <v>46056</v>
      </c>
      <c r="N58" s="32">
        <v>46098</v>
      </c>
      <c r="O58" s="33">
        <v>6</v>
      </c>
      <c r="P58" s="29"/>
      <c r="Q58" s="29" t="s">
        <v>85</v>
      </c>
      <c r="R58" s="29" t="s">
        <v>85</v>
      </c>
      <c r="S58" s="29" t="s">
        <v>85</v>
      </c>
    </row>
    <row r="59" spans="1:19" s="28" customFormat="1" x14ac:dyDescent="0.25" outlineLevel="1" collapsed="1">
      <c r="A59" s="29" t="s">
        <v>173</v>
      </c>
      <c r="B59" s="43" t="s">
        <v>106</v>
      </c>
      <c r="C59" s="29" t="s">
        <v>27</v>
      </c>
      <c r="D59" s="29" t="s">
        <v>36</v>
      </c>
      <c r="E59" s="29" t="s">
        <v>4</v>
      </c>
      <c r="F59" s="29">
        <v>43</v>
      </c>
      <c r="G59" s="29">
        <v>0</v>
      </c>
      <c r="H59" s="31">
        <v>1</v>
      </c>
      <c r="I59" s="32">
        <v>46070</v>
      </c>
      <c r="J59" s="32">
        <v>46136</v>
      </c>
      <c r="K59" s="32">
        <v>46070</v>
      </c>
      <c r="L59" s="32">
        <v>46136</v>
      </c>
      <c r="M59" s="32">
        <v>46063</v>
      </c>
      <c r="N59" s="32">
        <v>46125</v>
      </c>
      <c r="O59" s="33">
        <v>9</v>
      </c>
      <c r="P59" s="29"/>
      <c r="Q59" s="29" t="s">
        <v>85</v>
      </c>
      <c r="R59" s="29" t="s">
        <v>85</v>
      </c>
      <c r="S59" s="29" t="s">
        <v>85</v>
      </c>
    </row>
    <row r="60" spans="1:19" s="28" customFormat="1" x14ac:dyDescent="0.25" outlineLevel="1" collapsed="1">
      <c r="A60" s="29" t="s">
        <v>174</v>
      </c>
      <c r="B60" s="43" t="s">
        <v>108</v>
      </c>
      <c r="C60" s="29" t="s">
        <v>27</v>
      </c>
      <c r="D60" s="29" t="s">
        <v>36</v>
      </c>
      <c r="E60" s="29" t="s">
        <v>4</v>
      </c>
      <c r="F60" s="29">
        <v>60</v>
      </c>
      <c r="G60" s="29">
        <v>0</v>
      </c>
      <c r="H60" s="31">
        <v>1</v>
      </c>
      <c r="I60" s="32">
        <v>46112</v>
      </c>
      <c r="J60" s="32">
        <v>46212</v>
      </c>
      <c r="K60" s="32">
        <v>46112</v>
      </c>
      <c r="L60" s="32">
        <v>46212</v>
      </c>
      <c r="M60" s="32">
        <v>46099</v>
      </c>
      <c r="N60" s="32">
        <v>46183</v>
      </c>
      <c r="O60" s="33">
        <v>21</v>
      </c>
      <c r="P60" s="29"/>
      <c r="Q60" s="29" t="s">
        <v>85</v>
      </c>
      <c r="R60" s="29" t="s">
        <v>85</v>
      </c>
      <c r="S60" s="29" t="s">
        <v>85</v>
      </c>
    </row>
    <row r="61" spans="1:19" s="28" customFormat="1" x14ac:dyDescent="0.25" outlineLevel="1" collapsed="1">
      <c r="A61" s="29" t="s">
        <v>175</v>
      </c>
      <c r="B61" s="43" t="s">
        <v>110</v>
      </c>
      <c r="C61" s="29" t="s">
        <v>27</v>
      </c>
      <c r="D61" s="29" t="s">
        <v>36</v>
      </c>
      <c r="E61" s="29" t="s">
        <v>4</v>
      </c>
      <c r="F61" s="29">
        <v>21</v>
      </c>
      <c r="G61" s="29">
        <v>0</v>
      </c>
      <c r="H61" s="31">
        <v>1</v>
      </c>
      <c r="I61" s="32">
        <v>46160</v>
      </c>
      <c r="J61" s="32">
        <v>46212</v>
      </c>
      <c r="K61" s="32">
        <v>46160</v>
      </c>
      <c r="L61" s="32">
        <v>46212</v>
      </c>
      <c r="M61" s="32">
        <v>46155</v>
      </c>
      <c r="N61" s="32">
        <v>46183</v>
      </c>
      <c r="O61" s="33">
        <v>21</v>
      </c>
      <c r="P61" s="29"/>
      <c r="Q61" s="29" t="s">
        <v>85</v>
      </c>
      <c r="R61" s="29" t="s">
        <v>85</v>
      </c>
      <c r="S61" s="29" t="s">
        <v>85</v>
      </c>
    </row>
    <row r="62" spans="1:19" x14ac:dyDescent="0.25">
      <c r="A62" s="39" t="s">
        <v>176</v>
      </c>
      <c r="B62" s="40" t="s">
        <v>37</v>
      </c>
      <c r="C62" s="39" t="s">
        <v>85</v>
      </c>
      <c r="D62" s="39" t="s">
        <v>85</v>
      </c>
      <c r="E62" s="39" t="s">
        <v>86</v>
      </c>
      <c r="F62" s="39">
        <v>211</v>
      </c>
      <c r="G62" s="39"/>
      <c r="H62" s="41">
        <v>0.6454065040650405</v>
      </c>
      <c r="I62" s="42">
        <v>46143</v>
      </c>
      <c r="J62" s="42">
        <v>46394</v>
      </c>
      <c r="K62" s="42">
        <v>46143</v>
      </c>
      <c r="L62" s="42"/>
      <c r="M62" s="42">
        <v>46126</v>
      </c>
      <c r="N62" s="42">
        <v>46356</v>
      </c>
      <c r="O62" s="39">
        <v>32</v>
      </c>
      <c r="P62" s="39">
        <v>23</v>
      </c>
      <c r="Q62" s="39" t="s">
        <v>85</v>
      </c>
      <c r="R62" s="39" t="s">
        <v>102</v>
      </c>
      <c r="S62" s="39" t="s">
        <v>85</v>
      </c>
    </row>
    <row r="63" spans="1:19" s="28" customFormat="1" x14ac:dyDescent="0.25" outlineLevel="1" collapsed="1">
      <c r="A63" s="29" t="s">
        <v>177</v>
      </c>
      <c r="B63" s="43" t="s">
        <v>113</v>
      </c>
      <c r="C63" s="29" t="s">
        <v>27</v>
      </c>
      <c r="D63" s="29" t="s">
        <v>37</v>
      </c>
      <c r="E63" s="29" t="s">
        <v>4</v>
      </c>
      <c r="F63" s="29">
        <v>19</v>
      </c>
      <c r="G63" s="29">
        <v>0</v>
      </c>
      <c r="H63" s="31">
        <v>1</v>
      </c>
      <c r="I63" s="32">
        <v>46143</v>
      </c>
      <c r="J63" s="32">
        <v>46168</v>
      </c>
      <c r="K63" s="32">
        <v>46143</v>
      </c>
      <c r="L63" s="32">
        <v>46168</v>
      </c>
      <c r="M63" s="32">
        <v>46126</v>
      </c>
      <c r="N63" s="32">
        <v>46147</v>
      </c>
      <c r="O63" s="33">
        <v>18</v>
      </c>
      <c r="P63" s="29"/>
      <c r="Q63" s="29" t="s">
        <v>85</v>
      </c>
      <c r="R63" s="29" t="s">
        <v>85</v>
      </c>
      <c r="S63" s="29" t="s">
        <v>85</v>
      </c>
    </row>
    <row r="64" spans="1:19" s="28" customFormat="1" x14ac:dyDescent="0.25" outlineLevel="1" collapsed="1">
      <c r="A64" s="29" t="s">
        <v>178</v>
      </c>
      <c r="B64" s="43" t="s">
        <v>115</v>
      </c>
      <c r="C64" s="29" t="s">
        <v>27</v>
      </c>
      <c r="D64" s="29" t="s">
        <v>37</v>
      </c>
      <c r="E64" s="29" t="s">
        <v>86</v>
      </c>
      <c r="F64" s="29">
        <v>83</v>
      </c>
      <c r="G64" s="29">
        <v>6</v>
      </c>
      <c r="H64" s="31">
        <v>0.93</v>
      </c>
      <c r="I64" s="32">
        <v>46174</v>
      </c>
      <c r="J64" s="32">
        <v>46303</v>
      </c>
      <c r="K64" s="32">
        <v>46174</v>
      </c>
      <c r="L64" s="32"/>
      <c r="M64" s="32">
        <v>46148</v>
      </c>
      <c r="N64" s="32">
        <v>46244</v>
      </c>
      <c r="O64" s="33">
        <v>49</v>
      </c>
      <c r="P64" s="29">
        <v>59</v>
      </c>
      <c r="Q64" s="29" t="s">
        <v>85</v>
      </c>
      <c r="R64" s="29" t="s">
        <v>5</v>
      </c>
      <c r="S64" s="29" t="s">
        <v>85</v>
      </c>
    </row>
    <row r="65" spans="1:19" s="28" customFormat="1" x14ac:dyDescent="0.25" outlineLevel="1" collapsed="1">
      <c r="A65" s="29" t="s">
        <v>179</v>
      </c>
      <c r="B65" s="43" t="s">
        <v>117</v>
      </c>
      <c r="C65" s="29" t="s">
        <v>27</v>
      </c>
      <c r="D65" s="29" t="s">
        <v>37</v>
      </c>
      <c r="E65" s="29" t="s">
        <v>4</v>
      </c>
      <c r="F65" s="29">
        <v>26</v>
      </c>
      <c r="G65" s="29">
        <v>0</v>
      </c>
      <c r="H65" s="31">
        <v>1</v>
      </c>
      <c r="I65" s="32">
        <v>46218</v>
      </c>
      <c r="J65" s="32">
        <v>46246</v>
      </c>
      <c r="K65" s="32">
        <v>46218</v>
      </c>
      <c r="L65" s="32">
        <v>46246</v>
      </c>
      <c r="M65" s="32">
        <v>46184</v>
      </c>
      <c r="N65" s="32">
        <v>46213</v>
      </c>
      <c r="O65" s="33">
        <v>28</v>
      </c>
      <c r="P65" s="29"/>
      <c r="Q65" s="29" t="s">
        <v>85</v>
      </c>
      <c r="R65" s="29" t="s">
        <v>85</v>
      </c>
      <c r="S65" s="29" t="s">
        <v>85</v>
      </c>
    </row>
    <row r="66" spans="1:19" s="28" customFormat="1" x14ac:dyDescent="0.25" outlineLevel="1" collapsed="1">
      <c r="A66" s="29" t="s">
        <v>180</v>
      </c>
      <c r="B66" s="43" t="s">
        <v>119</v>
      </c>
      <c r="C66" s="29" t="s">
        <v>27</v>
      </c>
      <c r="D66" s="29" t="s">
        <v>37</v>
      </c>
      <c r="E66" s="29" t="s">
        <v>86</v>
      </c>
      <c r="F66" s="29">
        <v>118</v>
      </c>
      <c r="G66" s="29">
        <v>81</v>
      </c>
      <c r="H66" s="31">
        <v>0.31</v>
      </c>
      <c r="I66" s="32">
        <v>46248</v>
      </c>
      <c r="J66" s="32">
        <v>46394</v>
      </c>
      <c r="K66" s="32">
        <v>46248</v>
      </c>
      <c r="L66" s="32"/>
      <c r="M66" s="32">
        <v>46214</v>
      </c>
      <c r="N66" s="32">
        <v>46356</v>
      </c>
      <c r="O66" s="33">
        <v>32</v>
      </c>
      <c r="P66" s="29">
        <v>23</v>
      </c>
      <c r="Q66" s="29" t="s">
        <v>85</v>
      </c>
      <c r="R66" s="29" t="s">
        <v>5</v>
      </c>
      <c r="S66" s="29" t="s">
        <v>85</v>
      </c>
    </row>
    <row r="67" spans="1:19" x14ac:dyDescent="0.25">
      <c r="A67" s="39" t="s">
        <v>181</v>
      </c>
      <c r="B67" s="40" t="s">
        <v>38</v>
      </c>
      <c r="C67" s="39" t="s">
        <v>85</v>
      </c>
      <c r="D67" s="39" t="s">
        <v>85</v>
      </c>
      <c r="E67" s="39" t="s">
        <v>86</v>
      </c>
      <c r="F67" s="39">
        <v>403</v>
      </c>
      <c r="G67" s="39"/>
      <c r="H67" s="41">
        <v>0.46346855983772817</v>
      </c>
      <c r="I67" s="42">
        <v>46051</v>
      </c>
      <c r="J67" s="42">
        <v>46531</v>
      </c>
      <c r="K67" s="42">
        <v>46051</v>
      </c>
      <c r="L67" s="42"/>
      <c r="M67" s="42">
        <v>46051</v>
      </c>
      <c r="N67" s="42">
        <v>46493</v>
      </c>
      <c r="O67" s="39">
        <v>32</v>
      </c>
      <c r="P67" s="39">
        <v>23</v>
      </c>
      <c r="Q67" s="39" t="s">
        <v>85</v>
      </c>
      <c r="R67" s="39" t="s">
        <v>121</v>
      </c>
      <c r="S67" s="39" t="s">
        <v>85</v>
      </c>
    </row>
    <row r="68" spans="1:19" s="28" customFormat="1" x14ac:dyDescent="0.25" outlineLevel="1" collapsed="1">
      <c r="A68" s="29" t="s">
        <v>182</v>
      </c>
      <c r="B68" s="43" t="s">
        <v>123</v>
      </c>
      <c r="C68" s="29" t="s">
        <v>27</v>
      </c>
      <c r="D68" s="29" t="s">
        <v>38</v>
      </c>
      <c r="E68" s="29" t="s">
        <v>4</v>
      </c>
      <c r="F68" s="29">
        <v>11</v>
      </c>
      <c r="G68" s="29">
        <v>0</v>
      </c>
      <c r="H68" s="31">
        <v>1</v>
      </c>
      <c r="I68" s="32">
        <v>46051</v>
      </c>
      <c r="J68" s="32">
        <v>46063</v>
      </c>
      <c r="K68" s="32">
        <v>46051</v>
      </c>
      <c r="L68" s="32">
        <v>46063</v>
      </c>
      <c r="M68" s="32">
        <v>46051</v>
      </c>
      <c r="N68" s="32">
        <v>46063</v>
      </c>
      <c r="O68" s="29">
        <v>0</v>
      </c>
      <c r="P68" s="29"/>
      <c r="Q68" s="29" t="s">
        <v>85</v>
      </c>
      <c r="R68" s="29" t="s">
        <v>85</v>
      </c>
      <c r="S68" s="29" t="s">
        <v>85</v>
      </c>
    </row>
    <row r="69" spans="1:19" s="28" customFormat="1" x14ac:dyDescent="0.25" outlineLevel="1" collapsed="1">
      <c r="A69" s="29" t="s">
        <v>183</v>
      </c>
      <c r="B69" s="43" t="s">
        <v>125</v>
      </c>
      <c r="C69" s="29" t="s">
        <v>27</v>
      </c>
      <c r="D69" s="29" t="s">
        <v>38</v>
      </c>
      <c r="E69" s="29" t="s">
        <v>4</v>
      </c>
      <c r="F69" s="29">
        <v>26</v>
      </c>
      <c r="G69" s="29">
        <v>0</v>
      </c>
      <c r="H69" s="31">
        <v>1</v>
      </c>
      <c r="I69" s="32">
        <v>46084</v>
      </c>
      <c r="J69" s="32">
        <v>46114</v>
      </c>
      <c r="K69" s="32">
        <v>46084</v>
      </c>
      <c r="L69" s="32">
        <v>46114</v>
      </c>
      <c r="M69" s="32">
        <v>46074</v>
      </c>
      <c r="N69" s="32">
        <v>46105</v>
      </c>
      <c r="O69" s="33">
        <v>8</v>
      </c>
      <c r="P69" s="29"/>
      <c r="Q69" s="29" t="s">
        <v>85</v>
      </c>
      <c r="R69" s="29" t="s">
        <v>85</v>
      </c>
      <c r="S69" s="29" t="s">
        <v>85</v>
      </c>
    </row>
    <row r="70" spans="1:19" s="28" customFormat="1" x14ac:dyDescent="0.25" outlineLevel="1" collapsed="1">
      <c r="A70" s="29" t="s">
        <v>184</v>
      </c>
      <c r="B70" s="43" t="s">
        <v>127</v>
      </c>
      <c r="C70" s="29" t="s">
        <v>27</v>
      </c>
      <c r="D70" s="29" t="s">
        <v>38</v>
      </c>
      <c r="E70" s="29" t="s">
        <v>4</v>
      </c>
      <c r="F70" s="29">
        <v>52</v>
      </c>
      <c r="G70" s="29">
        <v>0</v>
      </c>
      <c r="H70" s="31">
        <v>1</v>
      </c>
      <c r="I70" s="32">
        <v>46095</v>
      </c>
      <c r="J70" s="32">
        <v>46160</v>
      </c>
      <c r="K70" s="32">
        <v>46095</v>
      </c>
      <c r="L70" s="32">
        <v>46160</v>
      </c>
      <c r="M70" s="32">
        <v>46083</v>
      </c>
      <c r="N70" s="32">
        <v>46144</v>
      </c>
      <c r="O70" s="33">
        <v>13</v>
      </c>
      <c r="P70" s="29"/>
      <c r="Q70" s="29" t="s">
        <v>85</v>
      </c>
      <c r="R70" s="29" t="s">
        <v>85</v>
      </c>
      <c r="S70" s="29" t="s">
        <v>85</v>
      </c>
    </row>
    <row r="71" spans="1:19" s="28" customFormat="1" x14ac:dyDescent="0.25" outlineLevel="1" collapsed="1">
      <c r="A71" s="29" t="s">
        <v>185</v>
      </c>
      <c r="B71" s="43" t="s">
        <v>129</v>
      </c>
      <c r="C71" s="29" t="s">
        <v>27</v>
      </c>
      <c r="D71" s="29" t="s">
        <v>38</v>
      </c>
      <c r="E71" s="29" t="s">
        <v>4</v>
      </c>
      <c r="F71" s="29">
        <v>29</v>
      </c>
      <c r="G71" s="29">
        <v>0</v>
      </c>
      <c r="H71" s="31">
        <v>1</v>
      </c>
      <c r="I71" s="32">
        <v>46162</v>
      </c>
      <c r="J71" s="32">
        <v>46200</v>
      </c>
      <c r="K71" s="32">
        <v>46162</v>
      </c>
      <c r="L71" s="32">
        <v>46200</v>
      </c>
      <c r="M71" s="32">
        <v>46146</v>
      </c>
      <c r="N71" s="32">
        <v>46178</v>
      </c>
      <c r="O71" s="33">
        <v>19</v>
      </c>
      <c r="P71" s="29"/>
      <c r="Q71" s="29" t="s">
        <v>85</v>
      </c>
      <c r="R71" s="29" t="s">
        <v>85</v>
      </c>
      <c r="S71" s="29" t="s">
        <v>85</v>
      </c>
    </row>
    <row r="72" spans="1:19" s="28" customFormat="1" x14ac:dyDescent="0.25" outlineLevel="1" collapsed="1">
      <c r="A72" s="29" t="s">
        <v>186</v>
      </c>
      <c r="B72" s="43" t="s">
        <v>131</v>
      </c>
      <c r="C72" s="29" t="s">
        <v>27</v>
      </c>
      <c r="D72" s="29" t="s">
        <v>38</v>
      </c>
      <c r="E72" s="29" t="s">
        <v>86</v>
      </c>
      <c r="F72" s="29">
        <v>94</v>
      </c>
      <c r="G72" s="29">
        <v>21</v>
      </c>
      <c r="H72" s="31">
        <v>0.78</v>
      </c>
      <c r="I72" s="32">
        <v>46202</v>
      </c>
      <c r="J72" s="32">
        <v>46322</v>
      </c>
      <c r="K72" s="32">
        <v>46202</v>
      </c>
      <c r="L72" s="32"/>
      <c r="M72" s="32">
        <v>46179</v>
      </c>
      <c r="N72" s="32">
        <v>46289</v>
      </c>
      <c r="O72" s="33">
        <v>26</v>
      </c>
      <c r="P72" s="29">
        <v>74</v>
      </c>
      <c r="Q72" s="29" t="s">
        <v>85</v>
      </c>
      <c r="R72" s="29" t="s">
        <v>5</v>
      </c>
      <c r="S72" s="29" t="s">
        <v>85</v>
      </c>
    </row>
    <row r="73" spans="1:19" s="28" customFormat="1" x14ac:dyDescent="0.25" outlineLevel="1" collapsed="1">
      <c r="A73" s="29" t="s">
        <v>187</v>
      </c>
      <c r="B73" s="43" t="s">
        <v>133</v>
      </c>
      <c r="C73" s="29" t="s">
        <v>27</v>
      </c>
      <c r="D73" s="29" t="s">
        <v>38</v>
      </c>
      <c r="E73" s="29" t="s">
        <v>86</v>
      </c>
      <c r="F73" s="29">
        <v>59</v>
      </c>
      <c r="G73" s="29">
        <v>22</v>
      </c>
      <c r="H73" s="31">
        <v>0.63</v>
      </c>
      <c r="I73" s="32">
        <v>46228</v>
      </c>
      <c r="J73" s="32">
        <v>46323</v>
      </c>
      <c r="K73" s="32">
        <v>46228</v>
      </c>
      <c r="L73" s="32"/>
      <c r="M73" s="32">
        <v>46203</v>
      </c>
      <c r="N73" s="32">
        <v>46272</v>
      </c>
      <c r="O73" s="33">
        <v>42</v>
      </c>
      <c r="P73" s="29">
        <v>94</v>
      </c>
      <c r="Q73" s="29" t="s">
        <v>85</v>
      </c>
      <c r="R73" s="29" t="s">
        <v>5</v>
      </c>
      <c r="S73" s="29" t="s">
        <v>85</v>
      </c>
    </row>
    <row r="74" spans="1:19" s="28" customFormat="1" x14ac:dyDescent="0.25" outlineLevel="1" collapsed="1">
      <c r="A74" s="29" t="s">
        <v>188</v>
      </c>
      <c r="B74" s="43" t="s">
        <v>135</v>
      </c>
      <c r="C74" s="29" t="s">
        <v>27</v>
      </c>
      <c r="D74" s="29" t="s">
        <v>38</v>
      </c>
      <c r="E74" s="29" t="s">
        <v>94</v>
      </c>
      <c r="F74" s="29">
        <v>46</v>
      </c>
      <c r="G74" s="29">
        <v>46</v>
      </c>
      <c r="H74" s="31">
        <v>0</v>
      </c>
      <c r="I74" s="32">
        <v>46317</v>
      </c>
      <c r="J74" s="32">
        <v>46371</v>
      </c>
      <c r="K74" s="32"/>
      <c r="L74" s="32"/>
      <c r="M74" s="32">
        <v>46284</v>
      </c>
      <c r="N74" s="32">
        <v>46340</v>
      </c>
      <c r="O74" s="33">
        <v>26</v>
      </c>
      <c r="P74" s="29">
        <v>96</v>
      </c>
      <c r="Q74" s="29" t="s">
        <v>85</v>
      </c>
      <c r="R74" s="29" t="s">
        <v>85</v>
      </c>
      <c r="S74" s="29" t="s">
        <v>85</v>
      </c>
    </row>
    <row r="75" spans="1:19" s="28" customFormat="1" x14ac:dyDescent="0.25" outlineLevel="1" collapsed="1">
      <c r="A75" s="29" t="s">
        <v>189</v>
      </c>
      <c r="B75" s="43" t="s">
        <v>139</v>
      </c>
      <c r="C75" s="29" t="s">
        <v>27</v>
      </c>
      <c r="D75" s="29" t="s">
        <v>38</v>
      </c>
      <c r="E75" s="29" t="s">
        <v>94</v>
      </c>
      <c r="F75" s="29">
        <v>61</v>
      </c>
      <c r="G75" s="29">
        <v>61</v>
      </c>
      <c r="H75" s="31">
        <v>0</v>
      </c>
      <c r="I75" s="32">
        <v>46372</v>
      </c>
      <c r="J75" s="32">
        <v>46444</v>
      </c>
      <c r="K75" s="32"/>
      <c r="L75" s="32"/>
      <c r="M75" s="32">
        <v>46342</v>
      </c>
      <c r="N75" s="32">
        <v>46414</v>
      </c>
      <c r="O75" s="33">
        <v>26</v>
      </c>
      <c r="P75" s="29">
        <v>96</v>
      </c>
      <c r="Q75" s="29" t="s">
        <v>85</v>
      </c>
      <c r="R75" s="29" t="s">
        <v>85</v>
      </c>
      <c r="S75" s="29" t="s">
        <v>85</v>
      </c>
    </row>
    <row r="76" spans="1:19" s="28" customFormat="1" x14ac:dyDescent="0.25" outlineLevel="1" collapsed="1">
      <c r="A76" s="29" t="s">
        <v>190</v>
      </c>
      <c r="B76" s="43" t="s">
        <v>137</v>
      </c>
      <c r="C76" s="29" t="s">
        <v>27</v>
      </c>
      <c r="D76" s="29" t="s">
        <v>38</v>
      </c>
      <c r="E76" s="29" t="s">
        <v>94</v>
      </c>
      <c r="F76" s="29">
        <v>89</v>
      </c>
      <c r="G76" s="29">
        <v>89</v>
      </c>
      <c r="H76" s="31">
        <v>0</v>
      </c>
      <c r="I76" s="32">
        <v>46395</v>
      </c>
      <c r="J76" s="32">
        <v>46500</v>
      </c>
      <c r="K76" s="32"/>
      <c r="L76" s="32"/>
      <c r="M76" s="32">
        <v>46357</v>
      </c>
      <c r="N76" s="32">
        <v>46462</v>
      </c>
      <c r="O76" s="33">
        <v>32</v>
      </c>
      <c r="P76" s="29">
        <v>23</v>
      </c>
      <c r="Q76" s="29" t="s">
        <v>85</v>
      </c>
      <c r="R76" s="29" t="s">
        <v>85</v>
      </c>
      <c r="S76" s="29" t="s">
        <v>85</v>
      </c>
    </row>
    <row r="77" spans="1:19" s="28" customFormat="1" x14ac:dyDescent="0.25" outlineLevel="1" collapsed="1">
      <c r="A77" s="29" t="s">
        <v>191</v>
      </c>
      <c r="B77" s="43" t="s">
        <v>141</v>
      </c>
      <c r="C77" s="29" t="s">
        <v>27</v>
      </c>
      <c r="D77" s="29" t="s">
        <v>38</v>
      </c>
      <c r="E77" s="29" t="s">
        <v>94</v>
      </c>
      <c r="F77" s="29">
        <v>26</v>
      </c>
      <c r="G77" s="29">
        <v>26</v>
      </c>
      <c r="H77" s="31">
        <v>0</v>
      </c>
      <c r="I77" s="32">
        <v>46501</v>
      </c>
      <c r="J77" s="32">
        <v>46531</v>
      </c>
      <c r="K77" s="32"/>
      <c r="L77" s="32"/>
      <c r="M77" s="32">
        <v>46463</v>
      </c>
      <c r="N77" s="32">
        <v>46493</v>
      </c>
      <c r="O77" s="33">
        <v>32</v>
      </c>
      <c r="P77" s="29">
        <v>23</v>
      </c>
      <c r="Q77" s="29" t="s">
        <v>85</v>
      </c>
      <c r="R77" s="29" t="s">
        <v>85</v>
      </c>
      <c r="S77" s="29" t="s">
        <v>85</v>
      </c>
    </row>
    <row r="78" spans="1:19" s="28" customFormat="1" x14ac:dyDescent="0.25" outlineLevel="1" collapsed="1">
      <c r="A78" s="29" t="s">
        <v>192</v>
      </c>
      <c r="B78" s="43" t="s">
        <v>143</v>
      </c>
      <c r="C78" s="29" t="s">
        <v>27</v>
      </c>
      <c r="D78" s="29" t="s">
        <v>38</v>
      </c>
      <c r="E78" s="29" t="s">
        <v>94</v>
      </c>
      <c r="F78" s="29">
        <v>0</v>
      </c>
      <c r="G78" s="29">
        <v>0</v>
      </c>
      <c r="H78" s="31">
        <v>0</v>
      </c>
      <c r="I78" s="32">
        <v>46531</v>
      </c>
      <c r="J78" s="32">
        <v>46531</v>
      </c>
      <c r="K78" s="32"/>
      <c r="L78" s="32"/>
      <c r="M78" s="32">
        <v>46493</v>
      </c>
      <c r="N78" s="32">
        <v>46493</v>
      </c>
      <c r="O78" s="33">
        <v>32</v>
      </c>
      <c r="P78" s="29">
        <v>23</v>
      </c>
      <c r="Q78" s="29" t="s">
        <v>85</v>
      </c>
      <c r="R78" s="29" t="s">
        <v>85</v>
      </c>
      <c r="S78" s="29" t="s">
        <v>85</v>
      </c>
    </row>
    <row r="79" spans="1:19" x14ac:dyDescent="0.25">
      <c r="A79" s="35" t="s">
        <v>193</v>
      </c>
      <c r="B79" s="36" t="s">
        <v>28</v>
      </c>
      <c r="C79" s="35" t="s">
        <v>85</v>
      </c>
      <c r="D79" s="35" t="s">
        <v>85</v>
      </c>
      <c r="E79" s="35" t="s">
        <v>86</v>
      </c>
      <c r="F79" s="35">
        <v>355</v>
      </c>
      <c r="G79" s="35"/>
      <c r="H79" s="37">
        <v>0.4825447570332482</v>
      </c>
      <c r="I79" s="38">
        <v>46083</v>
      </c>
      <c r="J79" s="38">
        <v>46506</v>
      </c>
      <c r="K79" s="38">
        <v>46083</v>
      </c>
      <c r="L79" s="38"/>
      <c r="M79" s="38">
        <v>46074</v>
      </c>
      <c r="N79" s="38">
        <v>46451</v>
      </c>
      <c r="O79" s="35">
        <v>46</v>
      </c>
      <c r="P79" s="35">
        <v>44</v>
      </c>
      <c r="Q79" s="35" t="s">
        <v>85</v>
      </c>
      <c r="R79" s="35" t="s">
        <v>100</v>
      </c>
      <c r="S79" s="35" t="s">
        <v>85</v>
      </c>
    </row>
    <row r="80" spans="1:19" x14ac:dyDescent="0.25">
      <c r="A80" s="39" t="s">
        <v>194</v>
      </c>
      <c r="B80" s="40" t="s">
        <v>36</v>
      </c>
      <c r="C80" s="39" t="s">
        <v>85</v>
      </c>
      <c r="D80" s="39" t="s">
        <v>85</v>
      </c>
      <c r="E80" s="39" t="s">
        <v>4</v>
      </c>
      <c r="F80" s="39">
        <v>122</v>
      </c>
      <c r="G80" s="39"/>
      <c r="H80" s="41">
        <v>1</v>
      </c>
      <c r="I80" s="42">
        <v>46097</v>
      </c>
      <c r="J80" s="42">
        <v>46239</v>
      </c>
      <c r="K80" s="42">
        <v>46097</v>
      </c>
      <c r="L80" s="42">
        <v>46239</v>
      </c>
      <c r="M80" s="42">
        <v>46084</v>
      </c>
      <c r="N80" s="42">
        <v>46199</v>
      </c>
      <c r="O80" s="39">
        <v>34</v>
      </c>
      <c r="P80" s="39"/>
      <c r="Q80" s="39" t="s">
        <v>85</v>
      </c>
      <c r="R80" s="39" t="s">
        <v>102</v>
      </c>
      <c r="S80" s="39" t="s">
        <v>85</v>
      </c>
    </row>
    <row r="81" spans="1:19" s="28" customFormat="1" x14ac:dyDescent="0.25" outlineLevel="1" collapsed="1">
      <c r="A81" s="29" t="s">
        <v>195</v>
      </c>
      <c r="B81" s="43" t="s">
        <v>104</v>
      </c>
      <c r="C81" s="29" t="s">
        <v>28</v>
      </c>
      <c r="D81" s="29" t="s">
        <v>36</v>
      </c>
      <c r="E81" s="29" t="s">
        <v>4</v>
      </c>
      <c r="F81" s="29">
        <v>30</v>
      </c>
      <c r="G81" s="29">
        <v>0</v>
      </c>
      <c r="H81" s="31">
        <v>1</v>
      </c>
      <c r="I81" s="32">
        <v>46097</v>
      </c>
      <c r="J81" s="32">
        <v>46140</v>
      </c>
      <c r="K81" s="32">
        <v>46097</v>
      </c>
      <c r="L81" s="32">
        <v>46140</v>
      </c>
      <c r="M81" s="32">
        <v>46084</v>
      </c>
      <c r="N81" s="32">
        <v>46127</v>
      </c>
      <c r="O81" s="33">
        <v>9</v>
      </c>
      <c r="P81" s="29"/>
      <c r="Q81" s="29" t="s">
        <v>85</v>
      </c>
      <c r="R81" s="29" t="s">
        <v>85</v>
      </c>
      <c r="S81" s="29" t="s">
        <v>85</v>
      </c>
    </row>
    <row r="82" spans="1:19" s="28" customFormat="1" x14ac:dyDescent="0.25" outlineLevel="1" collapsed="1">
      <c r="A82" s="29" t="s">
        <v>196</v>
      </c>
      <c r="B82" s="43" t="s">
        <v>106</v>
      </c>
      <c r="C82" s="29" t="s">
        <v>28</v>
      </c>
      <c r="D82" s="29" t="s">
        <v>36</v>
      </c>
      <c r="E82" s="29" t="s">
        <v>4</v>
      </c>
      <c r="F82" s="29">
        <v>39</v>
      </c>
      <c r="G82" s="29">
        <v>0</v>
      </c>
      <c r="H82" s="31">
        <v>1</v>
      </c>
      <c r="I82" s="32">
        <v>46113</v>
      </c>
      <c r="J82" s="32">
        <v>46167</v>
      </c>
      <c r="K82" s="32">
        <v>46113</v>
      </c>
      <c r="L82" s="32">
        <v>46167</v>
      </c>
      <c r="M82" s="32">
        <v>46092</v>
      </c>
      <c r="N82" s="32">
        <v>46147</v>
      </c>
      <c r="O82" s="33">
        <v>14</v>
      </c>
      <c r="P82" s="29"/>
      <c r="Q82" s="29" t="s">
        <v>85</v>
      </c>
      <c r="R82" s="29" t="s">
        <v>85</v>
      </c>
      <c r="S82" s="29" t="s">
        <v>85</v>
      </c>
    </row>
    <row r="83" spans="1:19" s="28" customFormat="1" x14ac:dyDescent="0.25" outlineLevel="1" collapsed="1">
      <c r="A83" s="29" t="s">
        <v>197</v>
      </c>
      <c r="B83" s="43" t="s">
        <v>108</v>
      </c>
      <c r="C83" s="29" t="s">
        <v>28</v>
      </c>
      <c r="D83" s="29" t="s">
        <v>36</v>
      </c>
      <c r="E83" s="29" t="s">
        <v>4</v>
      </c>
      <c r="F83" s="29">
        <v>52</v>
      </c>
      <c r="G83" s="29">
        <v>0</v>
      </c>
      <c r="H83" s="31">
        <v>1</v>
      </c>
      <c r="I83" s="32">
        <v>46153</v>
      </c>
      <c r="J83" s="32">
        <v>46239</v>
      </c>
      <c r="K83" s="32">
        <v>46153</v>
      </c>
      <c r="L83" s="32">
        <v>46239</v>
      </c>
      <c r="M83" s="32">
        <v>46128</v>
      </c>
      <c r="N83" s="32">
        <v>46199</v>
      </c>
      <c r="O83" s="33">
        <v>28</v>
      </c>
      <c r="P83" s="29"/>
      <c r="Q83" s="29" t="s">
        <v>85</v>
      </c>
      <c r="R83" s="29" t="s">
        <v>85</v>
      </c>
      <c r="S83" s="29" t="s">
        <v>85</v>
      </c>
    </row>
    <row r="84" spans="1:19" s="28" customFormat="1" x14ac:dyDescent="0.25" outlineLevel="1" collapsed="1">
      <c r="A84" s="29" t="s">
        <v>198</v>
      </c>
      <c r="B84" s="43" t="s">
        <v>110</v>
      </c>
      <c r="C84" s="29" t="s">
        <v>28</v>
      </c>
      <c r="D84" s="29" t="s">
        <v>36</v>
      </c>
      <c r="E84" s="29" t="s">
        <v>4</v>
      </c>
      <c r="F84" s="29">
        <v>18</v>
      </c>
      <c r="G84" s="29">
        <v>0</v>
      </c>
      <c r="H84" s="31">
        <v>1</v>
      </c>
      <c r="I84" s="32">
        <v>46190</v>
      </c>
      <c r="J84" s="32">
        <v>46239</v>
      </c>
      <c r="K84" s="32">
        <v>46190</v>
      </c>
      <c r="L84" s="32">
        <v>46239</v>
      </c>
      <c r="M84" s="32">
        <v>46176</v>
      </c>
      <c r="N84" s="32">
        <v>46199</v>
      </c>
      <c r="O84" s="33">
        <v>28</v>
      </c>
      <c r="P84" s="29"/>
      <c r="Q84" s="29" t="s">
        <v>85</v>
      </c>
      <c r="R84" s="29" t="s">
        <v>85</v>
      </c>
      <c r="S84" s="29" t="s">
        <v>85</v>
      </c>
    </row>
    <row r="85" spans="1:19" x14ac:dyDescent="0.25">
      <c r="A85" s="39" t="s">
        <v>199</v>
      </c>
      <c r="B85" s="40" t="s">
        <v>37</v>
      </c>
      <c r="C85" s="39" t="s">
        <v>85</v>
      </c>
      <c r="D85" s="39" t="s">
        <v>85</v>
      </c>
      <c r="E85" s="39" t="s">
        <v>86</v>
      </c>
      <c r="F85" s="39">
        <v>200</v>
      </c>
      <c r="G85" s="39"/>
      <c r="H85" s="41">
        <v>0.4001793721973095</v>
      </c>
      <c r="I85" s="42">
        <v>46177</v>
      </c>
      <c r="J85" s="42">
        <v>46416</v>
      </c>
      <c r="K85" s="42">
        <v>46177</v>
      </c>
      <c r="L85" s="42"/>
      <c r="M85" s="42">
        <v>46148</v>
      </c>
      <c r="N85" s="42">
        <v>46339</v>
      </c>
      <c r="O85" s="39">
        <v>64</v>
      </c>
      <c r="P85" s="39">
        <v>44</v>
      </c>
      <c r="Q85" s="39" t="s">
        <v>85</v>
      </c>
      <c r="R85" s="39" t="s">
        <v>102</v>
      </c>
      <c r="S85" s="39" t="s">
        <v>85</v>
      </c>
    </row>
    <row r="86" spans="1:19" s="28" customFormat="1" x14ac:dyDescent="0.25" outlineLevel="1" collapsed="1">
      <c r="A86" s="29" t="s">
        <v>200</v>
      </c>
      <c r="B86" s="43" t="s">
        <v>113</v>
      </c>
      <c r="C86" s="29" t="s">
        <v>28</v>
      </c>
      <c r="D86" s="29" t="s">
        <v>37</v>
      </c>
      <c r="E86" s="29" t="s">
        <v>4</v>
      </c>
      <c r="F86" s="29">
        <v>19</v>
      </c>
      <c r="G86" s="29">
        <v>0</v>
      </c>
      <c r="H86" s="31">
        <v>1</v>
      </c>
      <c r="I86" s="32">
        <v>46177</v>
      </c>
      <c r="J86" s="32">
        <v>46198</v>
      </c>
      <c r="K86" s="32">
        <v>46177</v>
      </c>
      <c r="L86" s="32">
        <v>46198</v>
      </c>
      <c r="M86" s="32">
        <v>46148</v>
      </c>
      <c r="N86" s="32">
        <v>46169</v>
      </c>
      <c r="O86" s="33">
        <v>25</v>
      </c>
      <c r="P86" s="29"/>
      <c r="Q86" s="29" t="s">
        <v>85</v>
      </c>
      <c r="R86" s="29" t="s">
        <v>85</v>
      </c>
      <c r="S86" s="29" t="s">
        <v>85</v>
      </c>
    </row>
    <row r="87" spans="1:19" s="28" customFormat="1" x14ac:dyDescent="0.25" outlineLevel="1" collapsed="1">
      <c r="A87" s="29" t="s">
        <v>201</v>
      </c>
      <c r="B87" s="43" t="s">
        <v>115</v>
      </c>
      <c r="C87" s="29" t="s">
        <v>28</v>
      </c>
      <c r="D87" s="29" t="s">
        <v>37</v>
      </c>
      <c r="E87" s="29" t="s">
        <v>86</v>
      </c>
      <c r="F87" s="29">
        <v>88</v>
      </c>
      <c r="G87" s="29">
        <v>34</v>
      </c>
      <c r="H87" s="31">
        <v>0.61</v>
      </c>
      <c r="I87" s="32">
        <v>46206</v>
      </c>
      <c r="J87" s="32">
        <v>46338</v>
      </c>
      <c r="K87" s="32">
        <v>46206</v>
      </c>
      <c r="L87" s="32"/>
      <c r="M87" s="32">
        <v>46170</v>
      </c>
      <c r="N87" s="32">
        <v>46273</v>
      </c>
      <c r="O87" s="33">
        <v>53</v>
      </c>
      <c r="P87" s="29">
        <v>62</v>
      </c>
      <c r="Q87" s="29" t="s">
        <v>85</v>
      </c>
      <c r="R87" s="29" t="s">
        <v>5</v>
      </c>
      <c r="S87" s="29" t="s">
        <v>85</v>
      </c>
    </row>
    <row r="88" spans="1:19" s="28" customFormat="1" x14ac:dyDescent="0.25" outlineLevel="1" collapsed="1">
      <c r="A88" s="44" t="s">
        <v>202</v>
      </c>
      <c r="B88" s="45" t="s">
        <v>117</v>
      </c>
      <c r="C88" s="44" t="s">
        <v>28</v>
      </c>
      <c r="D88" s="44" t="s">
        <v>37</v>
      </c>
      <c r="E88" s="44" t="s">
        <v>86</v>
      </c>
      <c r="F88" s="44">
        <v>23</v>
      </c>
      <c r="G88" s="44">
        <v>6</v>
      </c>
      <c r="H88" s="46">
        <v>0.72</v>
      </c>
      <c r="I88" s="47">
        <v>46248</v>
      </c>
      <c r="J88" s="47">
        <v>46303</v>
      </c>
      <c r="K88" s="47">
        <v>46248</v>
      </c>
      <c r="L88" s="47"/>
      <c r="M88" s="47">
        <v>46200</v>
      </c>
      <c r="N88" s="47">
        <v>46226</v>
      </c>
      <c r="O88" s="48">
        <v>64</v>
      </c>
      <c r="P88" s="44">
        <v>44</v>
      </c>
      <c r="Q88" s="44" t="s">
        <v>85</v>
      </c>
      <c r="R88" s="44" t="s">
        <v>162</v>
      </c>
      <c r="S88" s="44" t="s">
        <v>85</v>
      </c>
    </row>
    <row r="89" spans="1:19" s="28" customFormat="1" x14ac:dyDescent="0.25" outlineLevel="1" collapsed="1">
      <c r="A89" s="49" t="s">
        <v>203</v>
      </c>
      <c r="B89" s="50" t="s">
        <v>119</v>
      </c>
      <c r="C89" s="49" t="s">
        <v>28</v>
      </c>
      <c r="D89" s="49" t="s">
        <v>37</v>
      </c>
      <c r="E89" s="49" t="s">
        <v>94</v>
      </c>
      <c r="F89" s="49">
        <v>93</v>
      </c>
      <c r="G89" s="49">
        <v>93</v>
      </c>
      <c r="H89" s="51">
        <v>0</v>
      </c>
      <c r="I89" s="52">
        <v>46304</v>
      </c>
      <c r="J89" s="52">
        <v>46416</v>
      </c>
      <c r="K89" s="52"/>
      <c r="L89" s="52"/>
      <c r="M89" s="52">
        <v>46227</v>
      </c>
      <c r="N89" s="52">
        <v>46339</v>
      </c>
      <c r="O89" s="53">
        <v>64</v>
      </c>
      <c r="P89" s="49">
        <v>44</v>
      </c>
      <c r="Q89" s="49" t="s">
        <v>85</v>
      </c>
      <c r="R89" s="49" t="s">
        <v>204</v>
      </c>
      <c r="S89" s="49" t="s">
        <v>85</v>
      </c>
    </row>
    <row r="90" spans="1:19" x14ac:dyDescent="0.25">
      <c r="A90" s="39" t="s">
        <v>205</v>
      </c>
      <c r="B90" s="40" t="s">
        <v>38</v>
      </c>
      <c r="C90" s="39" t="s">
        <v>85</v>
      </c>
      <c r="D90" s="39" t="s">
        <v>85</v>
      </c>
      <c r="E90" s="39" t="s">
        <v>86</v>
      </c>
      <c r="F90" s="39">
        <v>355</v>
      </c>
      <c r="G90" s="39"/>
      <c r="H90" s="41">
        <v>0.35502380952380963</v>
      </c>
      <c r="I90" s="42">
        <v>46083</v>
      </c>
      <c r="J90" s="42">
        <v>46506</v>
      </c>
      <c r="K90" s="42">
        <v>46083</v>
      </c>
      <c r="L90" s="42"/>
      <c r="M90" s="42">
        <v>46074</v>
      </c>
      <c r="N90" s="42">
        <v>46451</v>
      </c>
      <c r="O90" s="39">
        <v>46</v>
      </c>
      <c r="P90" s="39">
        <v>44</v>
      </c>
      <c r="Q90" s="39" t="s">
        <v>85</v>
      </c>
      <c r="R90" s="39" t="s">
        <v>121</v>
      </c>
      <c r="S90" s="39" t="s">
        <v>85</v>
      </c>
    </row>
    <row r="91" spans="1:19" s="28" customFormat="1" x14ac:dyDescent="0.25" outlineLevel="1" collapsed="1">
      <c r="A91" s="29" t="s">
        <v>206</v>
      </c>
      <c r="B91" s="43" t="s">
        <v>123</v>
      </c>
      <c r="C91" s="29" t="s">
        <v>28</v>
      </c>
      <c r="D91" s="29" t="s">
        <v>38</v>
      </c>
      <c r="E91" s="29" t="s">
        <v>4</v>
      </c>
      <c r="F91" s="29">
        <v>8</v>
      </c>
      <c r="G91" s="29">
        <v>0</v>
      </c>
      <c r="H91" s="31">
        <v>1</v>
      </c>
      <c r="I91" s="32">
        <v>46083</v>
      </c>
      <c r="J91" s="32">
        <v>46093</v>
      </c>
      <c r="K91" s="32">
        <v>46083</v>
      </c>
      <c r="L91" s="32">
        <v>46093</v>
      </c>
      <c r="M91" s="32">
        <v>46074</v>
      </c>
      <c r="N91" s="32">
        <v>46083</v>
      </c>
      <c r="O91" s="33">
        <v>8</v>
      </c>
      <c r="P91" s="29"/>
      <c r="Q91" s="29" t="s">
        <v>85</v>
      </c>
      <c r="R91" s="29" t="s">
        <v>85</v>
      </c>
      <c r="S91" s="29" t="s">
        <v>85</v>
      </c>
    </row>
    <row r="92" spans="1:19" s="28" customFormat="1" x14ac:dyDescent="0.25" outlineLevel="1" collapsed="1">
      <c r="A92" s="29" t="s">
        <v>207</v>
      </c>
      <c r="B92" s="43" t="s">
        <v>125</v>
      </c>
      <c r="C92" s="29" t="s">
        <v>28</v>
      </c>
      <c r="D92" s="29" t="s">
        <v>38</v>
      </c>
      <c r="E92" s="29" t="s">
        <v>4</v>
      </c>
      <c r="F92" s="29">
        <v>27</v>
      </c>
      <c r="G92" s="29">
        <v>0</v>
      </c>
      <c r="H92" s="31">
        <v>1</v>
      </c>
      <c r="I92" s="32">
        <v>46139</v>
      </c>
      <c r="J92" s="32">
        <v>46168</v>
      </c>
      <c r="K92" s="32">
        <v>46139</v>
      </c>
      <c r="L92" s="32">
        <v>46168</v>
      </c>
      <c r="M92" s="32">
        <v>46104</v>
      </c>
      <c r="N92" s="32">
        <v>46135</v>
      </c>
      <c r="O92" s="33">
        <v>28</v>
      </c>
      <c r="P92" s="29"/>
      <c r="Q92" s="29" t="s">
        <v>85</v>
      </c>
      <c r="R92" s="29" t="s">
        <v>85</v>
      </c>
      <c r="S92" s="29" t="s">
        <v>85</v>
      </c>
    </row>
    <row r="93" spans="1:19" s="28" customFormat="1" x14ac:dyDescent="0.25" outlineLevel="1" collapsed="1">
      <c r="A93" s="29" t="s">
        <v>208</v>
      </c>
      <c r="B93" s="43" t="s">
        <v>127</v>
      </c>
      <c r="C93" s="29" t="s">
        <v>28</v>
      </c>
      <c r="D93" s="29" t="s">
        <v>38</v>
      </c>
      <c r="E93" s="29" t="s">
        <v>4</v>
      </c>
      <c r="F93" s="29">
        <v>43</v>
      </c>
      <c r="G93" s="29">
        <v>0</v>
      </c>
      <c r="H93" s="31">
        <v>1</v>
      </c>
      <c r="I93" s="32">
        <v>46154</v>
      </c>
      <c r="J93" s="32">
        <v>46200</v>
      </c>
      <c r="K93" s="32">
        <v>46154</v>
      </c>
      <c r="L93" s="32">
        <v>46200</v>
      </c>
      <c r="M93" s="32">
        <v>46112</v>
      </c>
      <c r="N93" s="32">
        <v>46162</v>
      </c>
      <c r="O93" s="33">
        <v>33</v>
      </c>
      <c r="P93" s="29"/>
      <c r="Q93" s="29" t="s">
        <v>85</v>
      </c>
      <c r="R93" s="29" t="s">
        <v>85</v>
      </c>
      <c r="S93" s="29" t="s">
        <v>85</v>
      </c>
    </row>
    <row r="94" spans="1:19" s="28" customFormat="1" x14ac:dyDescent="0.25" outlineLevel="1" collapsed="1">
      <c r="A94" s="29" t="s">
        <v>209</v>
      </c>
      <c r="B94" s="43" t="s">
        <v>129</v>
      </c>
      <c r="C94" s="29" t="s">
        <v>28</v>
      </c>
      <c r="D94" s="29" t="s">
        <v>38</v>
      </c>
      <c r="E94" s="29" t="s">
        <v>4</v>
      </c>
      <c r="F94" s="29">
        <v>26</v>
      </c>
      <c r="G94" s="29">
        <v>0</v>
      </c>
      <c r="H94" s="31">
        <v>1</v>
      </c>
      <c r="I94" s="32">
        <v>46211</v>
      </c>
      <c r="J94" s="32">
        <v>46238</v>
      </c>
      <c r="K94" s="32">
        <v>46211</v>
      </c>
      <c r="L94" s="32">
        <v>46238</v>
      </c>
      <c r="M94" s="32">
        <v>46163</v>
      </c>
      <c r="N94" s="32">
        <v>46192</v>
      </c>
      <c r="O94" s="33">
        <v>39</v>
      </c>
      <c r="P94" s="29"/>
      <c r="Q94" s="29" t="s">
        <v>85</v>
      </c>
      <c r="R94" s="29" t="s">
        <v>85</v>
      </c>
      <c r="S94" s="29" t="s">
        <v>85</v>
      </c>
    </row>
    <row r="95" spans="1:19" s="28" customFormat="1" x14ac:dyDescent="0.25" outlineLevel="1" collapsed="1">
      <c r="A95" s="29" t="s">
        <v>210</v>
      </c>
      <c r="B95" s="43" t="s">
        <v>131</v>
      </c>
      <c r="C95" s="29" t="s">
        <v>28</v>
      </c>
      <c r="D95" s="29" t="s">
        <v>38</v>
      </c>
      <c r="E95" s="29" t="s">
        <v>86</v>
      </c>
      <c r="F95" s="29">
        <v>79</v>
      </c>
      <c r="G95" s="29">
        <v>52</v>
      </c>
      <c r="H95" s="31">
        <v>0.34</v>
      </c>
      <c r="I95" s="32">
        <v>46251</v>
      </c>
      <c r="J95" s="32">
        <v>46359</v>
      </c>
      <c r="K95" s="32">
        <v>46251</v>
      </c>
      <c r="L95" s="32"/>
      <c r="M95" s="32">
        <v>46193</v>
      </c>
      <c r="N95" s="32">
        <v>46286</v>
      </c>
      <c r="O95" s="33">
        <v>60</v>
      </c>
      <c r="P95" s="29">
        <v>77</v>
      </c>
      <c r="Q95" s="29" t="s">
        <v>85</v>
      </c>
      <c r="R95" s="29" t="s">
        <v>5</v>
      </c>
      <c r="S95" s="29" t="s">
        <v>85</v>
      </c>
    </row>
    <row r="96" spans="1:19" s="28" customFormat="1" x14ac:dyDescent="0.25" outlineLevel="1" collapsed="1">
      <c r="A96" s="54" t="s">
        <v>211</v>
      </c>
      <c r="B96" s="55" t="s">
        <v>137</v>
      </c>
      <c r="C96" s="54" t="s">
        <v>28</v>
      </c>
      <c r="D96" s="54" t="s">
        <v>38</v>
      </c>
      <c r="E96" s="54" t="s">
        <v>86</v>
      </c>
      <c r="F96" s="54">
        <v>73</v>
      </c>
      <c r="G96" s="54">
        <v>55</v>
      </c>
      <c r="H96" s="56">
        <v>0.25</v>
      </c>
      <c r="I96" s="57">
        <v>46260</v>
      </c>
      <c r="J96" s="57">
        <v>46482</v>
      </c>
      <c r="K96" s="57">
        <v>46260</v>
      </c>
      <c r="L96" s="57"/>
      <c r="M96" s="57">
        <v>46340</v>
      </c>
      <c r="N96" s="57">
        <v>46427</v>
      </c>
      <c r="O96" s="58">
        <v>46</v>
      </c>
      <c r="P96" s="54">
        <v>44</v>
      </c>
      <c r="Q96" s="54" t="s">
        <v>85</v>
      </c>
      <c r="R96" s="54" t="s">
        <v>212</v>
      </c>
      <c r="S96" s="54" t="s">
        <v>85</v>
      </c>
    </row>
    <row r="97" spans="1:19" s="28" customFormat="1" x14ac:dyDescent="0.25" outlineLevel="1" collapsed="1">
      <c r="A97" s="49" t="s">
        <v>213</v>
      </c>
      <c r="B97" s="50" t="s">
        <v>133</v>
      </c>
      <c r="C97" s="49" t="s">
        <v>28</v>
      </c>
      <c r="D97" s="49" t="s">
        <v>38</v>
      </c>
      <c r="E97" s="49" t="s">
        <v>94</v>
      </c>
      <c r="F97" s="49">
        <v>48</v>
      </c>
      <c r="G97" s="49">
        <v>48</v>
      </c>
      <c r="H97" s="51">
        <v>0</v>
      </c>
      <c r="I97" s="52">
        <v>46296</v>
      </c>
      <c r="J97" s="52">
        <v>46354</v>
      </c>
      <c r="K97" s="52"/>
      <c r="L97" s="52"/>
      <c r="M97" s="52">
        <v>46217</v>
      </c>
      <c r="N97" s="52">
        <v>46273</v>
      </c>
      <c r="O97" s="53">
        <v>67</v>
      </c>
      <c r="P97" s="49">
        <v>111</v>
      </c>
      <c r="Q97" s="49" t="s">
        <v>85</v>
      </c>
      <c r="R97" s="49" t="s">
        <v>204</v>
      </c>
      <c r="S97" s="49" t="s">
        <v>85</v>
      </c>
    </row>
    <row r="98" spans="1:19" s="28" customFormat="1" x14ac:dyDescent="0.25" outlineLevel="1" collapsed="1">
      <c r="A98" s="29" t="s">
        <v>214</v>
      </c>
      <c r="B98" s="43" t="s">
        <v>135</v>
      </c>
      <c r="C98" s="29" t="s">
        <v>28</v>
      </c>
      <c r="D98" s="29" t="s">
        <v>38</v>
      </c>
      <c r="E98" s="29" t="s">
        <v>94</v>
      </c>
      <c r="F98" s="29">
        <v>35</v>
      </c>
      <c r="G98" s="29">
        <v>35</v>
      </c>
      <c r="H98" s="31">
        <v>0</v>
      </c>
      <c r="I98" s="32">
        <v>46354</v>
      </c>
      <c r="J98" s="32">
        <v>46395</v>
      </c>
      <c r="K98" s="32"/>
      <c r="L98" s="32"/>
      <c r="M98" s="32">
        <v>46281</v>
      </c>
      <c r="N98" s="32">
        <v>46323</v>
      </c>
      <c r="O98" s="33">
        <v>60</v>
      </c>
      <c r="P98" s="29">
        <v>77</v>
      </c>
      <c r="Q98" s="29" t="s">
        <v>85</v>
      </c>
      <c r="R98" s="29" t="s">
        <v>85</v>
      </c>
      <c r="S98" s="29" t="s">
        <v>85</v>
      </c>
    </row>
    <row r="99" spans="1:19" s="28" customFormat="1" x14ac:dyDescent="0.25" outlineLevel="1" collapsed="1">
      <c r="A99" s="29" t="s">
        <v>215</v>
      </c>
      <c r="B99" s="43" t="s">
        <v>139</v>
      </c>
      <c r="C99" s="29" t="s">
        <v>28</v>
      </c>
      <c r="D99" s="29" t="s">
        <v>38</v>
      </c>
      <c r="E99" s="29" t="s">
        <v>94</v>
      </c>
      <c r="F99" s="29">
        <v>60</v>
      </c>
      <c r="G99" s="29">
        <v>60</v>
      </c>
      <c r="H99" s="31">
        <v>0</v>
      </c>
      <c r="I99" s="32">
        <v>46396</v>
      </c>
      <c r="J99" s="32">
        <v>46466</v>
      </c>
      <c r="K99" s="32"/>
      <c r="L99" s="32"/>
      <c r="M99" s="32">
        <v>46324</v>
      </c>
      <c r="N99" s="32">
        <v>46395</v>
      </c>
      <c r="O99" s="33">
        <v>60</v>
      </c>
      <c r="P99" s="29">
        <v>77</v>
      </c>
      <c r="Q99" s="29" t="s">
        <v>85</v>
      </c>
      <c r="R99" s="29" t="s">
        <v>85</v>
      </c>
      <c r="S99" s="29" t="s">
        <v>85</v>
      </c>
    </row>
    <row r="100" spans="1:19" s="28" customFormat="1" x14ac:dyDescent="0.25" outlineLevel="1" collapsed="1">
      <c r="A100" s="29" t="s">
        <v>216</v>
      </c>
      <c r="B100" s="43" t="s">
        <v>141</v>
      </c>
      <c r="C100" s="29" t="s">
        <v>28</v>
      </c>
      <c r="D100" s="29" t="s">
        <v>38</v>
      </c>
      <c r="E100" s="29" t="s">
        <v>94</v>
      </c>
      <c r="F100" s="29">
        <v>21</v>
      </c>
      <c r="G100" s="29">
        <v>21</v>
      </c>
      <c r="H100" s="31">
        <v>0</v>
      </c>
      <c r="I100" s="32">
        <v>46483</v>
      </c>
      <c r="J100" s="32">
        <v>46506</v>
      </c>
      <c r="K100" s="32"/>
      <c r="L100" s="32"/>
      <c r="M100" s="32">
        <v>46428</v>
      </c>
      <c r="N100" s="32">
        <v>46451</v>
      </c>
      <c r="O100" s="33">
        <v>46</v>
      </c>
      <c r="P100" s="29">
        <v>44</v>
      </c>
      <c r="Q100" s="29" t="s">
        <v>85</v>
      </c>
      <c r="R100" s="29" t="s">
        <v>85</v>
      </c>
      <c r="S100" s="29" t="s">
        <v>85</v>
      </c>
    </row>
    <row r="101" spans="1:19" s="28" customFormat="1" x14ac:dyDescent="0.25" outlineLevel="1" collapsed="1">
      <c r="A101" s="29" t="s">
        <v>217</v>
      </c>
      <c r="B101" s="43" t="s">
        <v>143</v>
      </c>
      <c r="C101" s="29" t="s">
        <v>28</v>
      </c>
      <c r="D101" s="29" t="s">
        <v>38</v>
      </c>
      <c r="E101" s="29" t="s">
        <v>94</v>
      </c>
      <c r="F101" s="29">
        <v>0</v>
      </c>
      <c r="G101" s="29">
        <v>0</v>
      </c>
      <c r="H101" s="31">
        <v>0</v>
      </c>
      <c r="I101" s="32">
        <v>46506</v>
      </c>
      <c r="J101" s="32">
        <v>46506</v>
      </c>
      <c r="K101" s="32"/>
      <c r="L101" s="32"/>
      <c r="M101" s="32">
        <v>46451</v>
      </c>
      <c r="N101" s="32">
        <v>46451</v>
      </c>
      <c r="O101" s="33">
        <v>46</v>
      </c>
      <c r="P101" s="29">
        <v>44</v>
      </c>
      <c r="Q101" s="29" t="s">
        <v>85</v>
      </c>
      <c r="R101" s="29" t="s">
        <v>85</v>
      </c>
      <c r="S101" s="29" t="s">
        <v>85</v>
      </c>
    </row>
    <row r="102" spans="1:19" x14ac:dyDescent="0.25">
      <c r="A102" s="24" t="s">
        <v>218</v>
      </c>
      <c r="B102" s="25" t="s">
        <v>21</v>
      </c>
      <c r="C102" s="24" t="s">
        <v>85</v>
      </c>
      <c r="D102" s="24" t="s">
        <v>85</v>
      </c>
      <c r="E102" s="24" t="s">
        <v>86</v>
      </c>
      <c r="F102" s="24">
        <v>386</v>
      </c>
      <c r="G102" s="24"/>
      <c r="H102" s="26">
        <v>0.41910529187124934</v>
      </c>
      <c r="I102" s="27">
        <v>46099</v>
      </c>
      <c r="J102" s="27">
        <v>46557</v>
      </c>
      <c r="K102" s="27">
        <v>46099</v>
      </c>
      <c r="L102" s="27"/>
      <c r="M102" s="27">
        <v>46099</v>
      </c>
      <c r="N102" s="27">
        <v>46514</v>
      </c>
      <c r="O102" s="24">
        <v>37</v>
      </c>
      <c r="P102" s="24">
        <v>0</v>
      </c>
      <c r="Q102" s="24" t="s">
        <v>85</v>
      </c>
      <c r="R102" s="24" t="s">
        <v>219</v>
      </c>
      <c r="S102" s="24" t="s">
        <v>85</v>
      </c>
    </row>
    <row r="103" spans="1:19" x14ac:dyDescent="0.25">
      <c r="A103" s="35" t="s">
        <v>220</v>
      </c>
      <c r="B103" s="36" t="s">
        <v>99</v>
      </c>
      <c r="C103" s="35" t="s">
        <v>85</v>
      </c>
      <c r="D103" s="35" t="s">
        <v>85</v>
      </c>
      <c r="E103" s="35" t="s">
        <v>86</v>
      </c>
      <c r="F103" s="35">
        <v>244</v>
      </c>
      <c r="G103" s="35"/>
      <c r="H103" s="37">
        <v>0.694789356984479</v>
      </c>
      <c r="I103" s="38">
        <v>46099</v>
      </c>
      <c r="J103" s="38">
        <v>46389</v>
      </c>
      <c r="K103" s="38">
        <v>46099</v>
      </c>
      <c r="L103" s="38"/>
      <c r="M103" s="38">
        <v>46099</v>
      </c>
      <c r="N103" s="38">
        <v>46332</v>
      </c>
      <c r="O103" s="35">
        <v>47</v>
      </c>
      <c r="P103" s="35">
        <v>136</v>
      </c>
      <c r="Q103" s="35" t="s">
        <v>85</v>
      </c>
      <c r="R103" s="35" t="s">
        <v>100</v>
      </c>
      <c r="S103" s="35" t="s">
        <v>85</v>
      </c>
    </row>
    <row r="104" spans="1:19" x14ac:dyDescent="0.25">
      <c r="A104" s="39" t="s">
        <v>221</v>
      </c>
      <c r="B104" s="40" t="s">
        <v>36</v>
      </c>
      <c r="C104" s="39" t="s">
        <v>85</v>
      </c>
      <c r="D104" s="39" t="s">
        <v>85</v>
      </c>
      <c r="E104" s="39" t="s">
        <v>4</v>
      </c>
      <c r="F104" s="39">
        <v>59</v>
      </c>
      <c r="G104" s="39"/>
      <c r="H104" s="41">
        <v>1</v>
      </c>
      <c r="I104" s="42">
        <v>46114</v>
      </c>
      <c r="J104" s="42">
        <v>46183</v>
      </c>
      <c r="K104" s="42">
        <v>46114</v>
      </c>
      <c r="L104" s="42">
        <v>46183</v>
      </c>
      <c r="M104" s="42">
        <v>46113</v>
      </c>
      <c r="N104" s="42">
        <v>46175</v>
      </c>
      <c r="O104" s="39">
        <v>7</v>
      </c>
      <c r="P104" s="39"/>
      <c r="Q104" s="39" t="s">
        <v>85</v>
      </c>
      <c r="R104" s="39" t="s">
        <v>102</v>
      </c>
      <c r="S104" s="39" t="s">
        <v>85</v>
      </c>
    </row>
    <row r="105" spans="1:19" s="28" customFormat="1" x14ac:dyDescent="0.25" outlineLevel="1" collapsed="1">
      <c r="A105" s="29" t="s">
        <v>222</v>
      </c>
      <c r="B105" s="43" t="s">
        <v>104</v>
      </c>
      <c r="C105" s="29" t="s">
        <v>29</v>
      </c>
      <c r="D105" s="29" t="s">
        <v>36</v>
      </c>
      <c r="E105" s="29" t="s">
        <v>4</v>
      </c>
      <c r="F105" s="29">
        <v>17</v>
      </c>
      <c r="G105" s="29">
        <v>0</v>
      </c>
      <c r="H105" s="31">
        <v>1</v>
      </c>
      <c r="I105" s="32">
        <v>46114</v>
      </c>
      <c r="J105" s="32">
        <v>46142</v>
      </c>
      <c r="K105" s="32">
        <v>46114</v>
      </c>
      <c r="L105" s="32">
        <v>46142</v>
      </c>
      <c r="M105" s="32">
        <v>46113</v>
      </c>
      <c r="N105" s="32">
        <v>46136</v>
      </c>
      <c r="O105" s="33">
        <v>4</v>
      </c>
      <c r="P105" s="29"/>
      <c r="Q105" s="29" t="s">
        <v>85</v>
      </c>
      <c r="R105" s="29" t="s">
        <v>85</v>
      </c>
      <c r="S105" s="29" t="s">
        <v>85</v>
      </c>
    </row>
    <row r="106" spans="1:19" s="28" customFormat="1" x14ac:dyDescent="0.25" outlineLevel="1" collapsed="1">
      <c r="A106" s="29" t="s">
        <v>223</v>
      </c>
      <c r="B106" s="43" t="s">
        <v>106</v>
      </c>
      <c r="C106" s="29" t="s">
        <v>29</v>
      </c>
      <c r="D106" s="29" t="s">
        <v>36</v>
      </c>
      <c r="E106" s="29" t="s">
        <v>4</v>
      </c>
      <c r="F106" s="29">
        <v>25</v>
      </c>
      <c r="G106" s="29">
        <v>0</v>
      </c>
      <c r="H106" s="31">
        <v>1</v>
      </c>
      <c r="I106" s="32">
        <v>46128</v>
      </c>
      <c r="J106" s="32">
        <v>46169</v>
      </c>
      <c r="K106" s="32">
        <v>46128</v>
      </c>
      <c r="L106" s="32">
        <v>46169</v>
      </c>
      <c r="M106" s="32">
        <v>46121</v>
      </c>
      <c r="N106" s="32">
        <v>46155</v>
      </c>
      <c r="O106" s="33">
        <v>10</v>
      </c>
      <c r="P106" s="29"/>
      <c r="Q106" s="29" t="s">
        <v>85</v>
      </c>
      <c r="R106" s="29" t="s">
        <v>85</v>
      </c>
      <c r="S106" s="29" t="s">
        <v>85</v>
      </c>
    </row>
    <row r="107" spans="1:19" s="28" customFormat="1" x14ac:dyDescent="0.25" outlineLevel="1" collapsed="1">
      <c r="A107" s="29" t="s">
        <v>224</v>
      </c>
      <c r="B107" s="43" t="s">
        <v>108</v>
      </c>
      <c r="C107" s="29" t="s">
        <v>29</v>
      </c>
      <c r="D107" s="29" t="s">
        <v>36</v>
      </c>
      <c r="E107" s="29" t="s">
        <v>4</v>
      </c>
      <c r="F107" s="29">
        <v>27</v>
      </c>
      <c r="G107" s="29">
        <v>0</v>
      </c>
      <c r="H107" s="31">
        <v>1</v>
      </c>
      <c r="I107" s="32">
        <v>46143</v>
      </c>
      <c r="J107" s="32">
        <v>46183</v>
      </c>
      <c r="K107" s="32">
        <v>46143</v>
      </c>
      <c r="L107" s="32">
        <v>46183</v>
      </c>
      <c r="M107" s="32">
        <v>46139</v>
      </c>
      <c r="N107" s="32">
        <v>46175</v>
      </c>
      <c r="O107" s="33">
        <v>6</v>
      </c>
      <c r="P107" s="29"/>
      <c r="Q107" s="29" t="s">
        <v>85</v>
      </c>
      <c r="R107" s="29" t="s">
        <v>85</v>
      </c>
      <c r="S107" s="29" t="s">
        <v>85</v>
      </c>
    </row>
    <row r="108" spans="1:19" s="28" customFormat="1" x14ac:dyDescent="0.25" outlineLevel="1" collapsed="1">
      <c r="A108" s="29" t="s">
        <v>225</v>
      </c>
      <c r="B108" s="43" t="s">
        <v>110</v>
      </c>
      <c r="C108" s="29" t="s">
        <v>29</v>
      </c>
      <c r="D108" s="29" t="s">
        <v>36</v>
      </c>
      <c r="E108" s="29" t="s">
        <v>4</v>
      </c>
      <c r="F108" s="29">
        <v>9</v>
      </c>
      <c r="G108" s="29">
        <v>0</v>
      </c>
      <c r="H108" s="31">
        <v>1</v>
      </c>
      <c r="I108" s="32">
        <v>46171</v>
      </c>
      <c r="J108" s="32">
        <v>46183</v>
      </c>
      <c r="K108" s="32">
        <v>46171</v>
      </c>
      <c r="L108" s="32">
        <v>46183</v>
      </c>
      <c r="M108" s="32">
        <v>46163</v>
      </c>
      <c r="N108" s="32">
        <v>46175</v>
      </c>
      <c r="O108" s="33">
        <v>6</v>
      </c>
      <c r="P108" s="29"/>
      <c r="Q108" s="29" t="s">
        <v>85</v>
      </c>
      <c r="R108" s="29" t="s">
        <v>85</v>
      </c>
      <c r="S108" s="29" t="s">
        <v>85</v>
      </c>
    </row>
    <row r="109" spans="1:19" x14ac:dyDescent="0.25">
      <c r="A109" s="39" t="s">
        <v>226</v>
      </c>
      <c r="B109" s="40" t="s">
        <v>37</v>
      </c>
      <c r="C109" s="39" t="s">
        <v>85</v>
      </c>
      <c r="D109" s="39" t="s">
        <v>85</v>
      </c>
      <c r="E109" s="39" t="s">
        <v>86</v>
      </c>
      <c r="F109" s="39">
        <v>131</v>
      </c>
      <c r="G109" s="39"/>
      <c r="H109" s="41">
        <v>0.8274242424242424</v>
      </c>
      <c r="I109" s="42">
        <v>46170</v>
      </c>
      <c r="J109" s="42">
        <v>46325</v>
      </c>
      <c r="K109" s="42">
        <v>46170</v>
      </c>
      <c r="L109" s="42"/>
      <c r="M109" s="42">
        <v>46156</v>
      </c>
      <c r="N109" s="42">
        <v>46268</v>
      </c>
      <c r="O109" s="39">
        <v>47</v>
      </c>
      <c r="P109" s="39">
        <v>142</v>
      </c>
      <c r="Q109" s="39" t="s">
        <v>85</v>
      </c>
      <c r="R109" s="39" t="s">
        <v>102</v>
      </c>
      <c r="S109" s="39" t="s">
        <v>85</v>
      </c>
    </row>
    <row r="110" spans="1:19" s="28" customFormat="1" x14ac:dyDescent="0.25" outlineLevel="1" collapsed="1">
      <c r="A110" s="29" t="s">
        <v>227</v>
      </c>
      <c r="B110" s="43" t="s">
        <v>113</v>
      </c>
      <c r="C110" s="29" t="s">
        <v>29</v>
      </c>
      <c r="D110" s="29" t="s">
        <v>37</v>
      </c>
      <c r="E110" s="29" t="s">
        <v>4</v>
      </c>
      <c r="F110" s="29">
        <v>10</v>
      </c>
      <c r="G110" s="29">
        <v>0</v>
      </c>
      <c r="H110" s="31">
        <v>1</v>
      </c>
      <c r="I110" s="32">
        <v>46170</v>
      </c>
      <c r="J110" s="32">
        <v>46182</v>
      </c>
      <c r="K110" s="32">
        <v>46170</v>
      </c>
      <c r="L110" s="32">
        <v>46182</v>
      </c>
      <c r="M110" s="32">
        <v>46156</v>
      </c>
      <c r="N110" s="32">
        <v>46167</v>
      </c>
      <c r="O110" s="33">
        <v>13</v>
      </c>
      <c r="P110" s="29"/>
      <c r="Q110" s="29" t="s">
        <v>85</v>
      </c>
      <c r="R110" s="29" t="s">
        <v>85</v>
      </c>
      <c r="S110" s="29" t="s">
        <v>85</v>
      </c>
    </row>
    <row r="111" spans="1:19" s="28" customFormat="1" x14ac:dyDescent="0.25" outlineLevel="1" collapsed="1">
      <c r="A111" s="29" t="s">
        <v>228</v>
      </c>
      <c r="B111" s="43" t="s">
        <v>115</v>
      </c>
      <c r="C111" s="29" t="s">
        <v>29</v>
      </c>
      <c r="D111" s="29" t="s">
        <v>37</v>
      </c>
      <c r="E111" s="29" t="s">
        <v>4</v>
      </c>
      <c r="F111" s="29">
        <v>43</v>
      </c>
      <c r="G111" s="29">
        <v>0</v>
      </c>
      <c r="H111" s="31">
        <v>1</v>
      </c>
      <c r="I111" s="32">
        <v>46184</v>
      </c>
      <c r="J111" s="32">
        <v>46239</v>
      </c>
      <c r="K111" s="32">
        <v>46184</v>
      </c>
      <c r="L111" s="32">
        <v>46239</v>
      </c>
      <c r="M111" s="32">
        <v>46168</v>
      </c>
      <c r="N111" s="32">
        <v>46217</v>
      </c>
      <c r="O111" s="33">
        <v>19</v>
      </c>
      <c r="P111" s="29"/>
      <c r="Q111" s="29" t="s">
        <v>85</v>
      </c>
      <c r="R111" s="29" t="s">
        <v>85</v>
      </c>
      <c r="S111" s="29" t="s">
        <v>85</v>
      </c>
    </row>
    <row r="112" spans="1:19" s="28" customFormat="1" x14ac:dyDescent="0.25" outlineLevel="1" collapsed="1">
      <c r="A112" s="29" t="s">
        <v>229</v>
      </c>
      <c r="B112" s="43" t="s">
        <v>117</v>
      </c>
      <c r="C112" s="29" t="s">
        <v>29</v>
      </c>
      <c r="D112" s="29" t="s">
        <v>37</v>
      </c>
      <c r="E112" s="29" t="s">
        <v>4</v>
      </c>
      <c r="F112" s="29">
        <v>12</v>
      </c>
      <c r="G112" s="29">
        <v>0</v>
      </c>
      <c r="H112" s="31">
        <v>1</v>
      </c>
      <c r="I112" s="32">
        <v>46188</v>
      </c>
      <c r="J112" s="32">
        <v>46200</v>
      </c>
      <c r="K112" s="32">
        <v>46188</v>
      </c>
      <c r="L112" s="32">
        <v>46200</v>
      </c>
      <c r="M112" s="32">
        <v>46176</v>
      </c>
      <c r="N112" s="32">
        <v>46189</v>
      </c>
      <c r="O112" s="33">
        <v>10</v>
      </c>
      <c r="P112" s="29"/>
      <c r="Q112" s="29" t="s">
        <v>85</v>
      </c>
      <c r="R112" s="29" t="s">
        <v>85</v>
      </c>
      <c r="S112" s="29" t="s">
        <v>85</v>
      </c>
    </row>
    <row r="113" spans="1:19" s="28" customFormat="1" x14ac:dyDescent="0.25" outlineLevel="1" collapsed="1">
      <c r="A113" s="44" t="s">
        <v>230</v>
      </c>
      <c r="B113" s="45" t="s">
        <v>119</v>
      </c>
      <c r="C113" s="44" t="s">
        <v>29</v>
      </c>
      <c r="D113" s="44" t="s">
        <v>37</v>
      </c>
      <c r="E113" s="44" t="s">
        <v>86</v>
      </c>
      <c r="F113" s="44">
        <v>67</v>
      </c>
      <c r="G113" s="44">
        <v>24</v>
      </c>
      <c r="H113" s="46">
        <v>0.66</v>
      </c>
      <c r="I113" s="47">
        <v>46205</v>
      </c>
      <c r="J113" s="47">
        <v>46325</v>
      </c>
      <c r="K113" s="47">
        <v>46205</v>
      </c>
      <c r="L113" s="47"/>
      <c r="M113" s="47">
        <v>46190</v>
      </c>
      <c r="N113" s="47">
        <v>46268</v>
      </c>
      <c r="O113" s="48">
        <v>47</v>
      </c>
      <c r="P113" s="44">
        <v>142</v>
      </c>
      <c r="Q113" s="44" t="s">
        <v>85</v>
      </c>
      <c r="R113" s="44" t="s">
        <v>231</v>
      </c>
      <c r="S113" s="44" t="s">
        <v>85</v>
      </c>
    </row>
    <row r="114" spans="1:19" x14ac:dyDescent="0.25">
      <c r="A114" s="39" t="s">
        <v>232</v>
      </c>
      <c r="B114" s="40" t="s">
        <v>38</v>
      </c>
      <c r="C114" s="39" t="s">
        <v>85</v>
      </c>
      <c r="D114" s="39" t="s">
        <v>85</v>
      </c>
      <c r="E114" s="39" t="s">
        <v>86</v>
      </c>
      <c r="F114" s="39">
        <v>244</v>
      </c>
      <c r="G114" s="39"/>
      <c r="H114" s="41">
        <v>0.5233609958506223</v>
      </c>
      <c r="I114" s="42">
        <v>46099</v>
      </c>
      <c r="J114" s="42">
        <v>46389</v>
      </c>
      <c r="K114" s="42">
        <v>46099</v>
      </c>
      <c r="L114" s="42"/>
      <c r="M114" s="42">
        <v>46099</v>
      </c>
      <c r="N114" s="42">
        <v>46332</v>
      </c>
      <c r="O114" s="39">
        <v>47</v>
      </c>
      <c r="P114" s="39">
        <v>136</v>
      </c>
      <c r="Q114" s="39" t="s">
        <v>85</v>
      </c>
      <c r="R114" s="39" t="s">
        <v>121</v>
      </c>
      <c r="S114" s="39" t="s">
        <v>85</v>
      </c>
    </row>
    <row r="115" spans="1:19" s="28" customFormat="1" x14ac:dyDescent="0.25" outlineLevel="1" collapsed="1">
      <c r="A115" s="29" t="s">
        <v>233</v>
      </c>
      <c r="B115" s="43" t="s">
        <v>123</v>
      </c>
      <c r="C115" s="29" t="s">
        <v>29</v>
      </c>
      <c r="D115" s="29" t="s">
        <v>38</v>
      </c>
      <c r="E115" s="29" t="s">
        <v>4</v>
      </c>
      <c r="F115" s="29">
        <v>5</v>
      </c>
      <c r="G115" s="29">
        <v>0</v>
      </c>
      <c r="H115" s="31">
        <v>1</v>
      </c>
      <c r="I115" s="32">
        <v>46099</v>
      </c>
      <c r="J115" s="32">
        <v>46104</v>
      </c>
      <c r="K115" s="32">
        <v>46099</v>
      </c>
      <c r="L115" s="32">
        <v>46104</v>
      </c>
      <c r="M115" s="32">
        <v>46099</v>
      </c>
      <c r="N115" s="32">
        <v>46104</v>
      </c>
      <c r="O115" s="29">
        <v>0</v>
      </c>
      <c r="P115" s="29"/>
      <c r="Q115" s="29" t="s">
        <v>85</v>
      </c>
      <c r="R115" s="29" t="s">
        <v>85</v>
      </c>
      <c r="S115" s="29" t="s">
        <v>85</v>
      </c>
    </row>
    <row r="116" spans="1:19" s="28" customFormat="1" x14ac:dyDescent="0.25" outlineLevel="1" collapsed="1">
      <c r="A116" s="29" t="s">
        <v>234</v>
      </c>
      <c r="B116" s="43" t="s">
        <v>125</v>
      </c>
      <c r="C116" s="29" t="s">
        <v>29</v>
      </c>
      <c r="D116" s="29" t="s">
        <v>38</v>
      </c>
      <c r="E116" s="29" t="s">
        <v>4</v>
      </c>
      <c r="F116" s="29">
        <v>17</v>
      </c>
      <c r="G116" s="29">
        <v>0</v>
      </c>
      <c r="H116" s="31">
        <v>1</v>
      </c>
      <c r="I116" s="32">
        <v>46141</v>
      </c>
      <c r="J116" s="32">
        <v>46162</v>
      </c>
      <c r="K116" s="32">
        <v>46141</v>
      </c>
      <c r="L116" s="32">
        <v>46162</v>
      </c>
      <c r="M116" s="32">
        <v>46133</v>
      </c>
      <c r="N116" s="32">
        <v>46151</v>
      </c>
      <c r="O116" s="33">
        <v>9</v>
      </c>
      <c r="P116" s="29"/>
      <c r="Q116" s="29" t="s">
        <v>85</v>
      </c>
      <c r="R116" s="29" t="s">
        <v>85</v>
      </c>
      <c r="S116" s="29" t="s">
        <v>85</v>
      </c>
    </row>
    <row r="117" spans="1:19" s="28" customFormat="1" x14ac:dyDescent="0.25" outlineLevel="1" collapsed="1">
      <c r="A117" s="29" t="s">
        <v>235</v>
      </c>
      <c r="B117" s="43" t="s">
        <v>127</v>
      </c>
      <c r="C117" s="29" t="s">
        <v>29</v>
      </c>
      <c r="D117" s="29" t="s">
        <v>38</v>
      </c>
      <c r="E117" s="29" t="s">
        <v>4</v>
      </c>
      <c r="F117" s="29">
        <v>22</v>
      </c>
      <c r="G117" s="29">
        <v>0</v>
      </c>
      <c r="H117" s="31">
        <v>1</v>
      </c>
      <c r="I117" s="32">
        <v>46151</v>
      </c>
      <c r="J117" s="32">
        <v>46176</v>
      </c>
      <c r="K117" s="32">
        <v>46151</v>
      </c>
      <c r="L117" s="32">
        <v>46176</v>
      </c>
      <c r="M117" s="32">
        <v>46141</v>
      </c>
      <c r="N117" s="32">
        <v>46165</v>
      </c>
      <c r="O117" s="33">
        <v>9</v>
      </c>
      <c r="P117" s="29"/>
      <c r="Q117" s="29" t="s">
        <v>85</v>
      </c>
      <c r="R117" s="29" t="s">
        <v>85</v>
      </c>
      <c r="S117" s="29" t="s">
        <v>85</v>
      </c>
    </row>
    <row r="118" spans="1:19" s="28" customFormat="1" x14ac:dyDescent="0.25" outlineLevel="1" collapsed="1">
      <c r="A118" s="29" t="s">
        <v>236</v>
      </c>
      <c r="B118" s="43" t="s">
        <v>129</v>
      </c>
      <c r="C118" s="29" t="s">
        <v>29</v>
      </c>
      <c r="D118" s="29" t="s">
        <v>38</v>
      </c>
      <c r="E118" s="29" t="s">
        <v>4</v>
      </c>
      <c r="F118" s="29">
        <v>15</v>
      </c>
      <c r="G118" s="29">
        <v>0</v>
      </c>
      <c r="H118" s="31">
        <v>1</v>
      </c>
      <c r="I118" s="32">
        <v>46177</v>
      </c>
      <c r="J118" s="32">
        <v>46195</v>
      </c>
      <c r="K118" s="32">
        <v>46177</v>
      </c>
      <c r="L118" s="32">
        <v>46195</v>
      </c>
      <c r="M118" s="32">
        <v>46167</v>
      </c>
      <c r="N118" s="32">
        <v>46183</v>
      </c>
      <c r="O118" s="33">
        <v>10</v>
      </c>
      <c r="P118" s="29"/>
      <c r="Q118" s="29" t="s">
        <v>85</v>
      </c>
      <c r="R118" s="29" t="s">
        <v>85</v>
      </c>
      <c r="S118" s="29" t="s">
        <v>85</v>
      </c>
    </row>
    <row r="119" spans="1:19" s="28" customFormat="1" x14ac:dyDescent="0.25" outlineLevel="1" collapsed="1">
      <c r="A119" s="44" t="s">
        <v>237</v>
      </c>
      <c r="B119" s="45" t="s">
        <v>131</v>
      </c>
      <c r="C119" s="44" t="s">
        <v>29</v>
      </c>
      <c r="D119" s="44" t="s">
        <v>38</v>
      </c>
      <c r="E119" s="44" t="s">
        <v>86</v>
      </c>
      <c r="F119" s="44">
        <v>50</v>
      </c>
      <c r="G119" s="44">
        <v>3</v>
      </c>
      <c r="H119" s="46">
        <v>0.94</v>
      </c>
      <c r="I119" s="47">
        <v>46207</v>
      </c>
      <c r="J119" s="47">
        <v>46300</v>
      </c>
      <c r="K119" s="47">
        <v>46207</v>
      </c>
      <c r="L119" s="47"/>
      <c r="M119" s="47">
        <v>46185</v>
      </c>
      <c r="N119" s="47">
        <v>46242</v>
      </c>
      <c r="O119" s="48">
        <v>47</v>
      </c>
      <c r="P119" s="44">
        <v>136</v>
      </c>
      <c r="Q119" s="44" t="s">
        <v>85</v>
      </c>
      <c r="R119" s="44" t="s">
        <v>231</v>
      </c>
      <c r="S119" s="44" t="s">
        <v>85</v>
      </c>
    </row>
    <row r="120" spans="1:19" s="28" customFormat="1" x14ac:dyDescent="0.25" outlineLevel="1" collapsed="1">
      <c r="A120" s="44" t="s">
        <v>238</v>
      </c>
      <c r="B120" s="45" t="s">
        <v>133</v>
      </c>
      <c r="C120" s="44" t="s">
        <v>29</v>
      </c>
      <c r="D120" s="44" t="s">
        <v>38</v>
      </c>
      <c r="E120" s="44" t="s">
        <v>86</v>
      </c>
      <c r="F120" s="44">
        <v>33</v>
      </c>
      <c r="G120" s="44">
        <v>15</v>
      </c>
      <c r="H120" s="46">
        <v>0.61</v>
      </c>
      <c r="I120" s="47">
        <v>46234</v>
      </c>
      <c r="J120" s="47">
        <v>46314</v>
      </c>
      <c r="K120" s="47">
        <v>46234</v>
      </c>
      <c r="L120" s="47"/>
      <c r="M120" s="47">
        <v>46209</v>
      </c>
      <c r="N120" s="47">
        <v>46246</v>
      </c>
      <c r="O120" s="48">
        <v>56</v>
      </c>
      <c r="P120" s="44">
        <v>156</v>
      </c>
      <c r="Q120" s="44" t="s">
        <v>85</v>
      </c>
      <c r="R120" s="44" t="s">
        <v>231</v>
      </c>
      <c r="S120" s="44" t="s">
        <v>85</v>
      </c>
    </row>
    <row r="121" spans="1:19" s="28" customFormat="1" x14ac:dyDescent="0.25" outlineLevel="1" collapsed="1">
      <c r="A121" s="44" t="s">
        <v>239</v>
      </c>
      <c r="B121" s="45" t="s">
        <v>135</v>
      </c>
      <c r="C121" s="44" t="s">
        <v>29</v>
      </c>
      <c r="D121" s="44" t="s">
        <v>38</v>
      </c>
      <c r="E121" s="44" t="s">
        <v>94</v>
      </c>
      <c r="F121" s="44">
        <v>20</v>
      </c>
      <c r="G121" s="44">
        <v>20</v>
      </c>
      <c r="H121" s="46">
        <v>0</v>
      </c>
      <c r="I121" s="47">
        <v>46296</v>
      </c>
      <c r="J121" s="47">
        <v>46321</v>
      </c>
      <c r="K121" s="47"/>
      <c r="L121" s="47"/>
      <c r="M121" s="47">
        <v>46238</v>
      </c>
      <c r="N121" s="47">
        <v>46261</v>
      </c>
      <c r="O121" s="48">
        <v>49</v>
      </c>
      <c r="P121" s="44">
        <v>173</v>
      </c>
      <c r="Q121" s="44" t="s">
        <v>85</v>
      </c>
      <c r="R121" s="44" t="s">
        <v>240</v>
      </c>
      <c r="S121" s="44" t="s">
        <v>85</v>
      </c>
    </row>
    <row r="122" spans="1:19" s="28" customFormat="1" x14ac:dyDescent="0.25" outlineLevel="1" collapsed="1">
      <c r="A122" s="49" t="s">
        <v>241</v>
      </c>
      <c r="B122" s="50" t="s">
        <v>139</v>
      </c>
      <c r="C122" s="49" t="s">
        <v>29</v>
      </c>
      <c r="D122" s="49" t="s">
        <v>38</v>
      </c>
      <c r="E122" s="49" t="s">
        <v>94</v>
      </c>
      <c r="F122" s="49">
        <v>26</v>
      </c>
      <c r="G122" s="49">
        <v>26</v>
      </c>
      <c r="H122" s="51">
        <v>0</v>
      </c>
      <c r="I122" s="52">
        <v>46322</v>
      </c>
      <c r="J122" s="52">
        <v>46352</v>
      </c>
      <c r="K122" s="52"/>
      <c r="L122" s="52"/>
      <c r="M122" s="52">
        <v>46262</v>
      </c>
      <c r="N122" s="52">
        <v>46291</v>
      </c>
      <c r="O122" s="53">
        <v>49</v>
      </c>
      <c r="P122" s="49">
        <v>173</v>
      </c>
      <c r="Q122" s="49" t="s">
        <v>85</v>
      </c>
      <c r="R122" s="49" t="s">
        <v>204</v>
      </c>
      <c r="S122" s="49" t="s">
        <v>85</v>
      </c>
    </row>
    <row r="123" spans="1:19" s="28" customFormat="1" x14ac:dyDescent="0.25" outlineLevel="1" collapsed="1">
      <c r="A123" s="49" t="s">
        <v>242</v>
      </c>
      <c r="B123" s="50" t="s">
        <v>137</v>
      </c>
      <c r="C123" s="49" t="s">
        <v>29</v>
      </c>
      <c r="D123" s="49" t="s">
        <v>38</v>
      </c>
      <c r="E123" s="49" t="s">
        <v>94</v>
      </c>
      <c r="F123" s="49">
        <v>42</v>
      </c>
      <c r="G123" s="49">
        <v>42</v>
      </c>
      <c r="H123" s="51">
        <v>0</v>
      </c>
      <c r="I123" s="52">
        <v>46326</v>
      </c>
      <c r="J123" s="52">
        <v>46375</v>
      </c>
      <c r="K123" s="52"/>
      <c r="L123" s="52"/>
      <c r="M123" s="52">
        <v>46269</v>
      </c>
      <c r="N123" s="52">
        <v>46319</v>
      </c>
      <c r="O123" s="53">
        <v>47</v>
      </c>
      <c r="P123" s="49">
        <v>142</v>
      </c>
      <c r="Q123" s="49" t="s">
        <v>85</v>
      </c>
      <c r="R123" s="49" t="s">
        <v>204</v>
      </c>
      <c r="S123" s="49" t="s">
        <v>85</v>
      </c>
    </row>
    <row r="124" spans="1:19" s="28" customFormat="1" x14ac:dyDescent="0.25" outlineLevel="1" collapsed="1">
      <c r="A124" s="29" t="s">
        <v>243</v>
      </c>
      <c r="B124" s="43" t="s">
        <v>141</v>
      </c>
      <c r="C124" s="29" t="s">
        <v>29</v>
      </c>
      <c r="D124" s="29" t="s">
        <v>38</v>
      </c>
      <c r="E124" s="29" t="s">
        <v>94</v>
      </c>
      <c r="F124" s="29">
        <v>11</v>
      </c>
      <c r="G124" s="29">
        <v>11</v>
      </c>
      <c r="H124" s="31">
        <v>0</v>
      </c>
      <c r="I124" s="32">
        <v>46377</v>
      </c>
      <c r="J124" s="32">
        <v>46389</v>
      </c>
      <c r="K124" s="32"/>
      <c r="L124" s="32"/>
      <c r="M124" s="32">
        <v>46321</v>
      </c>
      <c r="N124" s="32">
        <v>46332</v>
      </c>
      <c r="O124" s="33">
        <v>47</v>
      </c>
      <c r="P124" s="29">
        <v>142</v>
      </c>
      <c r="Q124" s="29" t="s">
        <v>85</v>
      </c>
      <c r="R124" s="29" t="s">
        <v>85</v>
      </c>
      <c r="S124" s="29" t="s">
        <v>85</v>
      </c>
    </row>
    <row r="125" spans="1:19" s="28" customFormat="1" x14ac:dyDescent="0.25" outlineLevel="1" collapsed="1">
      <c r="A125" s="29" t="s">
        <v>244</v>
      </c>
      <c r="B125" s="43" t="s">
        <v>143</v>
      </c>
      <c r="C125" s="29" t="s">
        <v>29</v>
      </c>
      <c r="D125" s="29" t="s">
        <v>38</v>
      </c>
      <c r="E125" s="29" t="s">
        <v>94</v>
      </c>
      <c r="F125" s="29">
        <v>0</v>
      </c>
      <c r="G125" s="29">
        <v>0</v>
      </c>
      <c r="H125" s="31">
        <v>0</v>
      </c>
      <c r="I125" s="32">
        <v>46389</v>
      </c>
      <c r="J125" s="32">
        <v>46389</v>
      </c>
      <c r="K125" s="32"/>
      <c r="L125" s="32"/>
      <c r="M125" s="32">
        <v>46332</v>
      </c>
      <c r="N125" s="32">
        <v>46332</v>
      </c>
      <c r="O125" s="33">
        <v>47</v>
      </c>
      <c r="P125" s="29">
        <v>142</v>
      </c>
      <c r="Q125" s="29" t="s">
        <v>85</v>
      </c>
      <c r="R125" s="29" t="s">
        <v>85</v>
      </c>
      <c r="S125" s="29" t="s">
        <v>85</v>
      </c>
    </row>
    <row r="126" spans="1:19" x14ac:dyDescent="0.25">
      <c r="A126" s="35" t="s">
        <v>245</v>
      </c>
      <c r="B126" s="36" t="s">
        <v>170</v>
      </c>
      <c r="C126" s="35" t="s">
        <v>85</v>
      </c>
      <c r="D126" s="35" t="s">
        <v>85</v>
      </c>
      <c r="E126" s="35" t="s">
        <v>86</v>
      </c>
      <c r="F126" s="35">
        <v>361</v>
      </c>
      <c r="G126" s="35"/>
      <c r="H126" s="37">
        <v>0.3302040816326531</v>
      </c>
      <c r="I126" s="38">
        <v>46129</v>
      </c>
      <c r="J126" s="38">
        <v>46557</v>
      </c>
      <c r="K126" s="38">
        <v>46129</v>
      </c>
      <c r="L126" s="38"/>
      <c r="M126" s="38">
        <v>46123</v>
      </c>
      <c r="N126" s="38">
        <v>46514</v>
      </c>
      <c r="O126" s="35">
        <v>37</v>
      </c>
      <c r="P126" s="35">
        <v>0</v>
      </c>
      <c r="Q126" s="35" t="s">
        <v>85</v>
      </c>
      <c r="R126" s="35" t="s">
        <v>100</v>
      </c>
      <c r="S126" s="35" t="s">
        <v>85</v>
      </c>
    </row>
    <row r="127" spans="1:19" x14ac:dyDescent="0.25">
      <c r="A127" s="39" t="s">
        <v>246</v>
      </c>
      <c r="B127" s="40" t="s">
        <v>36</v>
      </c>
      <c r="C127" s="39" t="s">
        <v>85</v>
      </c>
      <c r="D127" s="39" t="s">
        <v>85</v>
      </c>
      <c r="E127" s="39" t="s">
        <v>4</v>
      </c>
      <c r="F127" s="39">
        <v>99</v>
      </c>
      <c r="G127" s="39"/>
      <c r="H127" s="41">
        <v>1</v>
      </c>
      <c r="I127" s="42">
        <v>46149</v>
      </c>
      <c r="J127" s="42">
        <v>46265</v>
      </c>
      <c r="K127" s="42">
        <v>46149</v>
      </c>
      <c r="L127" s="42">
        <v>46265</v>
      </c>
      <c r="M127" s="42">
        <v>46142</v>
      </c>
      <c r="N127" s="42">
        <v>46252</v>
      </c>
      <c r="O127" s="39">
        <v>11</v>
      </c>
      <c r="P127" s="39"/>
      <c r="Q127" s="39" t="s">
        <v>85</v>
      </c>
      <c r="R127" s="39" t="s">
        <v>102</v>
      </c>
      <c r="S127" s="39" t="s">
        <v>85</v>
      </c>
    </row>
    <row r="128" spans="1:19" s="28" customFormat="1" x14ac:dyDescent="0.25" outlineLevel="1" collapsed="1">
      <c r="A128" s="29" t="s">
        <v>247</v>
      </c>
      <c r="B128" s="43" t="s">
        <v>104</v>
      </c>
      <c r="C128" s="29" t="s">
        <v>30</v>
      </c>
      <c r="D128" s="29" t="s">
        <v>36</v>
      </c>
      <c r="E128" s="29" t="s">
        <v>4</v>
      </c>
      <c r="F128" s="29">
        <v>26</v>
      </c>
      <c r="G128" s="29">
        <v>0</v>
      </c>
      <c r="H128" s="31">
        <v>1</v>
      </c>
      <c r="I128" s="32">
        <v>46149</v>
      </c>
      <c r="J128" s="32">
        <v>46184</v>
      </c>
      <c r="K128" s="32">
        <v>46149</v>
      </c>
      <c r="L128" s="32">
        <v>46184</v>
      </c>
      <c r="M128" s="32">
        <v>46142</v>
      </c>
      <c r="N128" s="32">
        <v>46177</v>
      </c>
      <c r="O128" s="33">
        <v>5</v>
      </c>
      <c r="P128" s="29"/>
      <c r="Q128" s="29" t="s">
        <v>85</v>
      </c>
      <c r="R128" s="29" t="s">
        <v>85</v>
      </c>
      <c r="S128" s="29" t="s">
        <v>85</v>
      </c>
    </row>
    <row r="129" spans="1:19" s="28" customFormat="1" x14ac:dyDescent="0.25" outlineLevel="1" collapsed="1">
      <c r="A129" s="29" t="s">
        <v>248</v>
      </c>
      <c r="B129" s="43" t="s">
        <v>106</v>
      </c>
      <c r="C129" s="29" t="s">
        <v>30</v>
      </c>
      <c r="D129" s="29" t="s">
        <v>36</v>
      </c>
      <c r="E129" s="29" t="s">
        <v>4</v>
      </c>
      <c r="F129" s="29">
        <v>39</v>
      </c>
      <c r="G129" s="29">
        <v>0</v>
      </c>
      <c r="H129" s="31">
        <v>1</v>
      </c>
      <c r="I129" s="32">
        <v>46162</v>
      </c>
      <c r="J129" s="32">
        <v>46212</v>
      </c>
      <c r="K129" s="32">
        <v>46162</v>
      </c>
      <c r="L129" s="32">
        <v>46212</v>
      </c>
      <c r="M129" s="32">
        <v>46149</v>
      </c>
      <c r="N129" s="32">
        <v>46203</v>
      </c>
      <c r="O129" s="33">
        <v>7</v>
      </c>
      <c r="P129" s="29"/>
      <c r="Q129" s="29" t="s">
        <v>85</v>
      </c>
      <c r="R129" s="29" t="s">
        <v>85</v>
      </c>
      <c r="S129" s="29" t="s">
        <v>85</v>
      </c>
    </row>
    <row r="130" spans="1:19" s="28" customFormat="1" x14ac:dyDescent="0.25" outlineLevel="1" collapsed="1">
      <c r="A130" s="29" t="s">
        <v>249</v>
      </c>
      <c r="B130" s="43" t="s">
        <v>108</v>
      </c>
      <c r="C130" s="29" t="s">
        <v>30</v>
      </c>
      <c r="D130" s="29" t="s">
        <v>36</v>
      </c>
      <c r="E130" s="29" t="s">
        <v>4</v>
      </c>
      <c r="F130" s="29">
        <v>53</v>
      </c>
      <c r="G130" s="29">
        <v>0</v>
      </c>
      <c r="H130" s="31">
        <v>1</v>
      </c>
      <c r="I130" s="32">
        <v>46192</v>
      </c>
      <c r="J130" s="32">
        <v>46265</v>
      </c>
      <c r="K130" s="32">
        <v>46192</v>
      </c>
      <c r="L130" s="32">
        <v>46265</v>
      </c>
      <c r="M130" s="32">
        <v>46178</v>
      </c>
      <c r="N130" s="32">
        <v>46252</v>
      </c>
      <c r="O130" s="33">
        <v>9</v>
      </c>
      <c r="P130" s="29"/>
      <c r="Q130" s="29" t="s">
        <v>85</v>
      </c>
      <c r="R130" s="29" t="s">
        <v>85</v>
      </c>
      <c r="S130" s="29" t="s">
        <v>85</v>
      </c>
    </row>
    <row r="131" spans="1:19" s="28" customFormat="1" x14ac:dyDescent="0.25" outlineLevel="1" collapsed="1">
      <c r="A131" s="29" t="s">
        <v>250</v>
      </c>
      <c r="B131" s="43" t="s">
        <v>110</v>
      </c>
      <c r="C131" s="29" t="s">
        <v>30</v>
      </c>
      <c r="D131" s="29" t="s">
        <v>36</v>
      </c>
      <c r="E131" s="29" t="s">
        <v>4</v>
      </c>
      <c r="F131" s="29">
        <v>17</v>
      </c>
      <c r="G131" s="29">
        <v>0</v>
      </c>
      <c r="H131" s="31">
        <v>1</v>
      </c>
      <c r="I131" s="32">
        <v>46234</v>
      </c>
      <c r="J131" s="32">
        <v>46265</v>
      </c>
      <c r="K131" s="32">
        <v>46234</v>
      </c>
      <c r="L131" s="32">
        <v>46265</v>
      </c>
      <c r="M131" s="32">
        <v>46230</v>
      </c>
      <c r="N131" s="32">
        <v>46252</v>
      </c>
      <c r="O131" s="33">
        <v>9</v>
      </c>
      <c r="P131" s="29"/>
      <c r="Q131" s="29" t="s">
        <v>85</v>
      </c>
      <c r="R131" s="29" t="s">
        <v>85</v>
      </c>
      <c r="S131" s="29" t="s">
        <v>85</v>
      </c>
    </row>
    <row r="132" spans="1:19" x14ac:dyDescent="0.25">
      <c r="A132" s="39" t="s">
        <v>251</v>
      </c>
      <c r="B132" s="40" t="s">
        <v>37</v>
      </c>
      <c r="C132" s="39" t="s">
        <v>85</v>
      </c>
      <c r="D132" s="39" t="s">
        <v>85</v>
      </c>
      <c r="E132" s="39" t="s">
        <v>86</v>
      </c>
      <c r="F132" s="39">
        <v>187</v>
      </c>
      <c r="G132" s="39"/>
      <c r="H132" s="41">
        <v>0.16480769230769232</v>
      </c>
      <c r="I132" s="42">
        <v>46216</v>
      </c>
      <c r="J132" s="42">
        <v>46440</v>
      </c>
      <c r="K132" s="42">
        <v>46216</v>
      </c>
      <c r="L132" s="42"/>
      <c r="M132" s="42">
        <v>46204</v>
      </c>
      <c r="N132" s="42">
        <v>46395</v>
      </c>
      <c r="O132" s="39">
        <v>37</v>
      </c>
      <c r="P132" s="39">
        <v>0</v>
      </c>
      <c r="Q132" s="39" t="s">
        <v>85</v>
      </c>
      <c r="R132" s="39" t="s">
        <v>102</v>
      </c>
      <c r="S132" s="39" t="s">
        <v>85</v>
      </c>
    </row>
    <row r="133" spans="1:19" s="28" customFormat="1" x14ac:dyDescent="0.25" outlineLevel="1" collapsed="1">
      <c r="A133" s="29" t="s">
        <v>252</v>
      </c>
      <c r="B133" s="43" t="s">
        <v>113</v>
      </c>
      <c r="C133" s="29" t="s">
        <v>30</v>
      </c>
      <c r="D133" s="29" t="s">
        <v>37</v>
      </c>
      <c r="E133" s="29" t="s">
        <v>4</v>
      </c>
      <c r="F133" s="29">
        <v>17</v>
      </c>
      <c r="G133" s="29">
        <v>0</v>
      </c>
      <c r="H133" s="31">
        <v>1</v>
      </c>
      <c r="I133" s="32">
        <v>46216</v>
      </c>
      <c r="J133" s="32">
        <v>46238</v>
      </c>
      <c r="K133" s="32">
        <v>46216</v>
      </c>
      <c r="L133" s="32">
        <v>46238</v>
      </c>
      <c r="M133" s="32">
        <v>46204</v>
      </c>
      <c r="N133" s="32">
        <v>46223</v>
      </c>
      <c r="O133" s="33">
        <v>13</v>
      </c>
      <c r="P133" s="29"/>
      <c r="Q133" s="29" t="s">
        <v>85</v>
      </c>
      <c r="R133" s="29" t="s">
        <v>85</v>
      </c>
      <c r="S133" s="29" t="s">
        <v>85</v>
      </c>
    </row>
    <row r="134" spans="1:19" s="28" customFormat="1" x14ac:dyDescent="0.25" outlineLevel="1" collapsed="1">
      <c r="A134" s="29" t="s">
        <v>253</v>
      </c>
      <c r="B134" s="43" t="s">
        <v>115</v>
      </c>
      <c r="C134" s="29" t="s">
        <v>30</v>
      </c>
      <c r="D134" s="29" t="s">
        <v>37</v>
      </c>
      <c r="E134" s="29" t="s">
        <v>86</v>
      </c>
      <c r="F134" s="29">
        <v>72</v>
      </c>
      <c r="G134" s="29">
        <v>65</v>
      </c>
      <c r="H134" s="31">
        <v>0.24</v>
      </c>
      <c r="I134" s="32">
        <v>46242</v>
      </c>
      <c r="J134" s="32">
        <v>46374</v>
      </c>
      <c r="K134" s="32">
        <v>46242</v>
      </c>
      <c r="L134" s="32"/>
      <c r="M134" s="32">
        <v>46224</v>
      </c>
      <c r="N134" s="32">
        <v>46309</v>
      </c>
      <c r="O134" s="33">
        <v>54</v>
      </c>
      <c r="P134" s="29">
        <v>41</v>
      </c>
      <c r="Q134" s="29" t="s">
        <v>85</v>
      </c>
      <c r="R134" s="29" t="s">
        <v>254</v>
      </c>
      <c r="S134" s="29" t="s">
        <v>85</v>
      </c>
    </row>
    <row r="135" spans="1:19" s="28" customFormat="1" x14ac:dyDescent="0.25" outlineLevel="1" collapsed="1">
      <c r="A135" s="44" t="s">
        <v>255</v>
      </c>
      <c r="B135" s="45" t="s">
        <v>117</v>
      </c>
      <c r="C135" s="44" t="s">
        <v>30</v>
      </c>
      <c r="D135" s="44" t="s">
        <v>37</v>
      </c>
      <c r="E135" s="44" t="s">
        <v>94</v>
      </c>
      <c r="F135" s="44">
        <v>19</v>
      </c>
      <c r="G135" s="44">
        <v>19</v>
      </c>
      <c r="H135" s="46">
        <v>0</v>
      </c>
      <c r="I135" s="47">
        <v>46296</v>
      </c>
      <c r="J135" s="47">
        <v>46319</v>
      </c>
      <c r="K135" s="47"/>
      <c r="L135" s="47"/>
      <c r="M135" s="47">
        <v>46253</v>
      </c>
      <c r="N135" s="47">
        <v>46274</v>
      </c>
      <c r="O135" s="48">
        <v>37</v>
      </c>
      <c r="P135" s="44">
        <v>0</v>
      </c>
      <c r="Q135" s="59" t="s">
        <v>95</v>
      </c>
      <c r="R135" s="44" t="s">
        <v>256</v>
      </c>
      <c r="S135" s="44" t="s">
        <v>85</v>
      </c>
    </row>
    <row r="136" spans="1:19" s="28" customFormat="1" x14ac:dyDescent="0.25" outlineLevel="1" collapsed="1">
      <c r="A136" s="49" t="s">
        <v>257</v>
      </c>
      <c r="B136" s="50" t="s">
        <v>119</v>
      </c>
      <c r="C136" s="49" t="s">
        <v>30</v>
      </c>
      <c r="D136" s="49" t="s">
        <v>37</v>
      </c>
      <c r="E136" s="49" t="s">
        <v>94</v>
      </c>
      <c r="F136" s="49">
        <v>100</v>
      </c>
      <c r="G136" s="49">
        <v>100</v>
      </c>
      <c r="H136" s="51">
        <v>0</v>
      </c>
      <c r="I136" s="52">
        <v>46321</v>
      </c>
      <c r="J136" s="52">
        <v>46440</v>
      </c>
      <c r="K136" s="52"/>
      <c r="L136" s="52"/>
      <c r="M136" s="52">
        <v>46275</v>
      </c>
      <c r="N136" s="52">
        <v>46395</v>
      </c>
      <c r="O136" s="53">
        <v>37</v>
      </c>
      <c r="P136" s="49">
        <v>0</v>
      </c>
      <c r="Q136" s="60" t="s">
        <v>95</v>
      </c>
      <c r="R136" s="49" t="s">
        <v>258</v>
      </c>
      <c r="S136" s="49" t="s">
        <v>85</v>
      </c>
    </row>
    <row r="137" spans="1:19" x14ac:dyDescent="0.25">
      <c r="A137" s="39" t="s">
        <v>259</v>
      </c>
      <c r="B137" s="40" t="s">
        <v>38</v>
      </c>
      <c r="C137" s="39" t="s">
        <v>85</v>
      </c>
      <c r="D137" s="39" t="s">
        <v>85</v>
      </c>
      <c r="E137" s="39" t="s">
        <v>86</v>
      </c>
      <c r="F137" s="39">
        <v>361</v>
      </c>
      <c r="G137" s="39"/>
      <c r="H137" s="41">
        <v>0.20317460317460317</v>
      </c>
      <c r="I137" s="42">
        <v>46129</v>
      </c>
      <c r="J137" s="42">
        <v>46557</v>
      </c>
      <c r="K137" s="42">
        <v>46129</v>
      </c>
      <c r="L137" s="42"/>
      <c r="M137" s="42">
        <v>46123</v>
      </c>
      <c r="N137" s="42">
        <v>46514</v>
      </c>
      <c r="O137" s="39">
        <v>37</v>
      </c>
      <c r="P137" s="39">
        <v>0</v>
      </c>
      <c r="Q137" s="39" t="s">
        <v>85</v>
      </c>
      <c r="R137" s="39" t="s">
        <v>121</v>
      </c>
      <c r="S137" s="39" t="s">
        <v>85</v>
      </c>
    </row>
    <row r="138" spans="1:19" s="28" customFormat="1" x14ac:dyDescent="0.25" outlineLevel="1" collapsed="1">
      <c r="A138" s="29" t="s">
        <v>260</v>
      </c>
      <c r="B138" s="43" t="s">
        <v>123</v>
      </c>
      <c r="C138" s="29" t="s">
        <v>30</v>
      </c>
      <c r="D138" s="29" t="s">
        <v>38</v>
      </c>
      <c r="E138" s="29" t="s">
        <v>4</v>
      </c>
      <c r="F138" s="29">
        <v>10</v>
      </c>
      <c r="G138" s="29">
        <v>0</v>
      </c>
      <c r="H138" s="31">
        <v>1</v>
      </c>
      <c r="I138" s="32">
        <v>46129</v>
      </c>
      <c r="J138" s="32">
        <v>46142</v>
      </c>
      <c r="K138" s="32">
        <v>46129</v>
      </c>
      <c r="L138" s="32">
        <v>46142</v>
      </c>
      <c r="M138" s="32">
        <v>46123</v>
      </c>
      <c r="N138" s="32">
        <v>46134</v>
      </c>
      <c r="O138" s="33">
        <v>7</v>
      </c>
      <c r="P138" s="29"/>
      <c r="Q138" s="29" t="s">
        <v>85</v>
      </c>
      <c r="R138" s="29" t="s">
        <v>85</v>
      </c>
      <c r="S138" s="29" t="s">
        <v>85</v>
      </c>
    </row>
    <row r="139" spans="1:19" s="28" customFormat="1" x14ac:dyDescent="0.25" outlineLevel="1" collapsed="1">
      <c r="A139" s="29" t="s">
        <v>261</v>
      </c>
      <c r="B139" s="43" t="s">
        <v>125</v>
      </c>
      <c r="C139" s="29" t="s">
        <v>30</v>
      </c>
      <c r="D139" s="29" t="s">
        <v>38</v>
      </c>
      <c r="E139" s="29" t="s">
        <v>4</v>
      </c>
      <c r="F139" s="29">
        <v>27</v>
      </c>
      <c r="G139" s="29">
        <v>0</v>
      </c>
      <c r="H139" s="31">
        <v>1</v>
      </c>
      <c r="I139" s="32">
        <v>46178</v>
      </c>
      <c r="J139" s="32">
        <v>46210</v>
      </c>
      <c r="K139" s="32">
        <v>46178</v>
      </c>
      <c r="L139" s="32">
        <v>46210</v>
      </c>
      <c r="M139" s="32">
        <v>46161</v>
      </c>
      <c r="N139" s="32">
        <v>46191</v>
      </c>
      <c r="O139" s="33">
        <v>16</v>
      </c>
      <c r="P139" s="29"/>
      <c r="Q139" s="29" t="s">
        <v>85</v>
      </c>
      <c r="R139" s="29" t="s">
        <v>85</v>
      </c>
      <c r="S139" s="29" t="s">
        <v>85</v>
      </c>
    </row>
    <row r="140" spans="1:19" s="28" customFormat="1" x14ac:dyDescent="0.25" outlineLevel="1" collapsed="1">
      <c r="A140" s="29" t="s">
        <v>262</v>
      </c>
      <c r="B140" s="43" t="s">
        <v>127</v>
      </c>
      <c r="C140" s="29" t="s">
        <v>30</v>
      </c>
      <c r="D140" s="29" t="s">
        <v>38</v>
      </c>
      <c r="E140" s="29" t="s">
        <v>4</v>
      </c>
      <c r="F140" s="29">
        <v>50</v>
      </c>
      <c r="G140" s="29">
        <v>0</v>
      </c>
      <c r="H140" s="31">
        <v>1</v>
      </c>
      <c r="I140" s="32">
        <v>46190</v>
      </c>
      <c r="J140" s="32">
        <v>46258</v>
      </c>
      <c r="K140" s="32">
        <v>46190</v>
      </c>
      <c r="L140" s="32">
        <v>46258</v>
      </c>
      <c r="M140" s="32">
        <v>46169</v>
      </c>
      <c r="N140" s="32">
        <v>46226</v>
      </c>
      <c r="O140" s="33">
        <v>26</v>
      </c>
      <c r="P140" s="29"/>
      <c r="Q140" s="29" t="s">
        <v>85</v>
      </c>
      <c r="R140" s="29" t="s">
        <v>85</v>
      </c>
      <c r="S140" s="29" t="s">
        <v>85</v>
      </c>
    </row>
    <row r="141" spans="1:19" s="28" customFormat="1" x14ac:dyDescent="0.25" outlineLevel="1" collapsed="1">
      <c r="A141" s="29" t="s">
        <v>263</v>
      </c>
      <c r="B141" s="43" t="s">
        <v>129</v>
      </c>
      <c r="C141" s="29" t="s">
        <v>30</v>
      </c>
      <c r="D141" s="29" t="s">
        <v>38</v>
      </c>
      <c r="E141" s="29" t="s">
        <v>86</v>
      </c>
      <c r="F141" s="29">
        <v>26</v>
      </c>
      <c r="G141" s="29">
        <v>27</v>
      </c>
      <c r="H141" s="31">
        <v>0.1</v>
      </c>
      <c r="I141" s="32">
        <v>46262</v>
      </c>
      <c r="J141" s="32">
        <v>46329</v>
      </c>
      <c r="K141" s="32">
        <v>46262</v>
      </c>
      <c r="L141" s="32"/>
      <c r="M141" s="32">
        <v>46227</v>
      </c>
      <c r="N141" s="32">
        <v>46258</v>
      </c>
      <c r="O141" s="33">
        <v>59</v>
      </c>
      <c r="P141" s="29">
        <v>29</v>
      </c>
      <c r="Q141" s="29" t="s">
        <v>85</v>
      </c>
      <c r="R141" s="29" t="s">
        <v>254</v>
      </c>
      <c r="S141" s="29" t="s">
        <v>85</v>
      </c>
    </row>
    <row r="142" spans="1:19" s="28" customFormat="1" x14ac:dyDescent="0.25" outlineLevel="1" collapsed="1">
      <c r="A142" s="29" t="s">
        <v>264</v>
      </c>
      <c r="B142" s="43" t="s">
        <v>131</v>
      </c>
      <c r="C142" s="29" t="s">
        <v>30</v>
      </c>
      <c r="D142" s="29" t="s">
        <v>38</v>
      </c>
      <c r="E142" s="29" t="s">
        <v>94</v>
      </c>
      <c r="F142" s="29">
        <v>77</v>
      </c>
      <c r="G142" s="29">
        <v>77</v>
      </c>
      <c r="H142" s="31">
        <v>0</v>
      </c>
      <c r="I142" s="32">
        <v>46330</v>
      </c>
      <c r="J142" s="32">
        <v>46422</v>
      </c>
      <c r="K142" s="32"/>
      <c r="L142" s="32"/>
      <c r="M142" s="32">
        <v>46259</v>
      </c>
      <c r="N142" s="32">
        <v>46351</v>
      </c>
      <c r="O142" s="33">
        <v>59</v>
      </c>
      <c r="P142" s="29">
        <v>29</v>
      </c>
      <c r="Q142" s="29" t="s">
        <v>85</v>
      </c>
      <c r="R142" s="29" t="s">
        <v>85</v>
      </c>
      <c r="S142" s="29" t="s">
        <v>85</v>
      </c>
    </row>
    <row r="143" spans="1:19" s="28" customFormat="1" x14ac:dyDescent="0.25" outlineLevel="1" collapsed="1">
      <c r="A143" s="29" t="s">
        <v>265</v>
      </c>
      <c r="B143" s="43" t="s">
        <v>133</v>
      </c>
      <c r="C143" s="29" t="s">
        <v>30</v>
      </c>
      <c r="D143" s="29" t="s">
        <v>38</v>
      </c>
      <c r="E143" s="29" t="s">
        <v>94</v>
      </c>
      <c r="F143" s="29">
        <v>60</v>
      </c>
      <c r="G143" s="29">
        <v>60</v>
      </c>
      <c r="H143" s="31">
        <v>0</v>
      </c>
      <c r="I143" s="32">
        <v>46354</v>
      </c>
      <c r="J143" s="32">
        <v>46426</v>
      </c>
      <c r="K143" s="32"/>
      <c r="L143" s="32"/>
      <c r="M143" s="32">
        <v>46282</v>
      </c>
      <c r="N143" s="32">
        <v>46354</v>
      </c>
      <c r="O143" s="33">
        <v>59</v>
      </c>
      <c r="P143" s="29">
        <v>58</v>
      </c>
      <c r="Q143" s="29" t="s">
        <v>85</v>
      </c>
      <c r="R143" s="29" t="s">
        <v>85</v>
      </c>
      <c r="S143" s="29" t="s">
        <v>85</v>
      </c>
    </row>
    <row r="144" spans="1:19" s="28" customFormat="1" x14ac:dyDescent="0.25" outlineLevel="1" collapsed="1">
      <c r="A144" s="29" t="s">
        <v>266</v>
      </c>
      <c r="B144" s="43" t="s">
        <v>135</v>
      </c>
      <c r="C144" s="29" t="s">
        <v>30</v>
      </c>
      <c r="D144" s="29" t="s">
        <v>38</v>
      </c>
      <c r="E144" s="29" t="s">
        <v>94</v>
      </c>
      <c r="F144" s="29">
        <v>37</v>
      </c>
      <c r="G144" s="29">
        <v>37</v>
      </c>
      <c r="H144" s="31">
        <v>0</v>
      </c>
      <c r="I144" s="32">
        <v>46417</v>
      </c>
      <c r="J144" s="32">
        <v>46459</v>
      </c>
      <c r="K144" s="32"/>
      <c r="L144" s="32"/>
      <c r="M144" s="32">
        <v>46346</v>
      </c>
      <c r="N144" s="32">
        <v>46389</v>
      </c>
      <c r="O144" s="33">
        <v>59</v>
      </c>
      <c r="P144" s="29">
        <v>29</v>
      </c>
      <c r="Q144" s="29" t="s">
        <v>85</v>
      </c>
      <c r="R144" s="29" t="s">
        <v>85</v>
      </c>
      <c r="S144" s="29" t="s">
        <v>85</v>
      </c>
    </row>
    <row r="145" spans="1:19" s="28" customFormat="1" x14ac:dyDescent="0.25" outlineLevel="1" collapsed="1">
      <c r="A145" s="29" t="s">
        <v>267</v>
      </c>
      <c r="B145" s="43" t="s">
        <v>137</v>
      </c>
      <c r="C145" s="29" t="s">
        <v>30</v>
      </c>
      <c r="D145" s="29" t="s">
        <v>38</v>
      </c>
      <c r="E145" s="29" t="s">
        <v>94</v>
      </c>
      <c r="F145" s="29">
        <v>77</v>
      </c>
      <c r="G145" s="29">
        <v>77</v>
      </c>
      <c r="H145" s="31">
        <v>0</v>
      </c>
      <c r="I145" s="32">
        <v>46441</v>
      </c>
      <c r="J145" s="32">
        <v>46531</v>
      </c>
      <c r="K145" s="32"/>
      <c r="L145" s="32"/>
      <c r="M145" s="32">
        <v>46396</v>
      </c>
      <c r="N145" s="32">
        <v>46487</v>
      </c>
      <c r="O145" s="33">
        <v>37</v>
      </c>
      <c r="P145" s="29">
        <v>0</v>
      </c>
      <c r="Q145" s="34" t="s">
        <v>95</v>
      </c>
      <c r="R145" s="29" t="s">
        <v>11</v>
      </c>
      <c r="S145" s="29" t="s">
        <v>85</v>
      </c>
    </row>
    <row r="146" spans="1:19" s="28" customFormat="1" x14ac:dyDescent="0.25" outlineLevel="1" collapsed="1">
      <c r="A146" s="29" t="s">
        <v>268</v>
      </c>
      <c r="B146" s="43" t="s">
        <v>139</v>
      </c>
      <c r="C146" s="29" t="s">
        <v>30</v>
      </c>
      <c r="D146" s="29" t="s">
        <v>38</v>
      </c>
      <c r="E146" s="29" t="s">
        <v>94</v>
      </c>
      <c r="F146" s="29">
        <v>54</v>
      </c>
      <c r="G146" s="29">
        <v>54</v>
      </c>
      <c r="H146" s="31">
        <v>0</v>
      </c>
      <c r="I146" s="32">
        <v>46461</v>
      </c>
      <c r="J146" s="32">
        <v>46524</v>
      </c>
      <c r="K146" s="32"/>
      <c r="L146" s="32"/>
      <c r="M146" s="32">
        <v>46391</v>
      </c>
      <c r="N146" s="32">
        <v>46454</v>
      </c>
      <c r="O146" s="33">
        <v>59</v>
      </c>
      <c r="P146" s="29">
        <v>29</v>
      </c>
      <c r="Q146" s="29" t="s">
        <v>85</v>
      </c>
      <c r="R146" s="29" t="s">
        <v>85</v>
      </c>
      <c r="S146" s="29" t="s">
        <v>85</v>
      </c>
    </row>
    <row r="147" spans="1:19" s="28" customFormat="1" x14ac:dyDescent="0.25" outlineLevel="1" collapsed="1">
      <c r="A147" s="29" t="s">
        <v>269</v>
      </c>
      <c r="B147" s="43" t="s">
        <v>141</v>
      </c>
      <c r="C147" s="29" t="s">
        <v>30</v>
      </c>
      <c r="D147" s="29" t="s">
        <v>38</v>
      </c>
      <c r="E147" s="29" t="s">
        <v>94</v>
      </c>
      <c r="F147" s="29">
        <v>23</v>
      </c>
      <c r="G147" s="29">
        <v>23</v>
      </c>
      <c r="H147" s="31">
        <v>0</v>
      </c>
      <c r="I147" s="32">
        <v>46532</v>
      </c>
      <c r="J147" s="32">
        <v>46557</v>
      </c>
      <c r="K147" s="32"/>
      <c r="L147" s="32"/>
      <c r="M147" s="32">
        <v>46489</v>
      </c>
      <c r="N147" s="32">
        <v>46514</v>
      </c>
      <c r="O147" s="33">
        <v>37</v>
      </c>
      <c r="P147" s="29">
        <v>0</v>
      </c>
      <c r="Q147" s="34" t="s">
        <v>95</v>
      </c>
      <c r="R147" s="29" t="s">
        <v>11</v>
      </c>
      <c r="S147" s="29" t="s">
        <v>85</v>
      </c>
    </row>
    <row r="148" spans="1:19" s="28" customFormat="1" x14ac:dyDescent="0.25" outlineLevel="1" collapsed="1">
      <c r="A148" s="29" t="s">
        <v>270</v>
      </c>
      <c r="B148" s="43" t="s">
        <v>143</v>
      </c>
      <c r="C148" s="29" t="s">
        <v>30</v>
      </c>
      <c r="D148" s="29" t="s">
        <v>38</v>
      </c>
      <c r="E148" s="29" t="s">
        <v>94</v>
      </c>
      <c r="F148" s="29">
        <v>0</v>
      </c>
      <c r="G148" s="29">
        <v>0</v>
      </c>
      <c r="H148" s="31">
        <v>0</v>
      </c>
      <c r="I148" s="32">
        <v>46557</v>
      </c>
      <c r="J148" s="32">
        <v>46557</v>
      </c>
      <c r="K148" s="32"/>
      <c r="L148" s="32"/>
      <c r="M148" s="32">
        <v>46514</v>
      </c>
      <c r="N148" s="32">
        <v>46514</v>
      </c>
      <c r="O148" s="33">
        <v>37</v>
      </c>
      <c r="P148" s="29">
        <v>0</v>
      </c>
      <c r="Q148" s="34" t="s">
        <v>95</v>
      </c>
      <c r="R148" s="29" t="s">
        <v>11</v>
      </c>
      <c r="S148" s="29" t="s">
        <v>85</v>
      </c>
    </row>
    <row r="149" spans="1:19" x14ac:dyDescent="0.25">
      <c r="A149" s="35" t="s">
        <v>271</v>
      </c>
      <c r="B149" s="36" t="s">
        <v>31</v>
      </c>
      <c r="C149" s="35" t="s">
        <v>85</v>
      </c>
      <c r="D149" s="35" t="s">
        <v>85</v>
      </c>
      <c r="E149" s="35" t="s">
        <v>86</v>
      </c>
      <c r="F149" s="35">
        <v>291</v>
      </c>
      <c r="G149" s="35"/>
      <c r="H149" s="37">
        <v>0.3277424749163879</v>
      </c>
      <c r="I149" s="38">
        <v>46153</v>
      </c>
      <c r="J149" s="38">
        <v>46499</v>
      </c>
      <c r="K149" s="38">
        <v>46153</v>
      </c>
      <c r="L149" s="38"/>
      <c r="M149" s="38">
        <v>46147</v>
      </c>
      <c r="N149" s="38">
        <v>46454</v>
      </c>
      <c r="O149" s="35">
        <v>38</v>
      </c>
      <c r="P149" s="35">
        <v>42</v>
      </c>
      <c r="Q149" s="35" t="s">
        <v>85</v>
      </c>
      <c r="R149" s="35" t="s">
        <v>100</v>
      </c>
      <c r="S149" s="35" t="s">
        <v>85</v>
      </c>
    </row>
    <row r="150" spans="1:19" x14ac:dyDescent="0.25">
      <c r="A150" s="39" t="s">
        <v>272</v>
      </c>
      <c r="B150" s="40" t="s">
        <v>36</v>
      </c>
      <c r="C150" s="39" t="s">
        <v>85</v>
      </c>
      <c r="D150" s="39" t="s">
        <v>85</v>
      </c>
      <c r="E150" s="39" t="s">
        <v>86</v>
      </c>
      <c r="F150" s="39">
        <v>107</v>
      </c>
      <c r="G150" s="39"/>
      <c r="H150" s="41">
        <v>0.9752252252252253</v>
      </c>
      <c r="I150" s="42">
        <v>46174</v>
      </c>
      <c r="J150" s="42">
        <v>46300</v>
      </c>
      <c r="K150" s="42">
        <v>46174</v>
      </c>
      <c r="L150" s="42"/>
      <c r="M150" s="42">
        <v>46170</v>
      </c>
      <c r="N150" s="42">
        <v>46254</v>
      </c>
      <c r="O150" s="39">
        <v>38</v>
      </c>
      <c r="P150" s="39">
        <v>42</v>
      </c>
      <c r="Q150" s="39" t="s">
        <v>85</v>
      </c>
      <c r="R150" s="39" t="s">
        <v>102</v>
      </c>
      <c r="S150" s="39" t="s">
        <v>85</v>
      </c>
    </row>
    <row r="151" spans="1:19" s="28" customFormat="1" x14ac:dyDescent="0.25" outlineLevel="1" collapsed="1">
      <c r="A151" s="29" t="s">
        <v>273</v>
      </c>
      <c r="B151" s="43" t="s">
        <v>104</v>
      </c>
      <c r="C151" s="29" t="s">
        <v>31</v>
      </c>
      <c r="D151" s="29" t="s">
        <v>36</v>
      </c>
      <c r="E151" s="29" t="s">
        <v>4</v>
      </c>
      <c r="F151" s="29">
        <v>21</v>
      </c>
      <c r="G151" s="29">
        <v>0</v>
      </c>
      <c r="H151" s="31">
        <v>1</v>
      </c>
      <c r="I151" s="32">
        <v>46174</v>
      </c>
      <c r="J151" s="32">
        <v>46199</v>
      </c>
      <c r="K151" s="32">
        <v>46174</v>
      </c>
      <c r="L151" s="32">
        <v>46199</v>
      </c>
      <c r="M151" s="32">
        <v>46170</v>
      </c>
      <c r="N151" s="32">
        <v>46198</v>
      </c>
      <c r="O151" s="33">
        <v>1</v>
      </c>
      <c r="P151" s="29"/>
      <c r="Q151" s="29" t="s">
        <v>85</v>
      </c>
      <c r="R151" s="29" t="s">
        <v>85</v>
      </c>
      <c r="S151" s="29" t="s">
        <v>85</v>
      </c>
    </row>
    <row r="152" spans="1:19" s="28" customFormat="1" x14ac:dyDescent="0.25" outlineLevel="1" collapsed="1">
      <c r="A152" s="29" t="s">
        <v>274</v>
      </c>
      <c r="B152" s="43" t="s">
        <v>106</v>
      </c>
      <c r="C152" s="29" t="s">
        <v>31</v>
      </c>
      <c r="D152" s="29" t="s">
        <v>36</v>
      </c>
      <c r="E152" s="29" t="s">
        <v>4</v>
      </c>
      <c r="F152" s="29">
        <v>35</v>
      </c>
      <c r="G152" s="29">
        <v>0</v>
      </c>
      <c r="H152" s="31">
        <v>1</v>
      </c>
      <c r="I152" s="32">
        <v>46181</v>
      </c>
      <c r="J152" s="32">
        <v>46231</v>
      </c>
      <c r="K152" s="32">
        <v>46181</v>
      </c>
      <c r="L152" s="32">
        <v>46231</v>
      </c>
      <c r="M152" s="32">
        <v>46177</v>
      </c>
      <c r="N152" s="32">
        <v>46225</v>
      </c>
      <c r="O152" s="33">
        <v>4</v>
      </c>
      <c r="P152" s="29"/>
      <c r="Q152" s="29" t="s">
        <v>85</v>
      </c>
      <c r="R152" s="29" t="s">
        <v>85</v>
      </c>
      <c r="S152" s="29" t="s">
        <v>85</v>
      </c>
    </row>
    <row r="153" spans="1:19" s="28" customFormat="1" x14ac:dyDescent="0.25" outlineLevel="1" collapsed="1">
      <c r="A153" s="44" t="s">
        <v>275</v>
      </c>
      <c r="B153" s="45" t="s">
        <v>108</v>
      </c>
      <c r="C153" s="44" t="s">
        <v>31</v>
      </c>
      <c r="D153" s="44" t="s">
        <v>36</v>
      </c>
      <c r="E153" s="44" t="s">
        <v>86</v>
      </c>
      <c r="F153" s="44">
        <v>40</v>
      </c>
      <c r="G153" s="44">
        <v>2</v>
      </c>
      <c r="H153" s="46">
        <v>0.95</v>
      </c>
      <c r="I153" s="47">
        <v>46203</v>
      </c>
      <c r="J153" s="47">
        <v>46300</v>
      </c>
      <c r="K153" s="47">
        <v>46203</v>
      </c>
      <c r="L153" s="47"/>
      <c r="M153" s="47">
        <v>46199</v>
      </c>
      <c r="N153" s="47">
        <v>46254</v>
      </c>
      <c r="O153" s="48">
        <v>31</v>
      </c>
      <c r="P153" s="44">
        <v>42</v>
      </c>
      <c r="Q153" s="44" t="s">
        <v>85</v>
      </c>
      <c r="R153" s="44" t="s">
        <v>231</v>
      </c>
      <c r="S153" s="44" t="s">
        <v>85</v>
      </c>
    </row>
    <row r="154" spans="1:19" s="28" customFormat="1" x14ac:dyDescent="0.25" outlineLevel="1" collapsed="1">
      <c r="A154" s="44" t="s">
        <v>276</v>
      </c>
      <c r="B154" s="45" t="s">
        <v>110</v>
      </c>
      <c r="C154" s="44" t="s">
        <v>31</v>
      </c>
      <c r="D154" s="44" t="s">
        <v>36</v>
      </c>
      <c r="E154" s="44" t="s">
        <v>86</v>
      </c>
      <c r="F154" s="44">
        <v>15</v>
      </c>
      <c r="G154" s="44">
        <v>1</v>
      </c>
      <c r="H154" s="46">
        <v>0.95</v>
      </c>
      <c r="I154" s="47">
        <v>46234</v>
      </c>
      <c r="J154" s="47">
        <v>46300</v>
      </c>
      <c r="K154" s="47">
        <v>46234</v>
      </c>
      <c r="L154" s="47"/>
      <c r="M154" s="47">
        <v>46234</v>
      </c>
      <c r="N154" s="47">
        <v>46254</v>
      </c>
      <c r="O154" s="48">
        <v>31</v>
      </c>
      <c r="P154" s="44">
        <v>179</v>
      </c>
      <c r="Q154" s="44" t="s">
        <v>85</v>
      </c>
      <c r="R154" s="44" t="s">
        <v>231</v>
      </c>
      <c r="S154" s="44" t="s">
        <v>85</v>
      </c>
    </row>
    <row r="155" spans="1:19" x14ac:dyDescent="0.25">
      <c r="A155" s="39" t="s">
        <v>277</v>
      </c>
      <c r="B155" s="40" t="s">
        <v>37</v>
      </c>
      <c r="C155" s="39" t="s">
        <v>85</v>
      </c>
      <c r="D155" s="39" t="s">
        <v>85</v>
      </c>
      <c r="E155" s="39" t="s">
        <v>86</v>
      </c>
      <c r="F155" s="39">
        <v>149</v>
      </c>
      <c r="G155" s="39"/>
      <c r="H155" s="41">
        <v>0.1036723163841808</v>
      </c>
      <c r="I155" s="42">
        <v>46235</v>
      </c>
      <c r="J155" s="42">
        <v>46415</v>
      </c>
      <c r="K155" s="42">
        <v>46235</v>
      </c>
      <c r="L155" s="42"/>
      <c r="M155" s="42">
        <v>46226</v>
      </c>
      <c r="N155" s="42">
        <v>46368</v>
      </c>
      <c r="O155" s="39">
        <v>38</v>
      </c>
      <c r="P155" s="39">
        <v>50</v>
      </c>
      <c r="Q155" s="39" t="s">
        <v>85</v>
      </c>
      <c r="R155" s="39" t="s">
        <v>102</v>
      </c>
      <c r="S155" s="39" t="s">
        <v>85</v>
      </c>
    </row>
    <row r="156" spans="1:19" s="28" customFormat="1" x14ac:dyDescent="0.25" outlineLevel="1" collapsed="1">
      <c r="A156" s="29" t="s">
        <v>278</v>
      </c>
      <c r="B156" s="43" t="s">
        <v>113</v>
      </c>
      <c r="C156" s="29" t="s">
        <v>31</v>
      </c>
      <c r="D156" s="29" t="s">
        <v>37</v>
      </c>
      <c r="E156" s="29" t="s">
        <v>4</v>
      </c>
      <c r="F156" s="29">
        <v>15</v>
      </c>
      <c r="G156" s="29">
        <v>0</v>
      </c>
      <c r="H156" s="31">
        <v>1</v>
      </c>
      <c r="I156" s="32">
        <v>46235</v>
      </c>
      <c r="J156" s="32">
        <v>46256</v>
      </c>
      <c r="K156" s="32">
        <v>46235</v>
      </c>
      <c r="L156" s="32">
        <v>46256</v>
      </c>
      <c r="M156" s="32">
        <v>46226</v>
      </c>
      <c r="N156" s="32">
        <v>46242</v>
      </c>
      <c r="O156" s="33">
        <v>11</v>
      </c>
      <c r="P156" s="29"/>
      <c r="Q156" s="29" t="s">
        <v>85</v>
      </c>
      <c r="R156" s="29" t="s">
        <v>85</v>
      </c>
      <c r="S156" s="29" t="s">
        <v>85</v>
      </c>
    </row>
    <row r="157" spans="1:19" s="28" customFormat="1" x14ac:dyDescent="0.25" outlineLevel="1" collapsed="1">
      <c r="A157" s="29" t="s">
        <v>279</v>
      </c>
      <c r="B157" s="43" t="s">
        <v>115</v>
      </c>
      <c r="C157" s="29" t="s">
        <v>31</v>
      </c>
      <c r="D157" s="29" t="s">
        <v>37</v>
      </c>
      <c r="E157" s="29" t="s">
        <v>86</v>
      </c>
      <c r="F157" s="29">
        <v>67</v>
      </c>
      <c r="G157" s="29">
        <v>79</v>
      </c>
      <c r="H157" s="31">
        <v>0.05</v>
      </c>
      <c r="I157" s="32">
        <v>46262</v>
      </c>
      <c r="J157" s="32">
        <v>46392</v>
      </c>
      <c r="K157" s="32">
        <v>46262</v>
      </c>
      <c r="L157" s="32"/>
      <c r="M157" s="32">
        <v>46244</v>
      </c>
      <c r="N157" s="32">
        <v>46324</v>
      </c>
      <c r="O157" s="33">
        <v>56</v>
      </c>
      <c r="P157" s="29">
        <v>87</v>
      </c>
      <c r="Q157" s="29" t="s">
        <v>85</v>
      </c>
      <c r="R157" s="29" t="s">
        <v>254</v>
      </c>
      <c r="S157" s="29" t="s">
        <v>85</v>
      </c>
    </row>
    <row r="158" spans="1:19" s="28" customFormat="1" x14ac:dyDescent="0.25" outlineLevel="1" collapsed="1">
      <c r="A158" s="44" t="s">
        <v>280</v>
      </c>
      <c r="B158" s="45" t="s">
        <v>117</v>
      </c>
      <c r="C158" s="44" t="s">
        <v>31</v>
      </c>
      <c r="D158" s="44" t="s">
        <v>37</v>
      </c>
      <c r="E158" s="44" t="s">
        <v>94</v>
      </c>
      <c r="F158" s="44">
        <v>18</v>
      </c>
      <c r="G158" s="44">
        <v>18</v>
      </c>
      <c r="H158" s="46">
        <v>0</v>
      </c>
      <c r="I158" s="47">
        <v>46301</v>
      </c>
      <c r="J158" s="47">
        <v>46322</v>
      </c>
      <c r="K158" s="47"/>
      <c r="L158" s="47"/>
      <c r="M158" s="47">
        <v>46255</v>
      </c>
      <c r="N158" s="47">
        <v>46275</v>
      </c>
      <c r="O158" s="48">
        <v>38</v>
      </c>
      <c r="P158" s="44">
        <v>50</v>
      </c>
      <c r="Q158" s="44" t="s">
        <v>85</v>
      </c>
      <c r="R158" s="44" t="s">
        <v>240</v>
      </c>
      <c r="S158" s="44" t="s">
        <v>85</v>
      </c>
    </row>
    <row r="159" spans="1:19" s="28" customFormat="1" x14ac:dyDescent="0.25" outlineLevel="1" collapsed="1">
      <c r="A159" s="49" t="s">
        <v>281</v>
      </c>
      <c r="B159" s="50" t="s">
        <v>119</v>
      </c>
      <c r="C159" s="49" t="s">
        <v>31</v>
      </c>
      <c r="D159" s="49" t="s">
        <v>37</v>
      </c>
      <c r="E159" s="49" t="s">
        <v>94</v>
      </c>
      <c r="F159" s="49">
        <v>77</v>
      </c>
      <c r="G159" s="49">
        <v>77</v>
      </c>
      <c r="H159" s="51">
        <v>0</v>
      </c>
      <c r="I159" s="52">
        <v>46323</v>
      </c>
      <c r="J159" s="52">
        <v>46415</v>
      </c>
      <c r="K159" s="52"/>
      <c r="L159" s="52"/>
      <c r="M159" s="52">
        <v>46276</v>
      </c>
      <c r="N159" s="52">
        <v>46368</v>
      </c>
      <c r="O159" s="53">
        <v>38</v>
      </c>
      <c r="P159" s="49">
        <v>50</v>
      </c>
      <c r="Q159" s="49" t="s">
        <v>85</v>
      </c>
      <c r="R159" s="49" t="s">
        <v>204</v>
      </c>
      <c r="S159" s="49" t="s">
        <v>85</v>
      </c>
    </row>
    <row r="160" spans="1:19" x14ac:dyDescent="0.25">
      <c r="A160" s="39" t="s">
        <v>282</v>
      </c>
      <c r="B160" s="40" t="s">
        <v>38</v>
      </c>
      <c r="C160" s="39" t="s">
        <v>85</v>
      </c>
      <c r="D160" s="39" t="s">
        <v>85</v>
      </c>
      <c r="E160" s="39" t="s">
        <v>86</v>
      </c>
      <c r="F160" s="39">
        <v>291</v>
      </c>
      <c r="G160" s="39"/>
      <c r="H160" s="41">
        <v>0.22383870967741937</v>
      </c>
      <c r="I160" s="42">
        <v>46153</v>
      </c>
      <c r="J160" s="42">
        <v>46499</v>
      </c>
      <c r="K160" s="42">
        <v>46153</v>
      </c>
      <c r="L160" s="42"/>
      <c r="M160" s="42">
        <v>46147</v>
      </c>
      <c r="N160" s="42">
        <v>46454</v>
      </c>
      <c r="O160" s="39">
        <v>38</v>
      </c>
      <c r="P160" s="39">
        <v>50</v>
      </c>
      <c r="Q160" s="39" t="s">
        <v>85</v>
      </c>
      <c r="R160" s="39" t="s">
        <v>121</v>
      </c>
      <c r="S160" s="39" t="s">
        <v>85</v>
      </c>
    </row>
    <row r="161" spans="1:19" s="28" customFormat="1" x14ac:dyDescent="0.25" outlineLevel="1" collapsed="1">
      <c r="A161" s="29" t="s">
        <v>283</v>
      </c>
      <c r="B161" s="43" t="s">
        <v>123</v>
      </c>
      <c r="C161" s="29" t="s">
        <v>31</v>
      </c>
      <c r="D161" s="29" t="s">
        <v>38</v>
      </c>
      <c r="E161" s="29" t="s">
        <v>4</v>
      </c>
      <c r="F161" s="29">
        <v>7</v>
      </c>
      <c r="G161" s="29">
        <v>0</v>
      </c>
      <c r="H161" s="31">
        <v>1</v>
      </c>
      <c r="I161" s="32">
        <v>46153</v>
      </c>
      <c r="J161" s="32">
        <v>46162</v>
      </c>
      <c r="K161" s="32">
        <v>46153</v>
      </c>
      <c r="L161" s="32">
        <v>46162</v>
      </c>
      <c r="M161" s="32">
        <v>46147</v>
      </c>
      <c r="N161" s="32">
        <v>46154</v>
      </c>
      <c r="O161" s="33">
        <v>7</v>
      </c>
      <c r="P161" s="29"/>
      <c r="Q161" s="29" t="s">
        <v>85</v>
      </c>
      <c r="R161" s="29" t="s">
        <v>85</v>
      </c>
      <c r="S161" s="29" t="s">
        <v>85</v>
      </c>
    </row>
    <row r="162" spans="1:19" s="28" customFormat="1" x14ac:dyDescent="0.25" outlineLevel="1" collapsed="1">
      <c r="A162" s="29" t="s">
        <v>284</v>
      </c>
      <c r="B162" s="43" t="s">
        <v>125</v>
      </c>
      <c r="C162" s="29" t="s">
        <v>31</v>
      </c>
      <c r="D162" s="29" t="s">
        <v>38</v>
      </c>
      <c r="E162" s="29" t="s">
        <v>4</v>
      </c>
      <c r="F162" s="29">
        <v>20</v>
      </c>
      <c r="G162" s="29">
        <v>0</v>
      </c>
      <c r="H162" s="31">
        <v>1</v>
      </c>
      <c r="I162" s="32">
        <v>46192</v>
      </c>
      <c r="J162" s="32">
        <v>46214</v>
      </c>
      <c r="K162" s="32">
        <v>46192</v>
      </c>
      <c r="L162" s="32">
        <v>46214</v>
      </c>
      <c r="M162" s="32">
        <v>46189</v>
      </c>
      <c r="N162" s="32">
        <v>46211</v>
      </c>
      <c r="O162" s="33">
        <v>3</v>
      </c>
      <c r="P162" s="29"/>
      <c r="Q162" s="29" t="s">
        <v>85</v>
      </c>
      <c r="R162" s="29" t="s">
        <v>85</v>
      </c>
      <c r="S162" s="29" t="s">
        <v>85</v>
      </c>
    </row>
    <row r="163" spans="1:19" s="28" customFormat="1" x14ac:dyDescent="0.25" outlineLevel="1" collapsed="1">
      <c r="A163" s="29" t="s">
        <v>285</v>
      </c>
      <c r="B163" s="43" t="s">
        <v>127</v>
      </c>
      <c r="C163" s="29" t="s">
        <v>31</v>
      </c>
      <c r="D163" s="29" t="s">
        <v>38</v>
      </c>
      <c r="E163" s="29" t="s">
        <v>4</v>
      </c>
      <c r="F163" s="29">
        <v>30</v>
      </c>
      <c r="G163" s="29">
        <v>0</v>
      </c>
      <c r="H163" s="31">
        <v>1</v>
      </c>
      <c r="I163" s="32">
        <v>46204</v>
      </c>
      <c r="J163" s="32">
        <v>46245</v>
      </c>
      <c r="K163" s="32">
        <v>46204</v>
      </c>
      <c r="L163" s="32">
        <v>46245</v>
      </c>
      <c r="M163" s="32">
        <v>46197</v>
      </c>
      <c r="N163" s="32">
        <v>46231</v>
      </c>
      <c r="O163" s="33">
        <v>12</v>
      </c>
      <c r="P163" s="29"/>
      <c r="Q163" s="29" t="s">
        <v>85</v>
      </c>
      <c r="R163" s="29" t="s">
        <v>85</v>
      </c>
      <c r="S163" s="29" t="s">
        <v>85</v>
      </c>
    </row>
    <row r="164" spans="1:19" s="28" customFormat="1" x14ac:dyDescent="0.25" outlineLevel="1" collapsed="1">
      <c r="A164" s="44" t="s">
        <v>286</v>
      </c>
      <c r="B164" s="45" t="s">
        <v>129</v>
      </c>
      <c r="C164" s="44" t="s">
        <v>31</v>
      </c>
      <c r="D164" s="44" t="s">
        <v>38</v>
      </c>
      <c r="E164" s="44" t="s">
        <v>86</v>
      </c>
      <c r="F164" s="44">
        <v>21</v>
      </c>
      <c r="G164" s="44">
        <v>9</v>
      </c>
      <c r="H164" s="46">
        <v>0.59</v>
      </c>
      <c r="I164" s="47">
        <v>46247</v>
      </c>
      <c r="J164" s="47">
        <v>46307</v>
      </c>
      <c r="K164" s="47">
        <v>46247</v>
      </c>
      <c r="L164" s="47"/>
      <c r="M164" s="47">
        <v>46232</v>
      </c>
      <c r="N164" s="47">
        <v>46256</v>
      </c>
      <c r="O164" s="48">
        <v>42</v>
      </c>
      <c r="P164" s="44">
        <v>93</v>
      </c>
      <c r="Q164" s="44" t="s">
        <v>85</v>
      </c>
      <c r="R164" s="44" t="s">
        <v>231</v>
      </c>
      <c r="S164" s="44" t="s">
        <v>85</v>
      </c>
    </row>
    <row r="165" spans="1:19" s="28" customFormat="1" x14ac:dyDescent="0.25" outlineLevel="1" collapsed="1">
      <c r="A165" s="49" t="s">
        <v>287</v>
      </c>
      <c r="B165" s="50" t="s">
        <v>131</v>
      </c>
      <c r="C165" s="49" t="s">
        <v>31</v>
      </c>
      <c r="D165" s="49" t="s">
        <v>38</v>
      </c>
      <c r="E165" s="49" t="s">
        <v>94</v>
      </c>
      <c r="F165" s="49">
        <v>52</v>
      </c>
      <c r="G165" s="49">
        <v>52</v>
      </c>
      <c r="H165" s="51">
        <v>0</v>
      </c>
      <c r="I165" s="52">
        <v>46308</v>
      </c>
      <c r="J165" s="52">
        <v>46370</v>
      </c>
      <c r="K165" s="52"/>
      <c r="L165" s="52"/>
      <c r="M165" s="52">
        <v>46262</v>
      </c>
      <c r="N165" s="52">
        <v>46324</v>
      </c>
      <c r="O165" s="53">
        <v>38</v>
      </c>
      <c r="P165" s="49">
        <v>93</v>
      </c>
      <c r="Q165" s="49" t="s">
        <v>85</v>
      </c>
      <c r="R165" s="49" t="s">
        <v>204</v>
      </c>
      <c r="S165" s="49" t="s">
        <v>85</v>
      </c>
    </row>
    <row r="166" spans="1:19" s="28" customFormat="1" x14ac:dyDescent="0.25" outlineLevel="1" collapsed="1">
      <c r="A166" s="29" t="s">
        <v>288</v>
      </c>
      <c r="B166" s="43" t="s">
        <v>133</v>
      </c>
      <c r="C166" s="29" t="s">
        <v>31</v>
      </c>
      <c r="D166" s="29" t="s">
        <v>38</v>
      </c>
      <c r="E166" s="29" t="s">
        <v>94</v>
      </c>
      <c r="F166" s="29">
        <v>39</v>
      </c>
      <c r="G166" s="29">
        <v>39</v>
      </c>
      <c r="H166" s="31">
        <v>0</v>
      </c>
      <c r="I166" s="32">
        <v>46332</v>
      </c>
      <c r="J166" s="32">
        <v>46378</v>
      </c>
      <c r="K166" s="32"/>
      <c r="L166" s="32"/>
      <c r="M166" s="32">
        <v>46286</v>
      </c>
      <c r="N166" s="32">
        <v>46332</v>
      </c>
      <c r="O166" s="33">
        <v>38</v>
      </c>
      <c r="P166" s="29">
        <v>108</v>
      </c>
      <c r="Q166" s="29" t="s">
        <v>85</v>
      </c>
      <c r="R166" s="29" t="s">
        <v>85</v>
      </c>
      <c r="S166" s="29" t="s">
        <v>85</v>
      </c>
    </row>
    <row r="167" spans="1:19" s="28" customFormat="1" x14ac:dyDescent="0.25" outlineLevel="1" collapsed="1">
      <c r="A167" s="29" t="s">
        <v>289</v>
      </c>
      <c r="B167" s="43" t="s">
        <v>135</v>
      </c>
      <c r="C167" s="29" t="s">
        <v>31</v>
      </c>
      <c r="D167" s="29" t="s">
        <v>38</v>
      </c>
      <c r="E167" s="29" t="s">
        <v>94</v>
      </c>
      <c r="F167" s="29">
        <v>27</v>
      </c>
      <c r="G167" s="29">
        <v>27</v>
      </c>
      <c r="H167" s="31">
        <v>0</v>
      </c>
      <c r="I167" s="32">
        <v>46365</v>
      </c>
      <c r="J167" s="32">
        <v>46396</v>
      </c>
      <c r="K167" s="32"/>
      <c r="L167" s="32"/>
      <c r="M167" s="32">
        <v>46319</v>
      </c>
      <c r="N167" s="32">
        <v>46351</v>
      </c>
      <c r="O167" s="33">
        <v>38</v>
      </c>
      <c r="P167" s="29">
        <v>93</v>
      </c>
      <c r="Q167" s="29" t="s">
        <v>85</v>
      </c>
      <c r="R167" s="29" t="s">
        <v>85</v>
      </c>
      <c r="S167" s="29" t="s">
        <v>85</v>
      </c>
    </row>
    <row r="168" spans="1:19" s="28" customFormat="1" x14ac:dyDescent="0.25" outlineLevel="1" collapsed="1">
      <c r="A168" s="29" t="s">
        <v>290</v>
      </c>
      <c r="B168" s="43" t="s">
        <v>139</v>
      </c>
      <c r="C168" s="29" t="s">
        <v>31</v>
      </c>
      <c r="D168" s="29" t="s">
        <v>38</v>
      </c>
      <c r="E168" s="29" t="s">
        <v>94</v>
      </c>
      <c r="F168" s="29">
        <v>43</v>
      </c>
      <c r="G168" s="29">
        <v>43</v>
      </c>
      <c r="H168" s="31">
        <v>0</v>
      </c>
      <c r="I168" s="32">
        <v>46398</v>
      </c>
      <c r="J168" s="32">
        <v>46448</v>
      </c>
      <c r="K168" s="32"/>
      <c r="L168" s="32"/>
      <c r="M168" s="32">
        <v>46352</v>
      </c>
      <c r="N168" s="32">
        <v>46402</v>
      </c>
      <c r="O168" s="33">
        <v>38</v>
      </c>
      <c r="P168" s="29">
        <v>93</v>
      </c>
      <c r="Q168" s="29" t="s">
        <v>85</v>
      </c>
      <c r="R168" s="29" t="s">
        <v>85</v>
      </c>
      <c r="S168" s="29" t="s">
        <v>85</v>
      </c>
    </row>
    <row r="169" spans="1:19" s="28" customFormat="1" x14ac:dyDescent="0.25" outlineLevel="1" collapsed="1">
      <c r="A169" s="29" t="s">
        <v>291</v>
      </c>
      <c r="B169" s="43" t="s">
        <v>137</v>
      </c>
      <c r="C169" s="29" t="s">
        <v>31</v>
      </c>
      <c r="D169" s="29" t="s">
        <v>38</v>
      </c>
      <c r="E169" s="29" t="s">
        <v>94</v>
      </c>
      <c r="F169" s="29">
        <v>55</v>
      </c>
      <c r="G169" s="29">
        <v>55</v>
      </c>
      <c r="H169" s="31">
        <v>0</v>
      </c>
      <c r="I169" s="32">
        <v>46416</v>
      </c>
      <c r="J169" s="32">
        <v>46480</v>
      </c>
      <c r="K169" s="32"/>
      <c r="L169" s="32"/>
      <c r="M169" s="32">
        <v>46370</v>
      </c>
      <c r="N169" s="32">
        <v>46435</v>
      </c>
      <c r="O169" s="33">
        <v>38</v>
      </c>
      <c r="P169" s="29">
        <v>50</v>
      </c>
      <c r="Q169" s="29" t="s">
        <v>85</v>
      </c>
      <c r="R169" s="29" t="s">
        <v>85</v>
      </c>
      <c r="S169" s="29" t="s">
        <v>85</v>
      </c>
    </row>
    <row r="170" spans="1:19" s="28" customFormat="1" x14ac:dyDescent="0.25" outlineLevel="1" collapsed="1">
      <c r="A170" s="29" t="s">
        <v>292</v>
      </c>
      <c r="B170" s="43" t="s">
        <v>141</v>
      </c>
      <c r="C170" s="29" t="s">
        <v>31</v>
      </c>
      <c r="D170" s="29" t="s">
        <v>38</v>
      </c>
      <c r="E170" s="29" t="s">
        <v>94</v>
      </c>
      <c r="F170" s="29">
        <v>16</v>
      </c>
      <c r="G170" s="29">
        <v>16</v>
      </c>
      <c r="H170" s="31">
        <v>0</v>
      </c>
      <c r="I170" s="32">
        <v>46482</v>
      </c>
      <c r="J170" s="32">
        <v>46499</v>
      </c>
      <c r="K170" s="32"/>
      <c r="L170" s="32"/>
      <c r="M170" s="32">
        <v>46436</v>
      </c>
      <c r="N170" s="32">
        <v>46454</v>
      </c>
      <c r="O170" s="33">
        <v>38</v>
      </c>
      <c r="P170" s="29">
        <v>50</v>
      </c>
      <c r="Q170" s="29" t="s">
        <v>85</v>
      </c>
      <c r="R170" s="29" t="s">
        <v>85</v>
      </c>
      <c r="S170" s="29" t="s">
        <v>85</v>
      </c>
    </row>
    <row r="171" spans="1:19" s="28" customFormat="1" x14ac:dyDescent="0.25" outlineLevel="1" collapsed="1">
      <c r="A171" s="29" t="s">
        <v>293</v>
      </c>
      <c r="B171" s="43" t="s">
        <v>143</v>
      </c>
      <c r="C171" s="29" t="s">
        <v>31</v>
      </c>
      <c r="D171" s="29" t="s">
        <v>38</v>
      </c>
      <c r="E171" s="29" t="s">
        <v>94</v>
      </c>
      <c r="F171" s="29">
        <v>0</v>
      </c>
      <c r="G171" s="29">
        <v>0</v>
      </c>
      <c r="H171" s="31">
        <v>0</v>
      </c>
      <c r="I171" s="32">
        <v>46499</v>
      </c>
      <c r="J171" s="32">
        <v>46499</v>
      </c>
      <c r="K171" s="32"/>
      <c r="L171" s="32"/>
      <c r="M171" s="32">
        <v>46454</v>
      </c>
      <c r="N171" s="32">
        <v>46454</v>
      </c>
      <c r="O171" s="33">
        <v>38</v>
      </c>
      <c r="P171" s="29">
        <v>50</v>
      </c>
      <c r="Q171" s="29" t="s">
        <v>85</v>
      </c>
      <c r="R171" s="29" t="s">
        <v>85</v>
      </c>
      <c r="S171" s="29" t="s">
        <v>85</v>
      </c>
    </row>
    <row r="172" spans="1:19" x14ac:dyDescent="0.25">
      <c r="A172" s="24" t="s">
        <v>294</v>
      </c>
      <c r="B172" s="25" t="s">
        <v>22</v>
      </c>
      <c r="C172" s="24" t="s">
        <v>85</v>
      </c>
      <c r="D172" s="24" t="s">
        <v>85</v>
      </c>
      <c r="E172" s="24" t="s">
        <v>86</v>
      </c>
      <c r="F172" s="24">
        <v>343</v>
      </c>
      <c r="G172" s="24"/>
      <c r="H172" s="26">
        <v>0.6021953188054884</v>
      </c>
      <c r="I172" s="27">
        <v>46069</v>
      </c>
      <c r="J172" s="27">
        <v>46478</v>
      </c>
      <c r="K172" s="27">
        <v>46069</v>
      </c>
      <c r="L172" s="27"/>
      <c r="M172" s="27">
        <v>46063</v>
      </c>
      <c r="N172" s="27">
        <v>46417</v>
      </c>
      <c r="O172" s="24">
        <v>51</v>
      </c>
      <c r="P172" s="24">
        <v>68</v>
      </c>
      <c r="Q172" s="24" t="s">
        <v>85</v>
      </c>
      <c r="R172" s="24" t="s">
        <v>295</v>
      </c>
      <c r="S172" s="24" t="s">
        <v>85</v>
      </c>
    </row>
    <row r="173" spans="1:19" x14ac:dyDescent="0.25">
      <c r="A173" s="35" t="s">
        <v>296</v>
      </c>
      <c r="B173" s="36" t="s">
        <v>32</v>
      </c>
      <c r="C173" s="35" t="s">
        <v>85</v>
      </c>
      <c r="D173" s="35" t="s">
        <v>85</v>
      </c>
      <c r="E173" s="35" t="s">
        <v>86</v>
      </c>
      <c r="F173" s="35">
        <v>343</v>
      </c>
      <c r="G173" s="35"/>
      <c r="H173" s="37">
        <v>0.6412676056338029</v>
      </c>
      <c r="I173" s="38">
        <v>46069</v>
      </c>
      <c r="J173" s="38">
        <v>46478</v>
      </c>
      <c r="K173" s="38">
        <v>46069</v>
      </c>
      <c r="L173" s="38"/>
      <c r="M173" s="38">
        <v>46063</v>
      </c>
      <c r="N173" s="38">
        <v>46417</v>
      </c>
      <c r="O173" s="35">
        <v>51</v>
      </c>
      <c r="P173" s="35">
        <v>68</v>
      </c>
      <c r="Q173" s="35" t="s">
        <v>85</v>
      </c>
      <c r="R173" s="35" t="s">
        <v>100</v>
      </c>
      <c r="S173" s="35" t="s">
        <v>85</v>
      </c>
    </row>
    <row r="174" spans="1:19" x14ac:dyDescent="0.25">
      <c r="A174" s="39" t="s">
        <v>297</v>
      </c>
      <c r="B174" s="40" t="s">
        <v>36</v>
      </c>
      <c r="C174" s="39" t="s">
        <v>85</v>
      </c>
      <c r="D174" s="39" t="s">
        <v>85</v>
      </c>
      <c r="E174" s="39" t="s">
        <v>4</v>
      </c>
      <c r="F174" s="39">
        <v>97</v>
      </c>
      <c r="G174" s="39"/>
      <c r="H174" s="41">
        <v>1</v>
      </c>
      <c r="I174" s="42">
        <v>46070</v>
      </c>
      <c r="J174" s="42">
        <v>46184</v>
      </c>
      <c r="K174" s="42">
        <v>46070</v>
      </c>
      <c r="L174" s="42">
        <v>46184</v>
      </c>
      <c r="M174" s="42">
        <v>46070</v>
      </c>
      <c r="N174" s="42">
        <v>46178</v>
      </c>
      <c r="O174" s="39">
        <v>5</v>
      </c>
      <c r="P174" s="39"/>
      <c r="Q174" s="39" t="s">
        <v>85</v>
      </c>
      <c r="R174" s="39" t="s">
        <v>102</v>
      </c>
      <c r="S174" s="39" t="s">
        <v>85</v>
      </c>
    </row>
    <row r="175" spans="1:19" s="28" customFormat="1" x14ac:dyDescent="0.25" outlineLevel="1" collapsed="1">
      <c r="A175" s="29" t="s">
        <v>298</v>
      </c>
      <c r="B175" s="43" t="s">
        <v>104</v>
      </c>
      <c r="C175" s="29" t="s">
        <v>32</v>
      </c>
      <c r="D175" s="29" t="s">
        <v>36</v>
      </c>
      <c r="E175" s="29" t="s">
        <v>4</v>
      </c>
      <c r="F175" s="29">
        <v>24</v>
      </c>
      <c r="G175" s="29">
        <v>0</v>
      </c>
      <c r="H175" s="31">
        <v>1</v>
      </c>
      <c r="I175" s="32">
        <v>46070</v>
      </c>
      <c r="J175" s="32">
        <v>46101</v>
      </c>
      <c r="K175" s="32">
        <v>46070</v>
      </c>
      <c r="L175" s="32">
        <v>46101</v>
      </c>
      <c r="M175" s="32">
        <v>46070</v>
      </c>
      <c r="N175" s="32">
        <v>46104</v>
      </c>
      <c r="O175" s="29">
        <v>-1</v>
      </c>
      <c r="P175" s="29"/>
      <c r="Q175" s="29" t="s">
        <v>85</v>
      </c>
      <c r="R175" s="29" t="s">
        <v>85</v>
      </c>
      <c r="S175" s="29" t="s">
        <v>85</v>
      </c>
    </row>
    <row r="176" spans="1:19" s="28" customFormat="1" x14ac:dyDescent="0.25" outlineLevel="1" collapsed="1">
      <c r="A176" s="29" t="s">
        <v>299</v>
      </c>
      <c r="B176" s="43" t="s">
        <v>106</v>
      </c>
      <c r="C176" s="29" t="s">
        <v>32</v>
      </c>
      <c r="D176" s="29" t="s">
        <v>36</v>
      </c>
      <c r="E176" s="29" t="s">
        <v>4</v>
      </c>
      <c r="F176" s="29">
        <v>39</v>
      </c>
      <c r="G176" s="29">
        <v>0</v>
      </c>
      <c r="H176" s="31">
        <v>1</v>
      </c>
      <c r="I176" s="32">
        <v>46077</v>
      </c>
      <c r="J176" s="32">
        <v>46142</v>
      </c>
      <c r="K176" s="32">
        <v>46077</v>
      </c>
      <c r="L176" s="32">
        <v>46142</v>
      </c>
      <c r="M176" s="32">
        <v>46077</v>
      </c>
      <c r="N176" s="32">
        <v>46133</v>
      </c>
      <c r="O176" s="33">
        <v>7</v>
      </c>
      <c r="P176" s="29"/>
      <c r="Q176" s="29" t="s">
        <v>85</v>
      </c>
      <c r="R176" s="29" t="s">
        <v>85</v>
      </c>
      <c r="S176" s="29" t="s">
        <v>85</v>
      </c>
    </row>
    <row r="177" spans="1:19" s="28" customFormat="1" x14ac:dyDescent="0.25" outlineLevel="1" collapsed="1">
      <c r="A177" s="29" t="s">
        <v>300</v>
      </c>
      <c r="B177" s="43" t="s">
        <v>108</v>
      </c>
      <c r="C177" s="29" t="s">
        <v>32</v>
      </c>
      <c r="D177" s="29" t="s">
        <v>36</v>
      </c>
      <c r="E177" s="29" t="s">
        <v>4</v>
      </c>
      <c r="F177" s="29">
        <v>53</v>
      </c>
      <c r="G177" s="29">
        <v>0</v>
      </c>
      <c r="H177" s="31">
        <v>1</v>
      </c>
      <c r="I177" s="32">
        <v>46108</v>
      </c>
      <c r="J177" s="32">
        <v>46177</v>
      </c>
      <c r="K177" s="32">
        <v>46108</v>
      </c>
      <c r="L177" s="32">
        <v>46177</v>
      </c>
      <c r="M177" s="32">
        <v>46105</v>
      </c>
      <c r="N177" s="32">
        <v>46178</v>
      </c>
      <c r="O177" s="29">
        <v>-1</v>
      </c>
      <c r="P177" s="29"/>
      <c r="Q177" s="29" t="s">
        <v>85</v>
      </c>
      <c r="R177" s="29" t="s">
        <v>85</v>
      </c>
      <c r="S177" s="29" t="s">
        <v>85</v>
      </c>
    </row>
    <row r="178" spans="1:19" s="28" customFormat="1" x14ac:dyDescent="0.25" outlineLevel="1" collapsed="1">
      <c r="A178" s="29" t="s">
        <v>301</v>
      </c>
      <c r="B178" s="43" t="s">
        <v>110</v>
      </c>
      <c r="C178" s="29" t="s">
        <v>32</v>
      </c>
      <c r="D178" s="29" t="s">
        <v>36</v>
      </c>
      <c r="E178" s="29" t="s">
        <v>4</v>
      </c>
      <c r="F178" s="29">
        <v>16</v>
      </c>
      <c r="G178" s="29">
        <v>0</v>
      </c>
      <c r="H178" s="31">
        <v>1</v>
      </c>
      <c r="I178" s="32">
        <v>46160</v>
      </c>
      <c r="J178" s="32">
        <v>46184</v>
      </c>
      <c r="K178" s="32">
        <v>46160</v>
      </c>
      <c r="L178" s="32">
        <v>46184</v>
      </c>
      <c r="M178" s="32">
        <v>46157</v>
      </c>
      <c r="N178" s="32">
        <v>46178</v>
      </c>
      <c r="O178" s="33">
        <v>4</v>
      </c>
      <c r="P178" s="29"/>
      <c r="Q178" s="29" t="s">
        <v>85</v>
      </c>
      <c r="R178" s="29" t="s">
        <v>85</v>
      </c>
      <c r="S178" s="29" t="s">
        <v>85</v>
      </c>
    </row>
    <row r="179" spans="1:19" x14ac:dyDescent="0.25">
      <c r="A179" s="39" t="s">
        <v>302</v>
      </c>
      <c r="B179" s="40" t="s">
        <v>37</v>
      </c>
      <c r="C179" s="39" t="s">
        <v>85</v>
      </c>
      <c r="D179" s="39" t="s">
        <v>85</v>
      </c>
      <c r="E179" s="39" t="s">
        <v>86</v>
      </c>
      <c r="F179" s="39">
        <v>190</v>
      </c>
      <c r="G179" s="39"/>
      <c r="H179" s="41">
        <v>0.7463730569948187</v>
      </c>
      <c r="I179" s="42">
        <v>46147</v>
      </c>
      <c r="J179" s="42">
        <v>46372</v>
      </c>
      <c r="K179" s="42">
        <v>46147</v>
      </c>
      <c r="L179" s="42"/>
      <c r="M179" s="42">
        <v>46134</v>
      </c>
      <c r="N179" s="42">
        <v>46308</v>
      </c>
      <c r="O179" s="39">
        <v>53</v>
      </c>
      <c r="P179" s="39">
        <v>68</v>
      </c>
      <c r="Q179" s="39" t="s">
        <v>85</v>
      </c>
      <c r="R179" s="39" t="s">
        <v>102</v>
      </c>
      <c r="S179" s="39" t="s">
        <v>85</v>
      </c>
    </row>
    <row r="180" spans="1:19" s="28" customFormat="1" x14ac:dyDescent="0.25" outlineLevel="1" collapsed="1">
      <c r="A180" s="29" t="s">
        <v>303</v>
      </c>
      <c r="B180" s="43" t="s">
        <v>113</v>
      </c>
      <c r="C180" s="29" t="s">
        <v>32</v>
      </c>
      <c r="D180" s="29" t="s">
        <v>37</v>
      </c>
      <c r="E180" s="29" t="s">
        <v>4</v>
      </c>
      <c r="F180" s="29">
        <v>18</v>
      </c>
      <c r="G180" s="29">
        <v>0</v>
      </c>
      <c r="H180" s="31">
        <v>1</v>
      </c>
      <c r="I180" s="32">
        <v>46147</v>
      </c>
      <c r="J180" s="32">
        <v>46168</v>
      </c>
      <c r="K180" s="32">
        <v>46147</v>
      </c>
      <c r="L180" s="32">
        <v>46168</v>
      </c>
      <c r="M180" s="32">
        <v>46134</v>
      </c>
      <c r="N180" s="32">
        <v>46154</v>
      </c>
      <c r="O180" s="33">
        <v>12</v>
      </c>
      <c r="P180" s="29"/>
      <c r="Q180" s="29" t="s">
        <v>85</v>
      </c>
      <c r="R180" s="29" t="s">
        <v>85</v>
      </c>
      <c r="S180" s="29" t="s">
        <v>85</v>
      </c>
    </row>
    <row r="181" spans="1:19" s="28" customFormat="1" x14ac:dyDescent="0.25" outlineLevel="1" collapsed="1">
      <c r="A181" s="29" t="s">
        <v>304</v>
      </c>
      <c r="B181" s="43" t="s">
        <v>115</v>
      </c>
      <c r="C181" s="29" t="s">
        <v>32</v>
      </c>
      <c r="D181" s="29" t="s">
        <v>37</v>
      </c>
      <c r="E181" s="29" t="s">
        <v>4</v>
      </c>
      <c r="F181" s="29">
        <v>66</v>
      </c>
      <c r="G181" s="29">
        <v>0</v>
      </c>
      <c r="H181" s="31">
        <v>1</v>
      </c>
      <c r="I181" s="32">
        <v>46169</v>
      </c>
      <c r="J181" s="32">
        <v>46254</v>
      </c>
      <c r="K181" s="32">
        <v>46169</v>
      </c>
      <c r="L181" s="32">
        <v>46254</v>
      </c>
      <c r="M181" s="32">
        <v>46155</v>
      </c>
      <c r="N181" s="32">
        <v>46231</v>
      </c>
      <c r="O181" s="33">
        <v>19</v>
      </c>
      <c r="P181" s="29"/>
      <c r="Q181" s="29" t="s">
        <v>85</v>
      </c>
      <c r="R181" s="29" t="s">
        <v>85</v>
      </c>
      <c r="S181" s="29" t="s">
        <v>85</v>
      </c>
    </row>
    <row r="182" spans="1:19" s="28" customFormat="1" x14ac:dyDescent="0.25" outlineLevel="1" collapsed="1">
      <c r="A182" s="29" t="s">
        <v>305</v>
      </c>
      <c r="B182" s="43" t="s">
        <v>117</v>
      </c>
      <c r="C182" s="29" t="s">
        <v>32</v>
      </c>
      <c r="D182" s="29" t="s">
        <v>37</v>
      </c>
      <c r="E182" s="29" t="s">
        <v>4</v>
      </c>
      <c r="F182" s="29">
        <v>20</v>
      </c>
      <c r="G182" s="29">
        <v>0</v>
      </c>
      <c r="H182" s="31">
        <v>1</v>
      </c>
      <c r="I182" s="32">
        <v>46179</v>
      </c>
      <c r="J182" s="32">
        <v>46200</v>
      </c>
      <c r="K182" s="32">
        <v>46179</v>
      </c>
      <c r="L182" s="32">
        <v>46200</v>
      </c>
      <c r="M182" s="32">
        <v>46179</v>
      </c>
      <c r="N182" s="32">
        <v>46202</v>
      </c>
      <c r="O182" s="29">
        <v>-1</v>
      </c>
      <c r="P182" s="29"/>
      <c r="Q182" s="29" t="s">
        <v>85</v>
      </c>
      <c r="R182" s="29" t="s">
        <v>85</v>
      </c>
      <c r="S182" s="29" t="s">
        <v>85</v>
      </c>
    </row>
    <row r="183" spans="1:19" s="28" customFormat="1" x14ac:dyDescent="0.25" outlineLevel="1" collapsed="1">
      <c r="A183" s="29" t="s">
        <v>306</v>
      </c>
      <c r="B183" s="43" t="s">
        <v>119</v>
      </c>
      <c r="C183" s="29" t="s">
        <v>32</v>
      </c>
      <c r="D183" s="29" t="s">
        <v>37</v>
      </c>
      <c r="E183" s="29" t="s">
        <v>86</v>
      </c>
      <c r="F183" s="29">
        <v>89</v>
      </c>
      <c r="G183" s="29">
        <v>63</v>
      </c>
      <c r="H183" s="31">
        <v>0.45</v>
      </c>
      <c r="I183" s="32">
        <v>46207</v>
      </c>
      <c r="J183" s="32">
        <v>46372</v>
      </c>
      <c r="K183" s="32">
        <v>46207</v>
      </c>
      <c r="L183" s="32"/>
      <c r="M183" s="32">
        <v>46203</v>
      </c>
      <c r="N183" s="32">
        <v>46308</v>
      </c>
      <c r="O183" s="33">
        <v>53</v>
      </c>
      <c r="P183" s="29">
        <v>68</v>
      </c>
      <c r="Q183" s="29" t="s">
        <v>85</v>
      </c>
      <c r="R183" s="29" t="s">
        <v>254</v>
      </c>
      <c r="S183" s="29" t="s">
        <v>85</v>
      </c>
    </row>
    <row r="184" spans="1:19" x14ac:dyDescent="0.25">
      <c r="A184" s="39" t="s">
        <v>307</v>
      </c>
      <c r="B184" s="40" t="s">
        <v>38</v>
      </c>
      <c r="C184" s="39" t="s">
        <v>85</v>
      </c>
      <c r="D184" s="39" t="s">
        <v>85</v>
      </c>
      <c r="E184" s="39" t="s">
        <v>86</v>
      </c>
      <c r="F184" s="39">
        <v>343</v>
      </c>
      <c r="G184" s="39"/>
      <c r="H184" s="41">
        <v>0.4655844155844156</v>
      </c>
      <c r="I184" s="42">
        <v>46069</v>
      </c>
      <c r="J184" s="42">
        <v>46478</v>
      </c>
      <c r="K184" s="42">
        <v>46069</v>
      </c>
      <c r="L184" s="42"/>
      <c r="M184" s="42">
        <v>46063</v>
      </c>
      <c r="N184" s="42">
        <v>46417</v>
      </c>
      <c r="O184" s="39">
        <v>51</v>
      </c>
      <c r="P184" s="39">
        <v>68</v>
      </c>
      <c r="Q184" s="39" t="s">
        <v>85</v>
      </c>
      <c r="R184" s="39" t="s">
        <v>121</v>
      </c>
      <c r="S184" s="39" t="s">
        <v>85</v>
      </c>
    </row>
    <row r="185" spans="1:19" s="28" customFormat="1" x14ac:dyDescent="0.25" outlineLevel="1" collapsed="1">
      <c r="A185" s="29" t="s">
        <v>308</v>
      </c>
      <c r="B185" s="43" t="s">
        <v>123</v>
      </c>
      <c r="C185" s="29" t="s">
        <v>32</v>
      </c>
      <c r="D185" s="29" t="s">
        <v>38</v>
      </c>
      <c r="E185" s="29" t="s">
        <v>4</v>
      </c>
      <c r="F185" s="29">
        <v>8</v>
      </c>
      <c r="G185" s="29">
        <v>0</v>
      </c>
      <c r="H185" s="31">
        <v>1</v>
      </c>
      <c r="I185" s="32">
        <v>46069</v>
      </c>
      <c r="J185" s="32">
        <v>46079</v>
      </c>
      <c r="K185" s="32">
        <v>46069</v>
      </c>
      <c r="L185" s="32">
        <v>46079</v>
      </c>
      <c r="M185" s="32">
        <v>46063</v>
      </c>
      <c r="N185" s="32">
        <v>46071</v>
      </c>
      <c r="O185" s="33">
        <v>7</v>
      </c>
      <c r="P185" s="29"/>
      <c r="Q185" s="29" t="s">
        <v>85</v>
      </c>
      <c r="R185" s="29" t="s">
        <v>85</v>
      </c>
      <c r="S185" s="29" t="s">
        <v>85</v>
      </c>
    </row>
    <row r="186" spans="1:19" s="28" customFormat="1" x14ac:dyDescent="0.25" outlineLevel="1" collapsed="1">
      <c r="A186" s="29" t="s">
        <v>309</v>
      </c>
      <c r="B186" s="43" t="s">
        <v>125</v>
      </c>
      <c r="C186" s="29" t="s">
        <v>32</v>
      </c>
      <c r="D186" s="29" t="s">
        <v>38</v>
      </c>
      <c r="E186" s="29" t="s">
        <v>4</v>
      </c>
      <c r="F186" s="29">
        <v>25</v>
      </c>
      <c r="G186" s="29">
        <v>0</v>
      </c>
      <c r="H186" s="31">
        <v>1</v>
      </c>
      <c r="I186" s="32">
        <v>46091</v>
      </c>
      <c r="J186" s="32">
        <v>46126</v>
      </c>
      <c r="K186" s="32">
        <v>46091</v>
      </c>
      <c r="L186" s="32">
        <v>46126</v>
      </c>
      <c r="M186" s="32">
        <v>46090</v>
      </c>
      <c r="N186" s="32">
        <v>46119</v>
      </c>
      <c r="O186" s="33">
        <v>6</v>
      </c>
      <c r="P186" s="29"/>
      <c r="Q186" s="29" t="s">
        <v>85</v>
      </c>
      <c r="R186" s="29" t="s">
        <v>85</v>
      </c>
      <c r="S186" s="29" t="s">
        <v>85</v>
      </c>
    </row>
    <row r="187" spans="1:19" s="28" customFormat="1" x14ac:dyDescent="0.25" outlineLevel="1" collapsed="1">
      <c r="A187" s="29" t="s">
        <v>310</v>
      </c>
      <c r="B187" s="43" t="s">
        <v>127</v>
      </c>
      <c r="C187" s="29" t="s">
        <v>32</v>
      </c>
      <c r="D187" s="29" t="s">
        <v>38</v>
      </c>
      <c r="E187" s="29" t="s">
        <v>4</v>
      </c>
      <c r="F187" s="29">
        <v>39</v>
      </c>
      <c r="G187" s="29">
        <v>0</v>
      </c>
      <c r="H187" s="31">
        <v>1</v>
      </c>
      <c r="I187" s="32">
        <v>46104</v>
      </c>
      <c r="J187" s="32">
        <v>46156</v>
      </c>
      <c r="K187" s="32">
        <v>46104</v>
      </c>
      <c r="L187" s="32">
        <v>46156</v>
      </c>
      <c r="M187" s="32">
        <v>46098</v>
      </c>
      <c r="N187" s="32">
        <v>46143</v>
      </c>
      <c r="O187" s="33">
        <v>11</v>
      </c>
      <c r="P187" s="29"/>
      <c r="Q187" s="29" t="s">
        <v>85</v>
      </c>
      <c r="R187" s="29" t="s">
        <v>85</v>
      </c>
      <c r="S187" s="29" t="s">
        <v>85</v>
      </c>
    </row>
    <row r="188" spans="1:19" s="28" customFormat="1" x14ac:dyDescent="0.25" outlineLevel="1" collapsed="1">
      <c r="A188" s="29" t="s">
        <v>311</v>
      </c>
      <c r="B188" s="43" t="s">
        <v>129</v>
      </c>
      <c r="C188" s="29" t="s">
        <v>32</v>
      </c>
      <c r="D188" s="29" t="s">
        <v>38</v>
      </c>
      <c r="E188" s="29" t="s">
        <v>4</v>
      </c>
      <c r="F188" s="29">
        <v>26</v>
      </c>
      <c r="G188" s="29">
        <v>0</v>
      </c>
      <c r="H188" s="31">
        <v>1</v>
      </c>
      <c r="I188" s="32">
        <v>46162</v>
      </c>
      <c r="J188" s="32">
        <v>46195</v>
      </c>
      <c r="K188" s="32">
        <v>46162</v>
      </c>
      <c r="L188" s="32">
        <v>46195</v>
      </c>
      <c r="M188" s="32">
        <v>46144</v>
      </c>
      <c r="N188" s="32">
        <v>46174</v>
      </c>
      <c r="O188" s="33">
        <v>18</v>
      </c>
      <c r="P188" s="29"/>
      <c r="Q188" s="29" t="s">
        <v>85</v>
      </c>
      <c r="R188" s="29" t="s">
        <v>85</v>
      </c>
      <c r="S188" s="29" t="s">
        <v>85</v>
      </c>
    </row>
    <row r="189" spans="1:19" s="28" customFormat="1" x14ac:dyDescent="0.25" outlineLevel="1" collapsed="1">
      <c r="A189" s="29" t="s">
        <v>312</v>
      </c>
      <c r="B189" s="43" t="s">
        <v>131</v>
      </c>
      <c r="C189" s="29" t="s">
        <v>32</v>
      </c>
      <c r="D189" s="29" t="s">
        <v>38</v>
      </c>
      <c r="E189" s="29" t="s">
        <v>86</v>
      </c>
      <c r="F189" s="29">
        <v>67</v>
      </c>
      <c r="G189" s="29">
        <v>27</v>
      </c>
      <c r="H189" s="31">
        <v>0.66</v>
      </c>
      <c r="I189" s="32">
        <v>46198</v>
      </c>
      <c r="J189" s="32">
        <v>46329</v>
      </c>
      <c r="K189" s="32">
        <v>46198</v>
      </c>
      <c r="L189" s="32"/>
      <c r="M189" s="32">
        <v>46175</v>
      </c>
      <c r="N189" s="32">
        <v>46253</v>
      </c>
      <c r="O189" s="33">
        <v>63</v>
      </c>
      <c r="P189" s="29">
        <v>101</v>
      </c>
      <c r="Q189" s="29" t="s">
        <v>85</v>
      </c>
      <c r="R189" s="29" t="s">
        <v>254</v>
      </c>
      <c r="S189" s="29" t="s">
        <v>85</v>
      </c>
    </row>
    <row r="190" spans="1:19" s="28" customFormat="1" x14ac:dyDescent="0.25" outlineLevel="1" collapsed="1">
      <c r="A190" s="44" t="s">
        <v>313</v>
      </c>
      <c r="B190" s="45" t="s">
        <v>133</v>
      </c>
      <c r="C190" s="44" t="s">
        <v>32</v>
      </c>
      <c r="D190" s="44" t="s">
        <v>38</v>
      </c>
      <c r="E190" s="44" t="s">
        <v>86</v>
      </c>
      <c r="F190" s="44">
        <v>46</v>
      </c>
      <c r="G190" s="44">
        <v>16</v>
      </c>
      <c r="H190" s="46">
        <v>0.73</v>
      </c>
      <c r="I190" s="47">
        <v>46225</v>
      </c>
      <c r="J190" s="47">
        <v>46316</v>
      </c>
      <c r="K190" s="47">
        <v>46225</v>
      </c>
      <c r="L190" s="47"/>
      <c r="M190" s="47">
        <v>46198</v>
      </c>
      <c r="N190" s="47">
        <v>46252</v>
      </c>
      <c r="O190" s="48">
        <v>53</v>
      </c>
      <c r="P190" s="44">
        <v>121</v>
      </c>
      <c r="Q190" s="44" t="s">
        <v>85</v>
      </c>
      <c r="R190" s="44" t="s">
        <v>231</v>
      </c>
      <c r="S190" s="44" t="s">
        <v>85</v>
      </c>
    </row>
    <row r="191" spans="1:19" s="28" customFormat="1" x14ac:dyDescent="0.25" outlineLevel="1" collapsed="1">
      <c r="A191" s="54" t="s">
        <v>314</v>
      </c>
      <c r="B191" s="55" t="s">
        <v>137</v>
      </c>
      <c r="C191" s="54" t="s">
        <v>32</v>
      </c>
      <c r="D191" s="54" t="s">
        <v>38</v>
      </c>
      <c r="E191" s="54" t="s">
        <v>86</v>
      </c>
      <c r="F191" s="54">
        <v>69</v>
      </c>
      <c r="G191" s="54">
        <v>67</v>
      </c>
      <c r="H191" s="56">
        <v>0.05</v>
      </c>
      <c r="I191" s="57">
        <v>46260</v>
      </c>
      <c r="J191" s="57">
        <v>46452</v>
      </c>
      <c r="K191" s="57">
        <v>46260</v>
      </c>
      <c r="L191" s="57"/>
      <c r="M191" s="57">
        <v>46309</v>
      </c>
      <c r="N191" s="57">
        <v>46392</v>
      </c>
      <c r="O191" s="58">
        <v>51</v>
      </c>
      <c r="P191" s="54">
        <v>68</v>
      </c>
      <c r="Q191" s="54" t="s">
        <v>85</v>
      </c>
      <c r="R191" s="54" t="s">
        <v>315</v>
      </c>
      <c r="S191" s="54" t="s">
        <v>85</v>
      </c>
    </row>
    <row r="192" spans="1:19" s="28" customFormat="1" x14ac:dyDescent="0.25" outlineLevel="1" collapsed="1">
      <c r="A192" s="49" t="s">
        <v>316</v>
      </c>
      <c r="B192" s="50" t="s">
        <v>135</v>
      </c>
      <c r="C192" s="49" t="s">
        <v>32</v>
      </c>
      <c r="D192" s="49" t="s">
        <v>38</v>
      </c>
      <c r="E192" s="49" t="s">
        <v>94</v>
      </c>
      <c r="F192" s="49">
        <v>34</v>
      </c>
      <c r="G192" s="49">
        <v>34</v>
      </c>
      <c r="H192" s="51">
        <v>0</v>
      </c>
      <c r="I192" s="52">
        <v>46324</v>
      </c>
      <c r="J192" s="52">
        <v>46364</v>
      </c>
      <c r="K192" s="52"/>
      <c r="L192" s="52"/>
      <c r="M192" s="52">
        <v>46247</v>
      </c>
      <c r="N192" s="52">
        <v>46287</v>
      </c>
      <c r="O192" s="53">
        <v>63</v>
      </c>
      <c r="P192" s="49">
        <v>113</v>
      </c>
      <c r="Q192" s="49" t="s">
        <v>85</v>
      </c>
      <c r="R192" s="49" t="s">
        <v>204</v>
      </c>
      <c r="S192" s="49" t="s">
        <v>85</v>
      </c>
    </row>
    <row r="193" spans="1:19" s="28" customFormat="1" x14ac:dyDescent="0.25" outlineLevel="1" collapsed="1">
      <c r="A193" s="29" t="s">
        <v>317</v>
      </c>
      <c r="B193" s="43" t="s">
        <v>139</v>
      </c>
      <c r="C193" s="29" t="s">
        <v>32</v>
      </c>
      <c r="D193" s="29" t="s">
        <v>38</v>
      </c>
      <c r="E193" s="29" t="s">
        <v>94</v>
      </c>
      <c r="F193" s="29">
        <v>50</v>
      </c>
      <c r="G193" s="29">
        <v>50</v>
      </c>
      <c r="H193" s="31">
        <v>0</v>
      </c>
      <c r="I193" s="32">
        <v>46365</v>
      </c>
      <c r="J193" s="32">
        <v>46424</v>
      </c>
      <c r="K193" s="32"/>
      <c r="L193" s="32"/>
      <c r="M193" s="32">
        <v>46288</v>
      </c>
      <c r="N193" s="32">
        <v>46349</v>
      </c>
      <c r="O193" s="33">
        <v>63</v>
      </c>
      <c r="P193" s="29">
        <v>113</v>
      </c>
      <c r="Q193" s="29" t="s">
        <v>85</v>
      </c>
      <c r="R193" s="29" t="s">
        <v>85</v>
      </c>
      <c r="S193" s="29" t="s">
        <v>85</v>
      </c>
    </row>
    <row r="194" spans="1:19" s="28" customFormat="1" x14ac:dyDescent="0.25" outlineLevel="1" collapsed="1">
      <c r="A194" s="29" t="s">
        <v>318</v>
      </c>
      <c r="B194" s="43" t="s">
        <v>141</v>
      </c>
      <c r="C194" s="29" t="s">
        <v>32</v>
      </c>
      <c r="D194" s="29" t="s">
        <v>38</v>
      </c>
      <c r="E194" s="29" t="s">
        <v>94</v>
      </c>
      <c r="F194" s="29">
        <v>21</v>
      </c>
      <c r="G194" s="29">
        <v>21</v>
      </c>
      <c r="H194" s="31">
        <v>0</v>
      </c>
      <c r="I194" s="32">
        <v>46454</v>
      </c>
      <c r="J194" s="32">
        <v>46478</v>
      </c>
      <c r="K194" s="32"/>
      <c r="L194" s="32"/>
      <c r="M194" s="32">
        <v>46393</v>
      </c>
      <c r="N194" s="32">
        <v>46417</v>
      </c>
      <c r="O194" s="33">
        <v>51</v>
      </c>
      <c r="P194" s="29">
        <v>68</v>
      </c>
      <c r="Q194" s="29" t="s">
        <v>85</v>
      </c>
      <c r="R194" s="29" t="s">
        <v>85</v>
      </c>
      <c r="S194" s="29" t="s">
        <v>85</v>
      </c>
    </row>
    <row r="195" spans="1:19" s="28" customFormat="1" x14ac:dyDescent="0.25" outlineLevel="1" collapsed="1">
      <c r="A195" s="29" t="s">
        <v>319</v>
      </c>
      <c r="B195" s="43" t="s">
        <v>143</v>
      </c>
      <c r="C195" s="29" t="s">
        <v>32</v>
      </c>
      <c r="D195" s="29" t="s">
        <v>38</v>
      </c>
      <c r="E195" s="29" t="s">
        <v>94</v>
      </c>
      <c r="F195" s="29">
        <v>0</v>
      </c>
      <c r="G195" s="29">
        <v>0</v>
      </c>
      <c r="H195" s="31">
        <v>0</v>
      </c>
      <c r="I195" s="32">
        <v>46478</v>
      </c>
      <c r="J195" s="32">
        <v>46478</v>
      </c>
      <c r="K195" s="32"/>
      <c r="L195" s="32"/>
      <c r="M195" s="32">
        <v>46417</v>
      </c>
      <c r="N195" s="32">
        <v>46417</v>
      </c>
      <c r="O195" s="33">
        <v>51</v>
      </c>
      <c r="P195" s="29">
        <v>68</v>
      </c>
      <c r="Q195" s="29" t="s">
        <v>85</v>
      </c>
      <c r="R195" s="29" t="s">
        <v>85</v>
      </c>
      <c r="S195" s="29" t="s">
        <v>85</v>
      </c>
    </row>
    <row r="196" spans="1:19" x14ac:dyDescent="0.25">
      <c r="A196" s="35" t="s">
        <v>320</v>
      </c>
      <c r="B196" s="36" t="s">
        <v>33</v>
      </c>
      <c r="C196" s="35" t="s">
        <v>85</v>
      </c>
      <c r="D196" s="35" t="s">
        <v>85</v>
      </c>
      <c r="E196" s="35" t="s">
        <v>86</v>
      </c>
      <c r="F196" s="35">
        <v>271</v>
      </c>
      <c r="G196" s="35"/>
      <c r="H196" s="37">
        <v>0.5497542533081287</v>
      </c>
      <c r="I196" s="38">
        <v>46116</v>
      </c>
      <c r="J196" s="38">
        <v>46438</v>
      </c>
      <c r="K196" s="38">
        <v>46116</v>
      </c>
      <c r="L196" s="38"/>
      <c r="M196" s="38">
        <v>46111</v>
      </c>
      <c r="N196" s="38">
        <v>46372</v>
      </c>
      <c r="O196" s="35">
        <v>55</v>
      </c>
      <c r="P196" s="35">
        <v>101</v>
      </c>
      <c r="Q196" s="35" t="s">
        <v>85</v>
      </c>
      <c r="R196" s="35" t="s">
        <v>100</v>
      </c>
      <c r="S196" s="35" t="s">
        <v>85</v>
      </c>
    </row>
    <row r="197" spans="1:19" x14ac:dyDescent="0.25">
      <c r="A197" s="39" t="s">
        <v>321</v>
      </c>
      <c r="B197" s="40" t="s">
        <v>36</v>
      </c>
      <c r="C197" s="39" t="s">
        <v>85</v>
      </c>
      <c r="D197" s="39" t="s">
        <v>85</v>
      </c>
      <c r="E197" s="39" t="s">
        <v>4</v>
      </c>
      <c r="F197" s="39">
        <v>74</v>
      </c>
      <c r="G197" s="39"/>
      <c r="H197" s="41">
        <v>1</v>
      </c>
      <c r="I197" s="42">
        <v>46128</v>
      </c>
      <c r="J197" s="42">
        <v>46213</v>
      </c>
      <c r="K197" s="42">
        <v>46128</v>
      </c>
      <c r="L197" s="42">
        <v>46213</v>
      </c>
      <c r="M197" s="42">
        <v>46128</v>
      </c>
      <c r="N197" s="42">
        <v>46204</v>
      </c>
      <c r="O197" s="39">
        <v>8</v>
      </c>
      <c r="P197" s="39"/>
      <c r="Q197" s="39" t="s">
        <v>85</v>
      </c>
      <c r="R197" s="39" t="s">
        <v>102</v>
      </c>
      <c r="S197" s="39" t="s">
        <v>85</v>
      </c>
    </row>
    <row r="198" spans="1:19" s="28" customFormat="1" x14ac:dyDescent="0.25" outlineLevel="1" collapsed="1">
      <c r="A198" s="29" t="s">
        <v>322</v>
      </c>
      <c r="B198" s="43" t="s">
        <v>104</v>
      </c>
      <c r="C198" s="29" t="s">
        <v>33</v>
      </c>
      <c r="D198" s="29" t="s">
        <v>36</v>
      </c>
      <c r="E198" s="29" t="s">
        <v>4</v>
      </c>
      <c r="F198" s="29">
        <v>19</v>
      </c>
      <c r="G198" s="29">
        <v>0</v>
      </c>
      <c r="H198" s="31">
        <v>1</v>
      </c>
      <c r="I198" s="32">
        <v>46128</v>
      </c>
      <c r="J198" s="32">
        <v>46155</v>
      </c>
      <c r="K198" s="32">
        <v>46128</v>
      </c>
      <c r="L198" s="32">
        <v>46155</v>
      </c>
      <c r="M198" s="32">
        <v>46128</v>
      </c>
      <c r="N198" s="32">
        <v>46154</v>
      </c>
      <c r="O198" s="33">
        <v>1</v>
      </c>
      <c r="P198" s="29"/>
      <c r="Q198" s="29" t="s">
        <v>85</v>
      </c>
      <c r="R198" s="29" t="s">
        <v>85</v>
      </c>
      <c r="S198" s="29" t="s">
        <v>85</v>
      </c>
    </row>
    <row r="199" spans="1:19" s="28" customFormat="1" x14ac:dyDescent="0.25" outlineLevel="1" collapsed="1">
      <c r="A199" s="29" t="s">
        <v>323</v>
      </c>
      <c r="B199" s="43" t="s">
        <v>106</v>
      </c>
      <c r="C199" s="29" t="s">
        <v>33</v>
      </c>
      <c r="D199" s="29" t="s">
        <v>36</v>
      </c>
      <c r="E199" s="29" t="s">
        <v>4</v>
      </c>
      <c r="F199" s="29">
        <v>34</v>
      </c>
      <c r="G199" s="29">
        <v>0</v>
      </c>
      <c r="H199" s="31">
        <v>1</v>
      </c>
      <c r="I199" s="32">
        <v>46135</v>
      </c>
      <c r="J199" s="32">
        <v>46183</v>
      </c>
      <c r="K199" s="32">
        <v>46135</v>
      </c>
      <c r="L199" s="32">
        <v>46183</v>
      </c>
      <c r="M199" s="32">
        <v>46135</v>
      </c>
      <c r="N199" s="32">
        <v>46182</v>
      </c>
      <c r="O199" s="33">
        <v>1</v>
      </c>
      <c r="P199" s="29"/>
      <c r="Q199" s="29" t="s">
        <v>85</v>
      </c>
      <c r="R199" s="29" t="s">
        <v>85</v>
      </c>
      <c r="S199" s="29" t="s">
        <v>85</v>
      </c>
    </row>
    <row r="200" spans="1:19" s="28" customFormat="1" x14ac:dyDescent="0.25" outlineLevel="1" collapsed="1">
      <c r="A200" s="29" t="s">
        <v>324</v>
      </c>
      <c r="B200" s="43" t="s">
        <v>108</v>
      </c>
      <c r="C200" s="29" t="s">
        <v>33</v>
      </c>
      <c r="D200" s="29" t="s">
        <v>36</v>
      </c>
      <c r="E200" s="29" t="s">
        <v>4</v>
      </c>
      <c r="F200" s="29">
        <v>36</v>
      </c>
      <c r="G200" s="29">
        <v>0</v>
      </c>
      <c r="H200" s="31">
        <v>1</v>
      </c>
      <c r="I200" s="32">
        <v>46161</v>
      </c>
      <c r="J200" s="32">
        <v>46213</v>
      </c>
      <c r="K200" s="32">
        <v>46161</v>
      </c>
      <c r="L200" s="32">
        <v>46213</v>
      </c>
      <c r="M200" s="32">
        <v>46155</v>
      </c>
      <c r="N200" s="32">
        <v>46204</v>
      </c>
      <c r="O200" s="33">
        <v>7</v>
      </c>
      <c r="P200" s="29"/>
      <c r="Q200" s="29" t="s">
        <v>85</v>
      </c>
      <c r="R200" s="29" t="s">
        <v>85</v>
      </c>
      <c r="S200" s="29" t="s">
        <v>85</v>
      </c>
    </row>
    <row r="201" spans="1:19" s="28" customFormat="1" x14ac:dyDescent="0.25" outlineLevel="1" collapsed="1">
      <c r="A201" s="29" t="s">
        <v>325</v>
      </c>
      <c r="B201" s="43" t="s">
        <v>110</v>
      </c>
      <c r="C201" s="29" t="s">
        <v>33</v>
      </c>
      <c r="D201" s="29" t="s">
        <v>36</v>
      </c>
      <c r="E201" s="29" t="s">
        <v>4</v>
      </c>
      <c r="F201" s="29">
        <v>11</v>
      </c>
      <c r="G201" s="29">
        <v>0</v>
      </c>
      <c r="H201" s="31">
        <v>1</v>
      </c>
      <c r="I201" s="32">
        <v>46195</v>
      </c>
      <c r="J201" s="32">
        <v>46213</v>
      </c>
      <c r="K201" s="32">
        <v>46195</v>
      </c>
      <c r="L201" s="32">
        <v>46213</v>
      </c>
      <c r="M201" s="32">
        <v>46190</v>
      </c>
      <c r="N201" s="32">
        <v>46204</v>
      </c>
      <c r="O201" s="33">
        <v>7</v>
      </c>
      <c r="P201" s="29"/>
      <c r="Q201" s="29" t="s">
        <v>85</v>
      </c>
      <c r="R201" s="29" t="s">
        <v>85</v>
      </c>
      <c r="S201" s="29" t="s">
        <v>85</v>
      </c>
    </row>
    <row r="202" spans="1:19" x14ac:dyDescent="0.25">
      <c r="A202" s="39" t="s">
        <v>326</v>
      </c>
      <c r="B202" s="40" t="s">
        <v>37</v>
      </c>
      <c r="C202" s="39" t="s">
        <v>85</v>
      </c>
      <c r="D202" s="39" t="s">
        <v>85</v>
      </c>
      <c r="E202" s="39" t="s">
        <v>86</v>
      </c>
      <c r="F202" s="39">
        <v>146</v>
      </c>
      <c r="G202" s="39"/>
      <c r="H202" s="41">
        <v>0.5605517241379311</v>
      </c>
      <c r="I202" s="42">
        <v>46185</v>
      </c>
      <c r="J202" s="42">
        <v>46359</v>
      </c>
      <c r="K202" s="42">
        <v>46185</v>
      </c>
      <c r="L202" s="42"/>
      <c r="M202" s="42">
        <v>46183</v>
      </c>
      <c r="N202" s="42">
        <v>46291</v>
      </c>
      <c r="O202" s="39">
        <v>55</v>
      </c>
      <c r="P202" s="39">
        <v>101</v>
      </c>
      <c r="Q202" s="39" t="s">
        <v>85</v>
      </c>
      <c r="R202" s="39" t="s">
        <v>102</v>
      </c>
      <c r="S202" s="39" t="s">
        <v>85</v>
      </c>
    </row>
    <row r="203" spans="1:19" s="28" customFormat="1" x14ac:dyDescent="0.25" outlineLevel="1" collapsed="1">
      <c r="A203" s="29" t="s">
        <v>327</v>
      </c>
      <c r="B203" s="43" t="s">
        <v>113</v>
      </c>
      <c r="C203" s="29" t="s">
        <v>33</v>
      </c>
      <c r="D203" s="29" t="s">
        <v>37</v>
      </c>
      <c r="E203" s="29" t="s">
        <v>4</v>
      </c>
      <c r="F203" s="29">
        <v>11</v>
      </c>
      <c r="G203" s="29">
        <v>0</v>
      </c>
      <c r="H203" s="31">
        <v>1</v>
      </c>
      <c r="I203" s="32">
        <v>46185</v>
      </c>
      <c r="J203" s="32">
        <v>46197</v>
      </c>
      <c r="K203" s="32">
        <v>46185</v>
      </c>
      <c r="L203" s="32">
        <v>46197</v>
      </c>
      <c r="M203" s="32">
        <v>46183</v>
      </c>
      <c r="N203" s="32">
        <v>46195</v>
      </c>
      <c r="O203" s="33">
        <v>2</v>
      </c>
      <c r="P203" s="29"/>
      <c r="Q203" s="29" t="s">
        <v>85</v>
      </c>
      <c r="R203" s="29" t="s">
        <v>85</v>
      </c>
      <c r="S203" s="29" t="s">
        <v>85</v>
      </c>
    </row>
    <row r="204" spans="1:19" s="28" customFormat="1" x14ac:dyDescent="0.25" outlineLevel="1" collapsed="1">
      <c r="A204" s="29" t="s">
        <v>328</v>
      </c>
      <c r="B204" s="43" t="s">
        <v>115</v>
      </c>
      <c r="C204" s="29" t="s">
        <v>33</v>
      </c>
      <c r="D204" s="29" t="s">
        <v>37</v>
      </c>
      <c r="E204" s="29" t="s">
        <v>86</v>
      </c>
      <c r="F204" s="29">
        <v>60</v>
      </c>
      <c r="G204" s="29">
        <v>28</v>
      </c>
      <c r="H204" s="31">
        <v>0.62</v>
      </c>
      <c r="I204" s="32">
        <v>46203</v>
      </c>
      <c r="J204" s="32">
        <v>46330</v>
      </c>
      <c r="K204" s="32">
        <v>46203</v>
      </c>
      <c r="L204" s="32"/>
      <c r="M204" s="32">
        <v>46196</v>
      </c>
      <c r="N204" s="32">
        <v>46266</v>
      </c>
      <c r="O204" s="33">
        <v>53</v>
      </c>
      <c r="P204" s="29">
        <v>108</v>
      </c>
      <c r="Q204" s="29" t="s">
        <v>85</v>
      </c>
      <c r="R204" s="29" t="s">
        <v>254</v>
      </c>
      <c r="S204" s="29" t="s">
        <v>85</v>
      </c>
    </row>
    <row r="205" spans="1:19" s="28" customFormat="1" x14ac:dyDescent="0.25" outlineLevel="1" collapsed="1">
      <c r="A205" s="29" t="s">
        <v>329</v>
      </c>
      <c r="B205" s="43" t="s">
        <v>117</v>
      </c>
      <c r="C205" s="29" t="s">
        <v>33</v>
      </c>
      <c r="D205" s="29" t="s">
        <v>37</v>
      </c>
      <c r="E205" s="29" t="s">
        <v>4</v>
      </c>
      <c r="F205" s="29">
        <v>12</v>
      </c>
      <c r="G205" s="29">
        <v>0</v>
      </c>
      <c r="H205" s="31">
        <v>1</v>
      </c>
      <c r="I205" s="32">
        <v>46214</v>
      </c>
      <c r="J205" s="32">
        <v>46227</v>
      </c>
      <c r="K205" s="32">
        <v>46214</v>
      </c>
      <c r="L205" s="32">
        <v>46227</v>
      </c>
      <c r="M205" s="32">
        <v>46205</v>
      </c>
      <c r="N205" s="32">
        <v>46218</v>
      </c>
      <c r="O205" s="33">
        <v>8</v>
      </c>
      <c r="P205" s="29"/>
      <c r="Q205" s="29" t="s">
        <v>85</v>
      </c>
      <c r="R205" s="29" t="s">
        <v>85</v>
      </c>
      <c r="S205" s="29" t="s">
        <v>85</v>
      </c>
    </row>
    <row r="206" spans="1:19" s="28" customFormat="1" x14ac:dyDescent="0.25" outlineLevel="1" collapsed="1">
      <c r="A206" s="29" t="s">
        <v>330</v>
      </c>
      <c r="B206" s="43" t="s">
        <v>119</v>
      </c>
      <c r="C206" s="29" t="s">
        <v>33</v>
      </c>
      <c r="D206" s="29" t="s">
        <v>37</v>
      </c>
      <c r="E206" s="29" t="s">
        <v>86</v>
      </c>
      <c r="F206" s="29">
        <v>62</v>
      </c>
      <c r="G206" s="29">
        <v>52</v>
      </c>
      <c r="H206" s="31">
        <v>0.34</v>
      </c>
      <c r="I206" s="32">
        <v>46232</v>
      </c>
      <c r="J206" s="32">
        <v>46359</v>
      </c>
      <c r="K206" s="32">
        <v>46232</v>
      </c>
      <c r="L206" s="32"/>
      <c r="M206" s="32">
        <v>46219</v>
      </c>
      <c r="N206" s="32">
        <v>46291</v>
      </c>
      <c r="O206" s="33">
        <v>55</v>
      </c>
      <c r="P206" s="29">
        <v>101</v>
      </c>
      <c r="Q206" s="29" t="s">
        <v>85</v>
      </c>
      <c r="R206" s="29" t="s">
        <v>254</v>
      </c>
      <c r="S206" s="29" t="s">
        <v>85</v>
      </c>
    </row>
    <row r="207" spans="1:19" x14ac:dyDescent="0.25">
      <c r="A207" s="39" t="s">
        <v>331</v>
      </c>
      <c r="B207" s="40" t="s">
        <v>38</v>
      </c>
      <c r="C207" s="39" t="s">
        <v>85</v>
      </c>
      <c r="D207" s="39" t="s">
        <v>85</v>
      </c>
      <c r="E207" s="39" t="s">
        <v>86</v>
      </c>
      <c r="F207" s="39">
        <v>271</v>
      </c>
      <c r="G207" s="39"/>
      <c r="H207" s="41">
        <v>0.38570422535211263</v>
      </c>
      <c r="I207" s="42">
        <v>46116</v>
      </c>
      <c r="J207" s="42">
        <v>46438</v>
      </c>
      <c r="K207" s="42">
        <v>46116</v>
      </c>
      <c r="L207" s="42"/>
      <c r="M207" s="42">
        <v>46111</v>
      </c>
      <c r="N207" s="42">
        <v>46372</v>
      </c>
      <c r="O207" s="39">
        <v>55</v>
      </c>
      <c r="P207" s="39">
        <v>101</v>
      </c>
      <c r="Q207" s="39" t="s">
        <v>85</v>
      </c>
      <c r="R207" s="39" t="s">
        <v>121</v>
      </c>
      <c r="S207" s="39" t="s">
        <v>85</v>
      </c>
    </row>
    <row r="208" spans="1:19" s="28" customFormat="1" x14ac:dyDescent="0.25" outlineLevel="1" collapsed="1">
      <c r="A208" s="29" t="s">
        <v>332</v>
      </c>
      <c r="B208" s="43" t="s">
        <v>123</v>
      </c>
      <c r="C208" s="29" t="s">
        <v>33</v>
      </c>
      <c r="D208" s="29" t="s">
        <v>38</v>
      </c>
      <c r="E208" s="29" t="s">
        <v>4</v>
      </c>
      <c r="F208" s="29">
        <v>7</v>
      </c>
      <c r="G208" s="29">
        <v>0</v>
      </c>
      <c r="H208" s="31">
        <v>1</v>
      </c>
      <c r="I208" s="32">
        <v>46116</v>
      </c>
      <c r="J208" s="32">
        <v>46123</v>
      </c>
      <c r="K208" s="32">
        <v>46116</v>
      </c>
      <c r="L208" s="32">
        <v>46123</v>
      </c>
      <c r="M208" s="32">
        <v>46111</v>
      </c>
      <c r="N208" s="32">
        <v>46119</v>
      </c>
      <c r="O208" s="33">
        <v>4</v>
      </c>
      <c r="P208" s="29"/>
      <c r="Q208" s="29" t="s">
        <v>85</v>
      </c>
      <c r="R208" s="29" t="s">
        <v>85</v>
      </c>
      <c r="S208" s="29" t="s">
        <v>85</v>
      </c>
    </row>
    <row r="209" spans="1:19" s="28" customFormat="1" x14ac:dyDescent="0.25" outlineLevel="1" collapsed="1">
      <c r="A209" s="29" t="s">
        <v>333</v>
      </c>
      <c r="B209" s="43" t="s">
        <v>125</v>
      </c>
      <c r="C209" s="29" t="s">
        <v>33</v>
      </c>
      <c r="D209" s="29" t="s">
        <v>38</v>
      </c>
      <c r="E209" s="29" t="s">
        <v>4</v>
      </c>
      <c r="F209" s="29">
        <v>17</v>
      </c>
      <c r="G209" s="29">
        <v>0</v>
      </c>
      <c r="H209" s="31">
        <v>1</v>
      </c>
      <c r="I209" s="32">
        <v>46147</v>
      </c>
      <c r="J209" s="32">
        <v>46169</v>
      </c>
      <c r="K209" s="32">
        <v>46147</v>
      </c>
      <c r="L209" s="32">
        <v>46169</v>
      </c>
      <c r="M209" s="32">
        <v>46147</v>
      </c>
      <c r="N209" s="32">
        <v>46165</v>
      </c>
      <c r="O209" s="33">
        <v>3</v>
      </c>
      <c r="P209" s="29"/>
      <c r="Q209" s="29" t="s">
        <v>85</v>
      </c>
      <c r="R209" s="29" t="s">
        <v>85</v>
      </c>
      <c r="S209" s="29" t="s">
        <v>85</v>
      </c>
    </row>
    <row r="210" spans="1:19" s="28" customFormat="1" x14ac:dyDescent="0.25" outlineLevel="1" collapsed="1">
      <c r="A210" s="29" t="s">
        <v>334</v>
      </c>
      <c r="B210" s="43" t="s">
        <v>127</v>
      </c>
      <c r="C210" s="29" t="s">
        <v>33</v>
      </c>
      <c r="D210" s="29" t="s">
        <v>38</v>
      </c>
      <c r="E210" s="29" t="s">
        <v>4</v>
      </c>
      <c r="F210" s="29">
        <v>27</v>
      </c>
      <c r="G210" s="29">
        <v>0</v>
      </c>
      <c r="H210" s="31">
        <v>1</v>
      </c>
      <c r="I210" s="32">
        <v>46156</v>
      </c>
      <c r="J210" s="32">
        <v>46186</v>
      </c>
      <c r="K210" s="32">
        <v>46156</v>
      </c>
      <c r="L210" s="32">
        <v>46186</v>
      </c>
      <c r="M210" s="32">
        <v>46155</v>
      </c>
      <c r="N210" s="32">
        <v>46185</v>
      </c>
      <c r="O210" s="33">
        <v>1</v>
      </c>
      <c r="P210" s="29"/>
      <c r="Q210" s="29" t="s">
        <v>85</v>
      </c>
      <c r="R210" s="29" t="s">
        <v>85</v>
      </c>
      <c r="S210" s="29" t="s">
        <v>85</v>
      </c>
    </row>
    <row r="211" spans="1:19" s="28" customFormat="1" x14ac:dyDescent="0.25" outlineLevel="1" collapsed="1">
      <c r="A211" s="29" t="s">
        <v>335</v>
      </c>
      <c r="B211" s="43" t="s">
        <v>129</v>
      </c>
      <c r="C211" s="29" t="s">
        <v>33</v>
      </c>
      <c r="D211" s="29" t="s">
        <v>38</v>
      </c>
      <c r="E211" s="29" t="s">
        <v>4</v>
      </c>
      <c r="F211" s="29">
        <v>20</v>
      </c>
      <c r="G211" s="29">
        <v>0</v>
      </c>
      <c r="H211" s="31">
        <v>1</v>
      </c>
      <c r="I211" s="32">
        <v>46190</v>
      </c>
      <c r="J211" s="32">
        <v>46211</v>
      </c>
      <c r="K211" s="32">
        <v>46190</v>
      </c>
      <c r="L211" s="32">
        <v>46211</v>
      </c>
      <c r="M211" s="32">
        <v>46186</v>
      </c>
      <c r="N211" s="32">
        <v>46209</v>
      </c>
      <c r="O211" s="33">
        <v>2</v>
      </c>
      <c r="P211" s="29"/>
      <c r="Q211" s="29" t="s">
        <v>85</v>
      </c>
      <c r="R211" s="29" t="s">
        <v>85</v>
      </c>
      <c r="S211" s="29" t="s">
        <v>85</v>
      </c>
    </row>
    <row r="212" spans="1:19" s="28" customFormat="1" x14ac:dyDescent="0.25" outlineLevel="1" collapsed="1">
      <c r="A212" s="29" t="s">
        <v>336</v>
      </c>
      <c r="B212" s="43" t="s">
        <v>131</v>
      </c>
      <c r="C212" s="29" t="s">
        <v>33</v>
      </c>
      <c r="D212" s="29" t="s">
        <v>38</v>
      </c>
      <c r="E212" s="29" t="s">
        <v>86</v>
      </c>
      <c r="F212" s="29">
        <v>58</v>
      </c>
      <c r="G212" s="29">
        <v>34</v>
      </c>
      <c r="H212" s="31">
        <v>0.43</v>
      </c>
      <c r="I212" s="32">
        <v>46225</v>
      </c>
      <c r="J212" s="32">
        <v>46338</v>
      </c>
      <c r="K212" s="32">
        <v>46225</v>
      </c>
      <c r="L212" s="32"/>
      <c r="M212" s="32">
        <v>46213</v>
      </c>
      <c r="N212" s="32">
        <v>46281</v>
      </c>
      <c r="O212" s="33">
        <v>46</v>
      </c>
      <c r="P212" s="29">
        <v>123</v>
      </c>
      <c r="Q212" s="29" t="s">
        <v>85</v>
      </c>
      <c r="R212" s="29" t="s">
        <v>254</v>
      </c>
      <c r="S212" s="29" t="s">
        <v>85</v>
      </c>
    </row>
    <row r="213" spans="1:19" s="28" customFormat="1" x14ac:dyDescent="0.25" outlineLevel="1" collapsed="1">
      <c r="A213" s="44" t="s">
        <v>337</v>
      </c>
      <c r="B213" s="45" t="s">
        <v>133</v>
      </c>
      <c r="C213" s="44" t="s">
        <v>33</v>
      </c>
      <c r="D213" s="44" t="s">
        <v>38</v>
      </c>
      <c r="E213" s="44" t="s">
        <v>86</v>
      </c>
      <c r="F213" s="44">
        <v>34</v>
      </c>
      <c r="G213" s="44">
        <v>25</v>
      </c>
      <c r="H213" s="46">
        <v>0.4</v>
      </c>
      <c r="I213" s="47">
        <v>46248</v>
      </c>
      <c r="J213" s="47">
        <v>46326</v>
      </c>
      <c r="K213" s="47">
        <v>46248</v>
      </c>
      <c r="L213" s="47"/>
      <c r="M213" s="47">
        <v>46237</v>
      </c>
      <c r="N213" s="47">
        <v>46276</v>
      </c>
      <c r="O213" s="48">
        <v>41</v>
      </c>
      <c r="P213" s="44">
        <v>143</v>
      </c>
      <c r="Q213" s="44" t="s">
        <v>85</v>
      </c>
      <c r="R213" s="44" t="s">
        <v>231</v>
      </c>
      <c r="S213" s="44" t="s">
        <v>85</v>
      </c>
    </row>
    <row r="214" spans="1:19" s="28" customFormat="1" x14ac:dyDescent="0.25" outlineLevel="1" collapsed="1">
      <c r="A214" s="29" t="s">
        <v>338</v>
      </c>
      <c r="B214" s="43" t="s">
        <v>135</v>
      </c>
      <c r="C214" s="29" t="s">
        <v>33</v>
      </c>
      <c r="D214" s="29" t="s">
        <v>38</v>
      </c>
      <c r="E214" s="29" t="s">
        <v>94</v>
      </c>
      <c r="F214" s="29">
        <v>23</v>
      </c>
      <c r="G214" s="29">
        <v>23</v>
      </c>
      <c r="H214" s="31">
        <v>0</v>
      </c>
      <c r="I214" s="32">
        <v>46332</v>
      </c>
      <c r="J214" s="32">
        <v>46359</v>
      </c>
      <c r="K214" s="32"/>
      <c r="L214" s="32"/>
      <c r="M214" s="32">
        <v>46276</v>
      </c>
      <c r="N214" s="32">
        <v>46303</v>
      </c>
      <c r="O214" s="33">
        <v>46</v>
      </c>
      <c r="P214" s="29">
        <v>135</v>
      </c>
      <c r="Q214" s="29" t="s">
        <v>85</v>
      </c>
      <c r="R214" s="29" t="s">
        <v>85</v>
      </c>
      <c r="S214" s="29" t="s">
        <v>85</v>
      </c>
    </row>
    <row r="215" spans="1:19" s="28" customFormat="1" x14ac:dyDescent="0.25" outlineLevel="1" collapsed="1">
      <c r="A215" s="29" t="s">
        <v>339</v>
      </c>
      <c r="B215" s="43" t="s">
        <v>137</v>
      </c>
      <c r="C215" s="29" t="s">
        <v>33</v>
      </c>
      <c r="D215" s="29" t="s">
        <v>38</v>
      </c>
      <c r="E215" s="29" t="s">
        <v>94</v>
      </c>
      <c r="F215" s="29">
        <v>53</v>
      </c>
      <c r="G215" s="29">
        <v>53</v>
      </c>
      <c r="H215" s="31">
        <v>0</v>
      </c>
      <c r="I215" s="32">
        <v>46360</v>
      </c>
      <c r="J215" s="32">
        <v>46423</v>
      </c>
      <c r="K215" s="32"/>
      <c r="L215" s="32"/>
      <c r="M215" s="32">
        <v>46293</v>
      </c>
      <c r="N215" s="32">
        <v>46357</v>
      </c>
      <c r="O215" s="33">
        <v>55</v>
      </c>
      <c r="P215" s="29">
        <v>101</v>
      </c>
      <c r="Q215" s="29" t="s">
        <v>85</v>
      </c>
      <c r="R215" s="29" t="s">
        <v>85</v>
      </c>
      <c r="S215" s="29" t="s">
        <v>85</v>
      </c>
    </row>
    <row r="216" spans="1:19" s="28" customFormat="1" x14ac:dyDescent="0.25" outlineLevel="1" collapsed="1">
      <c r="A216" s="29" t="s">
        <v>340</v>
      </c>
      <c r="B216" s="43" t="s">
        <v>139</v>
      </c>
      <c r="C216" s="29" t="s">
        <v>33</v>
      </c>
      <c r="D216" s="29" t="s">
        <v>38</v>
      </c>
      <c r="E216" s="29" t="s">
        <v>94</v>
      </c>
      <c r="F216" s="29">
        <v>32</v>
      </c>
      <c r="G216" s="29">
        <v>32</v>
      </c>
      <c r="H216" s="31">
        <v>0</v>
      </c>
      <c r="I216" s="32">
        <v>46360</v>
      </c>
      <c r="J216" s="32">
        <v>46398</v>
      </c>
      <c r="K216" s="32"/>
      <c r="L216" s="32"/>
      <c r="M216" s="32">
        <v>46304</v>
      </c>
      <c r="N216" s="32">
        <v>46343</v>
      </c>
      <c r="O216" s="33">
        <v>46</v>
      </c>
      <c r="P216" s="29">
        <v>135</v>
      </c>
      <c r="Q216" s="29" t="s">
        <v>85</v>
      </c>
      <c r="R216" s="29" t="s">
        <v>85</v>
      </c>
      <c r="S216" s="29" t="s">
        <v>85</v>
      </c>
    </row>
    <row r="217" spans="1:19" s="28" customFormat="1" x14ac:dyDescent="0.25" outlineLevel="1" collapsed="1">
      <c r="A217" s="29" t="s">
        <v>341</v>
      </c>
      <c r="B217" s="43" t="s">
        <v>141</v>
      </c>
      <c r="C217" s="29" t="s">
        <v>33</v>
      </c>
      <c r="D217" s="29" t="s">
        <v>38</v>
      </c>
      <c r="E217" s="29" t="s">
        <v>94</v>
      </c>
      <c r="F217" s="29">
        <v>13</v>
      </c>
      <c r="G217" s="29">
        <v>13</v>
      </c>
      <c r="H217" s="31">
        <v>0</v>
      </c>
      <c r="I217" s="32">
        <v>46424</v>
      </c>
      <c r="J217" s="32">
        <v>46438</v>
      </c>
      <c r="K217" s="32"/>
      <c r="L217" s="32"/>
      <c r="M217" s="32">
        <v>46358</v>
      </c>
      <c r="N217" s="32">
        <v>46372</v>
      </c>
      <c r="O217" s="33">
        <v>55</v>
      </c>
      <c r="P217" s="29">
        <v>101</v>
      </c>
      <c r="Q217" s="29" t="s">
        <v>85</v>
      </c>
      <c r="R217" s="29" t="s">
        <v>85</v>
      </c>
      <c r="S217" s="29" t="s">
        <v>85</v>
      </c>
    </row>
    <row r="218" spans="1:19" s="28" customFormat="1" x14ac:dyDescent="0.25" outlineLevel="1" collapsed="1">
      <c r="A218" s="29" t="s">
        <v>342</v>
      </c>
      <c r="B218" s="43" t="s">
        <v>143</v>
      </c>
      <c r="C218" s="29" t="s">
        <v>33</v>
      </c>
      <c r="D218" s="29" t="s">
        <v>38</v>
      </c>
      <c r="E218" s="29" t="s">
        <v>94</v>
      </c>
      <c r="F218" s="29">
        <v>0</v>
      </c>
      <c r="G218" s="29">
        <v>0</v>
      </c>
      <c r="H218" s="31">
        <v>0</v>
      </c>
      <c r="I218" s="32">
        <v>46438</v>
      </c>
      <c r="J218" s="32">
        <v>46438</v>
      </c>
      <c r="K218" s="32"/>
      <c r="L218" s="32"/>
      <c r="M218" s="32">
        <v>46372</v>
      </c>
      <c r="N218" s="32">
        <v>46372</v>
      </c>
      <c r="O218" s="33">
        <v>55</v>
      </c>
      <c r="P218" s="29">
        <v>101</v>
      </c>
      <c r="Q218" s="29" t="s">
        <v>85</v>
      </c>
      <c r="R218" s="29" t="s">
        <v>85</v>
      </c>
      <c r="S218" s="29" t="s">
        <v>85</v>
      </c>
    </row>
  </sheetData>
  <autoFilter ref="A4:S4"/>
  <mergeCells count="2">
    <mergeCell ref="A1:S1"/>
    <mergeCell ref="A2:S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9A44"/>
  </sheetPr>
  <dimension ref="A1:CD219"/>
  <sheetViews>
    <sheetView workbookViewId="0" showGridLines="0">
      <pane xSplit="5" ySplit="5" topLeftCell="F6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40" customWidth="1"/>
    <col min="3" max="4" width="10" customWidth="1"/>
    <col min="5" max="5" width="6" customWidth="1"/>
    <col min="6" max="82" width="2.6" customWidth="1"/>
  </cols>
  <sheetData>
    <row r="1" ht="30" customHeight="1" spans="1:60" x14ac:dyDescent="0.25">
      <c r="A1" s="1" t="s">
        <v>343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6:82" x14ac:dyDescent="0.25">
      <c r="F4" s="61" t="s">
        <v>344</v>
      </c>
      <c r="G4" s="61"/>
      <c r="H4" s="61"/>
      <c r="I4" s="61"/>
      <c r="J4" s="61" t="s">
        <v>345</v>
      </c>
      <c r="K4" s="61"/>
      <c r="L4" s="61"/>
      <c r="M4" s="61"/>
      <c r="N4" s="61" t="s">
        <v>346</v>
      </c>
      <c r="O4" s="61"/>
      <c r="P4" s="61"/>
      <c r="Q4" s="61"/>
      <c r="R4" s="61"/>
      <c r="S4" s="61" t="s">
        <v>347</v>
      </c>
      <c r="T4" s="61"/>
      <c r="U4" s="61"/>
      <c r="V4" s="61"/>
      <c r="W4" s="61" t="s">
        <v>348</v>
      </c>
      <c r="X4" s="61"/>
      <c r="Y4" s="61"/>
      <c r="Z4" s="61"/>
      <c r="AA4" s="61" t="s">
        <v>349</v>
      </c>
      <c r="AB4" s="61"/>
      <c r="AC4" s="61"/>
      <c r="AD4" s="61"/>
      <c r="AE4" s="61"/>
      <c r="AF4" s="61" t="s">
        <v>350</v>
      </c>
      <c r="AG4" s="61"/>
      <c r="AH4" s="61"/>
      <c r="AI4" s="61"/>
      <c r="AJ4" s="61" t="s">
        <v>351</v>
      </c>
      <c r="AK4" s="61"/>
      <c r="AL4" s="61"/>
      <c r="AM4" s="61"/>
      <c r="AN4" s="61"/>
      <c r="AO4" s="61" t="s">
        <v>352</v>
      </c>
      <c r="AP4" s="61"/>
      <c r="AQ4" s="61"/>
      <c r="AR4" s="61"/>
      <c r="AS4" s="61" t="s">
        <v>353</v>
      </c>
      <c r="AT4" s="61"/>
      <c r="AU4" s="61"/>
      <c r="AV4" s="61"/>
      <c r="AW4" s="61" t="s">
        <v>354</v>
      </c>
      <c r="AX4" s="61"/>
      <c r="AY4" s="61"/>
      <c r="AZ4" s="61"/>
      <c r="BA4" s="61"/>
      <c r="BB4" s="61" t="s">
        <v>355</v>
      </c>
      <c r="BC4" s="61"/>
      <c r="BD4" s="61"/>
      <c r="BE4" s="61"/>
      <c r="BF4" s="61" t="s">
        <v>356</v>
      </c>
      <c r="BG4" s="61"/>
      <c r="BH4" s="61"/>
      <c r="BI4" s="61"/>
      <c r="BJ4" s="61" t="s">
        <v>357</v>
      </c>
      <c r="BK4" s="61"/>
      <c r="BL4" s="61"/>
      <c r="BM4" s="61"/>
      <c r="BN4" s="61" t="s">
        <v>358</v>
      </c>
      <c r="BO4" s="61"/>
      <c r="BP4" s="61"/>
      <c r="BQ4" s="61"/>
      <c r="BR4" s="61"/>
      <c r="BS4" s="61" t="s">
        <v>359</v>
      </c>
      <c r="BT4" s="61"/>
      <c r="BU4" s="61"/>
      <c r="BV4" s="61"/>
      <c r="BW4" s="61" t="s">
        <v>360</v>
      </c>
      <c r="BX4" s="61"/>
      <c r="BY4" s="61"/>
      <c r="BZ4" s="61"/>
      <c r="CA4" s="61"/>
      <c r="CB4" s="61" t="s">
        <v>361</v>
      </c>
      <c r="CC4" s="61"/>
      <c r="CD4" s="61"/>
    </row>
    <row r="5" ht="30" customHeight="1" spans="1:82" x14ac:dyDescent="0.25">
      <c r="A5" s="9" t="s">
        <v>66</v>
      </c>
      <c r="B5" s="9" t="s">
        <v>67</v>
      </c>
      <c r="C5" s="9" t="s">
        <v>73</v>
      </c>
      <c r="D5" s="9" t="s">
        <v>74</v>
      </c>
      <c r="E5" s="9" t="s">
        <v>362</v>
      </c>
      <c r="F5" s="62">
        <v>5</v>
      </c>
      <c r="G5" s="62">
        <v>12</v>
      </c>
      <c r="H5" s="62">
        <v>19</v>
      </c>
      <c r="I5" s="62">
        <v>26</v>
      </c>
      <c r="J5" s="62">
        <v>2</v>
      </c>
      <c r="K5" s="62">
        <v>9</v>
      </c>
      <c r="L5" s="62">
        <v>16</v>
      </c>
      <c r="M5" s="62">
        <v>23</v>
      </c>
      <c r="N5" s="62">
        <v>2</v>
      </c>
      <c r="O5" s="62">
        <v>9</v>
      </c>
      <c r="P5" s="62">
        <v>16</v>
      </c>
      <c r="Q5" s="62">
        <v>23</v>
      </c>
      <c r="R5" s="62">
        <v>30</v>
      </c>
      <c r="S5" s="62">
        <v>6</v>
      </c>
      <c r="T5" s="62">
        <v>13</v>
      </c>
      <c r="U5" s="62">
        <v>20</v>
      </c>
      <c r="V5" s="62">
        <v>27</v>
      </c>
      <c r="W5" s="62">
        <v>4</v>
      </c>
      <c r="X5" s="62">
        <v>11</v>
      </c>
      <c r="Y5" s="62">
        <v>18</v>
      </c>
      <c r="Z5" s="62">
        <v>25</v>
      </c>
      <c r="AA5" s="62">
        <v>1</v>
      </c>
      <c r="AB5" s="62">
        <v>8</v>
      </c>
      <c r="AC5" s="62">
        <v>15</v>
      </c>
      <c r="AD5" s="62">
        <v>22</v>
      </c>
      <c r="AE5" s="62">
        <v>29</v>
      </c>
      <c r="AF5" s="62">
        <v>6</v>
      </c>
      <c r="AG5" s="62">
        <v>13</v>
      </c>
      <c r="AH5" s="62">
        <v>20</v>
      </c>
      <c r="AI5" s="62">
        <v>27</v>
      </c>
      <c r="AJ5" s="62">
        <v>3</v>
      </c>
      <c r="AK5" s="62">
        <v>10</v>
      </c>
      <c r="AL5" s="62">
        <v>17</v>
      </c>
      <c r="AM5" s="62">
        <v>24</v>
      </c>
      <c r="AN5" s="62">
        <v>31</v>
      </c>
      <c r="AO5" s="62">
        <v>7</v>
      </c>
      <c r="AP5" s="62">
        <v>14</v>
      </c>
      <c r="AQ5" s="62">
        <v>21</v>
      </c>
      <c r="AR5" s="63">
        <v>28</v>
      </c>
      <c r="AS5" s="62">
        <v>5</v>
      </c>
      <c r="AT5" s="62">
        <v>12</v>
      </c>
      <c r="AU5" s="62">
        <v>19</v>
      </c>
      <c r="AV5" s="62">
        <v>26</v>
      </c>
      <c r="AW5" s="62">
        <v>2</v>
      </c>
      <c r="AX5" s="62">
        <v>9</v>
      </c>
      <c r="AY5" s="62">
        <v>16</v>
      </c>
      <c r="AZ5" s="62">
        <v>23</v>
      </c>
      <c r="BA5" s="62">
        <v>30</v>
      </c>
      <c r="BB5" s="62">
        <v>7</v>
      </c>
      <c r="BC5" s="62">
        <v>14</v>
      </c>
      <c r="BD5" s="62">
        <v>21</v>
      </c>
      <c r="BE5" s="62">
        <v>28</v>
      </c>
      <c r="BF5" s="62">
        <v>4</v>
      </c>
      <c r="BG5" s="62">
        <v>11</v>
      </c>
      <c r="BH5" s="62">
        <v>18</v>
      </c>
      <c r="BI5" s="62">
        <v>25</v>
      </c>
      <c r="BJ5" s="62">
        <v>1</v>
      </c>
      <c r="BK5" s="62">
        <v>8</v>
      </c>
      <c r="BL5" s="62">
        <v>15</v>
      </c>
      <c r="BM5" s="62">
        <v>22</v>
      </c>
      <c r="BN5" s="62">
        <v>1</v>
      </c>
      <c r="BO5" s="62">
        <v>8</v>
      </c>
      <c r="BP5" s="62">
        <v>15</v>
      </c>
      <c r="BQ5" s="62">
        <v>22</v>
      </c>
      <c r="BR5" s="62">
        <v>29</v>
      </c>
      <c r="BS5" s="62">
        <v>5</v>
      </c>
      <c r="BT5" s="62">
        <v>12</v>
      </c>
      <c r="BU5" s="62">
        <v>19</v>
      </c>
      <c r="BV5" s="62">
        <v>26</v>
      </c>
      <c r="BW5" s="62">
        <v>3</v>
      </c>
      <c r="BX5" s="62">
        <v>10</v>
      </c>
      <c r="BY5" s="62">
        <v>17</v>
      </c>
      <c r="BZ5" s="62">
        <v>24</v>
      </c>
      <c r="CA5" s="62">
        <v>31</v>
      </c>
      <c r="CB5" s="62">
        <v>7</v>
      </c>
      <c r="CC5" s="62">
        <v>14</v>
      </c>
      <c r="CD5" s="62">
        <v>21</v>
      </c>
    </row>
    <row r="6" ht="14" customHeight="1" spans="1:82" x14ac:dyDescent="0.25">
      <c r="A6" s="64" t="s">
        <v>85</v>
      </c>
      <c r="B6" s="64" t="s">
        <v>84</v>
      </c>
      <c r="C6" s="65">
        <v>46027</v>
      </c>
      <c r="D6" s="65">
        <v>46557</v>
      </c>
      <c r="E6" s="66">
        <v>0.5757622259696457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7"/>
      <c r="AG6" s="67"/>
      <c r="AH6" s="67"/>
      <c r="AI6" s="67"/>
      <c r="AJ6" s="67"/>
      <c r="AK6" s="67"/>
      <c r="AL6" s="67"/>
      <c r="AM6" s="67"/>
      <c r="AN6" s="67"/>
      <c r="AO6" s="67"/>
      <c r="AP6" s="67"/>
      <c r="AQ6" s="67"/>
      <c r="AR6" s="68"/>
      <c r="AS6" s="67"/>
      <c r="AT6" s="67"/>
      <c r="AU6" s="67"/>
      <c r="AV6" s="67"/>
      <c r="AW6" s="67"/>
      <c r="AX6" s="67"/>
      <c r="AY6" s="67"/>
      <c r="AZ6" s="67"/>
      <c r="BA6" s="67"/>
      <c r="BB6" s="67"/>
      <c r="BC6" s="67"/>
      <c r="BD6" s="67"/>
      <c r="BE6" s="67"/>
      <c r="BF6" s="67"/>
      <c r="BG6" s="67"/>
      <c r="BH6" s="67"/>
      <c r="BI6" s="67"/>
      <c r="BJ6" s="67"/>
      <c r="BK6" s="67"/>
      <c r="BL6" s="67"/>
      <c r="BM6" s="67"/>
      <c r="BN6" s="67"/>
      <c r="BO6" s="67"/>
      <c r="BP6" s="67"/>
      <c r="BQ6" s="67"/>
      <c r="BR6" s="67"/>
      <c r="BS6" s="67"/>
      <c r="BT6" s="67"/>
      <c r="BU6" s="67"/>
      <c r="BV6" s="67"/>
      <c r="BW6" s="67"/>
      <c r="BX6" s="67"/>
      <c r="BY6" s="67"/>
      <c r="BZ6" s="67"/>
      <c r="CA6" s="67"/>
      <c r="CB6" s="67"/>
      <c r="CC6" s="67"/>
    </row>
    <row r="7" ht="14" customHeight="1" spans="1:82" x14ac:dyDescent="0.25">
      <c r="A7" s="64" t="s">
        <v>85</v>
      </c>
      <c r="B7" s="64" t="s">
        <v>363</v>
      </c>
      <c r="C7" s="65">
        <v>46027</v>
      </c>
      <c r="D7" s="65">
        <v>46557</v>
      </c>
      <c r="E7" s="66">
        <v>0</v>
      </c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67"/>
      <c r="AQ7" s="67"/>
      <c r="AR7" s="68"/>
      <c r="AS7" s="67"/>
      <c r="AT7" s="67"/>
      <c r="AU7" s="67"/>
      <c r="AV7" s="67"/>
      <c r="AW7" s="67"/>
      <c r="AX7" s="67"/>
      <c r="AY7" s="67"/>
      <c r="AZ7" s="67"/>
      <c r="BA7" s="67"/>
      <c r="BB7" s="67"/>
      <c r="BC7" s="67"/>
      <c r="BD7" s="67"/>
      <c r="BE7" s="67"/>
      <c r="BF7" s="67"/>
      <c r="BG7" s="67"/>
      <c r="BH7" s="67"/>
      <c r="BI7" s="67"/>
      <c r="BJ7" s="67"/>
      <c r="BK7" s="67"/>
      <c r="BL7" s="67"/>
      <c r="BM7" s="67"/>
      <c r="BN7" s="67"/>
      <c r="BO7" s="67"/>
      <c r="BP7" s="67"/>
      <c r="BQ7" s="67"/>
      <c r="BR7" s="67"/>
      <c r="BS7" s="67"/>
      <c r="BT7" s="67"/>
      <c r="BU7" s="67"/>
      <c r="BV7" s="67"/>
      <c r="BW7" s="67"/>
      <c r="BX7" s="67"/>
      <c r="BY7" s="67"/>
      <c r="BZ7" s="67"/>
      <c r="CA7" s="67"/>
      <c r="CB7" s="67"/>
      <c r="CC7" s="67"/>
    </row>
    <row r="8" ht="14" customHeight="1" spans="1:82" s="69" customFormat="1" x14ac:dyDescent="0.25" outlineLevel="1" collapsed="1">
      <c r="A8" s="69" t="s">
        <v>90</v>
      </c>
      <c r="B8" s="69" t="s">
        <v>364</v>
      </c>
      <c r="C8" s="70">
        <v>46027</v>
      </c>
      <c r="D8" s="70">
        <v>46027</v>
      </c>
      <c r="E8" s="71">
        <v>1</v>
      </c>
      <c r="F8" s="72" t="s">
        <v>365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73"/>
      <c r="AS8" s="69"/>
      <c r="AT8" s="69"/>
      <c r="AU8" s="69"/>
      <c r="AV8" s="69"/>
      <c r="AW8" s="69"/>
      <c r="AX8" s="69"/>
      <c r="AY8" s="69"/>
      <c r="AZ8" s="69"/>
      <c r="BA8" s="69"/>
      <c r="BB8" s="69"/>
      <c r="BC8" s="69"/>
      <c r="BD8" s="69"/>
      <c r="BE8" s="69"/>
      <c r="BF8" s="69"/>
      <c r="BG8" s="69"/>
      <c r="BH8" s="69"/>
      <c r="BI8" s="69"/>
      <c r="BJ8" s="69"/>
      <c r="BK8" s="69"/>
      <c r="BL8" s="69"/>
      <c r="BM8" s="69"/>
      <c r="BN8" s="69"/>
      <c r="BO8" s="69"/>
      <c r="BP8" s="69"/>
      <c r="BQ8" s="69"/>
      <c r="BR8" s="69"/>
      <c r="BS8" s="69"/>
      <c r="BT8" s="69"/>
      <c r="BU8" s="69"/>
      <c r="BV8" s="69"/>
      <c r="BW8" s="69"/>
      <c r="BX8" s="69"/>
      <c r="BY8" s="69"/>
      <c r="BZ8" s="69"/>
      <c r="CA8" s="69"/>
      <c r="CB8" s="69"/>
      <c r="CC8" s="69"/>
      <c r="CD8" s="69"/>
    </row>
    <row r="9" ht="14" customHeight="1" spans="1:82" s="69" customFormat="1" x14ac:dyDescent="0.25" outlineLevel="1" collapsed="1">
      <c r="A9" s="69" t="s">
        <v>92</v>
      </c>
      <c r="B9" s="69" t="s">
        <v>366</v>
      </c>
      <c r="C9" s="70">
        <v>46557</v>
      </c>
      <c r="D9" s="70">
        <v>46557</v>
      </c>
      <c r="E9" s="71">
        <v>0</v>
      </c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73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  <c r="BM9" s="69"/>
      <c r="BN9" s="69"/>
      <c r="BO9" s="69"/>
      <c r="BP9" s="69"/>
      <c r="BQ9" s="69"/>
      <c r="BR9" s="69"/>
      <c r="BS9" s="69"/>
      <c r="BT9" s="69"/>
      <c r="BU9" s="69"/>
      <c r="BV9" s="69"/>
      <c r="BW9" s="69"/>
      <c r="BX9" s="69"/>
      <c r="BY9" s="69"/>
      <c r="BZ9" s="69"/>
      <c r="CA9" s="69"/>
      <c r="CB9" s="69"/>
      <c r="CC9" s="74" t="s">
        <v>365</v>
      </c>
      <c r="CD9" s="69"/>
    </row>
    <row r="10" ht="14" customHeight="1" spans="1:82" x14ac:dyDescent="0.25">
      <c r="A10" s="64" t="s">
        <v>85</v>
      </c>
      <c r="B10" s="64" t="s">
        <v>367</v>
      </c>
      <c r="C10" s="65">
        <v>46029</v>
      </c>
      <c r="D10" s="65">
        <v>46531</v>
      </c>
      <c r="E10" s="66">
        <v>0.6647760671798459</v>
      </c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  <c r="AL10" s="67"/>
      <c r="AM10" s="67"/>
      <c r="AN10" s="67"/>
      <c r="AO10" s="67"/>
      <c r="AP10" s="67"/>
      <c r="AQ10" s="67"/>
      <c r="AR10" s="68"/>
      <c r="AS10" s="67"/>
      <c r="AT10" s="67"/>
      <c r="AU10" s="67"/>
      <c r="AV10" s="67"/>
      <c r="AW10" s="67"/>
      <c r="AX10" s="67"/>
      <c r="AY10" s="67"/>
      <c r="AZ10" s="67"/>
      <c r="BA10" s="67"/>
      <c r="BB10" s="67"/>
      <c r="BC10" s="67"/>
      <c r="BD10" s="67"/>
      <c r="BE10" s="67"/>
      <c r="BF10" s="67"/>
      <c r="BG10" s="67"/>
      <c r="BH10" s="67"/>
      <c r="BI10" s="67"/>
      <c r="BJ10" s="67"/>
      <c r="BK10" s="67"/>
      <c r="BL10" s="67"/>
      <c r="BM10" s="67"/>
      <c r="BN10" s="67"/>
      <c r="BO10" s="67"/>
      <c r="BP10" s="67"/>
      <c r="BQ10" s="67"/>
      <c r="BR10" s="67"/>
      <c r="BS10" s="67"/>
      <c r="BT10" s="67"/>
      <c r="BU10" s="67"/>
      <c r="BV10" s="67"/>
      <c r="BW10" s="67"/>
      <c r="BX10" s="67"/>
      <c r="BY10" s="67"/>
      <c r="BZ10" s="67"/>
    </row>
    <row r="11" ht="14" customHeight="1" spans="1:82" x14ac:dyDescent="0.25">
      <c r="A11" s="75" t="s">
        <v>85</v>
      </c>
      <c r="B11" s="75" t="s">
        <v>368</v>
      </c>
      <c r="C11" s="76">
        <v>46029</v>
      </c>
      <c r="D11" s="76">
        <v>46253</v>
      </c>
      <c r="E11" s="77">
        <v>1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R11" s="78"/>
    </row>
    <row r="12" ht="14" customHeight="1" spans="1:82" x14ac:dyDescent="0.25">
      <c r="A12" s="75" t="s">
        <v>85</v>
      </c>
      <c r="B12" s="75" t="s">
        <v>369</v>
      </c>
      <c r="C12" s="76">
        <v>46029</v>
      </c>
      <c r="D12" s="76">
        <v>46107</v>
      </c>
      <c r="E12" s="77">
        <v>1</v>
      </c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AR12" s="78"/>
    </row>
    <row r="13" ht="14" customHeight="1" spans="1:82" s="69" customFormat="1" x14ac:dyDescent="0.25" outlineLevel="1" collapsed="1">
      <c r="A13" s="69" t="s">
        <v>103</v>
      </c>
      <c r="B13" s="69" t="s">
        <v>370</v>
      </c>
      <c r="C13" s="70">
        <v>46029</v>
      </c>
      <c r="D13" s="70">
        <v>46056</v>
      </c>
      <c r="E13" s="71">
        <v>1</v>
      </c>
      <c r="F13" s="79"/>
      <c r="G13" s="79"/>
      <c r="H13" s="79"/>
      <c r="I13" s="79"/>
      <c r="J13" s="7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73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  <c r="BQ13" s="69"/>
      <c r="BR13" s="69"/>
      <c r="BS13" s="69"/>
      <c r="BT13" s="69"/>
      <c r="BU13" s="69"/>
      <c r="BV13" s="69"/>
      <c r="BW13" s="69"/>
      <c r="BX13" s="69"/>
      <c r="BY13" s="69"/>
      <c r="BZ13" s="69"/>
      <c r="CA13" s="69"/>
      <c r="CB13" s="69"/>
      <c r="CC13" s="69"/>
      <c r="CD13" s="69"/>
    </row>
    <row r="14" ht="14" customHeight="1" spans="1:82" s="69" customFormat="1" x14ac:dyDescent="0.25" outlineLevel="1" collapsed="1">
      <c r="A14" s="69" t="s">
        <v>105</v>
      </c>
      <c r="B14" s="69" t="s">
        <v>371</v>
      </c>
      <c r="C14" s="70">
        <v>46043</v>
      </c>
      <c r="D14" s="70">
        <v>46087</v>
      </c>
      <c r="E14" s="71">
        <v>1</v>
      </c>
      <c r="F14" s="69"/>
      <c r="G14" s="69"/>
      <c r="H14" s="79"/>
      <c r="I14" s="79"/>
      <c r="J14" s="79"/>
      <c r="K14" s="79"/>
      <c r="L14" s="79"/>
      <c r="M14" s="79"/>
      <c r="N14" s="7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73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  <c r="BQ14" s="69"/>
      <c r="BR14" s="69"/>
      <c r="BS14" s="69"/>
      <c r="BT14" s="69"/>
      <c r="BU14" s="69"/>
      <c r="BV14" s="69"/>
      <c r="BW14" s="69"/>
      <c r="BX14" s="69"/>
      <c r="BY14" s="69"/>
      <c r="BZ14" s="69"/>
      <c r="CA14" s="69"/>
      <c r="CB14" s="69"/>
      <c r="CC14" s="69"/>
      <c r="CD14" s="69"/>
    </row>
    <row r="15" ht="14" customHeight="1" spans="1:82" s="69" customFormat="1" x14ac:dyDescent="0.25" outlineLevel="1" collapsed="1">
      <c r="A15" s="69" t="s">
        <v>107</v>
      </c>
      <c r="B15" s="69" t="s">
        <v>372</v>
      </c>
      <c r="C15" s="70">
        <v>46062</v>
      </c>
      <c r="D15" s="70">
        <v>46107</v>
      </c>
      <c r="E15" s="71">
        <v>1</v>
      </c>
      <c r="F15" s="69"/>
      <c r="G15" s="69"/>
      <c r="H15" s="69"/>
      <c r="I15" s="69"/>
      <c r="J15" s="69"/>
      <c r="K15" s="79"/>
      <c r="L15" s="79"/>
      <c r="M15" s="79"/>
      <c r="N15" s="79"/>
      <c r="O15" s="79"/>
      <c r="P15" s="79"/>
      <c r="Q15" s="7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73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  <c r="BQ15" s="69"/>
      <c r="BR15" s="69"/>
      <c r="BS15" s="69"/>
      <c r="BT15" s="69"/>
      <c r="BU15" s="69"/>
      <c r="BV15" s="69"/>
      <c r="BW15" s="69"/>
      <c r="BX15" s="69"/>
      <c r="BY15" s="69"/>
      <c r="BZ15" s="69"/>
      <c r="CA15" s="69"/>
      <c r="CB15" s="69"/>
      <c r="CC15" s="69"/>
      <c r="CD15" s="69"/>
    </row>
    <row r="16" ht="14" customHeight="1" spans="1:82" s="69" customFormat="1" x14ac:dyDescent="0.25" outlineLevel="1" collapsed="1">
      <c r="A16" s="69" t="s">
        <v>109</v>
      </c>
      <c r="B16" s="69" t="s">
        <v>373</v>
      </c>
      <c r="C16" s="70">
        <v>46090</v>
      </c>
      <c r="D16" s="70">
        <v>46107</v>
      </c>
      <c r="E16" s="71">
        <v>1</v>
      </c>
      <c r="F16" s="69"/>
      <c r="G16" s="69"/>
      <c r="H16" s="69"/>
      <c r="I16" s="69"/>
      <c r="J16" s="69"/>
      <c r="K16" s="69"/>
      <c r="L16" s="69"/>
      <c r="M16" s="69"/>
      <c r="N16" s="69"/>
      <c r="O16" s="79"/>
      <c r="P16" s="79"/>
      <c r="Q16" s="7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73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  <c r="BQ16" s="69"/>
      <c r="BR16" s="69"/>
      <c r="BS16" s="69"/>
      <c r="BT16" s="69"/>
      <c r="BU16" s="69"/>
      <c r="BV16" s="69"/>
      <c r="BW16" s="69"/>
      <c r="BX16" s="69"/>
      <c r="BY16" s="69"/>
      <c r="BZ16" s="69"/>
      <c r="CA16" s="69"/>
      <c r="CB16" s="69"/>
      <c r="CC16" s="69"/>
      <c r="CD16" s="69"/>
    </row>
    <row r="17" ht="14" customHeight="1" spans="1:82" x14ac:dyDescent="0.25">
      <c r="A17" s="75" t="s">
        <v>85</v>
      </c>
      <c r="B17" s="75" t="s">
        <v>374</v>
      </c>
      <c r="C17" s="76">
        <v>46090</v>
      </c>
      <c r="D17" s="76">
        <v>46184</v>
      </c>
      <c r="E17" s="77">
        <v>1</v>
      </c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R17" s="78"/>
    </row>
    <row r="18" ht="14" customHeight="1" spans="1:82" s="69" customFormat="1" x14ac:dyDescent="0.25" outlineLevel="1" collapsed="1">
      <c r="A18" s="69" t="s">
        <v>112</v>
      </c>
      <c r="B18" s="69" t="s">
        <v>375</v>
      </c>
      <c r="C18" s="70">
        <v>46090</v>
      </c>
      <c r="D18" s="70">
        <v>46099</v>
      </c>
      <c r="E18" s="71">
        <v>1</v>
      </c>
      <c r="F18" s="69"/>
      <c r="G18" s="69"/>
      <c r="H18" s="69"/>
      <c r="I18" s="69"/>
      <c r="J18" s="69"/>
      <c r="K18" s="69"/>
      <c r="L18" s="69"/>
      <c r="M18" s="69"/>
      <c r="N18" s="69"/>
      <c r="O18" s="79"/>
      <c r="P18" s="7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73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  <c r="BQ18" s="69"/>
      <c r="BR18" s="69"/>
      <c r="BS18" s="69"/>
      <c r="BT18" s="69"/>
      <c r="BU18" s="69"/>
      <c r="BV18" s="69"/>
      <c r="BW18" s="69"/>
      <c r="BX18" s="69"/>
      <c r="BY18" s="69"/>
      <c r="BZ18" s="69"/>
      <c r="CA18" s="69"/>
      <c r="CB18" s="69"/>
      <c r="CC18" s="69"/>
      <c r="CD18" s="69"/>
    </row>
    <row r="19" ht="14" customHeight="1" spans="1:82" s="69" customFormat="1" x14ac:dyDescent="0.25" outlineLevel="1" collapsed="1">
      <c r="A19" s="69" t="s">
        <v>114</v>
      </c>
      <c r="B19" s="69" t="s">
        <v>376</v>
      </c>
      <c r="C19" s="70">
        <v>46104</v>
      </c>
      <c r="D19" s="70">
        <v>46160</v>
      </c>
      <c r="E19" s="71">
        <v>1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79"/>
      <c r="R19" s="79"/>
      <c r="S19" s="79"/>
      <c r="T19" s="79"/>
      <c r="U19" s="79"/>
      <c r="V19" s="79"/>
      <c r="W19" s="79"/>
      <c r="X19" s="79"/>
      <c r="Y19" s="7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73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  <c r="BQ19" s="69"/>
      <c r="BR19" s="69"/>
      <c r="BS19" s="69"/>
      <c r="BT19" s="69"/>
      <c r="BU19" s="69"/>
      <c r="BV19" s="69"/>
      <c r="BW19" s="69"/>
      <c r="BX19" s="69"/>
      <c r="BY19" s="69"/>
      <c r="BZ19" s="69"/>
      <c r="CA19" s="69"/>
      <c r="CB19" s="69"/>
      <c r="CC19" s="69"/>
      <c r="CD19" s="69"/>
    </row>
    <row r="20" ht="14" customHeight="1" spans="1:82" s="69" customFormat="1" x14ac:dyDescent="0.25" outlineLevel="1" collapsed="1">
      <c r="A20" s="69" t="s">
        <v>116</v>
      </c>
      <c r="B20" s="69" t="s">
        <v>377</v>
      </c>
      <c r="C20" s="70">
        <v>46109</v>
      </c>
      <c r="D20" s="70">
        <v>46122</v>
      </c>
      <c r="E20" s="71">
        <v>1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79"/>
      <c r="R20" s="79"/>
      <c r="S20" s="7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73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  <c r="BQ20" s="69"/>
      <c r="BR20" s="69"/>
      <c r="BS20" s="69"/>
      <c r="BT20" s="69"/>
      <c r="BU20" s="69"/>
      <c r="BV20" s="69"/>
      <c r="BW20" s="69"/>
      <c r="BX20" s="69"/>
      <c r="BY20" s="69"/>
      <c r="BZ20" s="69"/>
      <c r="CA20" s="69"/>
      <c r="CB20" s="69"/>
      <c r="CC20" s="69"/>
      <c r="CD20" s="69"/>
    </row>
    <row r="21" ht="14" customHeight="1" spans="1:82" s="69" customFormat="1" x14ac:dyDescent="0.25" outlineLevel="1" collapsed="1">
      <c r="A21" s="69" t="s">
        <v>118</v>
      </c>
      <c r="B21" s="69" t="s">
        <v>378</v>
      </c>
      <c r="C21" s="70">
        <v>46123</v>
      </c>
      <c r="D21" s="70">
        <v>46184</v>
      </c>
      <c r="E21" s="71">
        <v>1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73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  <c r="BQ21" s="69"/>
      <c r="BR21" s="69"/>
      <c r="BS21" s="69"/>
      <c r="BT21" s="69"/>
      <c r="BU21" s="69"/>
      <c r="BV21" s="69"/>
      <c r="BW21" s="69"/>
      <c r="BX21" s="69"/>
      <c r="BY21" s="69"/>
      <c r="BZ21" s="69"/>
      <c r="CA21" s="69"/>
      <c r="CB21" s="69"/>
      <c r="CC21" s="69"/>
      <c r="CD21" s="69"/>
    </row>
    <row r="22" ht="14" customHeight="1" spans="1:82" x14ac:dyDescent="0.25">
      <c r="A22" s="75" t="s">
        <v>85</v>
      </c>
      <c r="B22" s="75" t="s">
        <v>379</v>
      </c>
      <c r="C22" s="76">
        <v>46031</v>
      </c>
      <c r="D22" s="76">
        <v>46253</v>
      </c>
      <c r="E22" s="77">
        <v>1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  <c r="AA22" s="6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R22" s="78"/>
    </row>
    <row r="23" ht="14" customHeight="1" spans="1:82" s="69" customFormat="1" x14ac:dyDescent="0.25" outlineLevel="1" collapsed="1">
      <c r="A23" s="69" t="s">
        <v>122</v>
      </c>
      <c r="B23" s="69" t="s">
        <v>380</v>
      </c>
      <c r="C23" s="70">
        <v>46031</v>
      </c>
      <c r="D23" s="70">
        <v>46036</v>
      </c>
      <c r="E23" s="71">
        <v>1</v>
      </c>
      <c r="F23" s="79"/>
      <c r="G23" s="7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73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  <c r="BQ23" s="69"/>
      <c r="BR23" s="69"/>
      <c r="BS23" s="69"/>
      <c r="BT23" s="69"/>
      <c r="BU23" s="69"/>
      <c r="BV23" s="69"/>
      <c r="BW23" s="69"/>
      <c r="BX23" s="69"/>
      <c r="BY23" s="69"/>
      <c r="BZ23" s="69"/>
      <c r="CA23" s="69"/>
      <c r="CB23" s="69"/>
      <c r="CC23" s="69"/>
      <c r="CD23" s="69"/>
    </row>
    <row r="24" ht="14" customHeight="1" spans="1:82" s="69" customFormat="1" x14ac:dyDescent="0.25" outlineLevel="1" collapsed="1">
      <c r="A24" s="69" t="s">
        <v>124</v>
      </c>
      <c r="B24" s="69" t="s">
        <v>381</v>
      </c>
      <c r="C24" s="70">
        <v>46056</v>
      </c>
      <c r="D24" s="70">
        <v>46071</v>
      </c>
      <c r="E24" s="71">
        <v>1</v>
      </c>
      <c r="F24" s="69"/>
      <c r="G24" s="69"/>
      <c r="H24" s="69"/>
      <c r="I24" s="69"/>
      <c r="J24" s="79"/>
      <c r="K24" s="79"/>
      <c r="L24" s="7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73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  <c r="BQ24" s="69"/>
      <c r="BR24" s="69"/>
      <c r="BS24" s="69"/>
      <c r="BT24" s="69"/>
      <c r="BU24" s="69"/>
      <c r="BV24" s="69"/>
      <c r="BW24" s="69"/>
      <c r="BX24" s="69"/>
      <c r="BY24" s="69"/>
      <c r="BZ24" s="69"/>
      <c r="CA24" s="69"/>
      <c r="CB24" s="69"/>
      <c r="CC24" s="69"/>
      <c r="CD24" s="69"/>
    </row>
    <row r="25" ht="14" customHeight="1" spans="1:82" s="69" customFormat="1" x14ac:dyDescent="0.25" outlineLevel="1" collapsed="1">
      <c r="A25" s="69" t="s">
        <v>126</v>
      </c>
      <c r="B25" s="69" t="s">
        <v>382</v>
      </c>
      <c r="C25" s="70">
        <v>46065</v>
      </c>
      <c r="D25" s="70">
        <v>46100</v>
      </c>
      <c r="E25" s="71">
        <v>1</v>
      </c>
      <c r="F25" s="69"/>
      <c r="G25" s="69"/>
      <c r="H25" s="69"/>
      <c r="I25" s="69"/>
      <c r="J25" s="69"/>
      <c r="K25" s="79"/>
      <c r="L25" s="79"/>
      <c r="M25" s="79"/>
      <c r="N25" s="79"/>
      <c r="O25" s="79"/>
      <c r="P25" s="79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73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  <c r="BQ25" s="69"/>
      <c r="BR25" s="69"/>
      <c r="BS25" s="69"/>
      <c r="BT25" s="69"/>
      <c r="BU25" s="69"/>
      <c r="BV25" s="69"/>
      <c r="BW25" s="69"/>
      <c r="BX25" s="69"/>
      <c r="BY25" s="69"/>
      <c r="BZ25" s="69"/>
      <c r="CA25" s="69"/>
      <c r="CB25" s="69"/>
      <c r="CC25" s="69"/>
      <c r="CD25" s="69"/>
    </row>
    <row r="26" ht="14" customHeight="1" spans="1:82" s="69" customFormat="1" x14ac:dyDescent="0.25" outlineLevel="1" collapsed="1">
      <c r="A26" s="69" t="s">
        <v>128</v>
      </c>
      <c r="B26" s="69" t="s">
        <v>383</v>
      </c>
      <c r="C26" s="70">
        <v>46106</v>
      </c>
      <c r="D26" s="70">
        <v>46125</v>
      </c>
      <c r="E26" s="71">
        <v>1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79"/>
      <c r="R26" s="79"/>
      <c r="S26" s="79"/>
      <c r="T26" s="7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73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  <c r="BQ26" s="69"/>
      <c r="BR26" s="69"/>
      <c r="BS26" s="69"/>
      <c r="BT26" s="69"/>
      <c r="BU26" s="69"/>
      <c r="BV26" s="69"/>
      <c r="BW26" s="69"/>
      <c r="BX26" s="69"/>
      <c r="BY26" s="69"/>
      <c r="BZ26" s="69"/>
      <c r="CA26" s="69"/>
      <c r="CB26" s="69"/>
      <c r="CC26" s="69"/>
      <c r="CD26" s="69"/>
    </row>
    <row r="27" ht="14" customHeight="1" spans="1:82" s="69" customFormat="1" x14ac:dyDescent="0.25" outlineLevel="1" collapsed="1">
      <c r="A27" s="69" t="s">
        <v>130</v>
      </c>
      <c r="B27" s="69" t="s">
        <v>384</v>
      </c>
      <c r="C27" s="70">
        <v>46128</v>
      </c>
      <c r="D27" s="70">
        <v>46185</v>
      </c>
      <c r="E27" s="71">
        <v>1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79"/>
      <c r="U27" s="79"/>
      <c r="V27" s="79"/>
      <c r="W27" s="79"/>
      <c r="X27" s="79"/>
      <c r="Y27" s="79"/>
      <c r="Z27" s="79"/>
      <c r="AA27" s="79"/>
      <c r="AB27" s="7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73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  <c r="BQ27" s="69"/>
      <c r="BR27" s="69"/>
      <c r="BS27" s="69"/>
      <c r="BT27" s="69"/>
      <c r="BU27" s="69"/>
      <c r="BV27" s="69"/>
      <c r="BW27" s="69"/>
      <c r="BX27" s="69"/>
      <c r="BY27" s="69"/>
      <c r="BZ27" s="69"/>
      <c r="CA27" s="69"/>
      <c r="CB27" s="69"/>
      <c r="CC27" s="69"/>
      <c r="CD27" s="69"/>
    </row>
    <row r="28" ht="14" customHeight="1" spans="1:82" s="69" customFormat="1" x14ac:dyDescent="0.25" outlineLevel="1" collapsed="1">
      <c r="A28" s="69" t="s">
        <v>132</v>
      </c>
      <c r="B28" s="69" t="s">
        <v>385</v>
      </c>
      <c r="C28" s="70">
        <v>46154</v>
      </c>
      <c r="D28" s="70">
        <v>46185</v>
      </c>
      <c r="E28" s="71">
        <v>1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79"/>
      <c r="Y28" s="79"/>
      <c r="Z28" s="79"/>
      <c r="AA28" s="79"/>
      <c r="AB28" s="7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73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  <c r="BQ28" s="69"/>
      <c r="BR28" s="69"/>
      <c r="BS28" s="69"/>
      <c r="BT28" s="69"/>
      <c r="BU28" s="69"/>
      <c r="BV28" s="69"/>
      <c r="BW28" s="69"/>
      <c r="BX28" s="69"/>
      <c r="BY28" s="69"/>
      <c r="BZ28" s="69"/>
      <c r="CA28" s="69"/>
      <c r="CB28" s="69"/>
      <c r="CC28" s="69"/>
      <c r="CD28" s="69"/>
    </row>
    <row r="29" ht="14" customHeight="1" spans="1:82" s="69" customFormat="1" x14ac:dyDescent="0.25" outlineLevel="1" collapsed="1">
      <c r="A29" s="69" t="s">
        <v>134</v>
      </c>
      <c r="B29" s="69" t="s">
        <v>386</v>
      </c>
      <c r="C29" s="70">
        <v>46185</v>
      </c>
      <c r="D29" s="70">
        <v>46209</v>
      </c>
      <c r="E29" s="71">
        <v>1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79"/>
      <c r="AC29" s="79"/>
      <c r="AD29" s="79"/>
      <c r="AE29" s="79"/>
      <c r="AF29" s="7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73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  <c r="BQ29" s="69"/>
      <c r="BR29" s="69"/>
      <c r="BS29" s="69"/>
      <c r="BT29" s="69"/>
      <c r="BU29" s="69"/>
      <c r="BV29" s="69"/>
      <c r="BW29" s="69"/>
      <c r="BX29" s="69"/>
      <c r="BY29" s="69"/>
      <c r="BZ29" s="69"/>
      <c r="CA29" s="69"/>
      <c r="CB29" s="69"/>
      <c r="CC29" s="69"/>
      <c r="CD29" s="69"/>
    </row>
    <row r="30" ht="14" customHeight="1" spans="1:82" s="69" customFormat="1" x14ac:dyDescent="0.25" outlineLevel="1" collapsed="1">
      <c r="A30" s="69" t="s">
        <v>136</v>
      </c>
      <c r="B30" s="69" t="s">
        <v>387</v>
      </c>
      <c r="C30" s="70">
        <v>46190</v>
      </c>
      <c r="D30" s="70">
        <v>46232</v>
      </c>
      <c r="E30" s="71">
        <v>1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79"/>
      <c r="AD30" s="79"/>
      <c r="AE30" s="79"/>
      <c r="AF30" s="79"/>
      <c r="AG30" s="79"/>
      <c r="AH30" s="79"/>
      <c r="AI30" s="79"/>
      <c r="AJ30" s="69"/>
      <c r="AK30" s="69"/>
      <c r="AL30" s="69"/>
      <c r="AM30" s="69"/>
      <c r="AN30" s="69"/>
      <c r="AO30" s="69"/>
      <c r="AP30" s="69"/>
      <c r="AQ30" s="69"/>
      <c r="AR30" s="73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  <c r="BQ30" s="69"/>
      <c r="BR30" s="69"/>
      <c r="BS30" s="69"/>
      <c r="BT30" s="69"/>
      <c r="BU30" s="69"/>
      <c r="BV30" s="69"/>
      <c r="BW30" s="69"/>
      <c r="BX30" s="69"/>
      <c r="BY30" s="69"/>
      <c r="BZ30" s="69"/>
      <c r="CA30" s="69"/>
      <c r="CB30" s="69"/>
      <c r="CC30" s="69"/>
      <c r="CD30" s="69"/>
    </row>
    <row r="31" ht="14" customHeight="1" spans="1:82" s="69" customFormat="1" x14ac:dyDescent="0.25" outlineLevel="1" collapsed="1">
      <c r="A31" s="69" t="s">
        <v>138</v>
      </c>
      <c r="B31" s="69" t="s">
        <v>388</v>
      </c>
      <c r="C31" s="70">
        <v>46212</v>
      </c>
      <c r="D31" s="70">
        <v>46248</v>
      </c>
      <c r="E31" s="71">
        <v>1</v>
      </c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79"/>
      <c r="AG31" s="79"/>
      <c r="AH31" s="79"/>
      <c r="AI31" s="79"/>
      <c r="AJ31" s="79"/>
      <c r="AK31" s="79"/>
      <c r="AL31" s="69"/>
      <c r="AM31" s="69"/>
      <c r="AN31" s="69"/>
      <c r="AO31" s="69"/>
      <c r="AP31" s="69"/>
      <c r="AQ31" s="69"/>
      <c r="AR31" s="73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  <c r="BQ31" s="69"/>
      <c r="BR31" s="69"/>
      <c r="BS31" s="69"/>
      <c r="BT31" s="69"/>
      <c r="BU31" s="69"/>
      <c r="BV31" s="69"/>
      <c r="BW31" s="69"/>
      <c r="BX31" s="69"/>
      <c r="BY31" s="69"/>
      <c r="BZ31" s="69"/>
      <c r="CA31" s="69"/>
      <c r="CB31" s="69"/>
      <c r="CC31" s="69"/>
      <c r="CD31" s="69"/>
    </row>
    <row r="32" ht="14" customHeight="1" spans="1:82" s="69" customFormat="1" x14ac:dyDescent="0.25" outlineLevel="1" collapsed="1">
      <c r="A32" s="69" t="s">
        <v>140</v>
      </c>
      <c r="B32" s="69" t="s">
        <v>389</v>
      </c>
      <c r="C32" s="70">
        <v>46238</v>
      </c>
      <c r="D32" s="70">
        <v>46251</v>
      </c>
      <c r="E32" s="71">
        <v>1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79"/>
      <c r="AK32" s="79"/>
      <c r="AL32" s="79"/>
      <c r="AM32" s="69"/>
      <c r="AN32" s="69"/>
      <c r="AO32" s="69"/>
      <c r="AP32" s="69"/>
      <c r="AQ32" s="69"/>
      <c r="AR32" s="73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  <c r="BQ32" s="69"/>
      <c r="BR32" s="69"/>
      <c r="BS32" s="69"/>
      <c r="BT32" s="69"/>
      <c r="BU32" s="69"/>
      <c r="BV32" s="69"/>
      <c r="BW32" s="69"/>
      <c r="BX32" s="69"/>
      <c r="BY32" s="69"/>
      <c r="BZ32" s="69"/>
      <c r="CA32" s="69"/>
      <c r="CB32" s="69"/>
      <c r="CC32" s="69"/>
      <c r="CD32" s="69"/>
    </row>
    <row r="33" ht="14" customHeight="1" spans="1:82" s="69" customFormat="1" x14ac:dyDescent="0.25" outlineLevel="1" collapsed="1">
      <c r="A33" s="69" t="s">
        <v>142</v>
      </c>
      <c r="B33" s="69" t="s">
        <v>390</v>
      </c>
      <c r="C33" s="70">
        <v>46253</v>
      </c>
      <c r="D33" s="70">
        <v>46253</v>
      </c>
      <c r="E33" s="71">
        <v>1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72" t="s">
        <v>365</v>
      </c>
      <c r="AM33" s="69"/>
      <c r="AN33" s="69"/>
      <c r="AO33" s="69"/>
      <c r="AP33" s="69"/>
      <c r="AQ33" s="69"/>
      <c r="AR33" s="73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  <c r="BQ33" s="69"/>
      <c r="BR33" s="69"/>
      <c r="BS33" s="69"/>
      <c r="BT33" s="69"/>
      <c r="BU33" s="69"/>
      <c r="BV33" s="69"/>
      <c r="BW33" s="69"/>
      <c r="BX33" s="69"/>
      <c r="BY33" s="69"/>
      <c r="BZ33" s="69"/>
      <c r="CA33" s="69"/>
      <c r="CB33" s="69"/>
      <c r="CC33" s="69"/>
      <c r="CD33" s="69"/>
    </row>
    <row r="34" ht="14" customHeight="1" spans="1:82" x14ac:dyDescent="0.25">
      <c r="A34" s="75" t="s">
        <v>85</v>
      </c>
      <c r="B34" s="75" t="s">
        <v>391</v>
      </c>
      <c r="C34" s="76">
        <v>46042</v>
      </c>
      <c r="D34" s="76">
        <v>46430</v>
      </c>
      <c r="E34" s="77">
        <v>0.7263500678426053</v>
      </c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7"/>
      <c r="AK34" s="67"/>
      <c r="AL34" s="67"/>
      <c r="AM34" s="67"/>
      <c r="AN34" s="67"/>
      <c r="AO34" s="67"/>
      <c r="AP34" s="67"/>
      <c r="AQ34" s="67"/>
      <c r="AR34" s="68"/>
      <c r="AS34" s="67"/>
      <c r="AT34" s="67"/>
      <c r="AU34" s="67"/>
      <c r="AV34" s="67"/>
      <c r="AW34" s="67"/>
      <c r="AX34" s="67"/>
      <c r="AY34" s="67"/>
      <c r="AZ34" s="67"/>
      <c r="BA34" s="67"/>
      <c r="BB34" s="67"/>
      <c r="BC34" s="67"/>
      <c r="BD34" s="67"/>
      <c r="BE34" s="67"/>
      <c r="BF34" s="67"/>
      <c r="BG34" s="67"/>
      <c r="BH34" s="67"/>
      <c r="BI34" s="67"/>
      <c r="BJ34" s="67"/>
      <c r="BK34" s="67"/>
    </row>
    <row r="35" ht="14" customHeight="1" spans="1:82" x14ac:dyDescent="0.25">
      <c r="A35" s="75" t="s">
        <v>85</v>
      </c>
      <c r="B35" s="75" t="s">
        <v>369</v>
      </c>
      <c r="C35" s="76">
        <v>46049</v>
      </c>
      <c r="D35" s="76">
        <v>46163</v>
      </c>
      <c r="E35" s="77">
        <v>1</v>
      </c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AR35" s="78"/>
    </row>
    <row r="36" ht="14" customHeight="1" spans="1:82" s="69" customFormat="1" x14ac:dyDescent="0.25" outlineLevel="1" collapsed="1">
      <c r="A36" s="69" t="s">
        <v>146</v>
      </c>
      <c r="B36" s="69" t="s">
        <v>370</v>
      </c>
      <c r="C36" s="70">
        <v>46049</v>
      </c>
      <c r="D36" s="70">
        <v>46084</v>
      </c>
      <c r="E36" s="71">
        <v>1</v>
      </c>
      <c r="F36" s="69"/>
      <c r="G36" s="69"/>
      <c r="H36" s="69"/>
      <c r="I36" s="79"/>
      <c r="J36" s="79"/>
      <c r="K36" s="79"/>
      <c r="L36" s="79"/>
      <c r="M36" s="79"/>
      <c r="N36" s="7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73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  <c r="BQ36" s="69"/>
      <c r="BR36" s="69"/>
      <c r="BS36" s="69"/>
      <c r="BT36" s="69"/>
      <c r="BU36" s="69"/>
      <c r="BV36" s="69"/>
      <c r="BW36" s="69"/>
      <c r="BX36" s="69"/>
      <c r="BY36" s="69"/>
      <c r="BZ36" s="69"/>
      <c r="CA36" s="69"/>
      <c r="CB36" s="69"/>
      <c r="CC36" s="69"/>
      <c r="CD36" s="69"/>
    </row>
    <row r="37" ht="14" customHeight="1" spans="1:82" s="69" customFormat="1" x14ac:dyDescent="0.25" outlineLevel="1" collapsed="1">
      <c r="A37" s="69" t="s">
        <v>147</v>
      </c>
      <c r="B37" s="69" t="s">
        <v>371</v>
      </c>
      <c r="C37" s="70">
        <v>46065</v>
      </c>
      <c r="D37" s="70">
        <v>46127</v>
      </c>
      <c r="E37" s="71">
        <v>1</v>
      </c>
      <c r="F37" s="69"/>
      <c r="G37" s="69"/>
      <c r="H37" s="69"/>
      <c r="I37" s="69"/>
      <c r="J37" s="6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73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  <c r="BQ37" s="69"/>
      <c r="BR37" s="69"/>
      <c r="BS37" s="69"/>
      <c r="BT37" s="69"/>
      <c r="BU37" s="69"/>
      <c r="BV37" s="69"/>
      <c r="BW37" s="69"/>
      <c r="BX37" s="69"/>
      <c r="BY37" s="69"/>
      <c r="BZ37" s="69"/>
      <c r="CA37" s="69"/>
      <c r="CB37" s="69"/>
      <c r="CC37" s="69"/>
      <c r="CD37" s="69"/>
    </row>
    <row r="38" ht="14" customHeight="1" spans="1:82" s="69" customFormat="1" x14ac:dyDescent="0.25" outlineLevel="1" collapsed="1">
      <c r="A38" s="69" t="s">
        <v>148</v>
      </c>
      <c r="B38" s="69" t="s">
        <v>372</v>
      </c>
      <c r="C38" s="70">
        <v>46092</v>
      </c>
      <c r="D38" s="70">
        <v>46163</v>
      </c>
      <c r="E38" s="71">
        <v>1</v>
      </c>
      <c r="F38" s="69"/>
      <c r="G38" s="69"/>
      <c r="H38" s="69"/>
      <c r="I38" s="69"/>
      <c r="J38" s="69"/>
      <c r="K38" s="69"/>
      <c r="L38" s="69"/>
      <c r="M38" s="69"/>
      <c r="N38" s="6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73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  <c r="BQ38" s="69"/>
      <c r="BR38" s="69"/>
      <c r="BS38" s="69"/>
      <c r="BT38" s="69"/>
      <c r="BU38" s="69"/>
      <c r="BV38" s="69"/>
      <c r="BW38" s="69"/>
      <c r="BX38" s="69"/>
      <c r="BY38" s="69"/>
      <c r="BZ38" s="69"/>
      <c r="CA38" s="69"/>
      <c r="CB38" s="69"/>
      <c r="CC38" s="69"/>
      <c r="CD38" s="69"/>
    </row>
    <row r="39" ht="14" customHeight="1" spans="1:82" s="69" customFormat="1" x14ac:dyDescent="0.25" outlineLevel="1" collapsed="1">
      <c r="A39" s="69" t="s">
        <v>149</v>
      </c>
      <c r="B39" s="69" t="s">
        <v>373</v>
      </c>
      <c r="C39" s="70">
        <v>46136</v>
      </c>
      <c r="D39" s="70">
        <v>46163</v>
      </c>
      <c r="E39" s="71">
        <v>1</v>
      </c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79"/>
      <c r="V39" s="79"/>
      <c r="W39" s="79"/>
      <c r="X39" s="79"/>
      <c r="Y39" s="7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73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  <c r="BQ39" s="69"/>
      <c r="BR39" s="69"/>
      <c r="BS39" s="69"/>
      <c r="BT39" s="69"/>
      <c r="BU39" s="69"/>
      <c r="BV39" s="69"/>
      <c r="BW39" s="69"/>
      <c r="BX39" s="69"/>
      <c r="BY39" s="69"/>
      <c r="BZ39" s="69"/>
      <c r="CA39" s="69"/>
      <c r="CB39" s="69"/>
      <c r="CC39" s="69"/>
      <c r="CD39" s="69"/>
    </row>
    <row r="40" ht="14" customHeight="1" spans="1:82" x14ac:dyDescent="0.25">
      <c r="A40" s="75" t="s">
        <v>85</v>
      </c>
      <c r="B40" s="75" t="s">
        <v>374</v>
      </c>
      <c r="C40" s="76">
        <v>46133</v>
      </c>
      <c r="D40" s="76">
        <v>46333</v>
      </c>
      <c r="E40" s="77">
        <v>0.856588785046729</v>
      </c>
      <c r="U40" s="67"/>
      <c r="V40" s="67"/>
      <c r="W40" s="67"/>
      <c r="X40" s="67"/>
      <c r="Y40" s="67"/>
      <c r="Z40" s="67"/>
      <c r="AA40" s="67"/>
      <c r="AB40" s="67"/>
      <c r="AC40" s="67"/>
      <c r="AD40" s="67"/>
      <c r="AE40" s="67"/>
      <c r="AF40" s="67"/>
      <c r="AG40" s="67"/>
      <c r="AH40" s="67"/>
      <c r="AI40" s="67"/>
      <c r="AJ40" s="67"/>
      <c r="AK40" s="67"/>
      <c r="AL40" s="67"/>
      <c r="AM40" s="67"/>
      <c r="AN40" s="67"/>
      <c r="AO40" s="67"/>
      <c r="AP40" s="67"/>
      <c r="AQ40" s="67"/>
      <c r="AR40" s="68"/>
      <c r="AS40" s="67"/>
      <c r="AT40" s="67"/>
      <c r="AU40" s="67"/>
      <c r="AV40" s="67"/>
      <c r="AW40" s="67"/>
    </row>
    <row r="41" ht="14" customHeight="1" spans="1:82" s="69" customFormat="1" x14ac:dyDescent="0.25" outlineLevel="1" collapsed="1">
      <c r="A41" s="69" t="s">
        <v>151</v>
      </c>
      <c r="B41" s="69" t="s">
        <v>375</v>
      </c>
      <c r="C41" s="70">
        <v>46133</v>
      </c>
      <c r="D41" s="70">
        <v>46155</v>
      </c>
      <c r="E41" s="71">
        <v>1</v>
      </c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9"/>
      <c r="V41" s="79"/>
      <c r="W41" s="79"/>
      <c r="X41" s="7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73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  <c r="BQ41" s="69"/>
      <c r="BR41" s="69"/>
      <c r="BS41" s="69"/>
      <c r="BT41" s="69"/>
      <c r="BU41" s="69"/>
      <c r="BV41" s="69"/>
      <c r="BW41" s="69"/>
      <c r="BX41" s="69"/>
      <c r="BY41" s="69"/>
      <c r="BZ41" s="69"/>
      <c r="CA41" s="69"/>
      <c r="CB41" s="69"/>
      <c r="CC41" s="69"/>
      <c r="CD41" s="69"/>
    </row>
    <row r="42" ht="14" customHeight="1" spans="1:82" s="69" customFormat="1" x14ac:dyDescent="0.25" outlineLevel="1" collapsed="1">
      <c r="A42" s="69" t="s">
        <v>152</v>
      </c>
      <c r="B42" s="69" t="s">
        <v>376</v>
      </c>
      <c r="C42" s="70">
        <v>46161</v>
      </c>
      <c r="D42" s="70">
        <v>46261</v>
      </c>
      <c r="E42" s="71">
        <v>1</v>
      </c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79"/>
      <c r="AM42" s="79"/>
      <c r="AN42" s="69"/>
      <c r="AO42" s="69"/>
      <c r="AP42" s="69"/>
      <c r="AQ42" s="69"/>
      <c r="AR42" s="73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  <c r="BQ42" s="69"/>
      <c r="BR42" s="69"/>
      <c r="BS42" s="69"/>
      <c r="BT42" s="69"/>
      <c r="BU42" s="69"/>
      <c r="BV42" s="69"/>
      <c r="BW42" s="69"/>
      <c r="BX42" s="69"/>
      <c r="BY42" s="69"/>
      <c r="BZ42" s="69"/>
      <c r="CA42" s="69"/>
      <c r="CB42" s="69"/>
      <c r="CC42" s="69"/>
      <c r="CD42" s="69"/>
    </row>
    <row r="43" ht="14" customHeight="1" spans="1:82" s="69" customFormat="1" x14ac:dyDescent="0.25" outlineLevel="1" collapsed="1">
      <c r="A43" s="69" t="s">
        <v>153</v>
      </c>
      <c r="B43" s="69" t="s">
        <v>377</v>
      </c>
      <c r="C43" s="70">
        <v>46171</v>
      </c>
      <c r="D43" s="70">
        <v>46191</v>
      </c>
      <c r="E43" s="71">
        <v>1</v>
      </c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79"/>
      <c r="AA43" s="79"/>
      <c r="AB43" s="79"/>
      <c r="AC43" s="7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73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  <c r="BQ43" s="69"/>
      <c r="BR43" s="69"/>
      <c r="BS43" s="69"/>
      <c r="BT43" s="69"/>
      <c r="BU43" s="69"/>
      <c r="BV43" s="69"/>
      <c r="BW43" s="69"/>
      <c r="BX43" s="69"/>
      <c r="BY43" s="69"/>
      <c r="BZ43" s="69"/>
      <c r="CA43" s="69"/>
      <c r="CB43" s="69"/>
      <c r="CC43" s="69"/>
      <c r="CD43" s="69"/>
    </row>
    <row r="44" ht="14" customHeight="1" spans="1:82" s="69" customFormat="1" x14ac:dyDescent="0.25" outlineLevel="1" collapsed="1">
      <c r="A44" s="69" t="s">
        <v>154</v>
      </c>
      <c r="B44" s="69" t="s">
        <v>378</v>
      </c>
      <c r="C44" s="70">
        <v>46195</v>
      </c>
      <c r="D44" s="70">
        <v>46333</v>
      </c>
      <c r="E44" s="71">
        <v>0.69</v>
      </c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79"/>
      <c r="AE44" s="79"/>
      <c r="AF44" s="79"/>
      <c r="AG44" s="79"/>
      <c r="AH44" s="79"/>
      <c r="AI44" s="79"/>
      <c r="AJ44" s="79"/>
      <c r="AK44" s="79"/>
      <c r="AL44" s="79"/>
      <c r="AM44" s="79"/>
      <c r="AN44" s="79"/>
      <c r="AO44" s="79"/>
      <c r="AP44" s="79"/>
      <c r="AQ44" s="79"/>
      <c r="AR44" s="80"/>
      <c r="AS44" s="81"/>
      <c r="AT44" s="81"/>
      <c r="AU44" s="81"/>
      <c r="AV44" s="81"/>
      <c r="AW44" s="81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  <c r="BQ44" s="69"/>
      <c r="BR44" s="69"/>
      <c r="BS44" s="69"/>
      <c r="BT44" s="69"/>
      <c r="BU44" s="69"/>
      <c r="BV44" s="69"/>
      <c r="BW44" s="69"/>
      <c r="BX44" s="69"/>
      <c r="BY44" s="69"/>
      <c r="BZ44" s="69"/>
      <c r="CA44" s="69"/>
      <c r="CB44" s="69"/>
      <c r="CC44" s="69"/>
      <c r="CD44" s="69"/>
    </row>
    <row r="45" ht="14" customHeight="1" spans="1:82" x14ac:dyDescent="0.25">
      <c r="A45" s="75" t="s">
        <v>85</v>
      </c>
      <c r="B45" s="75" t="s">
        <v>379</v>
      </c>
      <c r="C45" s="76">
        <v>46042</v>
      </c>
      <c r="D45" s="76">
        <v>46430</v>
      </c>
      <c r="E45" s="77">
        <v>0.5558701298701298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  <c r="AO45" s="67"/>
      <c r="AP45" s="67"/>
      <c r="AQ45" s="67"/>
      <c r="AR45" s="68"/>
      <c r="AS45" s="67"/>
      <c r="AT45" s="67"/>
      <c r="AU45" s="67"/>
      <c r="AV45" s="67"/>
      <c r="AW45" s="67"/>
      <c r="AX45" s="67"/>
      <c r="AY45" s="67"/>
      <c r="AZ45" s="67"/>
      <c r="BA45" s="67"/>
      <c r="BB45" s="67"/>
      <c r="BC45" s="67"/>
      <c r="BD45" s="67"/>
      <c r="BE45" s="67"/>
      <c r="BF45" s="67"/>
      <c r="BG45" s="67"/>
      <c r="BH45" s="67"/>
      <c r="BI45" s="67"/>
      <c r="BJ45" s="67"/>
      <c r="BK45" s="67"/>
    </row>
    <row r="46" ht="14" customHeight="1" spans="1:82" s="69" customFormat="1" x14ac:dyDescent="0.25" outlineLevel="1" collapsed="1">
      <c r="A46" s="69" t="s">
        <v>156</v>
      </c>
      <c r="B46" s="69" t="s">
        <v>380</v>
      </c>
      <c r="C46" s="70">
        <v>46042</v>
      </c>
      <c r="D46" s="70">
        <v>46053</v>
      </c>
      <c r="E46" s="71">
        <v>1</v>
      </c>
      <c r="F46" s="69"/>
      <c r="G46" s="69"/>
      <c r="H46" s="79"/>
      <c r="I46" s="7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73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  <c r="BQ46" s="69"/>
      <c r="BR46" s="69"/>
      <c r="BS46" s="69"/>
      <c r="BT46" s="69"/>
      <c r="BU46" s="69"/>
      <c r="BV46" s="69"/>
      <c r="BW46" s="69"/>
      <c r="BX46" s="69"/>
      <c r="BY46" s="69"/>
      <c r="BZ46" s="69"/>
      <c r="CA46" s="69"/>
      <c r="CB46" s="69"/>
      <c r="CC46" s="69"/>
      <c r="CD46" s="69"/>
    </row>
    <row r="47" ht="14" customHeight="1" spans="1:82" s="69" customFormat="1" x14ac:dyDescent="0.25" outlineLevel="1" collapsed="1">
      <c r="A47" s="69" t="s">
        <v>157</v>
      </c>
      <c r="B47" s="69" t="s">
        <v>381</v>
      </c>
      <c r="C47" s="70">
        <v>46087</v>
      </c>
      <c r="D47" s="70">
        <v>46118</v>
      </c>
      <c r="E47" s="71">
        <v>1</v>
      </c>
      <c r="F47" s="69"/>
      <c r="G47" s="69"/>
      <c r="H47" s="69"/>
      <c r="I47" s="69"/>
      <c r="J47" s="69"/>
      <c r="K47" s="69"/>
      <c r="L47" s="69"/>
      <c r="M47" s="69"/>
      <c r="N47" s="79"/>
      <c r="O47" s="79"/>
      <c r="P47" s="79"/>
      <c r="Q47" s="79"/>
      <c r="R47" s="79"/>
      <c r="S47" s="7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73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C47" s="69"/>
      <c r="CD47" s="69"/>
    </row>
    <row r="48" ht="14" customHeight="1" spans="1:82" s="69" customFormat="1" x14ac:dyDescent="0.25" outlineLevel="1" collapsed="1">
      <c r="A48" s="69" t="s">
        <v>158</v>
      </c>
      <c r="B48" s="69" t="s">
        <v>382</v>
      </c>
      <c r="C48" s="70">
        <v>46101</v>
      </c>
      <c r="D48" s="70">
        <v>46148</v>
      </c>
      <c r="E48" s="71">
        <v>1</v>
      </c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79"/>
      <c r="Q48" s="79"/>
      <c r="R48" s="79"/>
      <c r="S48" s="79"/>
      <c r="T48" s="79"/>
      <c r="U48" s="79"/>
      <c r="V48" s="79"/>
      <c r="W48" s="7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73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C48" s="69"/>
      <c r="CD48" s="69"/>
    </row>
    <row r="49" ht="14" customHeight="1" spans="1:82" s="69" customFormat="1" x14ac:dyDescent="0.25" outlineLevel="1" collapsed="1">
      <c r="A49" s="69" t="s">
        <v>159</v>
      </c>
      <c r="B49" s="69" t="s">
        <v>383</v>
      </c>
      <c r="C49" s="70">
        <v>46153</v>
      </c>
      <c r="D49" s="70">
        <v>46176</v>
      </c>
      <c r="E49" s="71">
        <v>1</v>
      </c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79"/>
      <c r="Y49" s="79"/>
      <c r="Z49" s="79"/>
      <c r="AA49" s="7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73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  <c r="BQ49" s="69"/>
      <c r="BR49" s="69"/>
      <c r="BS49" s="69"/>
      <c r="BT49" s="69"/>
      <c r="BU49" s="69"/>
      <c r="BV49" s="69"/>
      <c r="BW49" s="69"/>
      <c r="BX49" s="69"/>
      <c r="BY49" s="69"/>
      <c r="BZ49" s="69"/>
      <c r="CA49" s="69"/>
      <c r="CB49" s="69"/>
      <c r="CC49" s="69"/>
      <c r="CD49" s="69"/>
    </row>
    <row r="50" ht="14" customHeight="1" spans="1:82" s="69" customFormat="1" x14ac:dyDescent="0.25" outlineLevel="1" collapsed="1">
      <c r="A50" s="69" t="s">
        <v>160</v>
      </c>
      <c r="B50" s="69" t="s">
        <v>384</v>
      </c>
      <c r="C50" s="70">
        <v>46186</v>
      </c>
      <c r="D50" s="70">
        <v>46308</v>
      </c>
      <c r="E50" s="71">
        <v>0.88</v>
      </c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79"/>
      <c r="AC50" s="79"/>
      <c r="AD50" s="79"/>
      <c r="AE50" s="79"/>
      <c r="AF50" s="79"/>
      <c r="AG50" s="79"/>
      <c r="AH50" s="79"/>
      <c r="AI50" s="79"/>
      <c r="AJ50" s="79"/>
      <c r="AK50" s="79"/>
      <c r="AL50" s="79"/>
      <c r="AM50" s="79"/>
      <c r="AN50" s="79"/>
      <c r="AO50" s="79"/>
      <c r="AP50" s="79"/>
      <c r="AQ50" s="79"/>
      <c r="AR50" s="80"/>
      <c r="AS50" s="81"/>
      <c r="AT50" s="81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  <c r="BQ50" s="69"/>
      <c r="BR50" s="69"/>
      <c r="BS50" s="69"/>
      <c r="BT50" s="69"/>
      <c r="BU50" s="69"/>
      <c r="BV50" s="69"/>
      <c r="BW50" s="69"/>
      <c r="BX50" s="69"/>
      <c r="BY50" s="69"/>
      <c r="BZ50" s="69"/>
      <c r="CA50" s="69"/>
      <c r="CB50" s="69"/>
      <c r="CC50" s="69"/>
      <c r="CD50" s="69"/>
    </row>
    <row r="51" ht="14" customHeight="1" spans="1:82" s="69" customFormat="1" x14ac:dyDescent="0.25" outlineLevel="1" collapsed="1">
      <c r="A51" s="69" t="s">
        <v>161</v>
      </c>
      <c r="B51" s="69" t="s">
        <v>385</v>
      </c>
      <c r="C51" s="70">
        <v>46214</v>
      </c>
      <c r="D51" s="70">
        <v>46307</v>
      </c>
      <c r="E51" s="71">
        <v>0.84</v>
      </c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79"/>
      <c r="AG51" s="79"/>
      <c r="AH51" s="79"/>
      <c r="AI51" s="79"/>
      <c r="AJ51" s="79"/>
      <c r="AK51" s="79"/>
      <c r="AL51" s="79"/>
      <c r="AM51" s="79"/>
      <c r="AN51" s="79"/>
      <c r="AO51" s="79"/>
      <c r="AP51" s="79"/>
      <c r="AQ51" s="79"/>
      <c r="AR51" s="80"/>
      <c r="AS51" s="81"/>
      <c r="AT51" s="81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  <c r="BQ51" s="69"/>
      <c r="BR51" s="69"/>
      <c r="BS51" s="69"/>
      <c r="BT51" s="69"/>
      <c r="BU51" s="69"/>
      <c r="BV51" s="69"/>
      <c r="BW51" s="69"/>
      <c r="BX51" s="69"/>
      <c r="BY51" s="69"/>
      <c r="BZ51" s="69"/>
      <c r="CA51" s="69"/>
      <c r="CB51" s="69"/>
      <c r="CC51" s="69"/>
      <c r="CD51" s="69"/>
    </row>
    <row r="52" ht="14" customHeight="1" spans="1:82" s="69" customFormat="1" x14ac:dyDescent="0.25" outlineLevel="1" collapsed="1">
      <c r="A52" s="69" t="s">
        <v>163</v>
      </c>
      <c r="B52" s="69" t="s">
        <v>386</v>
      </c>
      <c r="C52" s="70">
        <v>46293</v>
      </c>
      <c r="D52" s="70">
        <v>46333</v>
      </c>
      <c r="E52" s="71">
        <v>0.15</v>
      </c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80"/>
      <c r="AS52" s="81"/>
      <c r="AT52" s="81"/>
      <c r="AU52" s="81"/>
      <c r="AV52" s="81"/>
      <c r="AW52" s="81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  <c r="BQ52" s="69"/>
      <c r="BR52" s="69"/>
      <c r="BS52" s="69"/>
      <c r="BT52" s="69"/>
      <c r="BU52" s="69"/>
      <c r="BV52" s="69"/>
      <c r="BW52" s="69"/>
      <c r="BX52" s="69"/>
      <c r="BY52" s="69"/>
      <c r="BZ52" s="69"/>
      <c r="CA52" s="69"/>
      <c r="CB52" s="69"/>
      <c r="CC52" s="69"/>
      <c r="CD52" s="69"/>
    </row>
    <row r="53" ht="14" customHeight="1" spans="1:82" s="69" customFormat="1" x14ac:dyDescent="0.25" outlineLevel="1" collapsed="1">
      <c r="A53" s="69" t="s">
        <v>165</v>
      </c>
      <c r="B53" s="69" t="s">
        <v>387</v>
      </c>
      <c r="C53" s="70">
        <v>46336</v>
      </c>
      <c r="D53" s="70">
        <v>46409</v>
      </c>
      <c r="E53" s="71">
        <v>0</v>
      </c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73"/>
      <c r="AS53" s="69"/>
      <c r="AT53" s="69"/>
      <c r="AU53" s="69"/>
      <c r="AV53" s="69"/>
      <c r="AW53" s="69"/>
      <c r="AX53" s="81"/>
      <c r="AY53" s="81"/>
      <c r="AZ53" s="81"/>
      <c r="BA53" s="81"/>
      <c r="BB53" s="81"/>
      <c r="BC53" s="81"/>
      <c r="BD53" s="81"/>
      <c r="BE53" s="81"/>
      <c r="BF53" s="81"/>
      <c r="BG53" s="81"/>
      <c r="BH53" s="81"/>
      <c r="BI53" s="69"/>
      <c r="BJ53" s="69"/>
      <c r="BK53" s="69"/>
      <c r="BL53" s="69"/>
      <c r="BM53" s="69"/>
      <c r="BN53" s="69"/>
      <c r="BO53" s="69"/>
      <c r="BP53" s="69"/>
      <c r="BQ53" s="69"/>
      <c r="BR53" s="69"/>
      <c r="BS53" s="69"/>
      <c r="BT53" s="69"/>
      <c r="BU53" s="69"/>
      <c r="BV53" s="69"/>
      <c r="BW53" s="69"/>
      <c r="BX53" s="69"/>
      <c r="BY53" s="69"/>
      <c r="BZ53" s="69"/>
      <c r="CA53" s="69"/>
      <c r="CB53" s="69"/>
      <c r="CC53" s="69"/>
      <c r="CD53" s="69"/>
    </row>
    <row r="54" ht="14" customHeight="1" spans="1:82" s="69" customFormat="1" x14ac:dyDescent="0.25" outlineLevel="1" collapsed="1">
      <c r="A54" s="69" t="s">
        <v>166</v>
      </c>
      <c r="B54" s="69" t="s">
        <v>388</v>
      </c>
      <c r="C54" s="70">
        <v>46336</v>
      </c>
      <c r="D54" s="70">
        <v>46389</v>
      </c>
      <c r="E54" s="71">
        <v>0</v>
      </c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73"/>
      <c r="AS54" s="69"/>
      <c r="AT54" s="69"/>
      <c r="AU54" s="69"/>
      <c r="AV54" s="69"/>
      <c r="AW54" s="69"/>
      <c r="AX54" s="81"/>
      <c r="AY54" s="81"/>
      <c r="AZ54" s="81"/>
      <c r="BA54" s="81"/>
      <c r="BB54" s="81"/>
      <c r="BC54" s="81"/>
      <c r="BD54" s="81"/>
      <c r="BE54" s="81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  <c r="BQ54" s="69"/>
      <c r="BR54" s="69"/>
      <c r="BS54" s="69"/>
      <c r="BT54" s="69"/>
      <c r="BU54" s="69"/>
      <c r="BV54" s="69"/>
      <c r="BW54" s="69"/>
      <c r="BX54" s="69"/>
      <c r="BY54" s="69"/>
      <c r="BZ54" s="69"/>
      <c r="CA54" s="69"/>
      <c r="CB54" s="69"/>
      <c r="CC54" s="69"/>
      <c r="CD54" s="69"/>
    </row>
    <row r="55" ht="14" customHeight="1" spans="1:82" s="69" customFormat="1" x14ac:dyDescent="0.25" outlineLevel="1" collapsed="1">
      <c r="A55" s="69" t="s">
        <v>167</v>
      </c>
      <c r="B55" s="69" t="s">
        <v>389</v>
      </c>
      <c r="C55" s="70">
        <v>46410</v>
      </c>
      <c r="D55" s="70">
        <v>46430</v>
      </c>
      <c r="E55" s="71">
        <v>0</v>
      </c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73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81"/>
      <c r="BI55" s="81"/>
      <c r="BJ55" s="81"/>
      <c r="BK55" s="81"/>
      <c r="BL55" s="69"/>
      <c r="BM55" s="69"/>
      <c r="BN55" s="69"/>
      <c r="BO55" s="69"/>
      <c r="BP55" s="69"/>
      <c r="BQ55" s="69"/>
      <c r="BR55" s="69"/>
      <c r="BS55" s="69"/>
      <c r="BT55" s="69"/>
      <c r="BU55" s="69"/>
      <c r="BV55" s="69"/>
      <c r="BW55" s="69"/>
      <c r="BX55" s="69"/>
      <c r="BY55" s="69"/>
      <c r="BZ55" s="69"/>
      <c r="CA55" s="69"/>
      <c r="CB55" s="69"/>
      <c r="CC55" s="69"/>
      <c r="CD55" s="69"/>
    </row>
    <row r="56" ht="14" customHeight="1" spans="1:82" s="69" customFormat="1" x14ac:dyDescent="0.25" outlineLevel="1" collapsed="1">
      <c r="A56" s="69" t="s">
        <v>168</v>
      </c>
      <c r="B56" s="69" t="s">
        <v>390</v>
      </c>
      <c r="C56" s="70">
        <v>46430</v>
      </c>
      <c r="D56" s="70">
        <v>46430</v>
      </c>
      <c r="E56" s="71">
        <v>0</v>
      </c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73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82" t="s">
        <v>365</v>
      </c>
      <c r="BL56" s="69"/>
      <c r="BM56" s="69"/>
      <c r="BN56" s="69"/>
      <c r="BO56" s="69"/>
      <c r="BP56" s="69"/>
      <c r="BQ56" s="69"/>
      <c r="BR56" s="69"/>
      <c r="BS56" s="69"/>
      <c r="BT56" s="69"/>
      <c r="BU56" s="69"/>
      <c r="BV56" s="69"/>
      <c r="BW56" s="69"/>
      <c r="BX56" s="69"/>
      <c r="BY56" s="69"/>
      <c r="BZ56" s="69"/>
      <c r="CA56" s="69"/>
      <c r="CB56" s="69"/>
      <c r="CC56" s="69"/>
      <c r="CD56" s="69"/>
    </row>
    <row r="57" ht="14" customHeight="1" spans="1:82" x14ac:dyDescent="0.25">
      <c r="A57" s="75" t="s">
        <v>85</v>
      </c>
      <c r="B57" s="75" t="s">
        <v>392</v>
      </c>
      <c r="C57" s="76">
        <v>46051</v>
      </c>
      <c r="D57" s="76">
        <v>46531</v>
      </c>
      <c r="E57" s="77">
        <v>0.6061142217245241</v>
      </c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  <c r="AP57" s="67"/>
      <c r="AQ57" s="67"/>
      <c r="AR57" s="68"/>
      <c r="AS57" s="67"/>
      <c r="AT57" s="67"/>
      <c r="AU57" s="67"/>
      <c r="AV57" s="67"/>
      <c r="AW57" s="67"/>
      <c r="AX57" s="67"/>
      <c r="AY57" s="67"/>
      <c r="AZ57" s="67"/>
      <c r="BA57" s="67"/>
      <c r="BB57" s="67"/>
      <c r="BC57" s="67"/>
      <c r="BD57" s="67"/>
      <c r="BE57" s="67"/>
      <c r="BF57" s="67"/>
      <c r="BG57" s="67"/>
      <c r="BH57" s="67"/>
      <c r="BI57" s="67"/>
      <c r="BJ57" s="67"/>
      <c r="BK57" s="67"/>
      <c r="BL57" s="67"/>
      <c r="BM57" s="67"/>
      <c r="BN57" s="67"/>
      <c r="BO57" s="67"/>
      <c r="BP57" s="67"/>
      <c r="BQ57" s="67"/>
      <c r="BR57" s="67"/>
      <c r="BS57" s="67"/>
      <c r="BT57" s="67"/>
      <c r="BU57" s="67"/>
      <c r="BV57" s="67"/>
      <c r="BW57" s="67"/>
      <c r="BX57" s="67"/>
      <c r="BY57" s="67"/>
      <c r="BZ57" s="67"/>
    </row>
    <row r="58" ht="14" customHeight="1" spans="1:82" x14ac:dyDescent="0.25">
      <c r="A58" s="75" t="s">
        <v>85</v>
      </c>
      <c r="B58" s="75" t="s">
        <v>369</v>
      </c>
      <c r="C58" s="76">
        <v>46059</v>
      </c>
      <c r="D58" s="76">
        <v>46212</v>
      </c>
      <c r="E58" s="77">
        <v>1</v>
      </c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R58" s="78"/>
    </row>
    <row r="59" ht="14" customHeight="1" spans="1:82" s="69" customFormat="1" x14ac:dyDescent="0.25" outlineLevel="1" collapsed="1">
      <c r="A59" s="69" t="s">
        <v>172</v>
      </c>
      <c r="B59" s="69" t="s">
        <v>370</v>
      </c>
      <c r="C59" s="70">
        <v>46059</v>
      </c>
      <c r="D59" s="70">
        <v>46106</v>
      </c>
      <c r="E59" s="71">
        <v>1</v>
      </c>
      <c r="F59" s="69"/>
      <c r="G59" s="69"/>
      <c r="H59" s="69"/>
      <c r="I59" s="69"/>
      <c r="J59" s="79"/>
      <c r="K59" s="79"/>
      <c r="L59" s="79"/>
      <c r="M59" s="79"/>
      <c r="N59" s="79"/>
      <c r="O59" s="79"/>
      <c r="P59" s="79"/>
      <c r="Q59" s="7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73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  <c r="BQ59" s="69"/>
      <c r="BR59" s="69"/>
      <c r="BS59" s="69"/>
      <c r="BT59" s="69"/>
      <c r="BU59" s="69"/>
      <c r="BV59" s="69"/>
      <c r="BW59" s="69"/>
      <c r="BX59" s="69"/>
      <c r="BY59" s="69"/>
      <c r="BZ59" s="69"/>
      <c r="CA59" s="69"/>
      <c r="CB59" s="69"/>
      <c r="CC59" s="69"/>
      <c r="CD59" s="69"/>
    </row>
    <row r="60" ht="14" customHeight="1" spans="1:82" s="69" customFormat="1" x14ac:dyDescent="0.25" outlineLevel="1" collapsed="1">
      <c r="A60" s="69" t="s">
        <v>173</v>
      </c>
      <c r="B60" s="69" t="s">
        <v>371</v>
      </c>
      <c r="C60" s="70">
        <v>46070</v>
      </c>
      <c r="D60" s="70">
        <v>46136</v>
      </c>
      <c r="E60" s="71">
        <v>1</v>
      </c>
      <c r="F60" s="69"/>
      <c r="G60" s="69"/>
      <c r="H60" s="69"/>
      <c r="I60" s="69"/>
      <c r="J60" s="69"/>
      <c r="K60" s="6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73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  <c r="BQ60" s="69"/>
      <c r="BR60" s="69"/>
      <c r="BS60" s="69"/>
      <c r="BT60" s="69"/>
      <c r="BU60" s="69"/>
      <c r="BV60" s="69"/>
      <c r="BW60" s="69"/>
      <c r="BX60" s="69"/>
      <c r="BY60" s="69"/>
      <c r="BZ60" s="69"/>
      <c r="CA60" s="69"/>
      <c r="CB60" s="69"/>
      <c r="CC60" s="69"/>
      <c r="CD60" s="69"/>
    </row>
    <row r="61" ht="14" customHeight="1" spans="1:82" s="69" customFormat="1" x14ac:dyDescent="0.25" outlineLevel="1" collapsed="1">
      <c r="A61" s="69" t="s">
        <v>174</v>
      </c>
      <c r="B61" s="69" t="s">
        <v>372</v>
      </c>
      <c r="C61" s="70">
        <v>46112</v>
      </c>
      <c r="D61" s="70">
        <v>46212</v>
      </c>
      <c r="E61" s="71">
        <v>1</v>
      </c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73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  <c r="BQ61" s="69"/>
      <c r="BR61" s="69"/>
      <c r="BS61" s="69"/>
      <c r="BT61" s="69"/>
      <c r="BU61" s="69"/>
      <c r="BV61" s="69"/>
      <c r="BW61" s="69"/>
      <c r="BX61" s="69"/>
      <c r="BY61" s="69"/>
      <c r="BZ61" s="69"/>
      <c r="CA61" s="69"/>
      <c r="CB61" s="69"/>
      <c r="CC61" s="69"/>
      <c r="CD61" s="69"/>
    </row>
    <row r="62" ht="14" customHeight="1" spans="1:82" s="69" customFormat="1" x14ac:dyDescent="0.25" outlineLevel="1" collapsed="1">
      <c r="A62" s="69" t="s">
        <v>175</v>
      </c>
      <c r="B62" s="69" t="s">
        <v>373</v>
      </c>
      <c r="C62" s="70">
        <v>46160</v>
      </c>
      <c r="D62" s="70">
        <v>46212</v>
      </c>
      <c r="E62" s="71">
        <v>1</v>
      </c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79"/>
      <c r="Z62" s="79"/>
      <c r="AA62" s="79"/>
      <c r="AB62" s="79"/>
      <c r="AC62" s="79"/>
      <c r="AD62" s="79"/>
      <c r="AE62" s="79"/>
      <c r="AF62" s="7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73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  <c r="BQ62" s="69"/>
      <c r="BR62" s="69"/>
      <c r="BS62" s="69"/>
      <c r="BT62" s="69"/>
      <c r="BU62" s="69"/>
      <c r="BV62" s="69"/>
      <c r="BW62" s="69"/>
      <c r="BX62" s="69"/>
      <c r="BY62" s="69"/>
      <c r="BZ62" s="69"/>
      <c r="CA62" s="69"/>
      <c r="CB62" s="69"/>
      <c r="CC62" s="69"/>
      <c r="CD62" s="69"/>
    </row>
    <row r="63" ht="14" customHeight="1" spans="1:82" x14ac:dyDescent="0.25">
      <c r="A63" s="75" t="s">
        <v>85</v>
      </c>
      <c r="B63" s="75" t="s">
        <v>374</v>
      </c>
      <c r="C63" s="76">
        <v>46143</v>
      </c>
      <c r="D63" s="76">
        <v>46394</v>
      </c>
      <c r="E63" s="77">
        <v>0.6454065040650405</v>
      </c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  <c r="AP63" s="67"/>
      <c r="AQ63" s="67"/>
      <c r="AR63" s="68"/>
      <c r="AS63" s="67"/>
      <c r="AT63" s="67"/>
      <c r="AU63" s="67"/>
      <c r="AV63" s="67"/>
      <c r="AW63" s="67"/>
      <c r="AX63" s="67"/>
      <c r="AY63" s="67"/>
      <c r="AZ63" s="67"/>
      <c r="BA63" s="67"/>
      <c r="BB63" s="67"/>
      <c r="BC63" s="67"/>
      <c r="BD63" s="67"/>
      <c r="BE63" s="67"/>
      <c r="BF63" s="67"/>
    </row>
    <row r="64" ht="14" customHeight="1" spans="1:82" s="69" customFormat="1" x14ac:dyDescent="0.25" outlineLevel="1" collapsed="1">
      <c r="A64" s="69" t="s">
        <v>177</v>
      </c>
      <c r="B64" s="69" t="s">
        <v>375</v>
      </c>
      <c r="C64" s="70">
        <v>46143</v>
      </c>
      <c r="D64" s="70">
        <v>46168</v>
      </c>
      <c r="E64" s="71">
        <v>1</v>
      </c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79"/>
      <c r="W64" s="79"/>
      <c r="X64" s="79"/>
      <c r="Y64" s="79"/>
      <c r="Z64" s="7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73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  <c r="BQ64" s="69"/>
      <c r="BR64" s="69"/>
      <c r="BS64" s="69"/>
      <c r="BT64" s="69"/>
      <c r="BU64" s="69"/>
      <c r="BV64" s="69"/>
      <c r="BW64" s="69"/>
      <c r="BX64" s="69"/>
      <c r="BY64" s="69"/>
      <c r="BZ64" s="69"/>
      <c r="CA64" s="69"/>
      <c r="CB64" s="69"/>
      <c r="CC64" s="69"/>
      <c r="CD64" s="69"/>
    </row>
    <row r="65" ht="14" customHeight="1" spans="1:82" s="69" customFormat="1" x14ac:dyDescent="0.25" outlineLevel="1" collapsed="1">
      <c r="A65" s="69" t="s">
        <v>178</v>
      </c>
      <c r="B65" s="69" t="s">
        <v>376</v>
      </c>
      <c r="C65" s="70">
        <v>46174</v>
      </c>
      <c r="D65" s="70">
        <v>46303</v>
      </c>
      <c r="E65" s="71">
        <v>0.93</v>
      </c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79"/>
      <c r="AB65" s="79"/>
      <c r="AC65" s="79"/>
      <c r="AD65" s="79"/>
      <c r="AE65" s="79"/>
      <c r="AF65" s="79"/>
      <c r="AG65" s="79"/>
      <c r="AH65" s="79"/>
      <c r="AI65" s="79"/>
      <c r="AJ65" s="79"/>
      <c r="AK65" s="79"/>
      <c r="AL65" s="79"/>
      <c r="AM65" s="79"/>
      <c r="AN65" s="79"/>
      <c r="AO65" s="79"/>
      <c r="AP65" s="79"/>
      <c r="AQ65" s="79"/>
      <c r="AR65" s="80"/>
      <c r="AS65" s="81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  <c r="BQ65" s="69"/>
      <c r="BR65" s="69"/>
      <c r="BS65" s="69"/>
      <c r="BT65" s="69"/>
      <c r="BU65" s="69"/>
      <c r="BV65" s="69"/>
      <c r="BW65" s="69"/>
      <c r="BX65" s="69"/>
      <c r="BY65" s="69"/>
      <c r="BZ65" s="69"/>
      <c r="CA65" s="69"/>
      <c r="CB65" s="69"/>
      <c r="CC65" s="69"/>
      <c r="CD65" s="69"/>
    </row>
    <row r="66" ht="14" customHeight="1" spans="1:82" s="69" customFormat="1" x14ac:dyDescent="0.25" outlineLevel="1" collapsed="1">
      <c r="A66" s="69" t="s">
        <v>179</v>
      </c>
      <c r="B66" s="69" t="s">
        <v>377</v>
      </c>
      <c r="C66" s="70">
        <v>46218</v>
      </c>
      <c r="D66" s="70">
        <v>46246</v>
      </c>
      <c r="E66" s="71">
        <v>1</v>
      </c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79"/>
      <c r="AH66" s="79"/>
      <c r="AI66" s="79"/>
      <c r="AJ66" s="79"/>
      <c r="AK66" s="79"/>
      <c r="AL66" s="69"/>
      <c r="AM66" s="69"/>
      <c r="AN66" s="69"/>
      <c r="AO66" s="69"/>
      <c r="AP66" s="69"/>
      <c r="AQ66" s="69"/>
      <c r="AR66" s="73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  <c r="BQ66" s="69"/>
      <c r="BR66" s="69"/>
      <c r="BS66" s="69"/>
      <c r="BT66" s="69"/>
      <c r="BU66" s="69"/>
      <c r="BV66" s="69"/>
      <c r="BW66" s="69"/>
      <c r="BX66" s="69"/>
      <c r="BY66" s="69"/>
      <c r="BZ66" s="69"/>
      <c r="CA66" s="69"/>
      <c r="CB66" s="69"/>
      <c r="CC66" s="69"/>
      <c r="CD66" s="69"/>
    </row>
    <row r="67" ht="14" customHeight="1" spans="1:82" s="69" customFormat="1" x14ac:dyDescent="0.25" outlineLevel="1" collapsed="1">
      <c r="A67" s="69" t="s">
        <v>180</v>
      </c>
      <c r="B67" s="69" t="s">
        <v>378</v>
      </c>
      <c r="C67" s="70">
        <v>46248</v>
      </c>
      <c r="D67" s="70">
        <v>46394</v>
      </c>
      <c r="E67" s="71">
        <v>0.31</v>
      </c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79"/>
      <c r="AL67" s="79"/>
      <c r="AM67" s="79"/>
      <c r="AN67" s="79"/>
      <c r="AO67" s="79"/>
      <c r="AP67" s="79"/>
      <c r="AQ67" s="79"/>
      <c r="AR67" s="80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  <c r="BD67" s="81"/>
      <c r="BE67" s="81"/>
      <c r="BF67" s="81"/>
      <c r="BG67" s="69"/>
      <c r="BH67" s="69"/>
      <c r="BI67" s="69"/>
      <c r="BJ67" s="69"/>
      <c r="BK67" s="69"/>
      <c r="BL67" s="69"/>
      <c r="BM67" s="69"/>
      <c r="BN67" s="69"/>
      <c r="BO67" s="69"/>
      <c r="BP67" s="69"/>
      <c r="BQ67" s="69"/>
      <c r="BR67" s="69"/>
      <c r="BS67" s="69"/>
      <c r="BT67" s="69"/>
      <c r="BU67" s="69"/>
      <c r="BV67" s="69"/>
      <c r="BW67" s="69"/>
      <c r="BX67" s="69"/>
      <c r="BY67" s="69"/>
      <c r="BZ67" s="69"/>
      <c r="CA67" s="69"/>
      <c r="CB67" s="69"/>
      <c r="CC67" s="69"/>
      <c r="CD67" s="69"/>
    </row>
    <row r="68" ht="14" customHeight="1" spans="1:82" x14ac:dyDescent="0.25">
      <c r="A68" s="75" t="s">
        <v>85</v>
      </c>
      <c r="B68" s="75" t="s">
        <v>379</v>
      </c>
      <c r="C68" s="76">
        <v>46051</v>
      </c>
      <c r="D68" s="76">
        <v>46531</v>
      </c>
      <c r="E68" s="77">
        <v>0.46346855983772817</v>
      </c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  <c r="AA68" s="67"/>
      <c r="AB68" s="67"/>
      <c r="AC68" s="67"/>
      <c r="AD68" s="67"/>
      <c r="AE68" s="67"/>
      <c r="AF68" s="67"/>
      <c r="AG68" s="67"/>
      <c r="AH68" s="67"/>
      <c r="AI68" s="67"/>
      <c r="AJ68" s="67"/>
      <c r="AK68" s="67"/>
      <c r="AL68" s="67"/>
      <c r="AM68" s="67"/>
      <c r="AN68" s="67"/>
      <c r="AO68" s="67"/>
      <c r="AP68" s="67"/>
      <c r="AQ68" s="67"/>
      <c r="AR68" s="68"/>
      <c r="AS68" s="67"/>
      <c r="AT68" s="67"/>
      <c r="AU68" s="67"/>
      <c r="AV68" s="67"/>
      <c r="AW68" s="67"/>
      <c r="AX68" s="67"/>
      <c r="AY68" s="67"/>
      <c r="AZ68" s="67"/>
      <c r="BA68" s="67"/>
      <c r="BB68" s="67"/>
      <c r="BC68" s="67"/>
      <c r="BD68" s="67"/>
      <c r="BE68" s="67"/>
      <c r="BF68" s="67"/>
      <c r="BG68" s="67"/>
      <c r="BH68" s="67"/>
      <c r="BI68" s="67"/>
      <c r="BJ68" s="67"/>
      <c r="BK68" s="67"/>
      <c r="BL68" s="67"/>
      <c r="BM68" s="67"/>
      <c r="BN68" s="67"/>
      <c r="BO68" s="67"/>
      <c r="BP68" s="67"/>
      <c r="BQ68" s="67"/>
      <c r="BR68" s="67"/>
      <c r="BS68" s="67"/>
      <c r="BT68" s="67"/>
      <c r="BU68" s="67"/>
      <c r="BV68" s="67"/>
      <c r="BW68" s="67"/>
      <c r="BX68" s="67"/>
      <c r="BY68" s="67"/>
      <c r="BZ68" s="67"/>
    </row>
    <row r="69" ht="14" customHeight="1" spans="1:82" s="69" customFormat="1" x14ac:dyDescent="0.25" outlineLevel="1" collapsed="1">
      <c r="A69" s="69" t="s">
        <v>182</v>
      </c>
      <c r="B69" s="69" t="s">
        <v>380</v>
      </c>
      <c r="C69" s="70">
        <v>46051</v>
      </c>
      <c r="D69" s="70">
        <v>46063</v>
      </c>
      <c r="E69" s="71">
        <v>1</v>
      </c>
      <c r="F69" s="69"/>
      <c r="G69" s="69"/>
      <c r="H69" s="69"/>
      <c r="I69" s="79"/>
      <c r="J69" s="79"/>
      <c r="K69" s="7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73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  <c r="BQ69" s="69"/>
      <c r="BR69" s="69"/>
      <c r="BS69" s="69"/>
      <c r="BT69" s="69"/>
      <c r="BU69" s="69"/>
      <c r="BV69" s="69"/>
      <c r="BW69" s="69"/>
      <c r="BX69" s="69"/>
      <c r="BY69" s="69"/>
      <c r="BZ69" s="69"/>
      <c r="CA69" s="69"/>
      <c r="CB69" s="69"/>
      <c r="CC69" s="69"/>
      <c r="CD69" s="69"/>
    </row>
    <row r="70" ht="14" customHeight="1" spans="1:82" s="69" customFormat="1" x14ac:dyDescent="0.25" outlineLevel="1" collapsed="1">
      <c r="A70" s="69" t="s">
        <v>183</v>
      </c>
      <c r="B70" s="69" t="s">
        <v>381</v>
      </c>
      <c r="C70" s="70">
        <v>46084</v>
      </c>
      <c r="D70" s="70">
        <v>46114</v>
      </c>
      <c r="E70" s="71">
        <v>1</v>
      </c>
      <c r="F70" s="69"/>
      <c r="G70" s="69"/>
      <c r="H70" s="69"/>
      <c r="I70" s="69"/>
      <c r="J70" s="69"/>
      <c r="K70" s="69"/>
      <c r="L70" s="69"/>
      <c r="M70" s="69"/>
      <c r="N70" s="79"/>
      <c r="O70" s="79"/>
      <c r="P70" s="79"/>
      <c r="Q70" s="79"/>
      <c r="R70" s="7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73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  <c r="BQ70" s="69"/>
      <c r="BR70" s="69"/>
      <c r="BS70" s="69"/>
      <c r="BT70" s="69"/>
      <c r="BU70" s="69"/>
      <c r="BV70" s="69"/>
      <c r="BW70" s="69"/>
      <c r="BX70" s="69"/>
      <c r="BY70" s="69"/>
      <c r="BZ70" s="69"/>
      <c r="CA70" s="69"/>
      <c r="CB70" s="69"/>
      <c r="CC70" s="69"/>
      <c r="CD70" s="69"/>
    </row>
    <row r="71" ht="14" customHeight="1" spans="1:82" s="69" customFormat="1" x14ac:dyDescent="0.25" outlineLevel="1" collapsed="1">
      <c r="A71" s="69" t="s">
        <v>184</v>
      </c>
      <c r="B71" s="69" t="s">
        <v>382</v>
      </c>
      <c r="C71" s="70">
        <v>46095</v>
      </c>
      <c r="D71" s="70">
        <v>46160</v>
      </c>
      <c r="E71" s="71">
        <v>1</v>
      </c>
      <c r="F71" s="69"/>
      <c r="G71" s="69"/>
      <c r="H71" s="69"/>
      <c r="I71" s="69"/>
      <c r="J71" s="69"/>
      <c r="K71" s="69"/>
      <c r="L71" s="69"/>
      <c r="M71" s="69"/>
      <c r="N71" s="6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73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  <c r="BQ71" s="69"/>
      <c r="BR71" s="69"/>
      <c r="BS71" s="69"/>
      <c r="BT71" s="69"/>
      <c r="BU71" s="69"/>
      <c r="BV71" s="69"/>
      <c r="BW71" s="69"/>
      <c r="BX71" s="69"/>
      <c r="BY71" s="69"/>
      <c r="BZ71" s="69"/>
      <c r="CA71" s="69"/>
      <c r="CB71" s="69"/>
      <c r="CC71" s="69"/>
      <c r="CD71" s="69"/>
    </row>
    <row r="72" ht="14" customHeight="1" spans="1:82" s="69" customFormat="1" x14ac:dyDescent="0.25" outlineLevel="1" collapsed="1">
      <c r="A72" s="69" t="s">
        <v>185</v>
      </c>
      <c r="B72" s="69" t="s">
        <v>383</v>
      </c>
      <c r="C72" s="70">
        <v>46162</v>
      </c>
      <c r="D72" s="70">
        <v>46200</v>
      </c>
      <c r="E72" s="71">
        <v>1</v>
      </c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79"/>
      <c r="Z72" s="79"/>
      <c r="AA72" s="79"/>
      <c r="AB72" s="79"/>
      <c r="AC72" s="79"/>
      <c r="AD72" s="7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73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  <c r="BQ72" s="69"/>
      <c r="BR72" s="69"/>
      <c r="BS72" s="69"/>
      <c r="BT72" s="69"/>
      <c r="BU72" s="69"/>
      <c r="BV72" s="69"/>
      <c r="BW72" s="69"/>
      <c r="BX72" s="69"/>
      <c r="BY72" s="69"/>
      <c r="BZ72" s="69"/>
      <c r="CA72" s="69"/>
      <c r="CB72" s="69"/>
      <c r="CC72" s="69"/>
      <c r="CD72" s="69"/>
    </row>
    <row r="73" ht="14" customHeight="1" spans="1:82" s="69" customFormat="1" x14ac:dyDescent="0.25" outlineLevel="1" collapsed="1">
      <c r="A73" s="69" t="s">
        <v>186</v>
      </c>
      <c r="B73" s="69" t="s">
        <v>384</v>
      </c>
      <c r="C73" s="70">
        <v>46202</v>
      </c>
      <c r="D73" s="70">
        <v>46322</v>
      </c>
      <c r="E73" s="71">
        <v>0.78</v>
      </c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79"/>
      <c r="AF73" s="79"/>
      <c r="AG73" s="79"/>
      <c r="AH73" s="79"/>
      <c r="AI73" s="79"/>
      <c r="AJ73" s="79"/>
      <c r="AK73" s="79"/>
      <c r="AL73" s="79"/>
      <c r="AM73" s="79"/>
      <c r="AN73" s="79"/>
      <c r="AO73" s="79"/>
      <c r="AP73" s="79"/>
      <c r="AQ73" s="79"/>
      <c r="AR73" s="80"/>
      <c r="AS73" s="81"/>
      <c r="AT73" s="81"/>
      <c r="AU73" s="81"/>
      <c r="AV73" s="81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  <c r="BQ73" s="69"/>
      <c r="BR73" s="69"/>
      <c r="BS73" s="69"/>
      <c r="BT73" s="69"/>
      <c r="BU73" s="69"/>
      <c r="BV73" s="69"/>
      <c r="BW73" s="69"/>
      <c r="BX73" s="69"/>
      <c r="BY73" s="69"/>
      <c r="BZ73" s="69"/>
      <c r="CA73" s="69"/>
      <c r="CB73" s="69"/>
      <c r="CC73" s="69"/>
      <c r="CD73" s="69"/>
    </row>
    <row r="74" ht="14" customHeight="1" spans="1:82" s="69" customFormat="1" x14ac:dyDescent="0.25" outlineLevel="1" collapsed="1">
      <c r="A74" s="69" t="s">
        <v>187</v>
      </c>
      <c r="B74" s="69" t="s">
        <v>385</v>
      </c>
      <c r="C74" s="70">
        <v>46228</v>
      </c>
      <c r="D74" s="70">
        <v>46323</v>
      </c>
      <c r="E74" s="71">
        <v>0.63</v>
      </c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79"/>
      <c r="AI74" s="79"/>
      <c r="AJ74" s="79"/>
      <c r="AK74" s="79"/>
      <c r="AL74" s="79"/>
      <c r="AM74" s="79"/>
      <c r="AN74" s="79"/>
      <c r="AO74" s="79"/>
      <c r="AP74" s="79"/>
      <c r="AQ74" s="79"/>
      <c r="AR74" s="80"/>
      <c r="AS74" s="81"/>
      <c r="AT74" s="81"/>
      <c r="AU74" s="81"/>
      <c r="AV74" s="81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  <c r="BQ74" s="69"/>
      <c r="BR74" s="69"/>
      <c r="BS74" s="69"/>
      <c r="BT74" s="69"/>
      <c r="BU74" s="69"/>
      <c r="BV74" s="69"/>
      <c r="BW74" s="69"/>
      <c r="BX74" s="69"/>
      <c r="BY74" s="69"/>
      <c r="BZ74" s="69"/>
      <c r="CA74" s="69"/>
      <c r="CB74" s="69"/>
      <c r="CC74" s="69"/>
      <c r="CD74" s="69"/>
    </row>
    <row r="75" ht="14" customHeight="1" spans="1:82" s="69" customFormat="1" x14ac:dyDescent="0.25" outlineLevel="1" collapsed="1">
      <c r="A75" s="69" t="s">
        <v>188</v>
      </c>
      <c r="B75" s="69" t="s">
        <v>386</v>
      </c>
      <c r="C75" s="70">
        <v>46317</v>
      </c>
      <c r="D75" s="70">
        <v>46371</v>
      </c>
      <c r="E75" s="71">
        <v>0</v>
      </c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73"/>
      <c r="AS75" s="69"/>
      <c r="AT75" s="69"/>
      <c r="AU75" s="81"/>
      <c r="AV75" s="81"/>
      <c r="AW75" s="81"/>
      <c r="AX75" s="81"/>
      <c r="AY75" s="81"/>
      <c r="AZ75" s="81"/>
      <c r="BA75" s="81"/>
      <c r="BB75" s="81"/>
      <c r="BC75" s="81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  <c r="BQ75" s="69"/>
      <c r="BR75" s="69"/>
      <c r="BS75" s="69"/>
      <c r="BT75" s="69"/>
      <c r="BU75" s="69"/>
      <c r="BV75" s="69"/>
      <c r="BW75" s="69"/>
      <c r="BX75" s="69"/>
      <c r="BY75" s="69"/>
      <c r="BZ75" s="69"/>
      <c r="CA75" s="69"/>
      <c r="CB75" s="69"/>
      <c r="CC75" s="69"/>
      <c r="CD75" s="69"/>
    </row>
    <row r="76" ht="14" customHeight="1" spans="1:82" s="69" customFormat="1" x14ac:dyDescent="0.25" outlineLevel="1" collapsed="1">
      <c r="A76" s="69" t="s">
        <v>189</v>
      </c>
      <c r="B76" s="69" t="s">
        <v>388</v>
      </c>
      <c r="C76" s="70">
        <v>46372</v>
      </c>
      <c r="D76" s="70">
        <v>46444</v>
      </c>
      <c r="E76" s="71">
        <v>0</v>
      </c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73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81"/>
      <c r="BD76" s="81"/>
      <c r="BE76" s="81"/>
      <c r="BF76" s="81"/>
      <c r="BG76" s="81"/>
      <c r="BH76" s="81"/>
      <c r="BI76" s="81"/>
      <c r="BJ76" s="81"/>
      <c r="BK76" s="81"/>
      <c r="BL76" s="81"/>
      <c r="BM76" s="81"/>
      <c r="BN76" s="69"/>
      <c r="BO76" s="69"/>
      <c r="BP76" s="69"/>
      <c r="BQ76" s="69"/>
      <c r="BR76" s="69"/>
      <c r="BS76" s="69"/>
      <c r="BT76" s="69"/>
      <c r="BU76" s="69"/>
      <c r="BV76" s="69"/>
      <c r="BW76" s="69"/>
      <c r="BX76" s="69"/>
      <c r="BY76" s="69"/>
      <c r="BZ76" s="69"/>
      <c r="CA76" s="69"/>
      <c r="CB76" s="69"/>
      <c r="CC76" s="69"/>
      <c r="CD76" s="69"/>
    </row>
    <row r="77" ht="14" customHeight="1" spans="1:82" s="69" customFormat="1" x14ac:dyDescent="0.25" outlineLevel="1" collapsed="1">
      <c r="A77" s="69" t="s">
        <v>190</v>
      </c>
      <c r="B77" s="69" t="s">
        <v>387</v>
      </c>
      <c r="C77" s="70">
        <v>46395</v>
      </c>
      <c r="D77" s="70">
        <v>46500</v>
      </c>
      <c r="E77" s="71">
        <v>0</v>
      </c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73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81"/>
      <c r="BG77" s="81"/>
      <c r="BH77" s="81"/>
      <c r="BI77" s="81"/>
      <c r="BJ77" s="81"/>
      <c r="BK77" s="81"/>
      <c r="BL77" s="81"/>
      <c r="BM77" s="81"/>
      <c r="BN77" s="81"/>
      <c r="BO77" s="81"/>
      <c r="BP77" s="81"/>
      <c r="BQ77" s="81"/>
      <c r="BR77" s="81"/>
      <c r="BS77" s="81"/>
      <c r="BT77" s="81"/>
      <c r="BU77" s="81"/>
      <c r="BV77" s="69"/>
      <c r="BW77" s="69"/>
      <c r="BX77" s="69"/>
      <c r="BY77" s="69"/>
      <c r="BZ77" s="69"/>
      <c r="CA77" s="69"/>
      <c r="CB77" s="69"/>
      <c r="CC77" s="69"/>
      <c r="CD77" s="69"/>
    </row>
    <row r="78" ht="14" customHeight="1" spans="1:82" s="69" customFormat="1" x14ac:dyDescent="0.25" outlineLevel="1" collapsed="1">
      <c r="A78" s="69" t="s">
        <v>191</v>
      </c>
      <c r="B78" s="69" t="s">
        <v>389</v>
      </c>
      <c r="C78" s="70">
        <v>46501</v>
      </c>
      <c r="D78" s="70">
        <v>46531</v>
      </c>
      <c r="E78" s="71">
        <v>0</v>
      </c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73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  <c r="BQ78" s="69"/>
      <c r="BR78" s="69"/>
      <c r="BS78" s="69"/>
      <c r="BT78" s="69"/>
      <c r="BU78" s="81"/>
      <c r="BV78" s="81"/>
      <c r="BW78" s="81"/>
      <c r="BX78" s="81"/>
      <c r="BY78" s="81"/>
      <c r="BZ78" s="81"/>
      <c r="CA78" s="69"/>
      <c r="CB78" s="69"/>
      <c r="CC78" s="69"/>
      <c r="CD78" s="69"/>
    </row>
    <row r="79" ht="14" customHeight="1" spans="1:82" s="69" customFormat="1" x14ac:dyDescent="0.25" outlineLevel="1" collapsed="1">
      <c r="A79" s="69" t="s">
        <v>192</v>
      </c>
      <c r="B79" s="69" t="s">
        <v>390</v>
      </c>
      <c r="C79" s="70">
        <v>46531</v>
      </c>
      <c r="D79" s="70">
        <v>46531</v>
      </c>
      <c r="E79" s="71">
        <v>0</v>
      </c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73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  <c r="BQ79" s="69"/>
      <c r="BR79" s="69"/>
      <c r="BS79" s="69"/>
      <c r="BT79" s="69"/>
      <c r="BU79" s="69"/>
      <c r="BV79" s="69"/>
      <c r="BW79" s="69"/>
      <c r="BX79" s="69"/>
      <c r="BY79" s="69"/>
      <c r="BZ79" s="82" t="s">
        <v>365</v>
      </c>
      <c r="CA79" s="69"/>
      <c r="CB79" s="69"/>
      <c r="CC79" s="69"/>
      <c r="CD79" s="69"/>
    </row>
    <row r="80" ht="14" customHeight="1" spans="1:82" x14ac:dyDescent="0.25">
      <c r="A80" s="75" t="s">
        <v>85</v>
      </c>
      <c r="B80" s="75" t="s">
        <v>393</v>
      </c>
      <c r="C80" s="76">
        <v>46083</v>
      </c>
      <c r="D80" s="76">
        <v>46506</v>
      </c>
      <c r="E80" s="77">
        <v>0.4825447570332482</v>
      </c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  <c r="AI80" s="67"/>
      <c r="AJ80" s="67"/>
      <c r="AK80" s="67"/>
      <c r="AL80" s="67"/>
      <c r="AM80" s="67"/>
      <c r="AN80" s="67"/>
      <c r="AO80" s="67"/>
      <c r="AP80" s="67"/>
      <c r="AQ80" s="67"/>
      <c r="AR80" s="68"/>
      <c r="AS80" s="67"/>
      <c r="AT80" s="67"/>
      <c r="AU80" s="67"/>
      <c r="AV80" s="67"/>
      <c r="AW80" s="67"/>
      <c r="AX80" s="67"/>
      <c r="AY80" s="67"/>
      <c r="AZ80" s="67"/>
      <c r="BA80" s="67"/>
      <c r="BB80" s="67"/>
      <c r="BC80" s="67"/>
      <c r="BD80" s="67"/>
      <c r="BE80" s="67"/>
      <c r="BF80" s="67"/>
      <c r="BG80" s="67"/>
      <c r="BH80" s="67"/>
      <c r="BI80" s="67"/>
      <c r="BJ80" s="67"/>
      <c r="BK80" s="67"/>
      <c r="BL80" s="67"/>
      <c r="BM80" s="67"/>
      <c r="BN80" s="67"/>
      <c r="BO80" s="67"/>
      <c r="BP80" s="67"/>
      <c r="BQ80" s="67"/>
      <c r="BR80" s="67"/>
      <c r="BS80" s="67"/>
      <c r="BT80" s="67"/>
      <c r="BU80" s="67"/>
      <c r="BV80" s="67"/>
    </row>
    <row r="81" ht="14" customHeight="1" spans="1:82" x14ac:dyDescent="0.25">
      <c r="A81" s="75" t="s">
        <v>85</v>
      </c>
      <c r="B81" s="75" t="s">
        <v>369</v>
      </c>
      <c r="C81" s="76">
        <v>46097</v>
      </c>
      <c r="D81" s="76">
        <v>46239</v>
      </c>
      <c r="E81" s="77">
        <v>1</v>
      </c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R81" s="78"/>
    </row>
    <row r="82" ht="14" customHeight="1" spans="1:82" s="69" customFormat="1" x14ac:dyDescent="0.25" outlineLevel="1" collapsed="1">
      <c r="A82" s="69" t="s">
        <v>195</v>
      </c>
      <c r="B82" s="69" t="s">
        <v>370</v>
      </c>
      <c r="C82" s="70">
        <v>46097</v>
      </c>
      <c r="D82" s="70">
        <v>46140</v>
      </c>
      <c r="E82" s="71">
        <v>1</v>
      </c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79"/>
      <c r="Q82" s="79"/>
      <c r="R82" s="79"/>
      <c r="S82" s="79"/>
      <c r="T82" s="79"/>
      <c r="U82" s="79"/>
      <c r="V82" s="7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73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  <c r="BQ82" s="69"/>
      <c r="BR82" s="69"/>
      <c r="BS82" s="69"/>
      <c r="BT82" s="69"/>
      <c r="BU82" s="69"/>
      <c r="BV82" s="69"/>
      <c r="BW82" s="69"/>
      <c r="BX82" s="69"/>
      <c r="BY82" s="69"/>
      <c r="BZ82" s="69"/>
      <c r="CA82" s="69"/>
      <c r="CB82" s="69"/>
      <c r="CC82" s="69"/>
      <c r="CD82" s="69"/>
    </row>
    <row r="83" ht="14" customHeight="1" spans="1:82" s="69" customFormat="1" x14ac:dyDescent="0.25" outlineLevel="1" collapsed="1">
      <c r="A83" s="69" t="s">
        <v>196</v>
      </c>
      <c r="B83" s="69" t="s">
        <v>371</v>
      </c>
      <c r="C83" s="70">
        <v>46113</v>
      </c>
      <c r="D83" s="70">
        <v>46167</v>
      </c>
      <c r="E83" s="71">
        <v>1</v>
      </c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79"/>
      <c r="S83" s="79"/>
      <c r="T83" s="79"/>
      <c r="U83" s="79"/>
      <c r="V83" s="79"/>
      <c r="W83" s="79"/>
      <c r="X83" s="79"/>
      <c r="Y83" s="79"/>
      <c r="Z83" s="7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73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  <c r="BQ83" s="69"/>
      <c r="BR83" s="69"/>
      <c r="BS83" s="69"/>
      <c r="BT83" s="69"/>
      <c r="BU83" s="69"/>
      <c r="BV83" s="69"/>
      <c r="BW83" s="69"/>
      <c r="BX83" s="69"/>
      <c r="BY83" s="69"/>
      <c r="BZ83" s="69"/>
      <c r="CA83" s="69"/>
      <c r="CB83" s="69"/>
      <c r="CC83" s="69"/>
      <c r="CD83" s="69"/>
    </row>
    <row r="84" ht="14" customHeight="1" spans="1:82" s="69" customFormat="1" x14ac:dyDescent="0.25" outlineLevel="1" collapsed="1">
      <c r="A84" s="69" t="s">
        <v>197</v>
      </c>
      <c r="B84" s="69" t="s">
        <v>372</v>
      </c>
      <c r="C84" s="70">
        <v>46153</v>
      </c>
      <c r="D84" s="70">
        <v>46239</v>
      </c>
      <c r="E84" s="71">
        <v>1</v>
      </c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69"/>
      <c r="AL84" s="69"/>
      <c r="AM84" s="69"/>
      <c r="AN84" s="69"/>
      <c r="AO84" s="69"/>
      <c r="AP84" s="69"/>
      <c r="AQ84" s="69"/>
      <c r="AR84" s="73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  <c r="BQ84" s="69"/>
      <c r="BR84" s="69"/>
      <c r="BS84" s="69"/>
      <c r="BT84" s="69"/>
      <c r="BU84" s="69"/>
      <c r="BV84" s="69"/>
      <c r="BW84" s="69"/>
      <c r="BX84" s="69"/>
      <c r="BY84" s="69"/>
      <c r="BZ84" s="69"/>
      <c r="CA84" s="69"/>
      <c r="CB84" s="69"/>
      <c r="CC84" s="69"/>
      <c r="CD84" s="69"/>
    </row>
    <row r="85" ht="14" customHeight="1" spans="1:82" s="69" customFormat="1" x14ac:dyDescent="0.25" outlineLevel="1" collapsed="1">
      <c r="A85" s="69" t="s">
        <v>198</v>
      </c>
      <c r="B85" s="69" t="s">
        <v>373</v>
      </c>
      <c r="C85" s="70">
        <v>46190</v>
      </c>
      <c r="D85" s="70">
        <v>46239</v>
      </c>
      <c r="E85" s="71">
        <v>1</v>
      </c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79"/>
      <c r="AD85" s="79"/>
      <c r="AE85" s="79"/>
      <c r="AF85" s="79"/>
      <c r="AG85" s="79"/>
      <c r="AH85" s="79"/>
      <c r="AI85" s="79"/>
      <c r="AJ85" s="79"/>
      <c r="AK85" s="69"/>
      <c r="AL85" s="69"/>
      <c r="AM85" s="69"/>
      <c r="AN85" s="69"/>
      <c r="AO85" s="69"/>
      <c r="AP85" s="69"/>
      <c r="AQ85" s="69"/>
      <c r="AR85" s="73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  <c r="BQ85" s="69"/>
      <c r="BR85" s="69"/>
      <c r="BS85" s="69"/>
      <c r="BT85" s="69"/>
      <c r="BU85" s="69"/>
      <c r="BV85" s="69"/>
      <c r="BW85" s="69"/>
      <c r="BX85" s="69"/>
      <c r="BY85" s="69"/>
      <c r="BZ85" s="69"/>
      <c r="CA85" s="69"/>
      <c r="CB85" s="69"/>
      <c r="CC85" s="69"/>
      <c r="CD85" s="69"/>
    </row>
    <row r="86" ht="14" customHeight="1" spans="1:82" x14ac:dyDescent="0.25">
      <c r="A86" s="75" t="s">
        <v>85</v>
      </c>
      <c r="B86" s="75" t="s">
        <v>374</v>
      </c>
      <c r="C86" s="76">
        <v>46177</v>
      </c>
      <c r="D86" s="76">
        <v>46416</v>
      </c>
      <c r="E86" s="77">
        <v>0.4001793721973095</v>
      </c>
      <c r="AA86" s="67"/>
      <c r="AB86" s="67"/>
      <c r="AC86" s="67"/>
      <c r="AD86" s="67"/>
      <c r="AE86" s="67"/>
      <c r="AF86" s="67"/>
      <c r="AG86" s="67"/>
      <c r="AH86" s="67"/>
      <c r="AI86" s="67"/>
      <c r="AJ86" s="67"/>
      <c r="AK86" s="67"/>
      <c r="AL86" s="67"/>
      <c r="AM86" s="67"/>
      <c r="AN86" s="67"/>
      <c r="AO86" s="67"/>
      <c r="AP86" s="67"/>
      <c r="AQ86" s="67"/>
      <c r="AR86" s="68"/>
      <c r="AS86" s="67"/>
      <c r="AT86" s="67"/>
      <c r="AU86" s="67"/>
      <c r="AV86" s="67"/>
      <c r="AW86" s="67"/>
      <c r="AX86" s="67"/>
      <c r="AY86" s="67"/>
      <c r="AZ86" s="67"/>
      <c r="BA86" s="67"/>
      <c r="BB86" s="67"/>
      <c r="BC86" s="67"/>
      <c r="BD86" s="67"/>
      <c r="BE86" s="67"/>
      <c r="BF86" s="67"/>
      <c r="BG86" s="67"/>
      <c r="BH86" s="67"/>
      <c r="BI86" s="67"/>
    </row>
    <row r="87" ht="14" customHeight="1" spans="1:82" s="69" customFormat="1" x14ac:dyDescent="0.25" outlineLevel="1" collapsed="1">
      <c r="A87" s="69" t="s">
        <v>200</v>
      </c>
      <c r="B87" s="69" t="s">
        <v>375</v>
      </c>
      <c r="C87" s="70">
        <v>46177</v>
      </c>
      <c r="D87" s="70">
        <v>46198</v>
      </c>
      <c r="E87" s="71">
        <v>1</v>
      </c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79"/>
      <c r="AB87" s="79"/>
      <c r="AC87" s="79"/>
      <c r="AD87" s="7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73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  <c r="BQ87" s="69"/>
      <c r="BR87" s="69"/>
      <c r="BS87" s="69"/>
      <c r="BT87" s="69"/>
      <c r="BU87" s="69"/>
      <c r="BV87" s="69"/>
      <c r="BW87" s="69"/>
      <c r="BX87" s="69"/>
      <c r="BY87" s="69"/>
      <c r="BZ87" s="69"/>
      <c r="CA87" s="69"/>
      <c r="CB87" s="69"/>
      <c r="CC87" s="69"/>
      <c r="CD87" s="69"/>
    </row>
    <row r="88" ht="14" customHeight="1" spans="1:82" s="69" customFormat="1" x14ac:dyDescent="0.25" outlineLevel="1" collapsed="1">
      <c r="A88" s="69" t="s">
        <v>201</v>
      </c>
      <c r="B88" s="69" t="s">
        <v>376</v>
      </c>
      <c r="C88" s="70">
        <v>46206</v>
      </c>
      <c r="D88" s="70">
        <v>46338</v>
      </c>
      <c r="E88" s="71">
        <v>0.61</v>
      </c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79"/>
      <c r="AF88" s="79"/>
      <c r="AG88" s="79"/>
      <c r="AH88" s="79"/>
      <c r="AI88" s="79"/>
      <c r="AJ88" s="79"/>
      <c r="AK88" s="79"/>
      <c r="AL88" s="79"/>
      <c r="AM88" s="79"/>
      <c r="AN88" s="79"/>
      <c r="AO88" s="79"/>
      <c r="AP88" s="79"/>
      <c r="AQ88" s="79"/>
      <c r="AR88" s="80"/>
      <c r="AS88" s="81"/>
      <c r="AT88" s="81"/>
      <c r="AU88" s="81"/>
      <c r="AV88" s="81"/>
      <c r="AW88" s="81"/>
      <c r="AX88" s="81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  <c r="BQ88" s="69"/>
      <c r="BR88" s="69"/>
      <c r="BS88" s="69"/>
      <c r="BT88" s="69"/>
      <c r="BU88" s="69"/>
      <c r="BV88" s="69"/>
      <c r="BW88" s="69"/>
      <c r="BX88" s="69"/>
      <c r="BY88" s="69"/>
      <c r="BZ88" s="69"/>
      <c r="CA88" s="69"/>
      <c r="CB88" s="69"/>
      <c r="CC88" s="69"/>
      <c r="CD88" s="69"/>
    </row>
    <row r="89" ht="14" customHeight="1" spans="1:82" s="69" customFormat="1" x14ac:dyDescent="0.25" outlineLevel="1" collapsed="1">
      <c r="A89" s="69" t="s">
        <v>202</v>
      </c>
      <c r="B89" s="69" t="s">
        <v>377</v>
      </c>
      <c r="C89" s="70">
        <v>46248</v>
      </c>
      <c r="D89" s="70">
        <v>46303</v>
      </c>
      <c r="E89" s="71">
        <v>0.72</v>
      </c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79"/>
      <c r="AL89" s="79"/>
      <c r="AM89" s="79"/>
      <c r="AN89" s="79"/>
      <c r="AO89" s="79"/>
      <c r="AP89" s="79"/>
      <c r="AQ89" s="79"/>
      <c r="AR89" s="80"/>
      <c r="AS89" s="81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  <c r="BQ89" s="69"/>
      <c r="BR89" s="69"/>
      <c r="BS89" s="69"/>
      <c r="BT89" s="69"/>
      <c r="BU89" s="69"/>
      <c r="BV89" s="69"/>
      <c r="BW89" s="69"/>
      <c r="BX89" s="69"/>
      <c r="BY89" s="69"/>
      <c r="BZ89" s="69"/>
      <c r="CA89" s="69"/>
      <c r="CB89" s="69"/>
      <c r="CC89" s="69"/>
      <c r="CD89" s="69"/>
    </row>
    <row r="90" ht="14" customHeight="1" spans="1:82" s="69" customFormat="1" x14ac:dyDescent="0.25" outlineLevel="1" collapsed="1">
      <c r="A90" s="69" t="s">
        <v>203</v>
      </c>
      <c r="B90" s="69" t="s">
        <v>378</v>
      </c>
      <c r="C90" s="70">
        <v>46304</v>
      </c>
      <c r="D90" s="70">
        <v>46416</v>
      </c>
      <c r="E90" s="71">
        <v>0</v>
      </c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73"/>
      <c r="AS90" s="81"/>
      <c r="AT90" s="81"/>
      <c r="AU90" s="81"/>
      <c r="AV90" s="81"/>
      <c r="AW90" s="81"/>
      <c r="AX90" s="81"/>
      <c r="AY90" s="81"/>
      <c r="AZ90" s="81"/>
      <c r="BA90" s="81"/>
      <c r="BB90" s="81"/>
      <c r="BC90" s="81"/>
      <c r="BD90" s="81"/>
      <c r="BE90" s="81"/>
      <c r="BF90" s="81"/>
      <c r="BG90" s="81"/>
      <c r="BH90" s="81"/>
      <c r="BI90" s="81"/>
      <c r="BJ90" s="69"/>
      <c r="BK90" s="69"/>
      <c r="BL90" s="69"/>
      <c r="BM90" s="69"/>
      <c r="BN90" s="69"/>
      <c r="BO90" s="69"/>
      <c r="BP90" s="69"/>
      <c r="BQ90" s="69"/>
      <c r="BR90" s="69"/>
      <c r="BS90" s="69"/>
      <c r="BT90" s="69"/>
      <c r="BU90" s="69"/>
      <c r="BV90" s="69"/>
      <c r="BW90" s="69"/>
      <c r="BX90" s="69"/>
      <c r="BY90" s="69"/>
      <c r="BZ90" s="69"/>
      <c r="CA90" s="69"/>
      <c r="CB90" s="69"/>
      <c r="CC90" s="69"/>
      <c r="CD90" s="69"/>
    </row>
    <row r="91" ht="14" customHeight="1" spans="1:82" x14ac:dyDescent="0.25">
      <c r="A91" s="75" t="s">
        <v>85</v>
      </c>
      <c r="B91" s="75" t="s">
        <v>379</v>
      </c>
      <c r="C91" s="76">
        <v>46083</v>
      </c>
      <c r="D91" s="76">
        <v>46506</v>
      </c>
      <c r="E91" s="77">
        <v>0.35502380952380963</v>
      </c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  <c r="AO91" s="67"/>
      <c r="AP91" s="67"/>
      <c r="AQ91" s="67"/>
      <c r="AR91" s="68"/>
      <c r="AS91" s="67"/>
      <c r="AT91" s="67"/>
      <c r="AU91" s="67"/>
      <c r="AV91" s="67"/>
      <c r="AW91" s="67"/>
      <c r="AX91" s="67"/>
      <c r="AY91" s="67"/>
      <c r="AZ91" s="67"/>
      <c r="BA91" s="67"/>
      <c r="BB91" s="67"/>
      <c r="BC91" s="67"/>
      <c r="BD91" s="67"/>
      <c r="BE91" s="67"/>
      <c r="BF91" s="67"/>
      <c r="BG91" s="67"/>
      <c r="BH91" s="67"/>
      <c r="BI91" s="67"/>
      <c r="BJ91" s="67"/>
      <c r="BK91" s="67"/>
      <c r="BL91" s="67"/>
      <c r="BM91" s="67"/>
      <c r="BN91" s="67"/>
      <c r="BO91" s="67"/>
      <c r="BP91" s="67"/>
      <c r="BQ91" s="67"/>
      <c r="BR91" s="67"/>
      <c r="BS91" s="67"/>
      <c r="BT91" s="67"/>
      <c r="BU91" s="67"/>
      <c r="BV91" s="67"/>
    </row>
    <row r="92" ht="14" customHeight="1" spans="1:82" s="69" customFormat="1" x14ac:dyDescent="0.25" outlineLevel="1" collapsed="1">
      <c r="A92" s="69" t="s">
        <v>206</v>
      </c>
      <c r="B92" s="69" t="s">
        <v>380</v>
      </c>
      <c r="C92" s="70">
        <v>46083</v>
      </c>
      <c r="D92" s="70">
        <v>46093</v>
      </c>
      <c r="E92" s="71">
        <v>1</v>
      </c>
      <c r="F92" s="69"/>
      <c r="G92" s="69"/>
      <c r="H92" s="69"/>
      <c r="I92" s="69"/>
      <c r="J92" s="69"/>
      <c r="K92" s="69"/>
      <c r="L92" s="69"/>
      <c r="M92" s="69"/>
      <c r="N92" s="79"/>
      <c r="O92" s="7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73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  <c r="BM92" s="69"/>
      <c r="BN92" s="69"/>
      <c r="BO92" s="69"/>
      <c r="BP92" s="69"/>
      <c r="BQ92" s="69"/>
      <c r="BR92" s="69"/>
      <c r="BS92" s="69"/>
      <c r="BT92" s="69"/>
      <c r="BU92" s="69"/>
      <c r="BV92" s="69"/>
      <c r="BW92" s="69"/>
      <c r="BX92" s="69"/>
      <c r="BY92" s="69"/>
      <c r="BZ92" s="69"/>
      <c r="CA92" s="69"/>
      <c r="CB92" s="69"/>
      <c r="CC92" s="69"/>
      <c r="CD92" s="69"/>
    </row>
    <row r="93" ht="14" customHeight="1" spans="1:82" s="69" customFormat="1" x14ac:dyDescent="0.25" outlineLevel="1" collapsed="1">
      <c r="A93" s="69" t="s">
        <v>207</v>
      </c>
      <c r="B93" s="69" t="s">
        <v>381</v>
      </c>
      <c r="C93" s="70">
        <v>46139</v>
      </c>
      <c r="D93" s="70">
        <v>46168</v>
      </c>
      <c r="E93" s="71">
        <v>1</v>
      </c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79"/>
      <c r="W93" s="79"/>
      <c r="X93" s="79"/>
      <c r="Y93" s="79"/>
      <c r="Z93" s="7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73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  <c r="BM93" s="69"/>
      <c r="BN93" s="69"/>
      <c r="BO93" s="69"/>
      <c r="BP93" s="69"/>
      <c r="BQ93" s="69"/>
      <c r="BR93" s="69"/>
      <c r="BS93" s="69"/>
      <c r="BT93" s="69"/>
      <c r="BU93" s="69"/>
      <c r="BV93" s="69"/>
      <c r="BW93" s="69"/>
      <c r="BX93" s="69"/>
      <c r="BY93" s="69"/>
      <c r="BZ93" s="69"/>
      <c r="CA93" s="69"/>
      <c r="CB93" s="69"/>
      <c r="CC93" s="69"/>
      <c r="CD93" s="69"/>
    </row>
    <row r="94" ht="14" customHeight="1" spans="1:82" s="69" customFormat="1" x14ac:dyDescent="0.25" outlineLevel="1" collapsed="1">
      <c r="A94" s="69" t="s">
        <v>208</v>
      </c>
      <c r="B94" s="69" t="s">
        <v>382</v>
      </c>
      <c r="C94" s="70">
        <v>46154</v>
      </c>
      <c r="D94" s="70">
        <v>46200</v>
      </c>
      <c r="E94" s="71">
        <v>1</v>
      </c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79"/>
      <c r="Y94" s="79"/>
      <c r="Z94" s="79"/>
      <c r="AA94" s="79"/>
      <c r="AB94" s="79"/>
      <c r="AC94" s="79"/>
      <c r="AD94" s="7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73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  <c r="BM94" s="69"/>
      <c r="BN94" s="69"/>
      <c r="BO94" s="69"/>
      <c r="BP94" s="69"/>
      <c r="BQ94" s="69"/>
      <c r="BR94" s="69"/>
      <c r="BS94" s="69"/>
      <c r="BT94" s="69"/>
      <c r="BU94" s="69"/>
      <c r="BV94" s="69"/>
      <c r="BW94" s="69"/>
      <c r="BX94" s="69"/>
      <c r="BY94" s="69"/>
      <c r="BZ94" s="69"/>
      <c r="CA94" s="69"/>
      <c r="CB94" s="69"/>
      <c r="CC94" s="69"/>
      <c r="CD94" s="69"/>
    </row>
    <row r="95" ht="14" customHeight="1" spans="1:82" s="69" customFormat="1" x14ac:dyDescent="0.25" outlineLevel="1" collapsed="1">
      <c r="A95" s="69" t="s">
        <v>209</v>
      </c>
      <c r="B95" s="69" t="s">
        <v>383</v>
      </c>
      <c r="C95" s="70">
        <v>46211</v>
      </c>
      <c r="D95" s="70">
        <v>46238</v>
      </c>
      <c r="E95" s="71">
        <v>1</v>
      </c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79"/>
      <c r="AG95" s="79"/>
      <c r="AH95" s="79"/>
      <c r="AI95" s="79"/>
      <c r="AJ95" s="79"/>
      <c r="AK95" s="69"/>
      <c r="AL95" s="69"/>
      <c r="AM95" s="69"/>
      <c r="AN95" s="69"/>
      <c r="AO95" s="69"/>
      <c r="AP95" s="69"/>
      <c r="AQ95" s="69"/>
      <c r="AR95" s="73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  <c r="BM95" s="69"/>
      <c r="BN95" s="69"/>
      <c r="BO95" s="69"/>
      <c r="BP95" s="69"/>
      <c r="BQ95" s="69"/>
      <c r="BR95" s="69"/>
      <c r="BS95" s="69"/>
      <c r="BT95" s="69"/>
      <c r="BU95" s="69"/>
      <c r="BV95" s="69"/>
      <c r="BW95" s="69"/>
      <c r="BX95" s="69"/>
      <c r="BY95" s="69"/>
      <c r="BZ95" s="69"/>
      <c r="CA95" s="69"/>
      <c r="CB95" s="69"/>
      <c r="CC95" s="69"/>
      <c r="CD95" s="69"/>
    </row>
    <row r="96" ht="14" customHeight="1" spans="1:82" s="69" customFormat="1" x14ac:dyDescent="0.25" outlineLevel="1" collapsed="1">
      <c r="A96" s="69" t="s">
        <v>210</v>
      </c>
      <c r="B96" s="69" t="s">
        <v>384</v>
      </c>
      <c r="C96" s="70">
        <v>46251</v>
      </c>
      <c r="D96" s="70">
        <v>46359</v>
      </c>
      <c r="E96" s="71">
        <v>0.34</v>
      </c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79"/>
      <c r="AM96" s="79"/>
      <c r="AN96" s="79"/>
      <c r="AO96" s="79"/>
      <c r="AP96" s="79"/>
      <c r="AQ96" s="79"/>
      <c r="AR96" s="80"/>
      <c r="AS96" s="81"/>
      <c r="AT96" s="81"/>
      <c r="AU96" s="81"/>
      <c r="AV96" s="81"/>
      <c r="AW96" s="81"/>
      <c r="AX96" s="81"/>
      <c r="AY96" s="81"/>
      <c r="AZ96" s="81"/>
      <c r="BA96" s="81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  <c r="BM96" s="69"/>
      <c r="BN96" s="69"/>
      <c r="BO96" s="69"/>
      <c r="BP96" s="69"/>
      <c r="BQ96" s="69"/>
      <c r="BR96" s="69"/>
      <c r="BS96" s="69"/>
      <c r="BT96" s="69"/>
      <c r="BU96" s="69"/>
      <c r="BV96" s="69"/>
      <c r="BW96" s="69"/>
      <c r="BX96" s="69"/>
      <c r="BY96" s="69"/>
      <c r="BZ96" s="69"/>
      <c r="CA96" s="69"/>
      <c r="CB96" s="69"/>
      <c r="CC96" s="69"/>
      <c r="CD96" s="69"/>
    </row>
    <row r="97" ht="14" customHeight="1" spans="1:82" s="69" customFormat="1" x14ac:dyDescent="0.25" outlineLevel="1" collapsed="1">
      <c r="A97" s="69" t="s">
        <v>211</v>
      </c>
      <c r="B97" s="69" t="s">
        <v>387</v>
      </c>
      <c r="C97" s="70">
        <v>46260</v>
      </c>
      <c r="D97" s="70">
        <v>46482</v>
      </c>
      <c r="E97" s="71">
        <v>0.25</v>
      </c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79"/>
      <c r="AN97" s="79"/>
      <c r="AO97" s="79"/>
      <c r="AP97" s="79"/>
      <c r="AQ97" s="79"/>
      <c r="AR97" s="80"/>
      <c r="AS97" s="81"/>
      <c r="AT97" s="81"/>
      <c r="AU97" s="81"/>
      <c r="AV97" s="81"/>
      <c r="AW97" s="81"/>
      <c r="AX97" s="81"/>
      <c r="AY97" s="81"/>
      <c r="AZ97" s="81"/>
      <c r="BA97" s="81"/>
      <c r="BB97" s="81"/>
      <c r="BC97" s="81"/>
      <c r="BD97" s="81"/>
      <c r="BE97" s="81"/>
      <c r="BF97" s="81"/>
      <c r="BG97" s="81"/>
      <c r="BH97" s="81"/>
      <c r="BI97" s="81"/>
      <c r="BJ97" s="81"/>
      <c r="BK97" s="81"/>
      <c r="BL97" s="81"/>
      <c r="BM97" s="81"/>
      <c r="BN97" s="81"/>
      <c r="BO97" s="81"/>
      <c r="BP97" s="81"/>
      <c r="BQ97" s="81"/>
      <c r="BR97" s="81"/>
      <c r="BS97" s="81"/>
      <c r="BT97" s="69"/>
      <c r="BU97" s="69"/>
      <c r="BV97" s="69"/>
      <c r="BW97" s="69"/>
      <c r="BX97" s="69"/>
      <c r="BY97" s="69"/>
      <c r="BZ97" s="69"/>
      <c r="CA97" s="69"/>
      <c r="CB97" s="69"/>
      <c r="CC97" s="69"/>
      <c r="CD97" s="69"/>
    </row>
    <row r="98" ht="14" customHeight="1" spans="1:82" s="69" customFormat="1" x14ac:dyDescent="0.25" outlineLevel="1" collapsed="1">
      <c r="A98" s="69" t="s">
        <v>213</v>
      </c>
      <c r="B98" s="69" t="s">
        <v>385</v>
      </c>
      <c r="C98" s="70">
        <v>46296</v>
      </c>
      <c r="D98" s="70">
        <v>46354</v>
      </c>
      <c r="E98" s="71">
        <v>0</v>
      </c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80"/>
      <c r="AS98" s="81"/>
      <c r="AT98" s="81"/>
      <c r="AU98" s="81"/>
      <c r="AV98" s="81"/>
      <c r="AW98" s="81"/>
      <c r="AX98" s="81"/>
      <c r="AY98" s="81"/>
      <c r="AZ98" s="81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  <c r="BM98" s="69"/>
      <c r="BN98" s="69"/>
      <c r="BO98" s="69"/>
      <c r="BP98" s="69"/>
      <c r="BQ98" s="69"/>
      <c r="BR98" s="69"/>
      <c r="BS98" s="69"/>
      <c r="BT98" s="69"/>
      <c r="BU98" s="69"/>
      <c r="BV98" s="69"/>
      <c r="BW98" s="69"/>
      <c r="BX98" s="69"/>
      <c r="BY98" s="69"/>
      <c r="BZ98" s="69"/>
      <c r="CA98" s="69"/>
      <c r="CB98" s="69"/>
      <c r="CC98" s="69"/>
      <c r="CD98" s="69"/>
    </row>
    <row r="99" ht="14" customHeight="1" spans="1:82" s="69" customFormat="1" x14ac:dyDescent="0.25" outlineLevel="1" collapsed="1">
      <c r="A99" s="69" t="s">
        <v>214</v>
      </c>
      <c r="B99" s="69" t="s">
        <v>386</v>
      </c>
      <c r="C99" s="70">
        <v>46354</v>
      </c>
      <c r="D99" s="70">
        <v>46395</v>
      </c>
      <c r="E99" s="71">
        <v>0</v>
      </c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73"/>
      <c r="AS99" s="69"/>
      <c r="AT99" s="69"/>
      <c r="AU99" s="69"/>
      <c r="AV99" s="69"/>
      <c r="AW99" s="69"/>
      <c r="AX99" s="69"/>
      <c r="AY99" s="69"/>
      <c r="AZ99" s="81"/>
      <c r="BA99" s="81"/>
      <c r="BB99" s="81"/>
      <c r="BC99" s="81"/>
      <c r="BD99" s="81"/>
      <c r="BE99" s="81"/>
      <c r="BF99" s="81"/>
      <c r="BG99" s="69"/>
      <c r="BH99" s="69"/>
      <c r="BI99" s="69"/>
      <c r="BJ99" s="69"/>
      <c r="BK99" s="69"/>
      <c r="BL99" s="69"/>
      <c r="BM99" s="69"/>
      <c r="BN99" s="69"/>
      <c r="BO99" s="69"/>
      <c r="BP99" s="69"/>
      <c r="BQ99" s="69"/>
      <c r="BR99" s="69"/>
      <c r="BS99" s="69"/>
      <c r="BT99" s="69"/>
      <c r="BU99" s="69"/>
      <c r="BV99" s="69"/>
      <c r="BW99" s="69"/>
      <c r="BX99" s="69"/>
      <c r="BY99" s="69"/>
      <c r="BZ99" s="69"/>
      <c r="CA99" s="69"/>
      <c r="CB99" s="69"/>
      <c r="CC99" s="69"/>
      <c r="CD99" s="69"/>
    </row>
    <row r="100" ht="14" customHeight="1" spans="1:82" s="69" customFormat="1" x14ac:dyDescent="0.25" outlineLevel="1" collapsed="1">
      <c r="A100" s="69" t="s">
        <v>215</v>
      </c>
      <c r="B100" s="69" t="s">
        <v>388</v>
      </c>
      <c r="C100" s="70">
        <v>46396</v>
      </c>
      <c r="D100" s="70">
        <v>46466</v>
      </c>
      <c r="E100" s="71">
        <v>0</v>
      </c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73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81"/>
      <c r="BG100" s="81"/>
      <c r="BH100" s="81"/>
      <c r="BI100" s="81"/>
      <c r="BJ100" s="81"/>
      <c r="BK100" s="81"/>
      <c r="BL100" s="81"/>
      <c r="BM100" s="81"/>
      <c r="BN100" s="81"/>
      <c r="BO100" s="81"/>
      <c r="BP100" s="81"/>
      <c r="BQ100" s="69"/>
      <c r="BR100" s="69"/>
      <c r="BS100" s="69"/>
      <c r="BT100" s="69"/>
      <c r="BU100" s="69"/>
      <c r="BV100" s="69"/>
      <c r="BW100" s="69"/>
      <c r="BX100" s="69"/>
      <c r="BY100" s="69"/>
      <c r="BZ100" s="69"/>
      <c r="CA100" s="69"/>
      <c r="CB100" s="69"/>
      <c r="CC100" s="69"/>
      <c r="CD100" s="69"/>
    </row>
    <row r="101" ht="14" customHeight="1" spans="1:82" s="69" customFormat="1" x14ac:dyDescent="0.25" outlineLevel="1" collapsed="1">
      <c r="A101" s="69" t="s">
        <v>216</v>
      </c>
      <c r="B101" s="69" t="s">
        <v>389</v>
      </c>
      <c r="C101" s="70">
        <v>46483</v>
      </c>
      <c r="D101" s="70">
        <v>46506</v>
      </c>
      <c r="E101" s="71">
        <v>0</v>
      </c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73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  <c r="BM101" s="69"/>
      <c r="BN101" s="69"/>
      <c r="BO101" s="69"/>
      <c r="BP101" s="69"/>
      <c r="BQ101" s="69"/>
      <c r="BR101" s="69"/>
      <c r="BS101" s="81"/>
      <c r="BT101" s="81"/>
      <c r="BU101" s="81"/>
      <c r="BV101" s="81"/>
      <c r="BW101" s="69"/>
      <c r="BX101" s="69"/>
      <c r="BY101" s="69"/>
      <c r="BZ101" s="69"/>
      <c r="CA101" s="69"/>
      <c r="CB101" s="69"/>
      <c r="CC101" s="69"/>
      <c r="CD101" s="69"/>
    </row>
    <row r="102" ht="14" customHeight="1" spans="1:82" s="69" customFormat="1" x14ac:dyDescent="0.25" outlineLevel="1" collapsed="1">
      <c r="A102" s="69" t="s">
        <v>217</v>
      </c>
      <c r="B102" s="69" t="s">
        <v>390</v>
      </c>
      <c r="C102" s="70">
        <v>46506</v>
      </c>
      <c r="D102" s="70">
        <v>46506</v>
      </c>
      <c r="E102" s="71">
        <v>0</v>
      </c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73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  <c r="BM102" s="69"/>
      <c r="BN102" s="69"/>
      <c r="BO102" s="69"/>
      <c r="BP102" s="69"/>
      <c r="BQ102" s="69"/>
      <c r="BR102" s="69"/>
      <c r="BS102" s="69"/>
      <c r="BT102" s="69"/>
      <c r="BU102" s="69"/>
      <c r="BV102" s="82" t="s">
        <v>365</v>
      </c>
      <c r="BW102" s="69"/>
      <c r="BX102" s="69"/>
      <c r="BY102" s="69"/>
      <c r="BZ102" s="69"/>
      <c r="CA102" s="69"/>
      <c r="CB102" s="69"/>
      <c r="CC102" s="69"/>
      <c r="CD102" s="69"/>
    </row>
    <row r="103" ht="14" customHeight="1" spans="1:82" x14ac:dyDescent="0.25">
      <c r="A103" s="64" t="s">
        <v>85</v>
      </c>
      <c r="B103" s="64" t="s">
        <v>394</v>
      </c>
      <c r="C103" s="65">
        <v>46099</v>
      </c>
      <c r="D103" s="65">
        <v>46557</v>
      </c>
      <c r="E103" s="66">
        <v>0.41910529187124934</v>
      </c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  <c r="AP103" s="67"/>
      <c r="AQ103" s="67"/>
      <c r="AR103" s="68"/>
      <c r="AS103" s="67"/>
      <c r="AT103" s="67"/>
      <c r="AU103" s="67"/>
      <c r="AV103" s="67"/>
      <c r="AW103" s="67"/>
      <c r="AX103" s="67"/>
      <c r="AY103" s="67"/>
      <c r="AZ103" s="67"/>
      <c r="BA103" s="67"/>
      <c r="BB103" s="67"/>
      <c r="BC103" s="67"/>
      <c r="BD103" s="67"/>
      <c r="BE103" s="67"/>
      <c r="BF103" s="67"/>
      <c r="BG103" s="67"/>
      <c r="BH103" s="67"/>
      <c r="BI103" s="67"/>
      <c r="BJ103" s="67"/>
      <c r="BK103" s="67"/>
      <c r="BL103" s="67"/>
      <c r="BM103" s="67"/>
      <c r="BN103" s="67"/>
      <c r="BO103" s="67"/>
      <c r="BP103" s="67"/>
      <c r="BQ103" s="67"/>
      <c r="BR103" s="67"/>
      <c r="BS103" s="67"/>
      <c r="BT103" s="67"/>
      <c r="BU103" s="67"/>
      <c r="BV103" s="67"/>
      <c r="BW103" s="67"/>
      <c r="BX103" s="67"/>
      <c r="BY103" s="67"/>
      <c r="BZ103" s="67"/>
      <c r="CA103" s="67"/>
      <c r="CB103" s="67"/>
      <c r="CC103" s="67"/>
    </row>
    <row r="104" ht="14" customHeight="1" spans="1:82" x14ac:dyDescent="0.25">
      <c r="A104" s="75" t="s">
        <v>85</v>
      </c>
      <c r="B104" s="75" t="s">
        <v>368</v>
      </c>
      <c r="C104" s="76">
        <v>46099</v>
      </c>
      <c r="D104" s="76">
        <v>46389</v>
      </c>
      <c r="E104" s="77">
        <v>0.694789356984479</v>
      </c>
      <c r="P104" s="67"/>
      <c r="Q104" s="67"/>
      <c r="R104" s="67"/>
      <c r="S104" s="67"/>
      <c r="T104" s="67"/>
      <c r="U104" s="67"/>
      <c r="V104" s="67"/>
      <c r="W104" s="67"/>
      <c r="X104" s="67"/>
      <c r="Y104" s="67"/>
      <c r="Z104" s="67"/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  <c r="AK104" s="67"/>
      <c r="AL104" s="67"/>
      <c r="AM104" s="67"/>
      <c r="AN104" s="67"/>
      <c r="AO104" s="67"/>
      <c r="AP104" s="67"/>
      <c r="AQ104" s="67"/>
      <c r="AR104" s="68"/>
      <c r="AS104" s="67"/>
      <c r="AT104" s="67"/>
      <c r="AU104" s="67"/>
      <c r="AV104" s="67"/>
      <c r="AW104" s="67"/>
      <c r="AX104" s="67"/>
      <c r="AY104" s="67"/>
      <c r="AZ104" s="67"/>
      <c r="BA104" s="67"/>
      <c r="BB104" s="67"/>
      <c r="BC104" s="67"/>
      <c r="BD104" s="67"/>
      <c r="BE104" s="67"/>
    </row>
    <row r="105" ht="14" customHeight="1" spans="1:82" x14ac:dyDescent="0.25">
      <c r="A105" s="75" t="s">
        <v>85</v>
      </c>
      <c r="B105" s="75" t="s">
        <v>369</v>
      </c>
      <c r="C105" s="76">
        <v>46114</v>
      </c>
      <c r="D105" s="76">
        <v>46183</v>
      </c>
      <c r="E105" s="77">
        <v>1</v>
      </c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R105" s="78"/>
    </row>
    <row r="106" ht="14" customHeight="1" spans="1:82" s="69" customFormat="1" x14ac:dyDescent="0.25" outlineLevel="1" collapsed="1">
      <c r="A106" s="69" t="s">
        <v>222</v>
      </c>
      <c r="B106" s="69" t="s">
        <v>370</v>
      </c>
      <c r="C106" s="70">
        <v>46114</v>
      </c>
      <c r="D106" s="70">
        <v>46142</v>
      </c>
      <c r="E106" s="71">
        <v>1</v>
      </c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79"/>
      <c r="S106" s="79"/>
      <c r="T106" s="79"/>
      <c r="U106" s="79"/>
      <c r="V106" s="7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73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  <c r="BM106" s="69"/>
      <c r="BN106" s="69"/>
      <c r="BO106" s="69"/>
      <c r="BP106" s="69"/>
      <c r="BQ106" s="69"/>
      <c r="BR106" s="69"/>
      <c r="BS106" s="69"/>
      <c r="BT106" s="69"/>
      <c r="BU106" s="69"/>
      <c r="BV106" s="69"/>
      <c r="BW106" s="69"/>
      <c r="BX106" s="69"/>
      <c r="BY106" s="69"/>
      <c r="BZ106" s="69"/>
      <c r="CA106" s="69"/>
      <c r="CB106" s="69"/>
      <c r="CC106" s="69"/>
      <c r="CD106" s="69"/>
    </row>
    <row r="107" ht="14" customHeight="1" spans="1:82" s="69" customFormat="1" x14ac:dyDescent="0.25" outlineLevel="1" collapsed="1">
      <c r="A107" s="69" t="s">
        <v>223</v>
      </c>
      <c r="B107" s="69" t="s">
        <v>371</v>
      </c>
      <c r="C107" s="70">
        <v>46128</v>
      </c>
      <c r="D107" s="70">
        <v>46169</v>
      </c>
      <c r="E107" s="71">
        <v>1</v>
      </c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79"/>
      <c r="U107" s="79"/>
      <c r="V107" s="79"/>
      <c r="W107" s="79"/>
      <c r="X107" s="79"/>
      <c r="Y107" s="79"/>
      <c r="Z107" s="7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73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  <c r="BM107" s="69"/>
      <c r="BN107" s="69"/>
      <c r="BO107" s="69"/>
      <c r="BP107" s="69"/>
      <c r="BQ107" s="69"/>
      <c r="BR107" s="69"/>
      <c r="BS107" s="69"/>
      <c r="BT107" s="69"/>
      <c r="BU107" s="69"/>
      <c r="BV107" s="69"/>
      <c r="BW107" s="69"/>
      <c r="BX107" s="69"/>
      <c r="BY107" s="69"/>
      <c r="BZ107" s="69"/>
      <c r="CA107" s="69"/>
      <c r="CB107" s="69"/>
      <c r="CC107" s="69"/>
      <c r="CD107" s="69"/>
    </row>
    <row r="108" ht="14" customHeight="1" spans="1:82" s="69" customFormat="1" x14ac:dyDescent="0.25" outlineLevel="1" collapsed="1">
      <c r="A108" s="69" t="s">
        <v>224</v>
      </c>
      <c r="B108" s="69" t="s">
        <v>372</v>
      </c>
      <c r="C108" s="70">
        <v>46143</v>
      </c>
      <c r="D108" s="70">
        <v>46183</v>
      </c>
      <c r="E108" s="71">
        <v>1</v>
      </c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79"/>
      <c r="W108" s="79"/>
      <c r="X108" s="79"/>
      <c r="Y108" s="79"/>
      <c r="Z108" s="79"/>
      <c r="AA108" s="79"/>
      <c r="AB108" s="7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73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  <c r="BM108" s="69"/>
      <c r="BN108" s="69"/>
      <c r="BO108" s="69"/>
      <c r="BP108" s="69"/>
      <c r="BQ108" s="69"/>
      <c r="BR108" s="69"/>
      <c r="BS108" s="69"/>
      <c r="BT108" s="69"/>
      <c r="BU108" s="69"/>
      <c r="BV108" s="69"/>
      <c r="BW108" s="69"/>
      <c r="BX108" s="69"/>
      <c r="BY108" s="69"/>
      <c r="BZ108" s="69"/>
      <c r="CA108" s="69"/>
      <c r="CB108" s="69"/>
      <c r="CC108" s="69"/>
      <c r="CD108" s="69"/>
    </row>
    <row r="109" ht="14" customHeight="1" spans="1:82" s="69" customFormat="1" x14ac:dyDescent="0.25" outlineLevel="1" collapsed="1">
      <c r="A109" s="69" t="s">
        <v>225</v>
      </c>
      <c r="B109" s="69" t="s">
        <v>373</v>
      </c>
      <c r="C109" s="70">
        <v>46171</v>
      </c>
      <c r="D109" s="70">
        <v>46183</v>
      </c>
      <c r="E109" s="71">
        <v>1</v>
      </c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79"/>
      <c r="AA109" s="79"/>
      <c r="AB109" s="7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  <c r="AP109" s="69"/>
      <c r="AQ109" s="69"/>
      <c r="AR109" s="73"/>
      <c r="AS109" s="69"/>
      <c r="AT109" s="69"/>
      <c r="AU109" s="69"/>
      <c r="AV109" s="69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  <c r="BG109" s="69"/>
      <c r="BH109" s="69"/>
      <c r="BI109" s="69"/>
      <c r="BJ109" s="69"/>
      <c r="BK109" s="69"/>
      <c r="BL109" s="69"/>
      <c r="BM109" s="69"/>
      <c r="BN109" s="69"/>
      <c r="BO109" s="69"/>
      <c r="BP109" s="69"/>
      <c r="BQ109" s="69"/>
      <c r="BR109" s="69"/>
      <c r="BS109" s="69"/>
      <c r="BT109" s="69"/>
      <c r="BU109" s="69"/>
      <c r="BV109" s="69"/>
      <c r="BW109" s="69"/>
      <c r="BX109" s="69"/>
      <c r="BY109" s="69"/>
      <c r="BZ109" s="69"/>
      <c r="CA109" s="69"/>
      <c r="CB109" s="69"/>
      <c r="CC109" s="69"/>
      <c r="CD109" s="69"/>
    </row>
    <row r="110" ht="14" customHeight="1" spans="1:82" x14ac:dyDescent="0.25">
      <c r="A110" s="75" t="s">
        <v>85</v>
      </c>
      <c r="B110" s="75" t="s">
        <v>374</v>
      </c>
      <c r="C110" s="76">
        <v>46170</v>
      </c>
      <c r="D110" s="76">
        <v>46325</v>
      </c>
      <c r="E110" s="77">
        <v>0.8274242424242424</v>
      </c>
      <c r="Z110" s="67"/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  <c r="AL110" s="67"/>
      <c r="AM110" s="67"/>
      <c r="AN110" s="67"/>
      <c r="AO110" s="67"/>
      <c r="AP110" s="67"/>
      <c r="AQ110" s="67"/>
      <c r="AR110" s="68"/>
      <c r="AS110" s="67"/>
      <c r="AT110" s="67"/>
      <c r="AU110" s="67"/>
      <c r="AV110" s="67"/>
    </row>
    <row r="111" ht="14" customHeight="1" spans="1:82" s="69" customFormat="1" x14ac:dyDescent="0.25" outlineLevel="1" collapsed="1">
      <c r="A111" s="69" t="s">
        <v>227</v>
      </c>
      <c r="B111" s="69" t="s">
        <v>375</v>
      </c>
      <c r="C111" s="70">
        <v>46170</v>
      </c>
      <c r="D111" s="70">
        <v>46182</v>
      </c>
      <c r="E111" s="71">
        <v>1</v>
      </c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79"/>
      <c r="AA111" s="79"/>
      <c r="AB111" s="7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  <c r="AP111" s="69"/>
      <c r="AQ111" s="69"/>
      <c r="AR111" s="73"/>
      <c r="AS111" s="69"/>
      <c r="AT111" s="69"/>
      <c r="AU111" s="69"/>
      <c r="AV111" s="69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  <c r="BG111" s="69"/>
      <c r="BH111" s="69"/>
      <c r="BI111" s="69"/>
      <c r="BJ111" s="69"/>
      <c r="BK111" s="69"/>
      <c r="BL111" s="69"/>
      <c r="BM111" s="69"/>
      <c r="BN111" s="69"/>
      <c r="BO111" s="69"/>
      <c r="BP111" s="69"/>
      <c r="BQ111" s="69"/>
      <c r="BR111" s="69"/>
      <c r="BS111" s="69"/>
      <c r="BT111" s="69"/>
      <c r="BU111" s="69"/>
      <c r="BV111" s="69"/>
      <c r="BW111" s="69"/>
      <c r="BX111" s="69"/>
      <c r="BY111" s="69"/>
      <c r="BZ111" s="69"/>
      <c r="CA111" s="69"/>
      <c r="CB111" s="69"/>
      <c r="CC111" s="69"/>
      <c r="CD111" s="69"/>
    </row>
    <row r="112" ht="14" customHeight="1" spans="1:82" s="69" customFormat="1" x14ac:dyDescent="0.25" outlineLevel="1" collapsed="1">
      <c r="A112" s="69" t="s">
        <v>228</v>
      </c>
      <c r="B112" s="69" t="s">
        <v>376</v>
      </c>
      <c r="C112" s="70">
        <v>46184</v>
      </c>
      <c r="D112" s="70">
        <v>46239</v>
      </c>
      <c r="E112" s="71">
        <v>1</v>
      </c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69"/>
      <c r="AB112" s="79"/>
      <c r="AC112" s="79"/>
      <c r="AD112" s="79"/>
      <c r="AE112" s="79"/>
      <c r="AF112" s="79"/>
      <c r="AG112" s="79"/>
      <c r="AH112" s="79"/>
      <c r="AI112" s="79"/>
      <c r="AJ112" s="79"/>
      <c r="AK112" s="69"/>
      <c r="AL112" s="69"/>
      <c r="AM112" s="69"/>
      <c r="AN112" s="69"/>
      <c r="AO112" s="69"/>
      <c r="AP112" s="69"/>
      <c r="AQ112" s="69"/>
      <c r="AR112" s="73"/>
      <c r="AS112" s="69"/>
      <c r="AT112" s="69"/>
      <c r="AU112" s="69"/>
      <c r="AV112" s="69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  <c r="BG112" s="69"/>
      <c r="BH112" s="69"/>
      <c r="BI112" s="69"/>
      <c r="BJ112" s="69"/>
      <c r="BK112" s="69"/>
      <c r="BL112" s="69"/>
      <c r="BM112" s="69"/>
      <c r="BN112" s="69"/>
      <c r="BO112" s="69"/>
      <c r="BP112" s="69"/>
      <c r="BQ112" s="69"/>
      <c r="BR112" s="69"/>
      <c r="BS112" s="69"/>
      <c r="BT112" s="69"/>
      <c r="BU112" s="69"/>
      <c r="BV112" s="69"/>
      <c r="BW112" s="69"/>
      <c r="BX112" s="69"/>
      <c r="BY112" s="69"/>
      <c r="BZ112" s="69"/>
      <c r="CA112" s="69"/>
      <c r="CB112" s="69"/>
      <c r="CC112" s="69"/>
      <c r="CD112" s="69"/>
    </row>
    <row r="113" ht="14" customHeight="1" spans="1:82" s="69" customFormat="1" x14ac:dyDescent="0.25" outlineLevel="1" collapsed="1">
      <c r="A113" s="69" t="s">
        <v>229</v>
      </c>
      <c r="B113" s="69" t="s">
        <v>377</v>
      </c>
      <c r="C113" s="70">
        <v>46188</v>
      </c>
      <c r="D113" s="70">
        <v>46200</v>
      </c>
      <c r="E113" s="71">
        <v>1</v>
      </c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69"/>
      <c r="AB113" s="69"/>
      <c r="AC113" s="79"/>
      <c r="AD113" s="7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  <c r="AP113" s="69"/>
      <c r="AQ113" s="69"/>
      <c r="AR113" s="73"/>
      <c r="AS113" s="69"/>
      <c r="AT113" s="69"/>
      <c r="AU113" s="69"/>
      <c r="AV113" s="69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  <c r="BG113" s="69"/>
      <c r="BH113" s="69"/>
      <c r="BI113" s="69"/>
      <c r="BJ113" s="69"/>
      <c r="BK113" s="69"/>
      <c r="BL113" s="69"/>
      <c r="BM113" s="69"/>
      <c r="BN113" s="69"/>
      <c r="BO113" s="69"/>
      <c r="BP113" s="69"/>
      <c r="BQ113" s="69"/>
      <c r="BR113" s="69"/>
      <c r="BS113" s="69"/>
      <c r="BT113" s="69"/>
      <c r="BU113" s="69"/>
      <c r="BV113" s="69"/>
      <c r="BW113" s="69"/>
      <c r="BX113" s="69"/>
      <c r="BY113" s="69"/>
      <c r="BZ113" s="69"/>
      <c r="CA113" s="69"/>
      <c r="CB113" s="69"/>
      <c r="CC113" s="69"/>
      <c r="CD113" s="69"/>
    </row>
    <row r="114" ht="14" customHeight="1" spans="1:82" s="69" customFormat="1" x14ac:dyDescent="0.25" outlineLevel="1" collapsed="1">
      <c r="A114" s="69" t="s">
        <v>230</v>
      </c>
      <c r="B114" s="69" t="s">
        <v>378</v>
      </c>
      <c r="C114" s="70">
        <v>46205</v>
      </c>
      <c r="D114" s="70">
        <v>46325</v>
      </c>
      <c r="E114" s="71">
        <v>0.66</v>
      </c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  <c r="AQ114" s="79"/>
      <c r="AR114" s="80"/>
      <c r="AS114" s="81"/>
      <c r="AT114" s="81"/>
      <c r="AU114" s="81"/>
      <c r="AV114" s="81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  <c r="BG114" s="69"/>
      <c r="BH114" s="69"/>
      <c r="BI114" s="69"/>
      <c r="BJ114" s="69"/>
      <c r="BK114" s="69"/>
      <c r="BL114" s="69"/>
      <c r="BM114" s="69"/>
      <c r="BN114" s="69"/>
      <c r="BO114" s="69"/>
      <c r="BP114" s="69"/>
      <c r="BQ114" s="69"/>
      <c r="BR114" s="69"/>
      <c r="BS114" s="69"/>
      <c r="BT114" s="69"/>
      <c r="BU114" s="69"/>
      <c r="BV114" s="69"/>
      <c r="BW114" s="69"/>
      <c r="BX114" s="69"/>
      <c r="BY114" s="69"/>
      <c r="BZ114" s="69"/>
      <c r="CA114" s="69"/>
      <c r="CB114" s="69"/>
      <c r="CC114" s="69"/>
      <c r="CD114" s="69"/>
    </row>
    <row r="115" ht="14" customHeight="1" spans="1:82" x14ac:dyDescent="0.25">
      <c r="A115" s="75" t="s">
        <v>85</v>
      </c>
      <c r="B115" s="75" t="s">
        <v>379</v>
      </c>
      <c r="C115" s="76">
        <v>46099</v>
      </c>
      <c r="D115" s="76">
        <v>46389</v>
      </c>
      <c r="E115" s="77">
        <v>0.5233609958506223</v>
      </c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  <c r="AO115" s="67"/>
      <c r="AP115" s="67"/>
      <c r="AQ115" s="67"/>
      <c r="AR115" s="68"/>
      <c r="AS115" s="67"/>
      <c r="AT115" s="67"/>
      <c r="AU115" s="67"/>
      <c r="AV115" s="67"/>
      <c r="AW115" s="67"/>
      <c r="AX115" s="67"/>
      <c r="AY115" s="67"/>
      <c r="AZ115" s="67"/>
      <c r="BA115" s="67"/>
      <c r="BB115" s="67"/>
      <c r="BC115" s="67"/>
      <c r="BD115" s="67"/>
      <c r="BE115" s="67"/>
    </row>
    <row r="116" ht="14" customHeight="1" spans="1:82" s="69" customFormat="1" x14ac:dyDescent="0.25" outlineLevel="1" collapsed="1">
      <c r="A116" s="69" t="s">
        <v>233</v>
      </c>
      <c r="B116" s="69" t="s">
        <v>380</v>
      </c>
      <c r="C116" s="70">
        <v>46099</v>
      </c>
      <c r="D116" s="70">
        <v>46104</v>
      </c>
      <c r="E116" s="71">
        <v>1</v>
      </c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79"/>
      <c r="Q116" s="79"/>
      <c r="R116" s="69"/>
      <c r="S116" s="69"/>
      <c r="T116" s="69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  <c r="AR116" s="73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  <c r="BM116" s="69"/>
      <c r="BN116" s="69"/>
      <c r="BO116" s="69"/>
      <c r="BP116" s="69"/>
      <c r="BQ116" s="69"/>
      <c r="BR116" s="69"/>
      <c r="BS116" s="69"/>
      <c r="BT116" s="69"/>
      <c r="BU116" s="69"/>
      <c r="BV116" s="69"/>
      <c r="BW116" s="69"/>
      <c r="BX116" s="69"/>
      <c r="BY116" s="69"/>
      <c r="BZ116" s="69"/>
      <c r="CA116" s="69"/>
      <c r="CB116" s="69"/>
      <c r="CC116" s="69"/>
      <c r="CD116" s="69"/>
    </row>
    <row r="117" ht="14" customHeight="1" spans="1:82" s="69" customFormat="1" x14ac:dyDescent="0.25" outlineLevel="1" collapsed="1">
      <c r="A117" s="69" t="s">
        <v>234</v>
      </c>
      <c r="B117" s="69" t="s">
        <v>381</v>
      </c>
      <c r="C117" s="70">
        <v>46141</v>
      </c>
      <c r="D117" s="70">
        <v>46162</v>
      </c>
      <c r="E117" s="71">
        <v>1</v>
      </c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79"/>
      <c r="W117" s="79"/>
      <c r="X117" s="79"/>
      <c r="Y117" s="7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  <c r="AR117" s="73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  <c r="BM117" s="69"/>
      <c r="BN117" s="69"/>
      <c r="BO117" s="69"/>
      <c r="BP117" s="69"/>
      <c r="BQ117" s="69"/>
      <c r="BR117" s="69"/>
      <c r="BS117" s="69"/>
      <c r="BT117" s="69"/>
      <c r="BU117" s="69"/>
      <c r="BV117" s="69"/>
      <c r="BW117" s="69"/>
      <c r="BX117" s="69"/>
      <c r="BY117" s="69"/>
      <c r="BZ117" s="69"/>
      <c r="CA117" s="69"/>
      <c r="CB117" s="69"/>
      <c r="CC117" s="69"/>
      <c r="CD117" s="69"/>
    </row>
    <row r="118" ht="14" customHeight="1" spans="1:82" s="69" customFormat="1" x14ac:dyDescent="0.25" outlineLevel="1" collapsed="1">
      <c r="A118" s="69" t="s">
        <v>235</v>
      </c>
      <c r="B118" s="69" t="s">
        <v>382</v>
      </c>
      <c r="C118" s="70">
        <v>46151</v>
      </c>
      <c r="D118" s="70">
        <v>46176</v>
      </c>
      <c r="E118" s="71">
        <v>1</v>
      </c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79"/>
      <c r="X118" s="79"/>
      <c r="Y118" s="79"/>
      <c r="Z118" s="79"/>
      <c r="AA118" s="7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  <c r="AR118" s="73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  <c r="BM118" s="69"/>
      <c r="BN118" s="69"/>
      <c r="BO118" s="69"/>
      <c r="BP118" s="69"/>
      <c r="BQ118" s="69"/>
      <c r="BR118" s="69"/>
      <c r="BS118" s="69"/>
      <c r="BT118" s="69"/>
      <c r="BU118" s="69"/>
      <c r="BV118" s="69"/>
      <c r="BW118" s="69"/>
      <c r="BX118" s="69"/>
      <c r="BY118" s="69"/>
      <c r="BZ118" s="69"/>
      <c r="CA118" s="69"/>
      <c r="CB118" s="69"/>
      <c r="CC118" s="69"/>
      <c r="CD118" s="69"/>
    </row>
    <row r="119" ht="14" customHeight="1" spans="1:82" s="69" customFormat="1" x14ac:dyDescent="0.25" outlineLevel="1" collapsed="1">
      <c r="A119" s="69" t="s">
        <v>236</v>
      </c>
      <c r="B119" s="69" t="s">
        <v>383</v>
      </c>
      <c r="C119" s="70">
        <v>46177</v>
      </c>
      <c r="D119" s="70">
        <v>46195</v>
      </c>
      <c r="E119" s="71">
        <v>1</v>
      </c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79"/>
      <c r="AB119" s="79"/>
      <c r="AC119" s="79"/>
      <c r="AD119" s="7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  <c r="AP119" s="69"/>
      <c r="AQ119" s="69"/>
      <c r="AR119" s="73"/>
      <c r="AS119" s="69"/>
      <c r="AT119" s="69"/>
      <c r="AU119" s="69"/>
      <c r="AV119" s="69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  <c r="BG119" s="69"/>
      <c r="BH119" s="69"/>
      <c r="BI119" s="69"/>
      <c r="BJ119" s="69"/>
      <c r="BK119" s="69"/>
      <c r="BL119" s="69"/>
      <c r="BM119" s="69"/>
      <c r="BN119" s="69"/>
      <c r="BO119" s="69"/>
      <c r="BP119" s="69"/>
      <c r="BQ119" s="69"/>
      <c r="BR119" s="69"/>
      <c r="BS119" s="69"/>
      <c r="BT119" s="69"/>
      <c r="BU119" s="69"/>
      <c r="BV119" s="69"/>
      <c r="BW119" s="69"/>
      <c r="BX119" s="69"/>
      <c r="BY119" s="69"/>
      <c r="BZ119" s="69"/>
      <c r="CA119" s="69"/>
      <c r="CB119" s="69"/>
      <c r="CC119" s="69"/>
      <c r="CD119" s="69"/>
    </row>
    <row r="120" ht="14" customHeight="1" spans="1:82" s="69" customFormat="1" x14ac:dyDescent="0.25" outlineLevel="1" collapsed="1">
      <c r="A120" s="69" t="s">
        <v>237</v>
      </c>
      <c r="B120" s="69" t="s">
        <v>384</v>
      </c>
      <c r="C120" s="70">
        <v>46207</v>
      </c>
      <c r="D120" s="70">
        <v>46300</v>
      </c>
      <c r="E120" s="71">
        <v>0.94</v>
      </c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  <c r="AQ120" s="79"/>
      <c r="AR120" s="80"/>
      <c r="AS120" s="81"/>
      <c r="AT120" s="69"/>
      <c r="AU120" s="69"/>
      <c r="AV120" s="69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  <c r="BG120" s="69"/>
      <c r="BH120" s="69"/>
      <c r="BI120" s="69"/>
      <c r="BJ120" s="69"/>
      <c r="BK120" s="69"/>
      <c r="BL120" s="69"/>
      <c r="BM120" s="69"/>
      <c r="BN120" s="69"/>
      <c r="BO120" s="69"/>
      <c r="BP120" s="69"/>
      <c r="BQ120" s="69"/>
      <c r="BR120" s="69"/>
      <c r="BS120" s="69"/>
      <c r="BT120" s="69"/>
      <c r="BU120" s="69"/>
      <c r="BV120" s="69"/>
      <c r="BW120" s="69"/>
      <c r="BX120" s="69"/>
      <c r="BY120" s="69"/>
      <c r="BZ120" s="69"/>
      <c r="CA120" s="69"/>
      <c r="CB120" s="69"/>
      <c r="CC120" s="69"/>
      <c r="CD120" s="69"/>
    </row>
    <row r="121" ht="14" customHeight="1" spans="1:82" s="69" customFormat="1" x14ac:dyDescent="0.25" outlineLevel="1" collapsed="1">
      <c r="A121" s="69" t="s">
        <v>238</v>
      </c>
      <c r="B121" s="69" t="s">
        <v>385</v>
      </c>
      <c r="C121" s="70">
        <v>46234</v>
      </c>
      <c r="D121" s="70">
        <v>46314</v>
      </c>
      <c r="E121" s="71">
        <v>0.61</v>
      </c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79"/>
      <c r="AJ121" s="79"/>
      <c r="AK121" s="79"/>
      <c r="AL121" s="79"/>
      <c r="AM121" s="79"/>
      <c r="AN121" s="79"/>
      <c r="AO121" s="79"/>
      <c r="AP121" s="79"/>
      <c r="AQ121" s="79"/>
      <c r="AR121" s="80"/>
      <c r="AS121" s="81"/>
      <c r="AT121" s="81"/>
      <c r="AU121" s="81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K121" s="69"/>
      <c r="BL121" s="69"/>
      <c r="BM121" s="69"/>
      <c r="BN121" s="69"/>
      <c r="BO121" s="69"/>
      <c r="BP121" s="69"/>
      <c r="BQ121" s="69"/>
      <c r="BR121" s="69"/>
      <c r="BS121" s="69"/>
      <c r="BT121" s="69"/>
      <c r="BU121" s="69"/>
      <c r="BV121" s="69"/>
      <c r="BW121" s="69"/>
      <c r="BX121" s="69"/>
      <c r="BY121" s="69"/>
      <c r="BZ121" s="69"/>
      <c r="CA121" s="69"/>
      <c r="CB121" s="69"/>
      <c r="CC121" s="69"/>
      <c r="CD121" s="69"/>
    </row>
    <row r="122" ht="14" customHeight="1" spans="1:82" s="69" customFormat="1" x14ac:dyDescent="0.25" outlineLevel="1" collapsed="1">
      <c r="A122" s="69" t="s">
        <v>239</v>
      </c>
      <c r="B122" s="69" t="s">
        <v>386</v>
      </c>
      <c r="C122" s="70">
        <v>46296</v>
      </c>
      <c r="D122" s="70">
        <v>46321</v>
      </c>
      <c r="E122" s="71">
        <v>0</v>
      </c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  <c r="AP122" s="69"/>
      <c r="AQ122" s="69"/>
      <c r="AR122" s="80"/>
      <c r="AS122" s="81"/>
      <c r="AT122" s="81"/>
      <c r="AU122" s="81"/>
      <c r="AV122" s="81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  <c r="BG122" s="69"/>
      <c r="BH122" s="69"/>
      <c r="BI122" s="69"/>
      <c r="BJ122" s="69"/>
      <c r="BK122" s="69"/>
      <c r="BL122" s="69"/>
      <c r="BM122" s="69"/>
      <c r="BN122" s="69"/>
      <c r="BO122" s="69"/>
      <c r="BP122" s="69"/>
      <c r="BQ122" s="69"/>
      <c r="BR122" s="69"/>
      <c r="BS122" s="69"/>
      <c r="BT122" s="69"/>
      <c r="BU122" s="69"/>
      <c r="BV122" s="69"/>
      <c r="BW122" s="69"/>
      <c r="BX122" s="69"/>
      <c r="BY122" s="69"/>
      <c r="BZ122" s="69"/>
      <c r="CA122" s="69"/>
      <c r="CB122" s="69"/>
      <c r="CC122" s="69"/>
      <c r="CD122" s="69"/>
    </row>
    <row r="123" ht="14" customHeight="1" spans="1:82" s="69" customFormat="1" x14ac:dyDescent="0.25" outlineLevel="1" collapsed="1">
      <c r="A123" s="69" t="s">
        <v>241</v>
      </c>
      <c r="B123" s="69" t="s">
        <v>388</v>
      </c>
      <c r="C123" s="70">
        <v>46322</v>
      </c>
      <c r="D123" s="70">
        <v>46352</v>
      </c>
      <c r="E123" s="71">
        <v>0</v>
      </c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73"/>
      <c r="AS123" s="69"/>
      <c r="AT123" s="69"/>
      <c r="AU123" s="69"/>
      <c r="AV123" s="81"/>
      <c r="AW123" s="81"/>
      <c r="AX123" s="81"/>
      <c r="AY123" s="81"/>
      <c r="AZ123" s="81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K123" s="69"/>
      <c r="BL123" s="69"/>
      <c r="BM123" s="69"/>
      <c r="BN123" s="69"/>
      <c r="BO123" s="69"/>
      <c r="BP123" s="69"/>
      <c r="BQ123" s="69"/>
      <c r="BR123" s="69"/>
      <c r="BS123" s="69"/>
      <c r="BT123" s="69"/>
      <c r="BU123" s="69"/>
      <c r="BV123" s="69"/>
      <c r="BW123" s="69"/>
      <c r="BX123" s="69"/>
      <c r="BY123" s="69"/>
      <c r="BZ123" s="69"/>
      <c r="CA123" s="69"/>
      <c r="CB123" s="69"/>
      <c r="CC123" s="69"/>
      <c r="CD123" s="69"/>
    </row>
    <row r="124" ht="14" customHeight="1" spans="1:82" s="69" customFormat="1" x14ac:dyDescent="0.25" outlineLevel="1" collapsed="1">
      <c r="A124" s="69" t="s">
        <v>242</v>
      </c>
      <c r="B124" s="69" t="s">
        <v>387</v>
      </c>
      <c r="C124" s="70">
        <v>46326</v>
      </c>
      <c r="D124" s="70">
        <v>46375</v>
      </c>
      <c r="E124" s="71">
        <v>0</v>
      </c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73"/>
      <c r="AS124" s="69"/>
      <c r="AT124" s="69"/>
      <c r="AU124" s="69"/>
      <c r="AV124" s="81"/>
      <c r="AW124" s="81"/>
      <c r="AX124" s="81"/>
      <c r="AY124" s="81"/>
      <c r="AZ124" s="81"/>
      <c r="BA124" s="81"/>
      <c r="BB124" s="81"/>
      <c r="BC124" s="81"/>
      <c r="BD124" s="69"/>
      <c r="BE124" s="69"/>
      <c r="BF124" s="69"/>
      <c r="BG124" s="69"/>
      <c r="BH124" s="69"/>
      <c r="BI124" s="69"/>
      <c r="BJ124" s="69"/>
      <c r="BK124" s="69"/>
      <c r="BL124" s="69"/>
      <c r="BM124" s="69"/>
      <c r="BN124" s="69"/>
      <c r="BO124" s="69"/>
      <c r="BP124" s="69"/>
      <c r="BQ124" s="69"/>
      <c r="BR124" s="69"/>
      <c r="BS124" s="69"/>
      <c r="BT124" s="69"/>
      <c r="BU124" s="69"/>
      <c r="BV124" s="69"/>
      <c r="BW124" s="69"/>
      <c r="BX124" s="69"/>
      <c r="BY124" s="69"/>
      <c r="BZ124" s="69"/>
      <c r="CA124" s="69"/>
      <c r="CB124" s="69"/>
      <c r="CC124" s="69"/>
      <c r="CD124" s="69"/>
    </row>
    <row r="125" ht="14" customHeight="1" spans="1:82" s="69" customFormat="1" x14ac:dyDescent="0.25" outlineLevel="1" collapsed="1">
      <c r="A125" s="69" t="s">
        <v>243</v>
      </c>
      <c r="B125" s="69" t="s">
        <v>389</v>
      </c>
      <c r="C125" s="70">
        <v>46377</v>
      </c>
      <c r="D125" s="70">
        <v>46389</v>
      </c>
      <c r="E125" s="71">
        <v>0</v>
      </c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  <c r="AP125" s="69"/>
      <c r="AQ125" s="69"/>
      <c r="AR125" s="73"/>
      <c r="AS125" s="69"/>
      <c r="AT125" s="69"/>
      <c r="AU125" s="69"/>
      <c r="AV125" s="69"/>
      <c r="AW125" s="69"/>
      <c r="AX125" s="69"/>
      <c r="AY125" s="69"/>
      <c r="AZ125" s="69"/>
      <c r="BA125" s="69"/>
      <c r="BB125" s="69"/>
      <c r="BC125" s="69"/>
      <c r="BD125" s="81"/>
      <c r="BE125" s="81"/>
      <c r="BF125" s="69"/>
      <c r="BG125" s="69"/>
      <c r="BH125" s="69"/>
      <c r="BI125" s="69"/>
      <c r="BJ125" s="69"/>
      <c r="BK125" s="69"/>
      <c r="BL125" s="69"/>
      <c r="BM125" s="69"/>
      <c r="BN125" s="69"/>
      <c r="BO125" s="69"/>
      <c r="BP125" s="69"/>
      <c r="BQ125" s="69"/>
      <c r="BR125" s="69"/>
      <c r="BS125" s="69"/>
      <c r="BT125" s="69"/>
      <c r="BU125" s="69"/>
      <c r="BV125" s="69"/>
      <c r="BW125" s="69"/>
      <c r="BX125" s="69"/>
      <c r="BY125" s="69"/>
      <c r="BZ125" s="69"/>
      <c r="CA125" s="69"/>
      <c r="CB125" s="69"/>
      <c r="CC125" s="69"/>
      <c r="CD125" s="69"/>
    </row>
    <row r="126" ht="14" customHeight="1" spans="1:82" s="69" customFormat="1" x14ac:dyDescent="0.25" outlineLevel="1" collapsed="1">
      <c r="A126" s="69" t="s">
        <v>244</v>
      </c>
      <c r="B126" s="69" t="s">
        <v>390</v>
      </c>
      <c r="C126" s="70">
        <v>46389</v>
      </c>
      <c r="D126" s="70">
        <v>46389</v>
      </c>
      <c r="E126" s="71">
        <v>0</v>
      </c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  <c r="AP126" s="69"/>
      <c r="AQ126" s="69"/>
      <c r="AR126" s="73"/>
      <c r="AS126" s="69"/>
      <c r="AT126" s="69"/>
      <c r="AU126" s="69"/>
      <c r="AV126" s="69"/>
      <c r="AW126" s="69"/>
      <c r="AX126" s="69"/>
      <c r="AY126" s="69"/>
      <c r="AZ126" s="69"/>
      <c r="BA126" s="69"/>
      <c r="BB126" s="69"/>
      <c r="BC126" s="69"/>
      <c r="BD126" s="69"/>
      <c r="BE126" s="82" t="s">
        <v>365</v>
      </c>
      <c r="BF126" s="69"/>
      <c r="BG126" s="69"/>
      <c r="BH126" s="69"/>
      <c r="BI126" s="69"/>
      <c r="BJ126" s="69"/>
      <c r="BK126" s="69"/>
      <c r="BL126" s="69"/>
      <c r="BM126" s="69"/>
      <c r="BN126" s="69"/>
      <c r="BO126" s="69"/>
      <c r="BP126" s="69"/>
      <c r="BQ126" s="69"/>
      <c r="BR126" s="69"/>
      <c r="BS126" s="69"/>
      <c r="BT126" s="69"/>
      <c r="BU126" s="69"/>
      <c r="BV126" s="69"/>
      <c r="BW126" s="69"/>
      <c r="BX126" s="69"/>
      <c r="BY126" s="69"/>
      <c r="BZ126" s="69"/>
      <c r="CA126" s="69"/>
      <c r="CB126" s="69"/>
      <c r="CC126" s="69"/>
      <c r="CD126" s="69"/>
    </row>
    <row r="127" ht="14" customHeight="1" spans="1:82" x14ac:dyDescent="0.25">
      <c r="A127" s="75" t="s">
        <v>85</v>
      </c>
      <c r="B127" s="75" t="s">
        <v>392</v>
      </c>
      <c r="C127" s="76">
        <v>46129</v>
      </c>
      <c r="D127" s="76">
        <v>46557</v>
      </c>
      <c r="E127" s="77">
        <v>0.3302040816326531</v>
      </c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  <c r="AP127" s="67"/>
      <c r="AQ127" s="67"/>
      <c r="AR127" s="68"/>
      <c r="AS127" s="67"/>
      <c r="AT127" s="67"/>
      <c r="AU127" s="67"/>
      <c r="AV127" s="67"/>
      <c r="AW127" s="67"/>
      <c r="AX127" s="67"/>
      <c r="AY127" s="67"/>
      <c r="AZ127" s="67"/>
      <c r="BA127" s="67"/>
      <c r="BB127" s="67"/>
      <c r="BC127" s="67"/>
      <c r="BD127" s="67"/>
      <c r="BE127" s="67"/>
      <c r="BF127" s="67"/>
      <c r="BG127" s="67"/>
      <c r="BH127" s="67"/>
      <c r="BI127" s="67"/>
      <c r="BJ127" s="67"/>
      <c r="BK127" s="67"/>
      <c r="BL127" s="67"/>
      <c r="BM127" s="67"/>
      <c r="BN127" s="67"/>
      <c r="BO127" s="67"/>
      <c r="BP127" s="67"/>
      <c r="BQ127" s="67"/>
      <c r="BR127" s="67"/>
      <c r="BS127" s="67"/>
      <c r="BT127" s="67"/>
      <c r="BU127" s="67"/>
      <c r="BV127" s="67"/>
      <c r="BW127" s="67"/>
      <c r="BX127" s="67"/>
      <c r="BY127" s="67"/>
      <c r="BZ127" s="67"/>
      <c r="CA127" s="67"/>
      <c r="CB127" s="67"/>
      <c r="CC127" s="67"/>
    </row>
    <row r="128" ht="14" customHeight="1" spans="1:82" x14ac:dyDescent="0.25">
      <c r="A128" s="75" t="s">
        <v>85</v>
      </c>
      <c r="B128" s="75" t="s">
        <v>369</v>
      </c>
      <c r="C128" s="76">
        <v>46149</v>
      </c>
      <c r="D128" s="76">
        <v>46265</v>
      </c>
      <c r="E128" s="77">
        <v>1</v>
      </c>
      <c r="W128" s="67"/>
      <c r="X128" s="67"/>
      <c r="Y128" s="67"/>
      <c r="Z128" s="67"/>
      <c r="AA128" s="67"/>
      <c r="AB128" s="67"/>
      <c r="AC128" s="67"/>
      <c r="AD128" s="67"/>
      <c r="AE128" s="67"/>
      <c r="AF128" s="67"/>
      <c r="AG128" s="67"/>
      <c r="AH128" s="67"/>
      <c r="AI128" s="67"/>
      <c r="AJ128" s="67"/>
      <c r="AK128" s="67"/>
      <c r="AL128" s="67"/>
      <c r="AM128" s="67"/>
      <c r="AN128" s="67"/>
      <c r="AR128" s="78"/>
    </row>
    <row r="129" ht="14" customHeight="1" spans="1:82" s="69" customFormat="1" x14ac:dyDescent="0.25" outlineLevel="1" collapsed="1">
      <c r="A129" s="69" t="s">
        <v>247</v>
      </c>
      <c r="B129" s="69" t="s">
        <v>370</v>
      </c>
      <c r="C129" s="70">
        <v>46149</v>
      </c>
      <c r="D129" s="70">
        <v>46184</v>
      </c>
      <c r="E129" s="71">
        <v>1</v>
      </c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79"/>
      <c r="X129" s="79"/>
      <c r="Y129" s="79"/>
      <c r="Z129" s="79"/>
      <c r="AA129" s="79"/>
      <c r="AB129" s="7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  <c r="AP129" s="69"/>
      <c r="AQ129" s="69"/>
      <c r="AR129" s="73"/>
      <c r="AS129" s="69"/>
      <c r="AT129" s="69"/>
      <c r="AU129" s="69"/>
      <c r="AV129" s="69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  <c r="BG129" s="69"/>
      <c r="BH129" s="69"/>
      <c r="BI129" s="69"/>
      <c r="BJ129" s="69"/>
      <c r="BK129" s="69"/>
      <c r="BL129" s="69"/>
      <c r="BM129" s="69"/>
      <c r="BN129" s="69"/>
      <c r="BO129" s="69"/>
      <c r="BP129" s="69"/>
      <c r="BQ129" s="69"/>
      <c r="BR129" s="69"/>
      <c r="BS129" s="69"/>
      <c r="BT129" s="69"/>
      <c r="BU129" s="69"/>
      <c r="BV129" s="69"/>
      <c r="BW129" s="69"/>
      <c r="BX129" s="69"/>
      <c r="BY129" s="69"/>
      <c r="BZ129" s="69"/>
      <c r="CA129" s="69"/>
      <c r="CB129" s="69"/>
      <c r="CC129" s="69"/>
      <c r="CD129" s="69"/>
    </row>
    <row r="130" ht="14" customHeight="1" spans="1:82" s="69" customFormat="1" x14ac:dyDescent="0.25" outlineLevel="1" collapsed="1">
      <c r="A130" s="69" t="s">
        <v>248</v>
      </c>
      <c r="B130" s="69" t="s">
        <v>371</v>
      </c>
      <c r="C130" s="70">
        <v>46162</v>
      </c>
      <c r="D130" s="70">
        <v>46212</v>
      </c>
      <c r="E130" s="71">
        <v>1</v>
      </c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79"/>
      <c r="Z130" s="79"/>
      <c r="AA130" s="79"/>
      <c r="AB130" s="79"/>
      <c r="AC130" s="79"/>
      <c r="AD130" s="79"/>
      <c r="AE130" s="79"/>
      <c r="AF130" s="79"/>
      <c r="AG130" s="69"/>
      <c r="AH130" s="69"/>
      <c r="AI130" s="69"/>
      <c r="AJ130" s="69"/>
      <c r="AK130" s="69"/>
      <c r="AL130" s="69"/>
      <c r="AM130" s="69"/>
      <c r="AN130" s="69"/>
      <c r="AO130" s="69"/>
      <c r="AP130" s="69"/>
      <c r="AQ130" s="69"/>
      <c r="AR130" s="73"/>
      <c r="AS130" s="69"/>
      <c r="AT130" s="69"/>
      <c r="AU130" s="69"/>
      <c r="AV130" s="69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  <c r="BG130" s="69"/>
      <c r="BH130" s="69"/>
      <c r="BI130" s="69"/>
      <c r="BJ130" s="69"/>
      <c r="BK130" s="69"/>
      <c r="BL130" s="69"/>
      <c r="BM130" s="69"/>
      <c r="BN130" s="69"/>
      <c r="BO130" s="69"/>
      <c r="BP130" s="69"/>
      <c r="BQ130" s="69"/>
      <c r="BR130" s="69"/>
      <c r="BS130" s="69"/>
      <c r="BT130" s="69"/>
      <c r="BU130" s="69"/>
      <c r="BV130" s="69"/>
      <c r="BW130" s="69"/>
      <c r="BX130" s="69"/>
      <c r="BY130" s="69"/>
      <c r="BZ130" s="69"/>
      <c r="CA130" s="69"/>
      <c r="CB130" s="69"/>
      <c r="CC130" s="69"/>
      <c r="CD130" s="69"/>
    </row>
    <row r="131" ht="14" customHeight="1" spans="1:82" s="69" customFormat="1" x14ac:dyDescent="0.25" outlineLevel="1" collapsed="1">
      <c r="A131" s="69" t="s">
        <v>249</v>
      </c>
      <c r="B131" s="69" t="s">
        <v>372</v>
      </c>
      <c r="C131" s="70">
        <v>46192</v>
      </c>
      <c r="D131" s="70">
        <v>46265</v>
      </c>
      <c r="E131" s="71">
        <v>1</v>
      </c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  <c r="AN131" s="79"/>
      <c r="AO131" s="69"/>
      <c r="AP131" s="69"/>
      <c r="AQ131" s="69"/>
      <c r="AR131" s="73"/>
      <c r="AS131" s="69"/>
      <c r="AT131" s="69"/>
      <c r="AU131" s="69"/>
      <c r="AV131" s="69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  <c r="BG131" s="69"/>
      <c r="BH131" s="69"/>
      <c r="BI131" s="69"/>
      <c r="BJ131" s="69"/>
      <c r="BK131" s="69"/>
      <c r="BL131" s="69"/>
      <c r="BM131" s="69"/>
      <c r="BN131" s="69"/>
      <c r="BO131" s="69"/>
      <c r="BP131" s="69"/>
      <c r="BQ131" s="69"/>
      <c r="BR131" s="69"/>
      <c r="BS131" s="69"/>
      <c r="BT131" s="69"/>
      <c r="BU131" s="69"/>
      <c r="BV131" s="69"/>
      <c r="BW131" s="69"/>
      <c r="BX131" s="69"/>
      <c r="BY131" s="69"/>
      <c r="BZ131" s="69"/>
      <c r="CA131" s="69"/>
      <c r="CB131" s="69"/>
      <c r="CC131" s="69"/>
      <c r="CD131" s="69"/>
    </row>
    <row r="132" ht="14" customHeight="1" spans="1:82" s="69" customFormat="1" x14ac:dyDescent="0.25" outlineLevel="1" collapsed="1">
      <c r="A132" s="69" t="s">
        <v>250</v>
      </c>
      <c r="B132" s="69" t="s">
        <v>373</v>
      </c>
      <c r="C132" s="70">
        <v>46234</v>
      </c>
      <c r="D132" s="70">
        <v>46265</v>
      </c>
      <c r="E132" s="71">
        <v>1</v>
      </c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79"/>
      <c r="AJ132" s="79"/>
      <c r="AK132" s="79"/>
      <c r="AL132" s="79"/>
      <c r="AM132" s="79"/>
      <c r="AN132" s="79"/>
      <c r="AO132" s="69"/>
      <c r="AP132" s="69"/>
      <c r="AQ132" s="69"/>
      <c r="AR132" s="73"/>
      <c r="AS132" s="69"/>
      <c r="AT132" s="69"/>
      <c r="AU132" s="69"/>
      <c r="AV132" s="69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  <c r="BG132" s="69"/>
      <c r="BH132" s="69"/>
      <c r="BI132" s="69"/>
      <c r="BJ132" s="69"/>
      <c r="BK132" s="69"/>
      <c r="BL132" s="69"/>
      <c r="BM132" s="69"/>
      <c r="BN132" s="69"/>
      <c r="BO132" s="69"/>
      <c r="BP132" s="69"/>
      <c r="BQ132" s="69"/>
      <c r="BR132" s="69"/>
      <c r="BS132" s="69"/>
      <c r="BT132" s="69"/>
      <c r="BU132" s="69"/>
      <c r="BV132" s="69"/>
      <c r="BW132" s="69"/>
      <c r="BX132" s="69"/>
      <c r="BY132" s="69"/>
      <c r="BZ132" s="69"/>
      <c r="CA132" s="69"/>
      <c r="CB132" s="69"/>
      <c r="CC132" s="69"/>
      <c r="CD132" s="69"/>
    </row>
    <row r="133" ht="14" customHeight="1" spans="1:82" x14ac:dyDescent="0.25">
      <c r="A133" s="75" t="s">
        <v>85</v>
      </c>
      <c r="B133" s="75" t="s">
        <v>374</v>
      </c>
      <c r="C133" s="76">
        <v>46216</v>
      </c>
      <c r="D133" s="76">
        <v>46440</v>
      </c>
      <c r="E133" s="77">
        <v>0.16480769230769232</v>
      </c>
      <c r="AG133" s="67"/>
      <c r="AH133" s="67"/>
      <c r="AI133" s="67"/>
      <c r="AJ133" s="67"/>
      <c r="AK133" s="67"/>
      <c r="AL133" s="67"/>
      <c r="AM133" s="67"/>
      <c r="AN133" s="67"/>
      <c r="AO133" s="67"/>
      <c r="AP133" s="67"/>
      <c r="AQ133" s="67"/>
      <c r="AR133" s="68"/>
      <c r="AS133" s="67"/>
      <c r="AT133" s="67"/>
      <c r="AU133" s="67"/>
      <c r="AV133" s="67"/>
      <c r="AW133" s="67"/>
      <c r="AX133" s="67"/>
      <c r="AY133" s="67"/>
      <c r="AZ133" s="67"/>
      <c r="BA133" s="67"/>
      <c r="BB133" s="67"/>
      <c r="BC133" s="67"/>
      <c r="BD133" s="67"/>
      <c r="BE133" s="67"/>
      <c r="BF133" s="67"/>
      <c r="BG133" s="67"/>
      <c r="BH133" s="67"/>
      <c r="BI133" s="67"/>
      <c r="BJ133" s="67"/>
      <c r="BK133" s="67"/>
      <c r="BL133" s="67"/>
      <c r="BM133" s="67"/>
    </row>
    <row r="134" ht="14" customHeight="1" spans="1:82" s="69" customFormat="1" x14ac:dyDescent="0.25" outlineLevel="1" collapsed="1">
      <c r="A134" s="69" t="s">
        <v>252</v>
      </c>
      <c r="B134" s="69" t="s">
        <v>375</v>
      </c>
      <c r="C134" s="70">
        <v>46216</v>
      </c>
      <c r="D134" s="70">
        <v>46238</v>
      </c>
      <c r="E134" s="71">
        <v>1</v>
      </c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79"/>
      <c r="AH134" s="79"/>
      <c r="AI134" s="79"/>
      <c r="AJ134" s="79"/>
      <c r="AK134" s="69"/>
      <c r="AL134" s="69"/>
      <c r="AM134" s="69"/>
      <c r="AN134" s="69"/>
      <c r="AO134" s="69"/>
      <c r="AP134" s="69"/>
      <c r="AQ134" s="69"/>
      <c r="AR134" s="73"/>
      <c r="AS134" s="69"/>
      <c r="AT134" s="69"/>
      <c r="AU134" s="69"/>
      <c r="AV134" s="69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  <c r="BG134" s="69"/>
      <c r="BH134" s="69"/>
      <c r="BI134" s="69"/>
      <c r="BJ134" s="69"/>
      <c r="BK134" s="69"/>
      <c r="BL134" s="69"/>
      <c r="BM134" s="69"/>
      <c r="BN134" s="69"/>
      <c r="BO134" s="69"/>
      <c r="BP134" s="69"/>
      <c r="BQ134" s="69"/>
      <c r="BR134" s="69"/>
      <c r="BS134" s="69"/>
      <c r="BT134" s="69"/>
      <c r="BU134" s="69"/>
      <c r="BV134" s="69"/>
      <c r="BW134" s="69"/>
      <c r="BX134" s="69"/>
      <c r="BY134" s="69"/>
      <c r="BZ134" s="69"/>
      <c r="CA134" s="69"/>
      <c r="CB134" s="69"/>
      <c r="CC134" s="69"/>
      <c r="CD134" s="69"/>
    </row>
    <row r="135" ht="14" customHeight="1" spans="1:82" s="69" customFormat="1" x14ac:dyDescent="0.25" outlineLevel="1" collapsed="1">
      <c r="A135" s="69" t="s">
        <v>253</v>
      </c>
      <c r="B135" s="69" t="s">
        <v>376</v>
      </c>
      <c r="C135" s="70">
        <v>46242</v>
      </c>
      <c r="D135" s="70">
        <v>46374</v>
      </c>
      <c r="E135" s="71">
        <v>0.24</v>
      </c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79"/>
      <c r="AK135" s="79"/>
      <c r="AL135" s="79"/>
      <c r="AM135" s="79"/>
      <c r="AN135" s="79"/>
      <c r="AO135" s="79"/>
      <c r="AP135" s="79"/>
      <c r="AQ135" s="79"/>
      <c r="AR135" s="80"/>
      <c r="AS135" s="81"/>
      <c r="AT135" s="81"/>
      <c r="AU135" s="81"/>
      <c r="AV135" s="81"/>
      <c r="AW135" s="81"/>
      <c r="AX135" s="81"/>
      <c r="AY135" s="81"/>
      <c r="AZ135" s="81"/>
      <c r="BA135" s="81"/>
      <c r="BB135" s="81"/>
      <c r="BC135" s="81"/>
      <c r="BD135" s="69"/>
      <c r="BE135" s="69"/>
      <c r="BF135" s="69"/>
      <c r="BG135" s="69"/>
      <c r="BH135" s="69"/>
      <c r="BI135" s="69"/>
      <c r="BJ135" s="69"/>
      <c r="BK135" s="69"/>
      <c r="BL135" s="69"/>
      <c r="BM135" s="69"/>
      <c r="BN135" s="69"/>
      <c r="BO135" s="69"/>
      <c r="BP135" s="69"/>
      <c r="BQ135" s="69"/>
      <c r="BR135" s="69"/>
      <c r="BS135" s="69"/>
      <c r="BT135" s="69"/>
      <c r="BU135" s="69"/>
      <c r="BV135" s="69"/>
      <c r="BW135" s="69"/>
      <c r="BX135" s="69"/>
      <c r="BY135" s="69"/>
      <c r="BZ135" s="69"/>
      <c r="CA135" s="69"/>
      <c r="CB135" s="69"/>
      <c r="CC135" s="69"/>
      <c r="CD135" s="69"/>
    </row>
    <row r="136" ht="14" customHeight="1" spans="1:82" s="69" customFormat="1" x14ac:dyDescent="0.25" outlineLevel="1" collapsed="1">
      <c r="A136" s="69" t="s">
        <v>255</v>
      </c>
      <c r="B136" s="69" t="s">
        <v>377</v>
      </c>
      <c r="C136" s="70">
        <v>46296</v>
      </c>
      <c r="D136" s="70">
        <v>46319</v>
      </c>
      <c r="E136" s="71">
        <v>0</v>
      </c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9"/>
      <c r="AR136" s="83"/>
      <c r="AS136" s="84"/>
      <c r="AT136" s="84"/>
      <c r="AU136" s="84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  <c r="BM136" s="69"/>
      <c r="BN136" s="69"/>
      <c r="BO136" s="69"/>
      <c r="BP136" s="69"/>
      <c r="BQ136" s="69"/>
      <c r="BR136" s="69"/>
      <c r="BS136" s="69"/>
      <c r="BT136" s="69"/>
      <c r="BU136" s="69"/>
      <c r="BV136" s="69"/>
      <c r="BW136" s="69"/>
      <c r="BX136" s="69"/>
      <c r="BY136" s="69"/>
      <c r="BZ136" s="69"/>
      <c r="CA136" s="69"/>
      <c r="CB136" s="69"/>
      <c r="CC136" s="69"/>
      <c r="CD136" s="69"/>
    </row>
    <row r="137" ht="14" customHeight="1" spans="1:82" s="69" customFormat="1" x14ac:dyDescent="0.25" outlineLevel="1" collapsed="1">
      <c r="A137" s="69" t="s">
        <v>257</v>
      </c>
      <c r="B137" s="69" t="s">
        <v>378</v>
      </c>
      <c r="C137" s="70">
        <v>46321</v>
      </c>
      <c r="D137" s="70">
        <v>46440</v>
      </c>
      <c r="E137" s="71">
        <v>0</v>
      </c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9"/>
      <c r="AR137" s="73"/>
      <c r="AS137" s="69"/>
      <c r="AT137" s="69"/>
      <c r="AU137" s="69"/>
      <c r="AV137" s="84"/>
      <c r="AW137" s="84"/>
      <c r="AX137" s="84"/>
      <c r="AY137" s="84"/>
      <c r="AZ137" s="84"/>
      <c r="BA137" s="84"/>
      <c r="BB137" s="84"/>
      <c r="BC137" s="84"/>
      <c r="BD137" s="84"/>
      <c r="BE137" s="84"/>
      <c r="BF137" s="84"/>
      <c r="BG137" s="84"/>
      <c r="BH137" s="84"/>
      <c r="BI137" s="84"/>
      <c r="BJ137" s="84"/>
      <c r="BK137" s="84"/>
      <c r="BL137" s="84"/>
      <c r="BM137" s="84"/>
      <c r="BN137" s="69"/>
      <c r="BO137" s="69"/>
      <c r="BP137" s="69"/>
      <c r="BQ137" s="69"/>
      <c r="BR137" s="69"/>
      <c r="BS137" s="69"/>
      <c r="BT137" s="69"/>
      <c r="BU137" s="69"/>
      <c r="BV137" s="69"/>
      <c r="BW137" s="69"/>
      <c r="BX137" s="69"/>
      <c r="BY137" s="69"/>
      <c r="BZ137" s="69"/>
      <c r="CA137" s="69"/>
      <c r="CB137" s="69"/>
      <c r="CC137" s="69"/>
      <c r="CD137" s="69"/>
    </row>
    <row r="138" ht="14" customHeight="1" spans="1:82" x14ac:dyDescent="0.25">
      <c r="A138" s="75" t="s">
        <v>85</v>
      </c>
      <c r="B138" s="75" t="s">
        <v>379</v>
      </c>
      <c r="C138" s="76">
        <v>46129</v>
      </c>
      <c r="D138" s="76">
        <v>46557</v>
      </c>
      <c r="E138" s="77">
        <v>0.20317460317460317</v>
      </c>
      <c r="T138" s="67"/>
      <c r="U138" s="67"/>
      <c r="V138" s="67"/>
      <c r="W138" s="67"/>
      <c r="X138" s="67"/>
      <c r="Y138" s="67"/>
      <c r="Z138" s="67"/>
      <c r="AA138" s="67"/>
      <c r="AB138" s="67"/>
      <c r="AC138" s="67"/>
      <c r="AD138" s="67"/>
      <c r="AE138" s="67"/>
      <c r="AF138" s="67"/>
      <c r="AG138" s="67"/>
      <c r="AH138" s="67"/>
      <c r="AI138" s="67"/>
      <c r="AJ138" s="67"/>
      <c r="AK138" s="67"/>
      <c r="AL138" s="67"/>
      <c r="AM138" s="67"/>
      <c r="AN138" s="67"/>
      <c r="AO138" s="67"/>
      <c r="AP138" s="67"/>
      <c r="AQ138" s="67"/>
      <c r="AR138" s="68"/>
      <c r="AS138" s="67"/>
      <c r="AT138" s="67"/>
      <c r="AU138" s="67"/>
      <c r="AV138" s="67"/>
      <c r="AW138" s="67"/>
      <c r="AX138" s="67"/>
      <c r="AY138" s="67"/>
      <c r="AZ138" s="67"/>
      <c r="BA138" s="67"/>
      <c r="BB138" s="67"/>
      <c r="BC138" s="67"/>
      <c r="BD138" s="67"/>
      <c r="BE138" s="67"/>
      <c r="BF138" s="67"/>
      <c r="BG138" s="67"/>
      <c r="BH138" s="67"/>
      <c r="BI138" s="67"/>
      <c r="BJ138" s="67"/>
      <c r="BK138" s="67"/>
      <c r="BL138" s="67"/>
      <c r="BM138" s="67"/>
      <c r="BN138" s="67"/>
      <c r="BO138" s="67"/>
      <c r="BP138" s="67"/>
      <c r="BQ138" s="67"/>
      <c r="BR138" s="67"/>
      <c r="BS138" s="67"/>
      <c r="BT138" s="67"/>
      <c r="BU138" s="67"/>
      <c r="BV138" s="67"/>
      <c r="BW138" s="67"/>
      <c r="BX138" s="67"/>
      <c r="BY138" s="67"/>
      <c r="BZ138" s="67"/>
      <c r="CA138" s="67"/>
      <c r="CB138" s="67"/>
      <c r="CC138" s="67"/>
    </row>
    <row r="139" ht="14" customHeight="1" spans="1:82" s="69" customFormat="1" x14ac:dyDescent="0.25" outlineLevel="1" collapsed="1">
      <c r="A139" s="69" t="s">
        <v>260</v>
      </c>
      <c r="B139" s="69" t="s">
        <v>380</v>
      </c>
      <c r="C139" s="70">
        <v>46129</v>
      </c>
      <c r="D139" s="70">
        <v>46142</v>
      </c>
      <c r="E139" s="71">
        <v>1</v>
      </c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79"/>
      <c r="U139" s="79"/>
      <c r="V139" s="7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9"/>
      <c r="AR139" s="73"/>
      <c r="AS139" s="69"/>
      <c r="AT139" s="69"/>
      <c r="AU139" s="69"/>
      <c r="AV139" s="69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  <c r="BG139" s="69"/>
      <c r="BH139" s="69"/>
      <c r="BI139" s="69"/>
      <c r="BJ139" s="69"/>
      <c r="BK139" s="69"/>
      <c r="BL139" s="69"/>
      <c r="BM139" s="69"/>
      <c r="BN139" s="69"/>
      <c r="BO139" s="69"/>
      <c r="BP139" s="69"/>
      <c r="BQ139" s="69"/>
      <c r="BR139" s="69"/>
      <c r="BS139" s="69"/>
      <c r="BT139" s="69"/>
      <c r="BU139" s="69"/>
      <c r="BV139" s="69"/>
      <c r="BW139" s="69"/>
      <c r="BX139" s="69"/>
      <c r="BY139" s="69"/>
      <c r="BZ139" s="69"/>
      <c r="CA139" s="69"/>
      <c r="CB139" s="69"/>
      <c r="CC139" s="69"/>
      <c r="CD139" s="69"/>
    </row>
    <row r="140" ht="14" customHeight="1" spans="1:82" s="69" customFormat="1" x14ac:dyDescent="0.25" outlineLevel="1" collapsed="1">
      <c r="A140" s="69" t="s">
        <v>261</v>
      </c>
      <c r="B140" s="69" t="s">
        <v>381</v>
      </c>
      <c r="C140" s="70">
        <v>46178</v>
      </c>
      <c r="D140" s="70">
        <v>46210</v>
      </c>
      <c r="E140" s="71">
        <v>1</v>
      </c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79"/>
      <c r="AB140" s="79"/>
      <c r="AC140" s="79"/>
      <c r="AD140" s="79"/>
      <c r="AE140" s="79"/>
      <c r="AF140" s="7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9"/>
      <c r="AQ140" s="69"/>
      <c r="AR140" s="73"/>
      <c r="AS140" s="69"/>
      <c r="AT140" s="69"/>
      <c r="AU140" s="69"/>
      <c r="AV140" s="69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  <c r="BG140" s="69"/>
      <c r="BH140" s="69"/>
      <c r="BI140" s="69"/>
      <c r="BJ140" s="69"/>
      <c r="BK140" s="69"/>
      <c r="BL140" s="69"/>
      <c r="BM140" s="69"/>
      <c r="BN140" s="69"/>
      <c r="BO140" s="69"/>
      <c r="BP140" s="69"/>
      <c r="BQ140" s="69"/>
      <c r="BR140" s="69"/>
      <c r="BS140" s="69"/>
      <c r="BT140" s="69"/>
      <c r="BU140" s="69"/>
      <c r="BV140" s="69"/>
      <c r="BW140" s="69"/>
      <c r="BX140" s="69"/>
      <c r="BY140" s="69"/>
      <c r="BZ140" s="69"/>
      <c r="CA140" s="69"/>
      <c r="CB140" s="69"/>
      <c r="CC140" s="69"/>
      <c r="CD140" s="69"/>
    </row>
    <row r="141" ht="14" customHeight="1" spans="1:82" s="69" customFormat="1" x14ac:dyDescent="0.25" outlineLevel="1" collapsed="1">
      <c r="A141" s="69" t="s">
        <v>262</v>
      </c>
      <c r="B141" s="69" t="s">
        <v>382</v>
      </c>
      <c r="C141" s="70">
        <v>46190</v>
      </c>
      <c r="D141" s="70">
        <v>46258</v>
      </c>
      <c r="E141" s="71">
        <v>1</v>
      </c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  <c r="AA141" s="69"/>
      <c r="AB141" s="6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69"/>
      <c r="AO141" s="69"/>
      <c r="AP141" s="69"/>
      <c r="AQ141" s="69"/>
      <c r="AR141" s="73"/>
      <c r="AS141" s="69"/>
      <c r="AT141" s="69"/>
      <c r="AU141" s="69"/>
      <c r="AV141" s="69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  <c r="BG141" s="69"/>
      <c r="BH141" s="69"/>
      <c r="BI141" s="69"/>
      <c r="BJ141" s="69"/>
      <c r="BK141" s="69"/>
      <c r="BL141" s="69"/>
      <c r="BM141" s="69"/>
      <c r="BN141" s="69"/>
      <c r="BO141" s="69"/>
      <c r="BP141" s="69"/>
      <c r="BQ141" s="69"/>
      <c r="BR141" s="69"/>
      <c r="BS141" s="69"/>
      <c r="BT141" s="69"/>
      <c r="BU141" s="69"/>
      <c r="BV141" s="69"/>
      <c r="BW141" s="69"/>
      <c r="BX141" s="69"/>
      <c r="BY141" s="69"/>
      <c r="BZ141" s="69"/>
      <c r="CA141" s="69"/>
      <c r="CB141" s="69"/>
      <c r="CC141" s="69"/>
      <c r="CD141" s="69"/>
    </row>
    <row r="142" ht="14" customHeight="1" spans="1:82" s="69" customFormat="1" x14ac:dyDescent="0.25" outlineLevel="1" collapsed="1">
      <c r="A142" s="69" t="s">
        <v>263</v>
      </c>
      <c r="B142" s="69" t="s">
        <v>383</v>
      </c>
      <c r="C142" s="70">
        <v>46262</v>
      </c>
      <c r="D142" s="70">
        <v>46329</v>
      </c>
      <c r="E142" s="71">
        <v>0.1</v>
      </c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79"/>
      <c r="AN142" s="79"/>
      <c r="AO142" s="79"/>
      <c r="AP142" s="79"/>
      <c r="AQ142" s="79"/>
      <c r="AR142" s="80"/>
      <c r="AS142" s="81"/>
      <c r="AT142" s="81"/>
      <c r="AU142" s="81"/>
      <c r="AV142" s="81"/>
      <c r="AW142" s="81"/>
      <c r="AX142" s="69"/>
      <c r="AY142" s="69"/>
      <c r="AZ142" s="69"/>
      <c r="BA142" s="69"/>
      <c r="BB142" s="69"/>
      <c r="BC142" s="69"/>
      <c r="BD142" s="69"/>
      <c r="BE142" s="69"/>
      <c r="BF142" s="69"/>
      <c r="BG142" s="69"/>
      <c r="BH142" s="69"/>
      <c r="BI142" s="69"/>
      <c r="BJ142" s="69"/>
      <c r="BK142" s="69"/>
      <c r="BL142" s="69"/>
      <c r="BM142" s="69"/>
      <c r="BN142" s="69"/>
      <c r="BO142" s="69"/>
      <c r="BP142" s="69"/>
      <c r="BQ142" s="69"/>
      <c r="BR142" s="69"/>
      <c r="BS142" s="69"/>
      <c r="BT142" s="69"/>
      <c r="BU142" s="69"/>
      <c r="BV142" s="69"/>
      <c r="BW142" s="69"/>
      <c r="BX142" s="69"/>
      <c r="BY142" s="69"/>
      <c r="BZ142" s="69"/>
      <c r="CA142" s="69"/>
      <c r="CB142" s="69"/>
      <c r="CC142" s="69"/>
      <c r="CD142" s="69"/>
    </row>
    <row r="143" ht="14" customHeight="1" spans="1:82" s="69" customFormat="1" x14ac:dyDescent="0.25" outlineLevel="1" collapsed="1">
      <c r="A143" s="69" t="s">
        <v>264</v>
      </c>
      <c r="B143" s="69" t="s">
        <v>384</v>
      </c>
      <c r="C143" s="70">
        <v>46330</v>
      </c>
      <c r="D143" s="70">
        <v>46422</v>
      </c>
      <c r="E143" s="71">
        <v>0</v>
      </c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  <c r="AR143" s="73"/>
      <c r="AS143" s="69"/>
      <c r="AT143" s="69"/>
      <c r="AU143" s="69"/>
      <c r="AV143" s="69"/>
      <c r="AW143" s="81"/>
      <c r="AX143" s="81"/>
      <c r="AY143" s="81"/>
      <c r="AZ143" s="81"/>
      <c r="BA143" s="81"/>
      <c r="BB143" s="81"/>
      <c r="BC143" s="81"/>
      <c r="BD143" s="81"/>
      <c r="BE143" s="81"/>
      <c r="BF143" s="81"/>
      <c r="BG143" s="81"/>
      <c r="BH143" s="81"/>
      <c r="BI143" s="81"/>
      <c r="BJ143" s="81"/>
      <c r="BK143" s="69"/>
      <c r="BL143" s="69"/>
      <c r="BM143" s="69"/>
      <c r="BN143" s="69"/>
      <c r="BO143" s="69"/>
      <c r="BP143" s="69"/>
      <c r="BQ143" s="69"/>
      <c r="BR143" s="69"/>
      <c r="BS143" s="69"/>
      <c r="BT143" s="69"/>
      <c r="BU143" s="69"/>
      <c r="BV143" s="69"/>
      <c r="BW143" s="69"/>
      <c r="BX143" s="69"/>
      <c r="BY143" s="69"/>
      <c r="BZ143" s="69"/>
      <c r="CA143" s="69"/>
      <c r="CB143" s="69"/>
      <c r="CC143" s="69"/>
      <c r="CD143" s="69"/>
    </row>
    <row r="144" ht="14" customHeight="1" spans="1:82" s="69" customFormat="1" x14ac:dyDescent="0.25" outlineLevel="1" collapsed="1">
      <c r="A144" s="69" t="s">
        <v>265</v>
      </c>
      <c r="B144" s="69" t="s">
        <v>385</v>
      </c>
      <c r="C144" s="70">
        <v>46354</v>
      </c>
      <c r="D144" s="70">
        <v>46426</v>
      </c>
      <c r="E144" s="71">
        <v>0</v>
      </c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  <c r="AR144" s="73"/>
      <c r="AS144" s="69"/>
      <c r="AT144" s="69"/>
      <c r="AU144" s="69"/>
      <c r="AV144" s="69"/>
      <c r="AW144" s="69"/>
      <c r="AX144" s="69"/>
      <c r="AY144" s="69"/>
      <c r="AZ144" s="81"/>
      <c r="BA144" s="81"/>
      <c r="BB144" s="81"/>
      <c r="BC144" s="81"/>
      <c r="BD144" s="81"/>
      <c r="BE144" s="81"/>
      <c r="BF144" s="81"/>
      <c r="BG144" s="81"/>
      <c r="BH144" s="81"/>
      <c r="BI144" s="81"/>
      <c r="BJ144" s="81"/>
      <c r="BK144" s="81"/>
      <c r="BL144" s="69"/>
      <c r="BM144" s="69"/>
      <c r="BN144" s="69"/>
      <c r="BO144" s="69"/>
      <c r="BP144" s="69"/>
      <c r="BQ144" s="69"/>
      <c r="BR144" s="69"/>
      <c r="BS144" s="69"/>
      <c r="BT144" s="69"/>
      <c r="BU144" s="69"/>
      <c r="BV144" s="69"/>
      <c r="BW144" s="69"/>
      <c r="BX144" s="69"/>
      <c r="BY144" s="69"/>
      <c r="BZ144" s="69"/>
      <c r="CA144" s="69"/>
      <c r="CB144" s="69"/>
      <c r="CC144" s="69"/>
      <c r="CD144" s="69"/>
    </row>
    <row r="145" ht="14" customHeight="1" spans="1:82" s="69" customFormat="1" x14ac:dyDescent="0.25" outlineLevel="1" collapsed="1">
      <c r="A145" s="69" t="s">
        <v>266</v>
      </c>
      <c r="B145" s="69" t="s">
        <v>386</v>
      </c>
      <c r="C145" s="70">
        <v>46417</v>
      </c>
      <c r="D145" s="70">
        <v>46459</v>
      </c>
      <c r="E145" s="71">
        <v>0</v>
      </c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  <c r="AR145" s="73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81"/>
      <c r="BJ145" s="81"/>
      <c r="BK145" s="81"/>
      <c r="BL145" s="81"/>
      <c r="BM145" s="81"/>
      <c r="BN145" s="81"/>
      <c r="BO145" s="81"/>
      <c r="BP145" s="69"/>
      <c r="BQ145" s="69"/>
      <c r="BR145" s="69"/>
      <c r="BS145" s="69"/>
      <c r="BT145" s="69"/>
      <c r="BU145" s="69"/>
      <c r="BV145" s="69"/>
      <c r="BW145" s="69"/>
      <c r="BX145" s="69"/>
      <c r="BY145" s="69"/>
      <c r="BZ145" s="69"/>
      <c r="CA145" s="69"/>
      <c r="CB145" s="69"/>
      <c r="CC145" s="69"/>
      <c r="CD145" s="69"/>
    </row>
    <row r="146" ht="14" customHeight="1" spans="1:82" s="69" customFormat="1" x14ac:dyDescent="0.25" outlineLevel="1" collapsed="1">
      <c r="A146" s="69" t="s">
        <v>267</v>
      </c>
      <c r="B146" s="69" t="s">
        <v>387</v>
      </c>
      <c r="C146" s="70">
        <v>46441</v>
      </c>
      <c r="D146" s="70">
        <v>46531</v>
      </c>
      <c r="E146" s="71">
        <v>0</v>
      </c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  <c r="AR146" s="73"/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  <c r="BM146" s="84"/>
      <c r="BN146" s="84"/>
      <c r="BO146" s="84"/>
      <c r="BP146" s="84"/>
      <c r="BQ146" s="84"/>
      <c r="BR146" s="84"/>
      <c r="BS146" s="84"/>
      <c r="BT146" s="84"/>
      <c r="BU146" s="84"/>
      <c r="BV146" s="84"/>
      <c r="BW146" s="84"/>
      <c r="BX146" s="84"/>
      <c r="BY146" s="84"/>
      <c r="BZ146" s="84"/>
      <c r="CA146" s="69"/>
      <c r="CB146" s="69"/>
      <c r="CC146" s="69"/>
      <c r="CD146" s="69"/>
    </row>
    <row r="147" ht="14" customHeight="1" spans="1:82" s="69" customFormat="1" x14ac:dyDescent="0.25" outlineLevel="1" collapsed="1">
      <c r="A147" s="69" t="s">
        <v>268</v>
      </c>
      <c r="B147" s="69" t="s">
        <v>388</v>
      </c>
      <c r="C147" s="70">
        <v>46461</v>
      </c>
      <c r="D147" s="70">
        <v>46524</v>
      </c>
      <c r="E147" s="71">
        <v>0</v>
      </c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  <c r="AP147" s="69"/>
      <c r="AQ147" s="69"/>
      <c r="AR147" s="73"/>
      <c r="AS147" s="69"/>
      <c r="AT147" s="69"/>
      <c r="AU147" s="69"/>
      <c r="AV147" s="69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  <c r="BG147" s="69"/>
      <c r="BH147" s="69"/>
      <c r="BI147" s="69"/>
      <c r="BJ147" s="69"/>
      <c r="BK147" s="69"/>
      <c r="BL147" s="69"/>
      <c r="BM147" s="69"/>
      <c r="BN147" s="69"/>
      <c r="BO147" s="69"/>
      <c r="BP147" s="81"/>
      <c r="BQ147" s="81"/>
      <c r="BR147" s="81"/>
      <c r="BS147" s="81"/>
      <c r="BT147" s="81"/>
      <c r="BU147" s="81"/>
      <c r="BV147" s="81"/>
      <c r="BW147" s="81"/>
      <c r="BX147" s="81"/>
      <c r="BY147" s="81"/>
      <c r="BZ147" s="69"/>
      <c r="CA147" s="69"/>
      <c r="CB147" s="69"/>
      <c r="CC147" s="69"/>
      <c r="CD147" s="69"/>
    </row>
    <row r="148" ht="14" customHeight="1" spans="1:82" s="69" customFormat="1" x14ac:dyDescent="0.25" outlineLevel="1" collapsed="1">
      <c r="A148" s="69" t="s">
        <v>269</v>
      </c>
      <c r="B148" s="69" t="s">
        <v>389</v>
      </c>
      <c r="C148" s="70">
        <v>46532</v>
      </c>
      <c r="D148" s="70">
        <v>46557</v>
      </c>
      <c r="E148" s="71">
        <v>0</v>
      </c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  <c r="AP148" s="69"/>
      <c r="AQ148" s="69"/>
      <c r="AR148" s="73"/>
      <c r="AS148" s="69"/>
      <c r="AT148" s="69"/>
      <c r="AU148" s="69"/>
      <c r="AV148" s="69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  <c r="BG148" s="69"/>
      <c r="BH148" s="69"/>
      <c r="BI148" s="69"/>
      <c r="BJ148" s="69"/>
      <c r="BK148" s="69"/>
      <c r="BL148" s="69"/>
      <c r="BM148" s="69"/>
      <c r="BN148" s="69"/>
      <c r="BO148" s="69"/>
      <c r="BP148" s="69"/>
      <c r="BQ148" s="69"/>
      <c r="BR148" s="69"/>
      <c r="BS148" s="69"/>
      <c r="BT148" s="69"/>
      <c r="BU148" s="69"/>
      <c r="BV148" s="69"/>
      <c r="BW148" s="69"/>
      <c r="BX148" s="69"/>
      <c r="BY148" s="69"/>
      <c r="BZ148" s="84"/>
      <c r="CA148" s="84"/>
      <c r="CB148" s="84"/>
      <c r="CC148" s="84"/>
      <c r="CD148" s="69"/>
    </row>
    <row r="149" ht="14" customHeight="1" spans="1:82" s="69" customFormat="1" x14ac:dyDescent="0.25" outlineLevel="1" collapsed="1">
      <c r="A149" s="69" t="s">
        <v>270</v>
      </c>
      <c r="B149" s="69" t="s">
        <v>390</v>
      </c>
      <c r="C149" s="70">
        <v>46557</v>
      </c>
      <c r="D149" s="70">
        <v>46557</v>
      </c>
      <c r="E149" s="71">
        <v>0</v>
      </c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  <c r="AP149" s="69"/>
      <c r="AQ149" s="69"/>
      <c r="AR149" s="73"/>
      <c r="AS149" s="69"/>
      <c r="AT149" s="69"/>
      <c r="AU149" s="69"/>
      <c r="AV149" s="69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  <c r="BG149" s="69"/>
      <c r="BH149" s="69"/>
      <c r="BI149" s="69"/>
      <c r="BJ149" s="69"/>
      <c r="BK149" s="69"/>
      <c r="BL149" s="69"/>
      <c r="BM149" s="69"/>
      <c r="BN149" s="69"/>
      <c r="BO149" s="69"/>
      <c r="BP149" s="69"/>
      <c r="BQ149" s="69"/>
      <c r="BR149" s="69"/>
      <c r="BS149" s="69"/>
      <c r="BT149" s="69"/>
      <c r="BU149" s="69"/>
      <c r="BV149" s="69"/>
      <c r="BW149" s="69"/>
      <c r="BX149" s="69"/>
      <c r="BY149" s="69"/>
      <c r="BZ149" s="69"/>
      <c r="CA149" s="69"/>
      <c r="CB149" s="69"/>
      <c r="CC149" s="74" t="s">
        <v>365</v>
      </c>
      <c r="CD149" s="69"/>
    </row>
    <row r="150" ht="14" customHeight="1" spans="1:82" x14ac:dyDescent="0.25">
      <c r="A150" s="75" t="s">
        <v>85</v>
      </c>
      <c r="B150" s="75" t="s">
        <v>395</v>
      </c>
      <c r="C150" s="76">
        <v>46153</v>
      </c>
      <c r="D150" s="76">
        <v>46499</v>
      </c>
      <c r="E150" s="77">
        <v>0.3277424749163879</v>
      </c>
      <c r="X150" s="67"/>
      <c r="Y150" s="67"/>
      <c r="Z150" s="67"/>
      <c r="AA150" s="67"/>
      <c r="AB150" s="67"/>
      <c r="AC150" s="67"/>
      <c r="AD150" s="67"/>
      <c r="AE150" s="67"/>
      <c r="AF150" s="67"/>
      <c r="AG150" s="67"/>
      <c r="AH150" s="67"/>
      <c r="AI150" s="67"/>
      <c r="AJ150" s="67"/>
      <c r="AK150" s="67"/>
      <c r="AL150" s="67"/>
      <c r="AM150" s="67"/>
      <c r="AN150" s="67"/>
      <c r="AO150" s="67"/>
      <c r="AP150" s="67"/>
      <c r="AQ150" s="67"/>
      <c r="AR150" s="68"/>
      <c r="AS150" s="67"/>
      <c r="AT150" s="67"/>
      <c r="AU150" s="67"/>
      <c r="AV150" s="67"/>
      <c r="AW150" s="67"/>
      <c r="AX150" s="67"/>
      <c r="AY150" s="67"/>
      <c r="AZ150" s="67"/>
      <c r="BA150" s="67"/>
      <c r="BB150" s="67"/>
      <c r="BC150" s="67"/>
      <c r="BD150" s="67"/>
      <c r="BE150" s="67"/>
      <c r="BF150" s="67"/>
      <c r="BG150" s="67"/>
      <c r="BH150" s="67"/>
      <c r="BI150" s="67"/>
      <c r="BJ150" s="67"/>
      <c r="BK150" s="67"/>
      <c r="BL150" s="67"/>
      <c r="BM150" s="67"/>
      <c r="BN150" s="67"/>
      <c r="BO150" s="67"/>
      <c r="BP150" s="67"/>
      <c r="BQ150" s="67"/>
      <c r="BR150" s="67"/>
      <c r="BS150" s="67"/>
      <c r="BT150" s="67"/>
      <c r="BU150" s="67"/>
    </row>
    <row r="151" ht="14" customHeight="1" spans="1:82" x14ac:dyDescent="0.25">
      <c r="A151" s="75" t="s">
        <v>85</v>
      </c>
      <c r="B151" s="75" t="s">
        <v>369</v>
      </c>
      <c r="C151" s="76">
        <v>46174</v>
      </c>
      <c r="D151" s="76">
        <v>46300</v>
      </c>
      <c r="E151" s="77">
        <v>0.9752252252252253</v>
      </c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  <c r="AO151" s="67"/>
      <c r="AP151" s="67"/>
      <c r="AQ151" s="67"/>
      <c r="AR151" s="68"/>
      <c r="AS151" s="67"/>
    </row>
    <row r="152" ht="14" customHeight="1" spans="1:82" s="69" customFormat="1" x14ac:dyDescent="0.25" outlineLevel="1" collapsed="1">
      <c r="A152" s="69" t="s">
        <v>273</v>
      </c>
      <c r="B152" s="69" t="s">
        <v>370</v>
      </c>
      <c r="C152" s="70">
        <v>46174</v>
      </c>
      <c r="D152" s="70">
        <v>46199</v>
      </c>
      <c r="E152" s="71">
        <v>1</v>
      </c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  <c r="AA152" s="79"/>
      <c r="AB152" s="79"/>
      <c r="AC152" s="79"/>
      <c r="AD152" s="7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  <c r="AP152" s="69"/>
      <c r="AQ152" s="69"/>
      <c r="AR152" s="73"/>
      <c r="AS152" s="69"/>
      <c r="AT152" s="69"/>
      <c r="AU152" s="69"/>
      <c r="AV152" s="69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  <c r="BG152" s="69"/>
      <c r="BH152" s="69"/>
      <c r="BI152" s="69"/>
      <c r="BJ152" s="69"/>
      <c r="BK152" s="69"/>
      <c r="BL152" s="69"/>
      <c r="BM152" s="69"/>
      <c r="BN152" s="69"/>
      <c r="BO152" s="69"/>
      <c r="BP152" s="69"/>
      <c r="BQ152" s="69"/>
      <c r="BR152" s="69"/>
      <c r="BS152" s="69"/>
      <c r="BT152" s="69"/>
      <c r="BU152" s="69"/>
      <c r="BV152" s="69"/>
      <c r="BW152" s="69"/>
      <c r="BX152" s="69"/>
      <c r="BY152" s="69"/>
      <c r="BZ152" s="69"/>
      <c r="CA152" s="69"/>
      <c r="CB152" s="69"/>
      <c r="CC152" s="69"/>
      <c r="CD152" s="69"/>
    </row>
    <row r="153" ht="14" customHeight="1" spans="1:82" s="69" customFormat="1" x14ac:dyDescent="0.25" outlineLevel="1" collapsed="1">
      <c r="A153" s="69" t="s">
        <v>274</v>
      </c>
      <c r="B153" s="69" t="s">
        <v>371</v>
      </c>
      <c r="C153" s="70">
        <v>46181</v>
      </c>
      <c r="D153" s="70">
        <v>46231</v>
      </c>
      <c r="E153" s="71">
        <v>1</v>
      </c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69"/>
      <c r="AB153" s="79"/>
      <c r="AC153" s="79"/>
      <c r="AD153" s="79"/>
      <c r="AE153" s="79"/>
      <c r="AF153" s="79"/>
      <c r="AG153" s="79"/>
      <c r="AH153" s="79"/>
      <c r="AI153" s="79"/>
      <c r="AJ153" s="69"/>
      <c r="AK153" s="69"/>
      <c r="AL153" s="69"/>
      <c r="AM153" s="69"/>
      <c r="AN153" s="69"/>
      <c r="AO153" s="69"/>
      <c r="AP153" s="69"/>
      <c r="AQ153" s="69"/>
      <c r="AR153" s="73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  <c r="BM153" s="69"/>
      <c r="BN153" s="69"/>
      <c r="BO153" s="69"/>
      <c r="BP153" s="69"/>
      <c r="BQ153" s="69"/>
      <c r="BR153" s="69"/>
      <c r="BS153" s="69"/>
      <c r="BT153" s="69"/>
      <c r="BU153" s="69"/>
      <c r="BV153" s="69"/>
      <c r="BW153" s="69"/>
      <c r="BX153" s="69"/>
      <c r="BY153" s="69"/>
      <c r="BZ153" s="69"/>
      <c r="CA153" s="69"/>
      <c r="CB153" s="69"/>
      <c r="CC153" s="69"/>
      <c r="CD153" s="69"/>
    </row>
    <row r="154" ht="14" customHeight="1" spans="1:82" s="69" customFormat="1" x14ac:dyDescent="0.25" outlineLevel="1" collapsed="1">
      <c r="A154" s="69" t="s">
        <v>275</v>
      </c>
      <c r="B154" s="69" t="s">
        <v>372</v>
      </c>
      <c r="C154" s="70">
        <v>46203</v>
      </c>
      <c r="D154" s="70">
        <v>46300</v>
      </c>
      <c r="E154" s="71">
        <v>0.95</v>
      </c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  <c r="AQ154" s="79"/>
      <c r="AR154" s="80"/>
      <c r="AS154" s="81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K154" s="69"/>
      <c r="BL154" s="69"/>
      <c r="BM154" s="69"/>
      <c r="BN154" s="69"/>
      <c r="BO154" s="69"/>
      <c r="BP154" s="69"/>
      <c r="BQ154" s="69"/>
      <c r="BR154" s="69"/>
      <c r="BS154" s="69"/>
      <c r="BT154" s="69"/>
      <c r="BU154" s="69"/>
      <c r="BV154" s="69"/>
      <c r="BW154" s="69"/>
      <c r="BX154" s="69"/>
      <c r="BY154" s="69"/>
      <c r="BZ154" s="69"/>
      <c r="CA154" s="69"/>
      <c r="CB154" s="69"/>
      <c r="CC154" s="69"/>
      <c r="CD154" s="69"/>
    </row>
    <row r="155" ht="14" customHeight="1" spans="1:82" s="69" customFormat="1" x14ac:dyDescent="0.25" outlineLevel="1" collapsed="1">
      <c r="A155" s="69" t="s">
        <v>276</v>
      </c>
      <c r="B155" s="69" t="s">
        <v>373</v>
      </c>
      <c r="C155" s="70">
        <v>46234</v>
      </c>
      <c r="D155" s="70">
        <v>46300</v>
      </c>
      <c r="E155" s="71">
        <v>0.95</v>
      </c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79"/>
      <c r="AJ155" s="79"/>
      <c r="AK155" s="79"/>
      <c r="AL155" s="79"/>
      <c r="AM155" s="79"/>
      <c r="AN155" s="79"/>
      <c r="AO155" s="79"/>
      <c r="AP155" s="79"/>
      <c r="AQ155" s="79"/>
      <c r="AR155" s="80"/>
      <c r="AS155" s="81"/>
      <c r="AT155" s="69"/>
      <c r="AU155" s="69"/>
      <c r="AV155" s="69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  <c r="BG155" s="69"/>
      <c r="BH155" s="69"/>
      <c r="BI155" s="69"/>
      <c r="BJ155" s="69"/>
      <c r="BK155" s="69"/>
      <c r="BL155" s="69"/>
      <c r="BM155" s="69"/>
      <c r="BN155" s="69"/>
      <c r="BO155" s="69"/>
      <c r="BP155" s="69"/>
      <c r="BQ155" s="69"/>
      <c r="BR155" s="69"/>
      <c r="BS155" s="69"/>
      <c r="BT155" s="69"/>
      <c r="BU155" s="69"/>
      <c r="BV155" s="69"/>
      <c r="BW155" s="69"/>
      <c r="BX155" s="69"/>
      <c r="BY155" s="69"/>
      <c r="BZ155" s="69"/>
      <c r="CA155" s="69"/>
      <c r="CB155" s="69"/>
      <c r="CC155" s="69"/>
      <c r="CD155" s="69"/>
    </row>
    <row r="156" ht="14" customHeight="1" spans="1:82" x14ac:dyDescent="0.25">
      <c r="A156" s="75" t="s">
        <v>85</v>
      </c>
      <c r="B156" s="75" t="s">
        <v>374</v>
      </c>
      <c r="C156" s="76">
        <v>46235</v>
      </c>
      <c r="D156" s="76">
        <v>46415</v>
      </c>
      <c r="E156" s="77">
        <v>0.1036723163841808</v>
      </c>
      <c r="AI156" s="67"/>
      <c r="AJ156" s="67"/>
      <c r="AK156" s="67"/>
      <c r="AL156" s="67"/>
      <c r="AM156" s="67"/>
      <c r="AN156" s="67"/>
      <c r="AO156" s="67"/>
      <c r="AP156" s="67"/>
      <c r="AQ156" s="67"/>
      <c r="AR156" s="68"/>
      <c r="AS156" s="67"/>
      <c r="AT156" s="67"/>
      <c r="AU156" s="67"/>
      <c r="AV156" s="67"/>
      <c r="AW156" s="67"/>
      <c r="AX156" s="67"/>
      <c r="AY156" s="67"/>
      <c r="AZ156" s="67"/>
      <c r="BA156" s="67"/>
      <c r="BB156" s="67"/>
      <c r="BC156" s="67"/>
      <c r="BD156" s="67"/>
      <c r="BE156" s="67"/>
      <c r="BF156" s="67"/>
      <c r="BG156" s="67"/>
      <c r="BH156" s="67"/>
      <c r="BI156" s="67"/>
    </row>
    <row r="157" ht="14" customHeight="1" spans="1:82" s="69" customFormat="1" x14ac:dyDescent="0.25" outlineLevel="1" collapsed="1">
      <c r="A157" s="69" t="s">
        <v>278</v>
      </c>
      <c r="B157" s="69" t="s">
        <v>375</v>
      </c>
      <c r="C157" s="70">
        <v>46235</v>
      </c>
      <c r="D157" s="70">
        <v>46256</v>
      </c>
      <c r="E157" s="71">
        <v>1</v>
      </c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79"/>
      <c r="AJ157" s="79"/>
      <c r="AK157" s="79"/>
      <c r="AL157" s="79"/>
      <c r="AM157" s="69"/>
      <c r="AN157" s="69"/>
      <c r="AO157" s="69"/>
      <c r="AP157" s="69"/>
      <c r="AQ157" s="69"/>
      <c r="AR157" s="73"/>
      <c r="AS157" s="69"/>
      <c r="AT157" s="69"/>
      <c r="AU157" s="69"/>
      <c r="AV157" s="69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  <c r="BG157" s="69"/>
      <c r="BH157" s="69"/>
      <c r="BI157" s="69"/>
      <c r="BJ157" s="69"/>
      <c r="BK157" s="69"/>
      <c r="BL157" s="69"/>
      <c r="BM157" s="69"/>
      <c r="BN157" s="69"/>
      <c r="BO157" s="69"/>
      <c r="BP157" s="69"/>
      <c r="BQ157" s="69"/>
      <c r="BR157" s="69"/>
      <c r="BS157" s="69"/>
      <c r="BT157" s="69"/>
      <c r="BU157" s="69"/>
      <c r="BV157" s="69"/>
      <c r="BW157" s="69"/>
      <c r="BX157" s="69"/>
      <c r="BY157" s="69"/>
      <c r="BZ157" s="69"/>
      <c r="CA157" s="69"/>
      <c r="CB157" s="69"/>
      <c r="CC157" s="69"/>
      <c r="CD157" s="69"/>
    </row>
    <row r="158" ht="14" customHeight="1" spans="1:82" s="69" customFormat="1" x14ac:dyDescent="0.25" outlineLevel="1" collapsed="1">
      <c r="A158" s="69" t="s">
        <v>279</v>
      </c>
      <c r="B158" s="69" t="s">
        <v>376</v>
      </c>
      <c r="C158" s="70">
        <v>46262</v>
      </c>
      <c r="D158" s="70">
        <v>46392</v>
      </c>
      <c r="E158" s="71">
        <v>0.05</v>
      </c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79"/>
      <c r="AN158" s="79"/>
      <c r="AO158" s="79"/>
      <c r="AP158" s="79"/>
      <c r="AQ158" s="79"/>
      <c r="AR158" s="80"/>
      <c r="AS158" s="81"/>
      <c r="AT158" s="81"/>
      <c r="AU158" s="81"/>
      <c r="AV158" s="81"/>
      <c r="AW158" s="81"/>
      <c r="AX158" s="81"/>
      <c r="AY158" s="81"/>
      <c r="AZ158" s="81"/>
      <c r="BA158" s="81"/>
      <c r="BB158" s="81"/>
      <c r="BC158" s="81"/>
      <c r="BD158" s="81"/>
      <c r="BE158" s="81"/>
      <c r="BF158" s="81"/>
      <c r="BG158" s="69"/>
      <c r="BH158" s="69"/>
      <c r="BI158" s="69"/>
      <c r="BJ158" s="69"/>
      <c r="BK158" s="69"/>
      <c r="BL158" s="69"/>
      <c r="BM158" s="69"/>
      <c r="BN158" s="69"/>
      <c r="BO158" s="69"/>
      <c r="BP158" s="69"/>
      <c r="BQ158" s="69"/>
      <c r="BR158" s="69"/>
      <c r="BS158" s="69"/>
      <c r="BT158" s="69"/>
      <c r="BU158" s="69"/>
      <c r="BV158" s="69"/>
      <c r="BW158" s="69"/>
      <c r="BX158" s="69"/>
      <c r="BY158" s="69"/>
      <c r="BZ158" s="69"/>
      <c r="CA158" s="69"/>
      <c r="CB158" s="69"/>
      <c r="CC158" s="69"/>
      <c r="CD158" s="69"/>
    </row>
    <row r="159" ht="14" customHeight="1" spans="1:82" s="69" customFormat="1" x14ac:dyDescent="0.25" outlineLevel="1" collapsed="1">
      <c r="A159" s="69" t="s">
        <v>280</v>
      </c>
      <c r="B159" s="69" t="s">
        <v>377</v>
      </c>
      <c r="C159" s="70">
        <v>46301</v>
      </c>
      <c r="D159" s="70">
        <v>46322</v>
      </c>
      <c r="E159" s="71">
        <v>0</v>
      </c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  <c r="AR159" s="73"/>
      <c r="AS159" s="81"/>
      <c r="AT159" s="81"/>
      <c r="AU159" s="81"/>
      <c r="AV159" s="81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  <c r="BG159" s="69"/>
      <c r="BH159" s="69"/>
      <c r="BI159" s="69"/>
      <c r="BJ159" s="69"/>
      <c r="BK159" s="69"/>
      <c r="BL159" s="69"/>
      <c r="BM159" s="69"/>
      <c r="BN159" s="69"/>
      <c r="BO159" s="69"/>
      <c r="BP159" s="69"/>
      <c r="BQ159" s="69"/>
      <c r="BR159" s="69"/>
      <c r="BS159" s="69"/>
      <c r="BT159" s="69"/>
      <c r="BU159" s="69"/>
      <c r="BV159" s="69"/>
      <c r="BW159" s="69"/>
      <c r="BX159" s="69"/>
      <c r="BY159" s="69"/>
      <c r="BZ159" s="69"/>
      <c r="CA159" s="69"/>
      <c r="CB159" s="69"/>
      <c r="CC159" s="69"/>
      <c r="CD159" s="69"/>
    </row>
    <row r="160" ht="14" customHeight="1" spans="1:82" s="69" customFormat="1" x14ac:dyDescent="0.25" outlineLevel="1" collapsed="1">
      <c r="A160" s="69" t="s">
        <v>281</v>
      </c>
      <c r="B160" s="69" t="s">
        <v>378</v>
      </c>
      <c r="C160" s="70">
        <v>46323</v>
      </c>
      <c r="D160" s="70">
        <v>46415</v>
      </c>
      <c r="E160" s="71">
        <v>0</v>
      </c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  <c r="AP160" s="69"/>
      <c r="AQ160" s="69"/>
      <c r="AR160" s="73"/>
      <c r="AS160" s="69"/>
      <c r="AT160" s="69"/>
      <c r="AU160" s="69"/>
      <c r="AV160" s="81"/>
      <c r="AW160" s="81"/>
      <c r="AX160" s="81"/>
      <c r="AY160" s="81"/>
      <c r="AZ160" s="81"/>
      <c r="BA160" s="81"/>
      <c r="BB160" s="81"/>
      <c r="BC160" s="81"/>
      <c r="BD160" s="81"/>
      <c r="BE160" s="81"/>
      <c r="BF160" s="81"/>
      <c r="BG160" s="81"/>
      <c r="BH160" s="81"/>
      <c r="BI160" s="81"/>
      <c r="BJ160" s="69"/>
      <c r="BK160" s="69"/>
      <c r="BL160" s="69"/>
      <c r="BM160" s="69"/>
      <c r="BN160" s="69"/>
      <c r="BO160" s="69"/>
      <c r="BP160" s="69"/>
      <c r="BQ160" s="69"/>
      <c r="BR160" s="69"/>
      <c r="BS160" s="69"/>
      <c r="BT160" s="69"/>
      <c r="BU160" s="69"/>
      <c r="BV160" s="69"/>
      <c r="BW160" s="69"/>
      <c r="BX160" s="69"/>
      <c r="BY160" s="69"/>
      <c r="BZ160" s="69"/>
      <c r="CA160" s="69"/>
      <c r="CB160" s="69"/>
      <c r="CC160" s="69"/>
      <c r="CD160" s="69"/>
    </row>
    <row r="161" ht="14" customHeight="1" spans="1:82" x14ac:dyDescent="0.25">
      <c r="A161" s="75" t="s">
        <v>85</v>
      </c>
      <c r="B161" s="75" t="s">
        <v>379</v>
      </c>
      <c r="C161" s="76">
        <v>46153</v>
      </c>
      <c r="D161" s="76">
        <v>46499</v>
      </c>
      <c r="E161" s="77">
        <v>0.22383870967741937</v>
      </c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  <c r="AO161" s="67"/>
      <c r="AP161" s="67"/>
      <c r="AQ161" s="67"/>
      <c r="AR161" s="68"/>
      <c r="AS161" s="67"/>
      <c r="AT161" s="67"/>
      <c r="AU161" s="67"/>
      <c r="AV161" s="67"/>
      <c r="AW161" s="67"/>
      <c r="AX161" s="67"/>
      <c r="AY161" s="67"/>
      <c r="AZ161" s="67"/>
      <c r="BA161" s="67"/>
      <c r="BB161" s="67"/>
      <c r="BC161" s="67"/>
      <c r="BD161" s="67"/>
      <c r="BE161" s="67"/>
      <c r="BF161" s="67"/>
      <c r="BG161" s="67"/>
      <c r="BH161" s="67"/>
      <c r="BI161" s="67"/>
      <c r="BJ161" s="67"/>
      <c r="BK161" s="67"/>
      <c r="BL161" s="67"/>
      <c r="BM161" s="67"/>
      <c r="BN161" s="67"/>
      <c r="BO161" s="67"/>
      <c r="BP161" s="67"/>
      <c r="BQ161" s="67"/>
      <c r="BR161" s="67"/>
      <c r="BS161" s="67"/>
      <c r="BT161" s="67"/>
      <c r="BU161" s="67"/>
    </row>
    <row r="162" ht="14" customHeight="1" spans="1:82" s="69" customFormat="1" x14ac:dyDescent="0.25" outlineLevel="1" collapsed="1">
      <c r="A162" s="69" t="s">
        <v>283</v>
      </c>
      <c r="B162" s="69" t="s">
        <v>380</v>
      </c>
      <c r="C162" s="70">
        <v>46153</v>
      </c>
      <c r="D162" s="70">
        <v>46162</v>
      </c>
      <c r="E162" s="71">
        <v>1</v>
      </c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79"/>
      <c r="Y162" s="7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  <c r="AR162" s="73"/>
      <c r="AS162" s="69"/>
      <c r="AT162" s="69"/>
      <c r="AU162" s="69"/>
      <c r="AV162" s="69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  <c r="BG162" s="69"/>
      <c r="BH162" s="69"/>
      <c r="BI162" s="69"/>
      <c r="BJ162" s="69"/>
      <c r="BK162" s="69"/>
      <c r="BL162" s="69"/>
      <c r="BM162" s="69"/>
      <c r="BN162" s="69"/>
      <c r="BO162" s="69"/>
      <c r="BP162" s="69"/>
      <c r="BQ162" s="69"/>
      <c r="BR162" s="69"/>
      <c r="BS162" s="69"/>
      <c r="BT162" s="69"/>
      <c r="BU162" s="69"/>
      <c r="BV162" s="69"/>
      <c r="BW162" s="69"/>
      <c r="BX162" s="69"/>
      <c r="BY162" s="69"/>
      <c r="BZ162" s="69"/>
      <c r="CA162" s="69"/>
      <c r="CB162" s="69"/>
      <c r="CC162" s="69"/>
      <c r="CD162" s="69"/>
    </row>
    <row r="163" ht="14" customHeight="1" spans="1:82" s="69" customFormat="1" x14ac:dyDescent="0.25" outlineLevel="1" collapsed="1">
      <c r="A163" s="69" t="s">
        <v>284</v>
      </c>
      <c r="B163" s="69" t="s">
        <v>381</v>
      </c>
      <c r="C163" s="70">
        <v>46192</v>
      </c>
      <c r="D163" s="70">
        <v>46214</v>
      </c>
      <c r="E163" s="71">
        <v>1</v>
      </c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  <c r="AA163" s="69"/>
      <c r="AB163" s="69"/>
      <c r="AC163" s="79"/>
      <c r="AD163" s="79"/>
      <c r="AE163" s="79"/>
      <c r="AF163" s="7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  <c r="AR163" s="73"/>
      <c r="AS163" s="69"/>
      <c r="AT163" s="69"/>
      <c r="AU163" s="69"/>
      <c r="AV163" s="69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  <c r="BG163" s="69"/>
      <c r="BH163" s="69"/>
      <c r="BI163" s="69"/>
      <c r="BJ163" s="69"/>
      <c r="BK163" s="69"/>
      <c r="BL163" s="69"/>
      <c r="BM163" s="69"/>
      <c r="BN163" s="69"/>
      <c r="BO163" s="69"/>
      <c r="BP163" s="69"/>
      <c r="BQ163" s="69"/>
      <c r="BR163" s="69"/>
      <c r="BS163" s="69"/>
      <c r="BT163" s="69"/>
      <c r="BU163" s="69"/>
      <c r="BV163" s="69"/>
      <c r="BW163" s="69"/>
      <c r="BX163" s="69"/>
      <c r="BY163" s="69"/>
      <c r="BZ163" s="69"/>
      <c r="CA163" s="69"/>
      <c r="CB163" s="69"/>
      <c r="CC163" s="69"/>
      <c r="CD163" s="69"/>
    </row>
    <row r="164" ht="14" customHeight="1" spans="1:82" s="69" customFormat="1" x14ac:dyDescent="0.25" outlineLevel="1" collapsed="1">
      <c r="A164" s="69" t="s">
        <v>285</v>
      </c>
      <c r="B164" s="69" t="s">
        <v>382</v>
      </c>
      <c r="C164" s="70">
        <v>46204</v>
      </c>
      <c r="D164" s="70">
        <v>46245</v>
      </c>
      <c r="E164" s="71">
        <v>1</v>
      </c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79"/>
      <c r="AF164" s="79"/>
      <c r="AG164" s="79"/>
      <c r="AH164" s="79"/>
      <c r="AI164" s="79"/>
      <c r="AJ164" s="79"/>
      <c r="AK164" s="79"/>
      <c r="AL164" s="69"/>
      <c r="AM164" s="69"/>
      <c r="AN164" s="69"/>
      <c r="AO164" s="69"/>
      <c r="AP164" s="69"/>
      <c r="AQ164" s="69"/>
      <c r="AR164" s="73"/>
      <c r="AS164" s="69"/>
      <c r="AT164" s="69"/>
      <c r="AU164" s="69"/>
      <c r="AV164" s="69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  <c r="BG164" s="69"/>
      <c r="BH164" s="69"/>
      <c r="BI164" s="69"/>
      <c r="BJ164" s="69"/>
      <c r="BK164" s="69"/>
      <c r="BL164" s="69"/>
      <c r="BM164" s="69"/>
      <c r="BN164" s="69"/>
      <c r="BO164" s="69"/>
      <c r="BP164" s="69"/>
      <c r="BQ164" s="69"/>
      <c r="BR164" s="69"/>
      <c r="BS164" s="69"/>
      <c r="BT164" s="69"/>
      <c r="BU164" s="69"/>
      <c r="BV164" s="69"/>
      <c r="BW164" s="69"/>
      <c r="BX164" s="69"/>
      <c r="BY164" s="69"/>
      <c r="BZ164" s="69"/>
      <c r="CA164" s="69"/>
      <c r="CB164" s="69"/>
      <c r="CC164" s="69"/>
      <c r="CD164" s="69"/>
    </row>
    <row r="165" ht="14" customHeight="1" spans="1:82" s="69" customFormat="1" x14ac:dyDescent="0.25" outlineLevel="1" collapsed="1">
      <c r="A165" s="69" t="s">
        <v>286</v>
      </c>
      <c r="B165" s="69" t="s">
        <v>383</v>
      </c>
      <c r="C165" s="70">
        <v>46247</v>
      </c>
      <c r="D165" s="70">
        <v>46307</v>
      </c>
      <c r="E165" s="71">
        <v>0.59</v>
      </c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79"/>
      <c r="AL165" s="79"/>
      <c r="AM165" s="79"/>
      <c r="AN165" s="79"/>
      <c r="AO165" s="79"/>
      <c r="AP165" s="79"/>
      <c r="AQ165" s="79"/>
      <c r="AR165" s="80"/>
      <c r="AS165" s="81"/>
      <c r="AT165" s="81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K165" s="69"/>
      <c r="BL165" s="69"/>
      <c r="BM165" s="69"/>
      <c r="BN165" s="69"/>
      <c r="BO165" s="69"/>
      <c r="BP165" s="69"/>
      <c r="BQ165" s="69"/>
      <c r="BR165" s="69"/>
      <c r="BS165" s="69"/>
      <c r="BT165" s="69"/>
      <c r="BU165" s="69"/>
      <c r="BV165" s="69"/>
      <c r="BW165" s="69"/>
      <c r="BX165" s="69"/>
      <c r="BY165" s="69"/>
      <c r="BZ165" s="69"/>
      <c r="CA165" s="69"/>
      <c r="CB165" s="69"/>
      <c r="CC165" s="69"/>
      <c r="CD165" s="69"/>
    </row>
    <row r="166" ht="14" customHeight="1" spans="1:82" s="69" customFormat="1" x14ac:dyDescent="0.25" outlineLevel="1" collapsed="1">
      <c r="A166" s="69" t="s">
        <v>287</v>
      </c>
      <c r="B166" s="69" t="s">
        <v>384</v>
      </c>
      <c r="C166" s="70">
        <v>46308</v>
      </c>
      <c r="D166" s="70">
        <v>46370</v>
      </c>
      <c r="E166" s="71">
        <v>0</v>
      </c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  <c r="AR166" s="73"/>
      <c r="AS166" s="69"/>
      <c r="AT166" s="81"/>
      <c r="AU166" s="81"/>
      <c r="AV166" s="81"/>
      <c r="AW166" s="81"/>
      <c r="AX166" s="81"/>
      <c r="AY166" s="81"/>
      <c r="AZ166" s="81"/>
      <c r="BA166" s="81"/>
      <c r="BB166" s="81"/>
      <c r="BC166" s="81"/>
      <c r="BD166" s="69"/>
      <c r="BE166" s="69"/>
      <c r="BF166" s="69"/>
      <c r="BG166" s="69"/>
      <c r="BH166" s="69"/>
      <c r="BI166" s="69"/>
      <c r="BJ166" s="69"/>
      <c r="BK166" s="69"/>
      <c r="BL166" s="69"/>
      <c r="BM166" s="69"/>
      <c r="BN166" s="69"/>
      <c r="BO166" s="69"/>
      <c r="BP166" s="69"/>
      <c r="BQ166" s="69"/>
      <c r="BR166" s="69"/>
      <c r="BS166" s="69"/>
      <c r="BT166" s="69"/>
      <c r="BU166" s="69"/>
      <c r="BV166" s="69"/>
      <c r="BW166" s="69"/>
      <c r="BX166" s="69"/>
      <c r="BY166" s="69"/>
      <c r="BZ166" s="69"/>
      <c r="CA166" s="69"/>
      <c r="CB166" s="69"/>
      <c r="CC166" s="69"/>
      <c r="CD166" s="69"/>
    </row>
    <row r="167" ht="14" customHeight="1" spans="1:82" s="69" customFormat="1" x14ac:dyDescent="0.25" outlineLevel="1" collapsed="1">
      <c r="A167" s="69" t="s">
        <v>288</v>
      </c>
      <c r="B167" s="69" t="s">
        <v>385</v>
      </c>
      <c r="C167" s="70">
        <v>46332</v>
      </c>
      <c r="D167" s="70">
        <v>46378</v>
      </c>
      <c r="E167" s="71">
        <v>0</v>
      </c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  <c r="AR167" s="73"/>
      <c r="AS167" s="69"/>
      <c r="AT167" s="69"/>
      <c r="AU167" s="69"/>
      <c r="AV167" s="69"/>
      <c r="AW167" s="81"/>
      <c r="AX167" s="81"/>
      <c r="AY167" s="81"/>
      <c r="AZ167" s="81"/>
      <c r="BA167" s="81"/>
      <c r="BB167" s="81"/>
      <c r="BC167" s="81"/>
      <c r="BD167" s="81"/>
      <c r="BE167" s="69"/>
      <c r="BF167" s="69"/>
      <c r="BG167" s="69"/>
      <c r="BH167" s="69"/>
      <c r="BI167" s="69"/>
      <c r="BJ167" s="69"/>
      <c r="BK167" s="69"/>
      <c r="BL167" s="69"/>
      <c r="BM167" s="69"/>
      <c r="BN167" s="69"/>
      <c r="BO167" s="69"/>
      <c r="BP167" s="69"/>
      <c r="BQ167" s="69"/>
      <c r="BR167" s="69"/>
      <c r="BS167" s="69"/>
      <c r="BT167" s="69"/>
      <c r="BU167" s="69"/>
      <c r="BV167" s="69"/>
      <c r="BW167" s="69"/>
      <c r="BX167" s="69"/>
      <c r="BY167" s="69"/>
      <c r="BZ167" s="69"/>
      <c r="CA167" s="69"/>
      <c r="CB167" s="69"/>
      <c r="CC167" s="69"/>
      <c r="CD167" s="69"/>
    </row>
    <row r="168" ht="14" customHeight="1" spans="1:82" s="69" customFormat="1" x14ac:dyDescent="0.25" outlineLevel="1" collapsed="1">
      <c r="A168" s="69" t="s">
        <v>289</v>
      </c>
      <c r="B168" s="69" t="s">
        <v>386</v>
      </c>
      <c r="C168" s="70">
        <v>46365</v>
      </c>
      <c r="D168" s="70">
        <v>46396</v>
      </c>
      <c r="E168" s="71">
        <v>0</v>
      </c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  <c r="AR168" s="73"/>
      <c r="AS168" s="69"/>
      <c r="AT168" s="69"/>
      <c r="AU168" s="69"/>
      <c r="AV168" s="69"/>
      <c r="AW168" s="69"/>
      <c r="AX168" s="69"/>
      <c r="AY168" s="69"/>
      <c r="AZ168" s="69"/>
      <c r="BA168" s="69"/>
      <c r="BB168" s="81"/>
      <c r="BC168" s="81"/>
      <c r="BD168" s="81"/>
      <c r="BE168" s="81"/>
      <c r="BF168" s="81"/>
      <c r="BG168" s="69"/>
      <c r="BH168" s="69"/>
      <c r="BI168" s="69"/>
      <c r="BJ168" s="69"/>
      <c r="BK168" s="69"/>
      <c r="BL168" s="69"/>
      <c r="BM168" s="69"/>
      <c r="BN168" s="69"/>
      <c r="BO168" s="69"/>
      <c r="BP168" s="69"/>
      <c r="BQ168" s="69"/>
      <c r="BR168" s="69"/>
      <c r="BS168" s="69"/>
      <c r="BT168" s="69"/>
      <c r="BU168" s="69"/>
      <c r="BV168" s="69"/>
      <c r="BW168" s="69"/>
      <c r="BX168" s="69"/>
      <c r="BY168" s="69"/>
      <c r="BZ168" s="69"/>
      <c r="CA168" s="69"/>
      <c r="CB168" s="69"/>
      <c r="CC168" s="69"/>
      <c r="CD168" s="69"/>
    </row>
    <row r="169" ht="14" customHeight="1" spans="1:82" s="69" customFormat="1" x14ac:dyDescent="0.25" outlineLevel="1" collapsed="1">
      <c r="A169" s="69" t="s">
        <v>290</v>
      </c>
      <c r="B169" s="69" t="s">
        <v>388</v>
      </c>
      <c r="C169" s="70">
        <v>46398</v>
      </c>
      <c r="D169" s="70">
        <v>46448</v>
      </c>
      <c r="E169" s="71">
        <v>0</v>
      </c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  <c r="AP169" s="69"/>
      <c r="AQ169" s="69"/>
      <c r="AR169" s="73"/>
      <c r="AS169" s="69"/>
      <c r="AT169" s="69"/>
      <c r="AU169" s="69"/>
      <c r="AV169" s="69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  <c r="BG169" s="81"/>
      <c r="BH169" s="81"/>
      <c r="BI169" s="81"/>
      <c r="BJ169" s="81"/>
      <c r="BK169" s="81"/>
      <c r="BL169" s="81"/>
      <c r="BM169" s="81"/>
      <c r="BN169" s="81"/>
      <c r="BO169" s="69"/>
      <c r="BP169" s="69"/>
      <c r="BQ169" s="69"/>
      <c r="BR169" s="69"/>
      <c r="BS169" s="69"/>
      <c r="BT169" s="69"/>
      <c r="BU169" s="69"/>
      <c r="BV169" s="69"/>
      <c r="BW169" s="69"/>
      <c r="BX169" s="69"/>
      <c r="BY169" s="69"/>
      <c r="BZ169" s="69"/>
      <c r="CA169" s="69"/>
      <c r="CB169" s="69"/>
      <c r="CC169" s="69"/>
      <c r="CD169" s="69"/>
    </row>
    <row r="170" ht="14" customHeight="1" spans="1:82" s="69" customFormat="1" x14ac:dyDescent="0.25" outlineLevel="1" collapsed="1">
      <c r="A170" s="69" t="s">
        <v>291</v>
      </c>
      <c r="B170" s="69" t="s">
        <v>387</v>
      </c>
      <c r="C170" s="70">
        <v>46416</v>
      </c>
      <c r="D170" s="70">
        <v>46480</v>
      </c>
      <c r="E170" s="71">
        <v>0</v>
      </c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  <c r="AR170" s="73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81"/>
      <c r="BJ170" s="81"/>
      <c r="BK170" s="81"/>
      <c r="BL170" s="81"/>
      <c r="BM170" s="81"/>
      <c r="BN170" s="81"/>
      <c r="BO170" s="81"/>
      <c r="BP170" s="81"/>
      <c r="BQ170" s="81"/>
      <c r="BR170" s="81"/>
      <c r="BS170" s="69"/>
      <c r="BT170" s="69"/>
      <c r="BU170" s="69"/>
      <c r="BV170" s="69"/>
      <c r="BW170" s="69"/>
      <c r="BX170" s="69"/>
      <c r="BY170" s="69"/>
      <c r="BZ170" s="69"/>
      <c r="CA170" s="69"/>
      <c r="CB170" s="69"/>
      <c r="CC170" s="69"/>
      <c r="CD170" s="69"/>
    </row>
    <row r="171" ht="14" customHeight="1" spans="1:82" s="69" customFormat="1" x14ac:dyDescent="0.25" outlineLevel="1" collapsed="1">
      <c r="A171" s="69" t="s">
        <v>292</v>
      </c>
      <c r="B171" s="69" t="s">
        <v>389</v>
      </c>
      <c r="C171" s="70">
        <v>46482</v>
      </c>
      <c r="D171" s="70">
        <v>46499</v>
      </c>
      <c r="E171" s="71">
        <v>0</v>
      </c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  <c r="AR171" s="73"/>
      <c r="AS171" s="69"/>
      <c r="AT171" s="69"/>
      <c r="AU171" s="69"/>
      <c r="AV171" s="69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  <c r="BG171" s="69"/>
      <c r="BH171" s="69"/>
      <c r="BI171" s="69"/>
      <c r="BJ171" s="69"/>
      <c r="BK171" s="69"/>
      <c r="BL171" s="69"/>
      <c r="BM171" s="69"/>
      <c r="BN171" s="69"/>
      <c r="BO171" s="69"/>
      <c r="BP171" s="69"/>
      <c r="BQ171" s="69"/>
      <c r="BR171" s="69"/>
      <c r="BS171" s="81"/>
      <c r="BT171" s="81"/>
      <c r="BU171" s="81"/>
      <c r="BV171" s="69"/>
      <c r="BW171" s="69"/>
      <c r="BX171" s="69"/>
      <c r="BY171" s="69"/>
      <c r="BZ171" s="69"/>
      <c r="CA171" s="69"/>
      <c r="CB171" s="69"/>
      <c r="CC171" s="69"/>
      <c r="CD171" s="69"/>
    </row>
    <row r="172" ht="14" customHeight="1" spans="1:82" s="69" customFormat="1" x14ac:dyDescent="0.25" outlineLevel="1" collapsed="1">
      <c r="A172" s="69" t="s">
        <v>293</v>
      </c>
      <c r="B172" s="69" t="s">
        <v>390</v>
      </c>
      <c r="C172" s="70">
        <v>46499</v>
      </c>
      <c r="D172" s="70">
        <v>46499</v>
      </c>
      <c r="E172" s="71">
        <v>0</v>
      </c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73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K172" s="69"/>
      <c r="BL172" s="69"/>
      <c r="BM172" s="69"/>
      <c r="BN172" s="69"/>
      <c r="BO172" s="69"/>
      <c r="BP172" s="69"/>
      <c r="BQ172" s="69"/>
      <c r="BR172" s="69"/>
      <c r="BS172" s="69"/>
      <c r="BT172" s="69"/>
      <c r="BU172" s="82" t="s">
        <v>365</v>
      </c>
      <c r="BV172" s="69"/>
      <c r="BW172" s="69"/>
      <c r="BX172" s="69"/>
      <c r="BY172" s="69"/>
      <c r="BZ172" s="69"/>
      <c r="CA172" s="69"/>
      <c r="CB172" s="69"/>
      <c r="CC172" s="69"/>
      <c r="CD172" s="69"/>
    </row>
    <row r="173" ht="14" customHeight="1" spans="1:82" x14ac:dyDescent="0.25">
      <c r="A173" s="64" t="s">
        <v>85</v>
      </c>
      <c r="B173" s="64" t="s">
        <v>396</v>
      </c>
      <c r="C173" s="65">
        <v>46069</v>
      </c>
      <c r="D173" s="65">
        <v>46478</v>
      </c>
      <c r="E173" s="66">
        <v>0.6021953188054884</v>
      </c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  <c r="AP173" s="67"/>
      <c r="AQ173" s="67"/>
      <c r="AR173" s="68"/>
      <c r="AS173" s="67"/>
      <c r="AT173" s="67"/>
      <c r="AU173" s="67"/>
      <c r="AV173" s="67"/>
      <c r="AW173" s="67"/>
      <c r="AX173" s="67"/>
      <c r="AY173" s="67"/>
      <c r="AZ173" s="67"/>
      <c r="BA173" s="67"/>
      <c r="BB173" s="67"/>
      <c r="BC173" s="67"/>
      <c r="BD173" s="67"/>
      <c r="BE173" s="67"/>
      <c r="BF173" s="67"/>
      <c r="BG173" s="67"/>
      <c r="BH173" s="67"/>
      <c r="BI173" s="67"/>
      <c r="BJ173" s="67"/>
      <c r="BK173" s="67"/>
      <c r="BL173" s="67"/>
      <c r="BM173" s="67"/>
      <c r="BN173" s="67"/>
      <c r="BO173" s="67"/>
      <c r="BP173" s="67"/>
      <c r="BQ173" s="67"/>
      <c r="BR173" s="67"/>
    </row>
    <row r="174" ht="14" customHeight="1" spans="1:82" x14ac:dyDescent="0.25">
      <c r="A174" s="75" t="s">
        <v>85</v>
      </c>
      <c r="B174" s="75" t="s">
        <v>397</v>
      </c>
      <c r="C174" s="76">
        <v>46069</v>
      </c>
      <c r="D174" s="76">
        <v>46478</v>
      </c>
      <c r="E174" s="77">
        <v>0.6412676056338029</v>
      </c>
      <c r="L174" s="67"/>
      <c r="M174" s="67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  <c r="AA174" s="67"/>
      <c r="AB174" s="67"/>
      <c r="AC174" s="67"/>
      <c r="AD174" s="67"/>
      <c r="AE174" s="67"/>
      <c r="AF174" s="67"/>
      <c r="AG174" s="67"/>
      <c r="AH174" s="67"/>
      <c r="AI174" s="67"/>
      <c r="AJ174" s="67"/>
      <c r="AK174" s="67"/>
      <c r="AL174" s="67"/>
      <c r="AM174" s="67"/>
      <c r="AN174" s="67"/>
      <c r="AO174" s="67"/>
      <c r="AP174" s="67"/>
      <c r="AQ174" s="67"/>
      <c r="AR174" s="68"/>
      <c r="AS174" s="67"/>
      <c r="AT174" s="67"/>
      <c r="AU174" s="67"/>
      <c r="AV174" s="67"/>
      <c r="AW174" s="67"/>
      <c r="AX174" s="67"/>
      <c r="AY174" s="67"/>
      <c r="AZ174" s="67"/>
      <c r="BA174" s="67"/>
      <c r="BB174" s="67"/>
      <c r="BC174" s="67"/>
      <c r="BD174" s="67"/>
      <c r="BE174" s="67"/>
      <c r="BF174" s="67"/>
      <c r="BG174" s="67"/>
      <c r="BH174" s="67"/>
      <c r="BI174" s="67"/>
      <c r="BJ174" s="67"/>
      <c r="BK174" s="67"/>
      <c r="BL174" s="67"/>
      <c r="BM174" s="67"/>
      <c r="BN174" s="67"/>
      <c r="BO174" s="67"/>
      <c r="BP174" s="67"/>
      <c r="BQ174" s="67"/>
      <c r="BR174" s="67"/>
    </row>
    <row r="175" ht="14" customHeight="1" spans="1:82" x14ac:dyDescent="0.25">
      <c r="A175" s="75" t="s">
        <v>85</v>
      </c>
      <c r="B175" s="75" t="s">
        <v>369</v>
      </c>
      <c r="C175" s="76">
        <v>46070</v>
      </c>
      <c r="D175" s="76">
        <v>46184</v>
      </c>
      <c r="E175" s="77">
        <v>1</v>
      </c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R175" s="78"/>
    </row>
    <row r="176" ht="14" customHeight="1" spans="1:82" s="69" customFormat="1" x14ac:dyDescent="0.25" outlineLevel="1" collapsed="1">
      <c r="A176" s="69" t="s">
        <v>298</v>
      </c>
      <c r="B176" s="69" t="s">
        <v>370</v>
      </c>
      <c r="C176" s="70">
        <v>46070</v>
      </c>
      <c r="D176" s="70">
        <v>46101</v>
      </c>
      <c r="E176" s="71">
        <v>1</v>
      </c>
      <c r="F176" s="69"/>
      <c r="G176" s="69"/>
      <c r="H176" s="69"/>
      <c r="I176" s="69"/>
      <c r="J176" s="69"/>
      <c r="K176" s="69"/>
      <c r="L176" s="79"/>
      <c r="M176" s="79"/>
      <c r="N176" s="79"/>
      <c r="O176" s="79"/>
      <c r="P176" s="79"/>
      <c r="Q176" s="69"/>
      <c r="R176" s="69"/>
      <c r="S176" s="69"/>
      <c r="T176" s="69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  <c r="AR176" s="73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K176" s="69"/>
      <c r="BL176" s="69"/>
      <c r="BM176" s="69"/>
      <c r="BN176" s="69"/>
      <c r="BO176" s="69"/>
      <c r="BP176" s="69"/>
      <c r="BQ176" s="69"/>
      <c r="BR176" s="69"/>
      <c r="BS176" s="69"/>
      <c r="BT176" s="69"/>
      <c r="BU176" s="69"/>
      <c r="BV176" s="69"/>
      <c r="BW176" s="69"/>
      <c r="BX176" s="69"/>
      <c r="BY176" s="69"/>
      <c r="BZ176" s="69"/>
      <c r="CA176" s="69"/>
      <c r="CB176" s="69"/>
      <c r="CC176" s="69"/>
      <c r="CD176" s="69"/>
    </row>
    <row r="177" ht="14" customHeight="1" spans="1:82" s="69" customFormat="1" x14ac:dyDescent="0.25" outlineLevel="1" collapsed="1">
      <c r="A177" s="69" t="s">
        <v>299</v>
      </c>
      <c r="B177" s="69" t="s">
        <v>371</v>
      </c>
      <c r="C177" s="70">
        <v>46077</v>
      </c>
      <c r="D177" s="70">
        <v>46142</v>
      </c>
      <c r="E177" s="71">
        <v>1</v>
      </c>
      <c r="F177" s="69"/>
      <c r="G177" s="69"/>
      <c r="H177" s="69"/>
      <c r="I177" s="69"/>
      <c r="J177" s="69"/>
      <c r="K177" s="69"/>
      <c r="L177" s="6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73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K177" s="69"/>
      <c r="BL177" s="69"/>
      <c r="BM177" s="69"/>
      <c r="BN177" s="69"/>
      <c r="BO177" s="69"/>
      <c r="BP177" s="69"/>
      <c r="BQ177" s="69"/>
      <c r="BR177" s="69"/>
      <c r="BS177" s="69"/>
      <c r="BT177" s="69"/>
      <c r="BU177" s="69"/>
      <c r="BV177" s="69"/>
      <c r="BW177" s="69"/>
      <c r="BX177" s="69"/>
      <c r="BY177" s="69"/>
      <c r="BZ177" s="69"/>
      <c r="CA177" s="69"/>
      <c r="CB177" s="69"/>
      <c r="CC177" s="69"/>
      <c r="CD177" s="69"/>
    </row>
    <row r="178" ht="14" customHeight="1" spans="1:82" s="69" customFormat="1" x14ac:dyDescent="0.25" outlineLevel="1" collapsed="1">
      <c r="A178" s="69" t="s">
        <v>300</v>
      </c>
      <c r="B178" s="69" t="s">
        <v>372</v>
      </c>
      <c r="C178" s="70">
        <v>46108</v>
      </c>
      <c r="D178" s="70">
        <v>46177</v>
      </c>
      <c r="E178" s="71">
        <v>1</v>
      </c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  <c r="AP178" s="69"/>
      <c r="AQ178" s="69"/>
      <c r="AR178" s="73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  <c r="BM178" s="69"/>
      <c r="BN178" s="69"/>
      <c r="BO178" s="69"/>
      <c r="BP178" s="69"/>
      <c r="BQ178" s="69"/>
      <c r="BR178" s="69"/>
      <c r="BS178" s="69"/>
      <c r="BT178" s="69"/>
      <c r="BU178" s="69"/>
      <c r="BV178" s="69"/>
      <c r="BW178" s="69"/>
      <c r="BX178" s="69"/>
      <c r="BY178" s="69"/>
      <c r="BZ178" s="69"/>
      <c r="CA178" s="69"/>
      <c r="CB178" s="69"/>
      <c r="CC178" s="69"/>
      <c r="CD178" s="69"/>
    </row>
    <row r="179" ht="14" customHeight="1" spans="1:82" s="69" customFormat="1" x14ac:dyDescent="0.25" outlineLevel="1" collapsed="1">
      <c r="A179" s="69" t="s">
        <v>301</v>
      </c>
      <c r="B179" s="69" t="s">
        <v>373</v>
      </c>
      <c r="C179" s="70">
        <v>46160</v>
      </c>
      <c r="D179" s="70">
        <v>46184</v>
      </c>
      <c r="E179" s="71">
        <v>1</v>
      </c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79"/>
      <c r="Z179" s="79"/>
      <c r="AA179" s="79"/>
      <c r="AB179" s="7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  <c r="AP179" s="69"/>
      <c r="AQ179" s="69"/>
      <c r="AR179" s="73"/>
      <c r="AS179" s="69"/>
      <c r="AT179" s="69"/>
      <c r="AU179" s="69"/>
      <c r="AV179" s="69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  <c r="BG179" s="69"/>
      <c r="BH179" s="69"/>
      <c r="BI179" s="69"/>
      <c r="BJ179" s="69"/>
      <c r="BK179" s="69"/>
      <c r="BL179" s="69"/>
      <c r="BM179" s="69"/>
      <c r="BN179" s="69"/>
      <c r="BO179" s="69"/>
      <c r="BP179" s="69"/>
      <c r="BQ179" s="69"/>
      <c r="BR179" s="69"/>
      <c r="BS179" s="69"/>
      <c r="BT179" s="69"/>
      <c r="BU179" s="69"/>
      <c r="BV179" s="69"/>
      <c r="BW179" s="69"/>
      <c r="BX179" s="69"/>
      <c r="BY179" s="69"/>
      <c r="BZ179" s="69"/>
      <c r="CA179" s="69"/>
      <c r="CB179" s="69"/>
      <c r="CC179" s="69"/>
      <c r="CD179" s="69"/>
    </row>
    <row r="180" ht="14" customHeight="1" spans="1:82" x14ac:dyDescent="0.25">
      <c r="A180" s="75" t="s">
        <v>85</v>
      </c>
      <c r="B180" s="75" t="s">
        <v>374</v>
      </c>
      <c r="C180" s="76">
        <v>46147</v>
      </c>
      <c r="D180" s="76">
        <v>46372</v>
      </c>
      <c r="E180" s="77">
        <v>0.7463730569948187</v>
      </c>
      <c r="W180" s="67"/>
      <c r="X180" s="67"/>
      <c r="Y180" s="67"/>
      <c r="Z180" s="67"/>
      <c r="AA180" s="67"/>
      <c r="AB180" s="67"/>
      <c r="AC180" s="67"/>
      <c r="AD180" s="67"/>
      <c r="AE180" s="67"/>
      <c r="AF180" s="67"/>
      <c r="AG180" s="67"/>
      <c r="AH180" s="67"/>
      <c r="AI180" s="67"/>
      <c r="AJ180" s="67"/>
      <c r="AK180" s="67"/>
      <c r="AL180" s="67"/>
      <c r="AM180" s="67"/>
      <c r="AN180" s="67"/>
      <c r="AO180" s="67"/>
      <c r="AP180" s="67"/>
      <c r="AQ180" s="67"/>
      <c r="AR180" s="68"/>
      <c r="AS180" s="67"/>
      <c r="AT180" s="67"/>
      <c r="AU180" s="67"/>
      <c r="AV180" s="67"/>
      <c r="AW180" s="67"/>
      <c r="AX180" s="67"/>
      <c r="AY180" s="67"/>
      <c r="AZ180" s="67"/>
      <c r="BA180" s="67"/>
      <c r="BB180" s="67"/>
      <c r="BC180" s="67"/>
    </row>
    <row r="181" ht="14" customHeight="1" spans="1:82" s="69" customFormat="1" x14ac:dyDescent="0.25" outlineLevel="1" collapsed="1">
      <c r="A181" s="69" t="s">
        <v>303</v>
      </c>
      <c r="B181" s="69" t="s">
        <v>375</v>
      </c>
      <c r="C181" s="70">
        <v>46147</v>
      </c>
      <c r="D181" s="70">
        <v>46168</v>
      </c>
      <c r="E181" s="71">
        <v>1</v>
      </c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79"/>
      <c r="X181" s="79"/>
      <c r="Y181" s="79"/>
      <c r="Z181" s="7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  <c r="AP181" s="69"/>
      <c r="AQ181" s="69"/>
      <c r="AR181" s="73"/>
      <c r="AS181" s="69"/>
      <c r="AT181" s="69"/>
      <c r="AU181" s="69"/>
      <c r="AV181" s="69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  <c r="BG181" s="69"/>
      <c r="BH181" s="69"/>
      <c r="BI181" s="69"/>
      <c r="BJ181" s="69"/>
      <c r="BK181" s="69"/>
      <c r="BL181" s="69"/>
      <c r="BM181" s="69"/>
      <c r="BN181" s="69"/>
      <c r="BO181" s="69"/>
      <c r="BP181" s="69"/>
      <c r="BQ181" s="69"/>
      <c r="BR181" s="69"/>
      <c r="BS181" s="69"/>
      <c r="BT181" s="69"/>
      <c r="BU181" s="69"/>
      <c r="BV181" s="69"/>
      <c r="BW181" s="69"/>
      <c r="BX181" s="69"/>
      <c r="BY181" s="69"/>
      <c r="BZ181" s="69"/>
      <c r="CA181" s="69"/>
      <c r="CB181" s="69"/>
      <c r="CC181" s="69"/>
      <c r="CD181" s="69"/>
    </row>
    <row r="182" ht="14" customHeight="1" spans="1:82" s="69" customFormat="1" x14ac:dyDescent="0.25" outlineLevel="1" collapsed="1">
      <c r="A182" s="69" t="s">
        <v>304</v>
      </c>
      <c r="B182" s="69" t="s">
        <v>376</v>
      </c>
      <c r="C182" s="70">
        <v>46169</v>
      </c>
      <c r="D182" s="70">
        <v>46254</v>
      </c>
      <c r="E182" s="71">
        <v>1</v>
      </c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69"/>
      <c r="AN182" s="69"/>
      <c r="AO182" s="69"/>
      <c r="AP182" s="69"/>
      <c r="AQ182" s="69"/>
      <c r="AR182" s="73"/>
      <c r="AS182" s="69"/>
      <c r="AT182" s="69"/>
      <c r="AU182" s="69"/>
      <c r="AV182" s="69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  <c r="BG182" s="69"/>
      <c r="BH182" s="69"/>
      <c r="BI182" s="69"/>
      <c r="BJ182" s="69"/>
      <c r="BK182" s="69"/>
      <c r="BL182" s="69"/>
      <c r="BM182" s="69"/>
      <c r="BN182" s="69"/>
      <c r="BO182" s="69"/>
      <c r="BP182" s="69"/>
      <c r="BQ182" s="69"/>
      <c r="BR182" s="69"/>
      <c r="BS182" s="69"/>
      <c r="BT182" s="69"/>
      <c r="BU182" s="69"/>
      <c r="BV182" s="69"/>
      <c r="BW182" s="69"/>
      <c r="BX182" s="69"/>
      <c r="BY182" s="69"/>
      <c r="BZ182" s="69"/>
      <c r="CA182" s="69"/>
      <c r="CB182" s="69"/>
      <c r="CC182" s="69"/>
      <c r="CD182" s="69"/>
    </row>
    <row r="183" ht="14" customHeight="1" spans="1:82" s="69" customFormat="1" x14ac:dyDescent="0.25" outlineLevel="1" collapsed="1">
      <c r="A183" s="69" t="s">
        <v>305</v>
      </c>
      <c r="B183" s="69" t="s">
        <v>377</v>
      </c>
      <c r="C183" s="70">
        <v>46179</v>
      </c>
      <c r="D183" s="70">
        <v>46200</v>
      </c>
      <c r="E183" s="71">
        <v>1</v>
      </c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  <c r="AA183" s="79"/>
      <c r="AB183" s="79"/>
      <c r="AC183" s="79"/>
      <c r="AD183" s="7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9"/>
      <c r="AQ183" s="69"/>
      <c r="AR183" s="73"/>
      <c r="AS183" s="69"/>
      <c r="AT183" s="69"/>
      <c r="AU183" s="69"/>
      <c r="AV183" s="69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  <c r="BG183" s="69"/>
      <c r="BH183" s="69"/>
      <c r="BI183" s="69"/>
      <c r="BJ183" s="69"/>
      <c r="BK183" s="69"/>
      <c r="BL183" s="69"/>
      <c r="BM183" s="69"/>
      <c r="BN183" s="69"/>
      <c r="BO183" s="69"/>
      <c r="BP183" s="69"/>
      <c r="BQ183" s="69"/>
      <c r="BR183" s="69"/>
      <c r="BS183" s="69"/>
      <c r="BT183" s="69"/>
      <c r="BU183" s="69"/>
      <c r="BV183" s="69"/>
      <c r="BW183" s="69"/>
      <c r="BX183" s="69"/>
      <c r="BY183" s="69"/>
      <c r="BZ183" s="69"/>
      <c r="CA183" s="69"/>
      <c r="CB183" s="69"/>
      <c r="CC183" s="69"/>
      <c r="CD183" s="69"/>
    </row>
    <row r="184" ht="14" customHeight="1" spans="1:82" s="69" customFormat="1" x14ac:dyDescent="0.25" outlineLevel="1" collapsed="1">
      <c r="A184" s="69" t="s">
        <v>306</v>
      </c>
      <c r="B184" s="69" t="s">
        <v>378</v>
      </c>
      <c r="C184" s="70">
        <v>46207</v>
      </c>
      <c r="D184" s="70">
        <v>46372</v>
      </c>
      <c r="E184" s="71">
        <v>0.45</v>
      </c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79"/>
      <c r="AP184" s="79"/>
      <c r="AQ184" s="79"/>
      <c r="AR184" s="80"/>
      <c r="AS184" s="81"/>
      <c r="AT184" s="81"/>
      <c r="AU184" s="81"/>
      <c r="AV184" s="81"/>
      <c r="AW184" s="81"/>
      <c r="AX184" s="81"/>
      <c r="AY184" s="81"/>
      <c r="AZ184" s="81"/>
      <c r="BA184" s="81"/>
      <c r="BB184" s="81"/>
      <c r="BC184" s="81"/>
      <c r="BD184" s="69"/>
      <c r="BE184" s="69"/>
      <c r="BF184" s="69"/>
      <c r="BG184" s="69"/>
      <c r="BH184" s="69"/>
      <c r="BI184" s="69"/>
      <c r="BJ184" s="69"/>
      <c r="BK184" s="69"/>
      <c r="BL184" s="69"/>
      <c r="BM184" s="69"/>
      <c r="BN184" s="69"/>
      <c r="BO184" s="69"/>
      <c r="BP184" s="69"/>
      <c r="BQ184" s="69"/>
      <c r="BR184" s="69"/>
      <c r="BS184" s="69"/>
      <c r="BT184" s="69"/>
      <c r="BU184" s="69"/>
      <c r="BV184" s="69"/>
      <c r="BW184" s="69"/>
      <c r="BX184" s="69"/>
      <c r="BY184" s="69"/>
      <c r="BZ184" s="69"/>
      <c r="CA184" s="69"/>
      <c r="CB184" s="69"/>
      <c r="CC184" s="69"/>
      <c r="CD184" s="69"/>
    </row>
    <row r="185" ht="14" customHeight="1" spans="1:82" x14ac:dyDescent="0.25">
      <c r="A185" s="75" t="s">
        <v>85</v>
      </c>
      <c r="B185" s="75" t="s">
        <v>379</v>
      </c>
      <c r="C185" s="76">
        <v>46069</v>
      </c>
      <c r="D185" s="76">
        <v>46478</v>
      </c>
      <c r="E185" s="77">
        <v>0.4655844155844156</v>
      </c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  <c r="AP185" s="67"/>
      <c r="AQ185" s="67"/>
      <c r="AR185" s="68"/>
      <c r="AS185" s="67"/>
      <c r="AT185" s="67"/>
      <c r="AU185" s="67"/>
      <c r="AV185" s="67"/>
      <c r="AW185" s="67"/>
      <c r="AX185" s="67"/>
      <c r="AY185" s="67"/>
      <c r="AZ185" s="67"/>
      <c r="BA185" s="67"/>
      <c r="BB185" s="67"/>
      <c r="BC185" s="67"/>
      <c r="BD185" s="67"/>
      <c r="BE185" s="67"/>
      <c r="BF185" s="67"/>
      <c r="BG185" s="67"/>
      <c r="BH185" s="67"/>
      <c r="BI185" s="67"/>
      <c r="BJ185" s="67"/>
      <c r="BK185" s="67"/>
      <c r="BL185" s="67"/>
      <c r="BM185" s="67"/>
      <c r="BN185" s="67"/>
      <c r="BO185" s="67"/>
      <c r="BP185" s="67"/>
      <c r="BQ185" s="67"/>
      <c r="BR185" s="67"/>
    </row>
    <row r="186" ht="14" customHeight="1" spans="1:82" s="69" customFormat="1" x14ac:dyDescent="0.25" outlineLevel="1" collapsed="1">
      <c r="A186" s="69" t="s">
        <v>308</v>
      </c>
      <c r="B186" s="69" t="s">
        <v>380</v>
      </c>
      <c r="C186" s="70">
        <v>46069</v>
      </c>
      <c r="D186" s="70">
        <v>46079</v>
      </c>
      <c r="E186" s="71">
        <v>1</v>
      </c>
      <c r="F186" s="69"/>
      <c r="G186" s="69"/>
      <c r="H186" s="69"/>
      <c r="I186" s="69"/>
      <c r="J186" s="69"/>
      <c r="K186" s="69"/>
      <c r="L186" s="79"/>
      <c r="M186" s="7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  <c r="AR186" s="73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K186" s="69"/>
      <c r="BL186" s="69"/>
      <c r="BM186" s="69"/>
      <c r="BN186" s="69"/>
      <c r="BO186" s="69"/>
      <c r="BP186" s="69"/>
      <c r="BQ186" s="69"/>
      <c r="BR186" s="69"/>
      <c r="BS186" s="69"/>
      <c r="BT186" s="69"/>
      <c r="BU186" s="69"/>
      <c r="BV186" s="69"/>
      <c r="BW186" s="69"/>
      <c r="BX186" s="69"/>
      <c r="BY186" s="69"/>
      <c r="BZ186" s="69"/>
      <c r="CA186" s="69"/>
      <c r="CB186" s="69"/>
      <c r="CC186" s="69"/>
      <c r="CD186" s="69"/>
    </row>
    <row r="187" ht="14" customHeight="1" spans="1:82" s="69" customFormat="1" x14ac:dyDescent="0.25" outlineLevel="1" collapsed="1">
      <c r="A187" s="69" t="s">
        <v>309</v>
      </c>
      <c r="B187" s="69" t="s">
        <v>381</v>
      </c>
      <c r="C187" s="70">
        <v>46091</v>
      </c>
      <c r="D187" s="70">
        <v>46126</v>
      </c>
      <c r="E187" s="71">
        <v>1</v>
      </c>
      <c r="F187" s="69"/>
      <c r="G187" s="69"/>
      <c r="H187" s="69"/>
      <c r="I187" s="69"/>
      <c r="J187" s="69"/>
      <c r="K187" s="69"/>
      <c r="L187" s="69"/>
      <c r="M187" s="69"/>
      <c r="N187" s="69"/>
      <c r="O187" s="79"/>
      <c r="P187" s="79"/>
      <c r="Q187" s="79"/>
      <c r="R187" s="79"/>
      <c r="S187" s="79"/>
      <c r="T187" s="79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  <c r="AR187" s="73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K187" s="69"/>
      <c r="BL187" s="69"/>
      <c r="BM187" s="69"/>
      <c r="BN187" s="69"/>
      <c r="BO187" s="69"/>
      <c r="BP187" s="69"/>
      <c r="BQ187" s="69"/>
      <c r="BR187" s="69"/>
      <c r="BS187" s="69"/>
      <c r="BT187" s="69"/>
      <c r="BU187" s="69"/>
      <c r="BV187" s="69"/>
      <c r="BW187" s="69"/>
      <c r="BX187" s="69"/>
      <c r="BY187" s="69"/>
      <c r="BZ187" s="69"/>
      <c r="CA187" s="69"/>
      <c r="CB187" s="69"/>
      <c r="CC187" s="69"/>
      <c r="CD187" s="69"/>
    </row>
    <row r="188" ht="14" customHeight="1" spans="1:82" s="69" customFormat="1" x14ac:dyDescent="0.25" outlineLevel="1" collapsed="1">
      <c r="A188" s="69" t="s">
        <v>310</v>
      </c>
      <c r="B188" s="69" t="s">
        <v>382</v>
      </c>
      <c r="C188" s="70">
        <v>46104</v>
      </c>
      <c r="D188" s="70">
        <v>46156</v>
      </c>
      <c r="E188" s="71">
        <v>1</v>
      </c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79"/>
      <c r="R188" s="79"/>
      <c r="S188" s="79"/>
      <c r="T188" s="79"/>
      <c r="U188" s="79"/>
      <c r="V188" s="79"/>
      <c r="W188" s="79"/>
      <c r="X188" s="7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  <c r="AR188" s="73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K188" s="69"/>
      <c r="BL188" s="69"/>
      <c r="BM188" s="69"/>
      <c r="BN188" s="69"/>
      <c r="BO188" s="69"/>
      <c r="BP188" s="69"/>
      <c r="BQ188" s="69"/>
      <c r="BR188" s="69"/>
      <c r="BS188" s="69"/>
      <c r="BT188" s="69"/>
      <c r="BU188" s="69"/>
      <c r="BV188" s="69"/>
      <c r="BW188" s="69"/>
      <c r="BX188" s="69"/>
      <c r="BY188" s="69"/>
      <c r="BZ188" s="69"/>
      <c r="CA188" s="69"/>
      <c r="CB188" s="69"/>
      <c r="CC188" s="69"/>
      <c r="CD188" s="69"/>
    </row>
    <row r="189" ht="14" customHeight="1" spans="1:82" s="69" customFormat="1" x14ac:dyDescent="0.25" outlineLevel="1" collapsed="1">
      <c r="A189" s="69" t="s">
        <v>311</v>
      </c>
      <c r="B189" s="69" t="s">
        <v>383</v>
      </c>
      <c r="C189" s="70">
        <v>46162</v>
      </c>
      <c r="D189" s="70">
        <v>46195</v>
      </c>
      <c r="E189" s="71">
        <v>1</v>
      </c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79"/>
      <c r="Z189" s="79"/>
      <c r="AA189" s="79"/>
      <c r="AB189" s="79"/>
      <c r="AC189" s="79"/>
      <c r="AD189" s="7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  <c r="AR189" s="73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K189" s="69"/>
      <c r="BL189" s="69"/>
      <c r="BM189" s="69"/>
      <c r="BN189" s="69"/>
      <c r="BO189" s="69"/>
      <c r="BP189" s="69"/>
      <c r="BQ189" s="69"/>
      <c r="BR189" s="69"/>
      <c r="BS189" s="69"/>
      <c r="BT189" s="69"/>
      <c r="BU189" s="69"/>
      <c r="BV189" s="69"/>
      <c r="BW189" s="69"/>
      <c r="BX189" s="69"/>
      <c r="BY189" s="69"/>
      <c r="BZ189" s="69"/>
      <c r="CA189" s="69"/>
      <c r="CB189" s="69"/>
      <c r="CC189" s="69"/>
      <c r="CD189" s="69"/>
    </row>
    <row r="190" ht="14" customHeight="1" spans="1:82" s="69" customFormat="1" x14ac:dyDescent="0.25" outlineLevel="1" collapsed="1">
      <c r="A190" s="69" t="s">
        <v>312</v>
      </c>
      <c r="B190" s="69" t="s">
        <v>384</v>
      </c>
      <c r="C190" s="70">
        <v>46198</v>
      </c>
      <c r="D190" s="70">
        <v>46329</v>
      </c>
      <c r="E190" s="71">
        <v>0.66</v>
      </c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  <c r="AB190" s="69"/>
      <c r="AC190" s="6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  <c r="AQ190" s="79"/>
      <c r="AR190" s="80"/>
      <c r="AS190" s="81"/>
      <c r="AT190" s="81"/>
      <c r="AU190" s="81"/>
      <c r="AV190" s="81"/>
      <c r="AW190" s="81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K190" s="69"/>
      <c r="BL190" s="69"/>
      <c r="BM190" s="69"/>
      <c r="BN190" s="69"/>
      <c r="BO190" s="69"/>
      <c r="BP190" s="69"/>
      <c r="BQ190" s="69"/>
      <c r="BR190" s="69"/>
      <c r="BS190" s="69"/>
      <c r="BT190" s="69"/>
      <c r="BU190" s="69"/>
      <c r="BV190" s="69"/>
      <c r="BW190" s="69"/>
      <c r="BX190" s="69"/>
      <c r="BY190" s="69"/>
      <c r="BZ190" s="69"/>
      <c r="CA190" s="69"/>
      <c r="CB190" s="69"/>
      <c r="CC190" s="69"/>
      <c r="CD190" s="69"/>
    </row>
    <row r="191" ht="14" customHeight="1" spans="1:82" s="69" customFormat="1" x14ac:dyDescent="0.25" outlineLevel="1" collapsed="1">
      <c r="A191" s="69" t="s">
        <v>313</v>
      </c>
      <c r="B191" s="69" t="s">
        <v>385</v>
      </c>
      <c r="C191" s="70">
        <v>46225</v>
      </c>
      <c r="D191" s="70">
        <v>46316</v>
      </c>
      <c r="E191" s="71">
        <v>0.73</v>
      </c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79"/>
      <c r="AI191" s="79"/>
      <c r="AJ191" s="79"/>
      <c r="AK191" s="79"/>
      <c r="AL191" s="79"/>
      <c r="AM191" s="79"/>
      <c r="AN191" s="79"/>
      <c r="AO191" s="79"/>
      <c r="AP191" s="79"/>
      <c r="AQ191" s="79"/>
      <c r="AR191" s="80"/>
      <c r="AS191" s="81"/>
      <c r="AT191" s="81"/>
      <c r="AU191" s="81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K191" s="69"/>
      <c r="BL191" s="69"/>
      <c r="BM191" s="69"/>
      <c r="BN191" s="69"/>
      <c r="BO191" s="69"/>
      <c r="BP191" s="69"/>
      <c r="BQ191" s="69"/>
      <c r="BR191" s="69"/>
      <c r="BS191" s="69"/>
      <c r="BT191" s="69"/>
      <c r="BU191" s="69"/>
      <c r="BV191" s="69"/>
      <c r="BW191" s="69"/>
      <c r="BX191" s="69"/>
      <c r="BY191" s="69"/>
      <c r="BZ191" s="69"/>
      <c r="CA191" s="69"/>
      <c r="CB191" s="69"/>
      <c r="CC191" s="69"/>
      <c r="CD191" s="69"/>
    </row>
    <row r="192" ht="14" customHeight="1" spans="1:82" s="69" customFormat="1" x14ac:dyDescent="0.25" outlineLevel="1" collapsed="1">
      <c r="A192" s="69" t="s">
        <v>314</v>
      </c>
      <c r="B192" s="69" t="s">
        <v>387</v>
      </c>
      <c r="C192" s="70">
        <v>46260</v>
      </c>
      <c r="D192" s="70">
        <v>46452</v>
      </c>
      <c r="E192" s="71">
        <v>0.05</v>
      </c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79"/>
      <c r="AN192" s="79"/>
      <c r="AO192" s="79"/>
      <c r="AP192" s="79"/>
      <c r="AQ192" s="79"/>
      <c r="AR192" s="80"/>
      <c r="AS192" s="81"/>
      <c r="AT192" s="81"/>
      <c r="AU192" s="81"/>
      <c r="AV192" s="81"/>
      <c r="AW192" s="81"/>
      <c r="AX192" s="81"/>
      <c r="AY192" s="81"/>
      <c r="AZ192" s="81"/>
      <c r="BA192" s="81"/>
      <c r="BB192" s="81"/>
      <c r="BC192" s="81"/>
      <c r="BD192" s="81"/>
      <c r="BE192" s="81"/>
      <c r="BF192" s="81"/>
      <c r="BG192" s="81"/>
      <c r="BH192" s="81"/>
      <c r="BI192" s="81"/>
      <c r="BJ192" s="81"/>
      <c r="BK192" s="81"/>
      <c r="BL192" s="81"/>
      <c r="BM192" s="81"/>
      <c r="BN192" s="81"/>
      <c r="BO192" s="69"/>
      <c r="BP192" s="69"/>
      <c r="BQ192" s="69"/>
      <c r="BR192" s="69"/>
      <c r="BS192" s="69"/>
      <c r="BT192" s="69"/>
      <c r="BU192" s="69"/>
      <c r="BV192" s="69"/>
      <c r="BW192" s="69"/>
      <c r="BX192" s="69"/>
      <c r="BY192" s="69"/>
      <c r="BZ192" s="69"/>
      <c r="CA192" s="69"/>
      <c r="CB192" s="69"/>
      <c r="CC192" s="69"/>
      <c r="CD192" s="69"/>
    </row>
    <row r="193" ht="14" customHeight="1" spans="1:82" s="69" customFormat="1" x14ac:dyDescent="0.25" outlineLevel="1" collapsed="1">
      <c r="A193" s="69" t="s">
        <v>316</v>
      </c>
      <c r="B193" s="69" t="s">
        <v>386</v>
      </c>
      <c r="C193" s="70">
        <v>46324</v>
      </c>
      <c r="D193" s="70">
        <v>46364</v>
      </c>
      <c r="E193" s="71">
        <v>0</v>
      </c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  <c r="AP193" s="69"/>
      <c r="AQ193" s="69"/>
      <c r="AR193" s="73"/>
      <c r="AS193" s="69"/>
      <c r="AT193" s="69"/>
      <c r="AU193" s="69"/>
      <c r="AV193" s="81"/>
      <c r="AW193" s="81"/>
      <c r="AX193" s="81"/>
      <c r="AY193" s="81"/>
      <c r="AZ193" s="81"/>
      <c r="BA193" s="81"/>
      <c r="BB193" s="81"/>
      <c r="BC193" s="69"/>
      <c r="BD193" s="69"/>
      <c r="BE193" s="69"/>
      <c r="BF193" s="69"/>
      <c r="BG193" s="69"/>
      <c r="BH193" s="69"/>
      <c r="BI193" s="69"/>
      <c r="BJ193" s="69"/>
      <c r="BK193" s="69"/>
      <c r="BL193" s="69"/>
      <c r="BM193" s="69"/>
      <c r="BN193" s="69"/>
      <c r="BO193" s="69"/>
      <c r="BP193" s="69"/>
      <c r="BQ193" s="69"/>
      <c r="BR193" s="69"/>
      <c r="BS193" s="69"/>
      <c r="BT193" s="69"/>
      <c r="BU193" s="69"/>
      <c r="BV193" s="69"/>
      <c r="BW193" s="69"/>
      <c r="BX193" s="69"/>
      <c r="BY193" s="69"/>
      <c r="BZ193" s="69"/>
      <c r="CA193" s="69"/>
      <c r="CB193" s="69"/>
      <c r="CC193" s="69"/>
      <c r="CD193" s="69"/>
    </row>
    <row r="194" ht="14" customHeight="1" spans="1:82" s="69" customFormat="1" x14ac:dyDescent="0.25" outlineLevel="1" collapsed="1">
      <c r="A194" s="69" t="s">
        <v>317</v>
      </c>
      <c r="B194" s="69" t="s">
        <v>388</v>
      </c>
      <c r="C194" s="70">
        <v>46365</v>
      </c>
      <c r="D194" s="70">
        <v>46424</v>
      </c>
      <c r="E194" s="71">
        <v>0</v>
      </c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  <c r="AR194" s="73"/>
      <c r="AS194" s="69"/>
      <c r="AT194" s="69"/>
      <c r="AU194" s="69"/>
      <c r="AV194" s="69"/>
      <c r="AW194" s="69"/>
      <c r="AX194" s="69"/>
      <c r="AY194" s="69"/>
      <c r="AZ194" s="69"/>
      <c r="BA194" s="69"/>
      <c r="BB194" s="81"/>
      <c r="BC194" s="81"/>
      <c r="BD194" s="81"/>
      <c r="BE194" s="81"/>
      <c r="BF194" s="81"/>
      <c r="BG194" s="81"/>
      <c r="BH194" s="81"/>
      <c r="BI194" s="81"/>
      <c r="BJ194" s="81"/>
      <c r="BK194" s="69"/>
      <c r="BL194" s="69"/>
      <c r="BM194" s="69"/>
      <c r="BN194" s="69"/>
      <c r="BO194" s="69"/>
      <c r="BP194" s="69"/>
      <c r="BQ194" s="69"/>
      <c r="BR194" s="69"/>
      <c r="BS194" s="69"/>
      <c r="BT194" s="69"/>
      <c r="BU194" s="69"/>
      <c r="BV194" s="69"/>
      <c r="BW194" s="69"/>
      <c r="BX194" s="69"/>
      <c r="BY194" s="69"/>
      <c r="BZ194" s="69"/>
      <c r="CA194" s="69"/>
      <c r="CB194" s="69"/>
      <c r="CC194" s="69"/>
      <c r="CD194" s="69"/>
    </row>
    <row r="195" ht="14" customHeight="1" spans="1:82" s="69" customFormat="1" x14ac:dyDescent="0.25" outlineLevel="1" collapsed="1">
      <c r="A195" s="69" t="s">
        <v>318</v>
      </c>
      <c r="B195" s="69" t="s">
        <v>389</v>
      </c>
      <c r="C195" s="70">
        <v>46454</v>
      </c>
      <c r="D195" s="70">
        <v>46478</v>
      </c>
      <c r="E195" s="71">
        <v>0</v>
      </c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  <c r="AP195" s="69"/>
      <c r="AQ195" s="69"/>
      <c r="AR195" s="73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K195" s="69"/>
      <c r="BL195" s="69"/>
      <c r="BM195" s="69"/>
      <c r="BN195" s="69"/>
      <c r="BO195" s="81"/>
      <c r="BP195" s="81"/>
      <c r="BQ195" s="81"/>
      <c r="BR195" s="81"/>
      <c r="BS195" s="69"/>
      <c r="BT195" s="69"/>
      <c r="BU195" s="69"/>
      <c r="BV195" s="69"/>
      <c r="BW195" s="69"/>
      <c r="BX195" s="69"/>
      <c r="BY195" s="69"/>
      <c r="BZ195" s="69"/>
      <c r="CA195" s="69"/>
      <c r="CB195" s="69"/>
      <c r="CC195" s="69"/>
      <c r="CD195" s="69"/>
    </row>
    <row r="196" ht="14" customHeight="1" spans="1:82" s="69" customFormat="1" x14ac:dyDescent="0.25" outlineLevel="1" collapsed="1">
      <c r="A196" s="69" t="s">
        <v>319</v>
      </c>
      <c r="B196" s="69" t="s">
        <v>390</v>
      </c>
      <c r="C196" s="70">
        <v>46478</v>
      </c>
      <c r="D196" s="70">
        <v>46478</v>
      </c>
      <c r="E196" s="71">
        <v>0</v>
      </c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  <c r="AP196" s="69"/>
      <c r="AQ196" s="69"/>
      <c r="AR196" s="73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K196" s="69"/>
      <c r="BL196" s="69"/>
      <c r="BM196" s="69"/>
      <c r="BN196" s="69"/>
      <c r="BO196" s="69"/>
      <c r="BP196" s="69"/>
      <c r="BQ196" s="69"/>
      <c r="BR196" s="82" t="s">
        <v>365</v>
      </c>
      <c r="BS196" s="69"/>
      <c r="BT196" s="69"/>
      <c r="BU196" s="69"/>
      <c r="BV196" s="69"/>
      <c r="BW196" s="69"/>
      <c r="BX196" s="69"/>
      <c r="BY196" s="69"/>
      <c r="BZ196" s="69"/>
      <c r="CA196" s="69"/>
      <c r="CB196" s="69"/>
      <c r="CC196" s="69"/>
      <c r="CD196" s="69"/>
    </row>
    <row r="197" ht="14" customHeight="1" spans="1:82" x14ac:dyDescent="0.25">
      <c r="A197" s="75" t="s">
        <v>85</v>
      </c>
      <c r="B197" s="75" t="s">
        <v>398</v>
      </c>
      <c r="C197" s="76">
        <v>46116</v>
      </c>
      <c r="D197" s="76">
        <v>46438</v>
      </c>
      <c r="E197" s="77">
        <v>0.5497542533081287</v>
      </c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  <c r="AP197" s="67"/>
      <c r="AQ197" s="67"/>
      <c r="AR197" s="68"/>
      <c r="AS197" s="67"/>
      <c r="AT197" s="67"/>
      <c r="AU197" s="67"/>
      <c r="AV197" s="67"/>
      <c r="AW197" s="67"/>
      <c r="AX197" s="67"/>
      <c r="AY197" s="67"/>
      <c r="AZ197" s="67"/>
      <c r="BA197" s="67"/>
      <c r="BB197" s="67"/>
      <c r="BC197" s="67"/>
      <c r="BD197" s="67"/>
      <c r="BE197" s="67"/>
      <c r="BF197" s="67"/>
      <c r="BG197" s="67"/>
      <c r="BH197" s="67"/>
      <c r="BI197" s="67"/>
      <c r="BJ197" s="67"/>
      <c r="BK197" s="67"/>
      <c r="BL197" s="67"/>
    </row>
    <row r="198" ht="14" customHeight="1" spans="1:82" x14ac:dyDescent="0.25">
      <c r="A198" s="75" t="s">
        <v>85</v>
      </c>
      <c r="B198" s="75" t="s">
        <v>369</v>
      </c>
      <c r="C198" s="76">
        <v>46128</v>
      </c>
      <c r="D198" s="76">
        <v>46213</v>
      </c>
      <c r="E198" s="77">
        <v>1</v>
      </c>
      <c r="T198" s="67"/>
      <c r="U198" s="67"/>
      <c r="V198" s="67"/>
      <c r="W198" s="67"/>
      <c r="X198" s="67"/>
      <c r="Y198" s="67"/>
      <c r="Z198" s="67"/>
      <c r="AA198" s="67"/>
      <c r="AB198" s="67"/>
      <c r="AC198" s="67"/>
      <c r="AD198" s="67"/>
      <c r="AE198" s="67"/>
      <c r="AF198" s="67"/>
      <c r="AR198" s="78"/>
    </row>
    <row r="199" ht="14" customHeight="1" spans="1:82" s="69" customFormat="1" x14ac:dyDescent="0.25" outlineLevel="1" collapsed="1">
      <c r="A199" s="69" t="s">
        <v>322</v>
      </c>
      <c r="B199" s="69" t="s">
        <v>370</v>
      </c>
      <c r="C199" s="70">
        <v>46128</v>
      </c>
      <c r="D199" s="70">
        <v>46155</v>
      </c>
      <c r="E199" s="71">
        <v>1</v>
      </c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79"/>
      <c r="U199" s="79"/>
      <c r="V199" s="79"/>
      <c r="W199" s="79"/>
      <c r="X199" s="7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73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K199" s="69"/>
      <c r="BL199" s="69"/>
      <c r="BM199" s="69"/>
      <c r="BN199" s="69"/>
      <c r="BO199" s="69"/>
      <c r="BP199" s="69"/>
      <c r="BQ199" s="69"/>
      <c r="BR199" s="69"/>
      <c r="BS199" s="69"/>
      <c r="BT199" s="69"/>
      <c r="BU199" s="69"/>
      <c r="BV199" s="69"/>
      <c r="BW199" s="69"/>
      <c r="BX199" s="69"/>
      <c r="BY199" s="69"/>
      <c r="BZ199" s="69"/>
      <c r="CA199" s="69"/>
      <c r="CB199" s="69"/>
      <c r="CC199" s="69"/>
      <c r="CD199" s="69"/>
    </row>
    <row r="200" ht="14" customHeight="1" spans="1:82" s="69" customFormat="1" x14ac:dyDescent="0.25" outlineLevel="1" collapsed="1">
      <c r="A200" s="69" t="s">
        <v>323</v>
      </c>
      <c r="B200" s="69" t="s">
        <v>371</v>
      </c>
      <c r="C200" s="70">
        <v>46135</v>
      </c>
      <c r="D200" s="70">
        <v>46183</v>
      </c>
      <c r="E200" s="71">
        <v>1</v>
      </c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79"/>
      <c r="V200" s="79"/>
      <c r="W200" s="79"/>
      <c r="X200" s="79"/>
      <c r="Y200" s="79"/>
      <c r="Z200" s="79"/>
      <c r="AA200" s="79"/>
      <c r="AB200" s="7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73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K200" s="69"/>
      <c r="BL200" s="69"/>
      <c r="BM200" s="69"/>
      <c r="BN200" s="69"/>
      <c r="BO200" s="69"/>
      <c r="BP200" s="69"/>
      <c r="BQ200" s="69"/>
      <c r="BR200" s="69"/>
      <c r="BS200" s="69"/>
      <c r="BT200" s="69"/>
      <c r="BU200" s="69"/>
      <c r="BV200" s="69"/>
      <c r="BW200" s="69"/>
      <c r="BX200" s="69"/>
      <c r="BY200" s="69"/>
      <c r="BZ200" s="69"/>
      <c r="CA200" s="69"/>
      <c r="CB200" s="69"/>
      <c r="CC200" s="69"/>
      <c r="CD200" s="69"/>
    </row>
    <row r="201" ht="14" customHeight="1" spans="1:82" s="69" customFormat="1" x14ac:dyDescent="0.25" outlineLevel="1" collapsed="1">
      <c r="A201" s="69" t="s">
        <v>324</v>
      </c>
      <c r="B201" s="69" t="s">
        <v>372</v>
      </c>
      <c r="C201" s="70">
        <v>46161</v>
      </c>
      <c r="D201" s="70">
        <v>46213</v>
      </c>
      <c r="E201" s="71">
        <v>1</v>
      </c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79"/>
      <c r="Z201" s="79"/>
      <c r="AA201" s="79"/>
      <c r="AB201" s="79"/>
      <c r="AC201" s="79"/>
      <c r="AD201" s="79"/>
      <c r="AE201" s="79"/>
      <c r="AF201" s="7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  <c r="AR201" s="73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K201" s="69"/>
      <c r="BL201" s="69"/>
      <c r="BM201" s="69"/>
      <c r="BN201" s="69"/>
      <c r="BO201" s="69"/>
      <c r="BP201" s="69"/>
      <c r="BQ201" s="69"/>
      <c r="BR201" s="69"/>
      <c r="BS201" s="69"/>
      <c r="BT201" s="69"/>
      <c r="BU201" s="69"/>
      <c r="BV201" s="69"/>
      <c r="BW201" s="69"/>
      <c r="BX201" s="69"/>
      <c r="BY201" s="69"/>
      <c r="BZ201" s="69"/>
      <c r="CA201" s="69"/>
      <c r="CB201" s="69"/>
      <c r="CC201" s="69"/>
      <c r="CD201" s="69"/>
    </row>
    <row r="202" ht="14" customHeight="1" spans="1:82" s="69" customFormat="1" x14ac:dyDescent="0.25" outlineLevel="1" collapsed="1">
      <c r="A202" s="69" t="s">
        <v>325</v>
      </c>
      <c r="B202" s="69" t="s">
        <v>373</v>
      </c>
      <c r="C202" s="70">
        <v>46195</v>
      </c>
      <c r="D202" s="70">
        <v>46213</v>
      </c>
      <c r="E202" s="71">
        <v>1</v>
      </c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  <c r="AB202" s="69"/>
      <c r="AC202" s="69"/>
      <c r="AD202" s="79"/>
      <c r="AE202" s="79"/>
      <c r="AF202" s="7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  <c r="AR202" s="73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K202" s="69"/>
      <c r="BL202" s="69"/>
      <c r="BM202" s="69"/>
      <c r="BN202" s="69"/>
      <c r="BO202" s="69"/>
      <c r="BP202" s="69"/>
      <c r="BQ202" s="69"/>
      <c r="BR202" s="69"/>
      <c r="BS202" s="69"/>
      <c r="BT202" s="69"/>
      <c r="BU202" s="69"/>
      <c r="BV202" s="69"/>
      <c r="BW202" s="69"/>
      <c r="BX202" s="69"/>
      <c r="BY202" s="69"/>
      <c r="BZ202" s="69"/>
      <c r="CA202" s="69"/>
      <c r="CB202" s="69"/>
      <c r="CC202" s="69"/>
      <c r="CD202" s="69"/>
    </row>
    <row r="203" ht="14" customHeight="1" spans="1:82" x14ac:dyDescent="0.25">
      <c r="A203" s="75" t="s">
        <v>85</v>
      </c>
      <c r="B203" s="75" t="s">
        <v>374</v>
      </c>
      <c r="C203" s="76">
        <v>46185</v>
      </c>
      <c r="D203" s="76">
        <v>46359</v>
      </c>
      <c r="E203" s="77">
        <v>0.5605517241379311</v>
      </c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  <c r="AO203" s="67"/>
      <c r="AP203" s="67"/>
      <c r="AQ203" s="67"/>
      <c r="AR203" s="68"/>
      <c r="AS203" s="67"/>
      <c r="AT203" s="67"/>
      <c r="AU203" s="67"/>
      <c r="AV203" s="67"/>
      <c r="AW203" s="67"/>
      <c r="AX203" s="67"/>
      <c r="AY203" s="67"/>
      <c r="AZ203" s="67"/>
      <c r="BA203" s="67"/>
    </row>
    <row r="204" ht="14" customHeight="1" spans="1:82" s="69" customFormat="1" x14ac:dyDescent="0.25" outlineLevel="1" collapsed="1">
      <c r="A204" s="69" t="s">
        <v>327</v>
      </c>
      <c r="B204" s="69" t="s">
        <v>375</v>
      </c>
      <c r="C204" s="70">
        <v>46185</v>
      </c>
      <c r="D204" s="70">
        <v>46197</v>
      </c>
      <c r="E204" s="71">
        <v>1</v>
      </c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  <c r="AB204" s="79"/>
      <c r="AC204" s="79"/>
      <c r="AD204" s="7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  <c r="AR204" s="73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K204" s="69"/>
      <c r="BL204" s="69"/>
      <c r="BM204" s="69"/>
      <c r="BN204" s="69"/>
      <c r="BO204" s="69"/>
      <c r="BP204" s="69"/>
      <c r="BQ204" s="69"/>
      <c r="BR204" s="69"/>
      <c r="BS204" s="69"/>
      <c r="BT204" s="69"/>
      <c r="BU204" s="69"/>
      <c r="BV204" s="69"/>
      <c r="BW204" s="69"/>
      <c r="BX204" s="69"/>
      <c r="BY204" s="69"/>
      <c r="BZ204" s="69"/>
      <c r="CA204" s="69"/>
      <c r="CB204" s="69"/>
      <c r="CC204" s="69"/>
      <c r="CD204" s="69"/>
    </row>
    <row r="205" ht="14" customHeight="1" spans="1:82" s="69" customFormat="1" x14ac:dyDescent="0.25" outlineLevel="1" collapsed="1">
      <c r="A205" s="69" t="s">
        <v>328</v>
      </c>
      <c r="B205" s="69" t="s">
        <v>376</v>
      </c>
      <c r="C205" s="70">
        <v>46203</v>
      </c>
      <c r="D205" s="70">
        <v>46330</v>
      </c>
      <c r="E205" s="71">
        <v>0.62</v>
      </c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  <c r="AQ205" s="79"/>
      <c r="AR205" s="80"/>
      <c r="AS205" s="81"/>
      <c r="AT205" s="81"/>
      <c r="AU205" s="81"/>
      <c r="AV205" s="81"/>
      <c r="AW205" s="81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K205" s="69"/>
      <c r="BL205" s="69"/>
      <c r="BM205" s="69"/>
      <c r="BN205" s="69"/>
      <c r="BO205" s="69"/>
      <c r="BP205" s="69"/>
      <c r="BQ205" s="69"/>
      <c r="BR205" s="69"/>
      <c r="BS205" s="69"/>
      <c r="BT205" s="69"/>
      <c r="BU205" s="69"/>
      <c r="BV205" s="69"/>
      <c r="BW205" s="69"/>
      <c r="BX205" s="69"/>
      <c r="BY205" s="69"/>
      <c r="BZ205" s="69"/>
      <c r="CA205" s="69"/>
      <c r="CB205" s="69"/>
      <c r="CC205" s="69"/>
      <c r="CD205" s="69"/>
    </row>
    <row r="206" ht="14" customHeight="1" spans="1:82" s="69" customFormat="1" x14ac:dyDescent="0.25" outlineLevel="1" collapsed="1">
      <c r="A206" s="69" t="s">
        <v>329</v>
      </c>
      <c r="B206" s="69" t="s">
        <v>377</v>
      </c>
      <c r="C206" s="70">
        <v>46214</v>
      </c>
      <c r="D206" s="70">
        <v>46227</v>
      </c>
      <c r="E206" s="71">
        <v>1</v>
      </c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79"/>
      <c r="AG206" s="79"/>
      <c r="AH206" s="79"/>
      <c r="AI206" s="69"/>
      <c r="AJ206" s="69"/>
      <c r="AK206" s="69"/>
      <c r="AL206" s="69"/>
      <c r="AM206" s="69"/>
      <c r="AN206" s="69"/>
      <c r="AO206" s="69"/>
      <c r="AP206" s="69"/>
      <c r="AQ206" s="69"/>
      <c r="AR206" s="73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K206" s="69"/>
      <c r="BL206" s="69"/>
      <c r="BM206" s="69"/>
      <c r="BN206" s="69"/>
      <c r="BO206" s="69"/>
      <c r="BP206" s="69"/>
      <c r="BQ206" s="69"/>
      <c r="BR206" s="69"/>
      <c r="BS206" s="69"/>
      <c r="BT206" s="69"/>
      <c r="BU206" s="69"/>
      <c r="BV206" s="69"/>
      <c r="BW206" s="69"/>
      <c r="BX206" s="69"/>
      <c r="BY206" s="69"/>
      <c r="BZ206" s="69"/>
      <c r="CA206" s="69"/>
      <c r="CB206" s="69"/>
      <c r="CC206" s="69"/>
      <c r="CD206" s="69"/>
    </row>
    <row r="207" ht="14" customHeight="1" spans="1:82" s="69" customFormat="1" x14ac:dyDescent="0.25" outlineLevel="1" collapsed="1">
      <c r="A207" s="69" t="s">
        <v>330</v>
      </c>
      <c r="B207" s="69" t="s">
        <v>378</v>
      </c>
      <c r="C207" s="70">
        <v>46232</v>
      </c>
      <c r="D207" s="70">
        <v>46359</v>
      </c>
      <c r="E207" s="71">
        <v>0.34</v>
      </c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79"/>
      <c r="AJ207" s="79"/>
      <c r="AK207" s="79"/>
      <c r="AL207" s="79"/>
      <c r="AM207" s="79"/>
      <c r="AN207" s="79"/>
      <c r="AO207" s="79"/>
      <c r="AP207" s="79"/>
      <c r="AQ207" s="79"/>
      <c r="AR207" s="80"/>
      <c r="AS207" s="81"/>
      <c r="AT207" s="81"/>
      <c r="AU207" s="81"/>
      <c r="AV207" s="81"/>
      <c r="AW207" s="81"/>
      <c r="AX207" s="81"/>
      <c r="AY207" s="81"/>
      <c r="AZ207" s="81"/>
      <c r="BA207" s="81"/>
      <c r="BB207" s="69"/>
      <c r="BC207" s="69"/>
      <c r="BD207" s="69"/>
      <c r="BE207" s="69"/>
      <c r="BF207" s="69"/>
      <c r="BG207" s="69"/>
      <c r="BH207" s="69"/>
      <c r="BI207" s="69"/>
      <c r="BJ207" s="69"/>
      <c r="BK207" s="69"/>
      <c r="BL207" s="69"/>
      <c r="BM207" s="69"/>
      <c r="BN207" s="69"/>
      <c r="BO207" s="69"/>
      <c r="BP207" s="69"/>
      <c r="BQ207" s="69"/>
      <c r="BR207" s="69"/>
      <c r="BS207" s="69"/>
      <c r="BT207" s="69"/>
      <c r="BU207" s="69"/>
      <c r="BV207" s="69"/>
      <c r="BW207" s="69"/>
      <c r="BX207" s="69"/>
      <c r="BY207" s="69"/>
      <c r="BZ207" s="69"/>
      <c r="CA207" s="69"/>
      <c r="CB207" s="69"/>
      <c r="CC207" s="69"/>
      <c r="CD207" s="69"/>
    </row>
    <row r="208" ht="14" customHeight="1" spans="1:82" x14ac:dyDescent="0.25">
      <c r="A208" s="75" t="s">
        <v>85</v>
      </c>
      <c r="B208" s="75" t="s">
        <v>379</v>
      </c>
      <c r="C208" s="76">
        <v>46116</v>
      </c>
      <c r="D208" s="76">
        <v>46438</v>
      </c>
      <c r="E208" s="77">
        <v>0.38570422535211263</v>
      </c>
      <c r="R208" s="67"/>
      <c r="S208" s="67"/>
      <c r="T208" s="67"/>
      <c r="U208" s="67"/>
      <c r="V208" s="67"/>
      <c r="W208" s="67"/>
      <c r="X208" s="67"/>
      <c r="Y208" s="67"/>
      <c r="Z208" s="67"/>
      <c r="AA208" s="67"/>
      <c r="AB208" s="67"/>
      <c r="AC208" s="67"/>
      <c r="AD208" s="67"/>
      <c r="AE208" s="67"/>
      <c r="AF208" s="67"/>
      <c r="AG208" s="67"/>
      <c r="AH208" s="67"/>
      <c r="AI208" s="67"/>
      <c r="AJ208" s="67"/>
      <c r="AK208" s="67"/>
      <c r="AL208" s="67"/>
      <c r="AM208" s="67"/>
      <c r="AN208" s="67"/>
      <c r="AO208" s="67"/>
      <c r="AP208" s="67"/>
      <c r="AQ208" s="67"/>
      <c r="AR208" s="68"/>
      <c r="AS208" s="67"/>
      <c r="AT208" s="67"/>
      <c r="AU208" s="67"/>
      <c r="AV208" s="67"/>
      <c r="AW208" s="67"/>
      <c r="AX208" s="67"/>
      <c r="AY208" s="67"/>
      <c r="AZ208" s="67"/>
      <c r="BA208" s="67"/>
      <c r="BB208" s="67"/>
      <c r="BC208" s="67"/>
      <c r="BD208" s="67"/>
      <c r="BE208" s="67"/>
      <c r="BF208" s="67"/>
      <c r="BG208" s="67"/>
      <c r="BH208" s="67"/>
      <c r="BI208" s="67"/>
      <c r="BJ208" s="67"/>
      <c r="BK208" s="67"/>
      <c r="BL208" s="67"/>
    </row>
    <row r="209" ht="14" customHeight="1" spans="1:82" s="69" customFormat="1" x14ac:dyDescent="0.25" outlineLevel="1" collapsed="1">
      <c r="A209" s="69" t="s">
        <v>332</v>
      </c>
      <c r="B209" s="69" t="s">
        <v>380</v>
      </c>
      <c r="C209" s="70">
        <v>46116</v>
      </c>
      <c r="D209" s="70">
        <v>46123</v>
      </c>
      <c r="E209" s="71">
        <v>1</v>
      </c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79"/>
      <c r="S209" s="79"/>
      <c r="T209" s="69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73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K209" s="69"/>
      <c r="BL209" s="69"/>
      <c r="BM209" s="69"/>
      <c r="BN209" s="69"/>
      <c r="BO209" s="69"/>
      <c r="BP209" s="69"/>
      <c r="BQ209" s="69"/>
      <c r="BR209" s="69"/>
      <c r="BS209" s="69"/>
      <c r="BT209" s="69"/>
      <c r="BU209" s="69"/>
      <c r="BV209" s="69"/>
      <c r="BW209" s="69"/>
      <c r="BX209" s="69"/>
      <c r="BY209" s="69"/>
      <c r="BZ209" s="69"/>
      <c r="CA209" s="69"/>
      <c r="CB209" s="69"/>
      <c r="CC209" s="69"/>
      <c r="CD209" s="69"/>
    </row>
    <row r="210" ht="14" customHeight="1" spans="1:82" s="69" customFormat="1" x14ac:dyDescent="0.25" outlineLevel="1" collapsed="1">
      <c r="A210" s="69" t="s">
        <v>333</v>
      </c>
      <c r="B210" s="69" t="s">
        <v>381</v>
      </c>
      <c r="C210" s="70">
        <v>46147</v>
      </c>
      <c r="D210" s="70">
        <v>46169</v>
      </c>
      <c r="E210" s="71">
        <v>1</v>
      </c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79"/>
      <c r="X210" s="79"/>
      <c r="Y210" s="79"/>
      <c r="Z210" s="79"/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73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K210" s="69"/>
      <c r="BL210" s="69"/>
      <c r="BM210" s="69"/>
      <c r="BN210" s="69"/>
      <c r="BO210" s="69"/>
      <c r="BP210" s="69"/>
      <c r="BQ210" s="69"/>
      <c r="BR210" s="69"/>
      <c r="BS210" s="69"/>
      <c r="BT210" s="69"/>
      <c r="BU210" s="69"/>
      <c r="BV210" s="69"/>
      <c r="BW210" s="69"/>
      <c r="BX210" s="69"/>
      <c r="BY210" s="69"/>
      <c r="BZ210" s="69"/>
      <c r="CA210" s="69"/>
      <c r="CB210" s="69"/>
      <c r="CC210" s="69"/>
      <c r="CD210" s="69"/>
    </row>
    <row r="211" ht="14" customHeight="1" spans="1:82" s="69" customFormat="1" x14ac:dyDescent="0.25" outlineLevel="1" collapsed="1">
      <c r="A211" s="69" t="s">
        <v>334</v>
      </c>
      <c r="B211" s="69" t="s">
        <v>382</v>
      </c>
      <c r="C211" s="70">
        <v>46156</v>
      </c>
      <c r="D211" s="70">
        <v>46186</v>
      </c>
      <c r="E211" s="71">
        <v>1</v>
      </c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79"/>
      <c r="Y211" s="79"/>
      <c r="Z211" s="79"/>
      <c r="AA211" s="79"/>
      <c r="AB211" s="79"/>
      <c r="AC211" s="69"/>
      <c r="AD211" s="69"/>
      <c r="AE211" s="69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73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K211" s="69"/>
      <c r="BL211" s="69"/>
      <c r="BM211" s="69"/>
      <c r="BN211" s="69"/>
      <c r="BO211" s="69"/>
      <c r="BP211" s="69"/>
      <c r="BQ211" s="69"/>
      <c r="BR211" s="69"/>
      <c r="BS211" s="69"/>
      <c r="BT211" s="69"/>
      <c r="BU211" s="69"/>
      <c r="BV211" s="69"/>
      <c r="BW211" s="69"/>
      <c r="BX211" s="69"/>
      <c r="BY211" s="69"/>
      <c r="BZ211" s="69"/>
      <c r="CA211" s="69"/>
      <c r="CB211" s="69"/>
      <c r="CC211" s="69"/>
      <c r="CD211" s="69"/>
    </row>
    <row r="212" ht="14" customHeight="1" spans="1:82" s="69" customFormat="1" x14ac:dyDescent="0.25" outlineLevel="1" collapsed="1">
      <c r="A212" s="69" t="s">
        <v>335</v>
      </c>
      <c r="B212" s="69" t="s">
        <v>383</v>
      </c>
      <c r="C212" s="70">
        <v>46190</v>
      </c>
      <c r="D212" s="70">
        <v>46211</v>
      </c>
      <c r="E212" s="71">
        <v>1</v>
      </c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  <c r="AA212" s="69"/>
      <c r="AB212" s="69"/>
      <c r="AC212" s="79"/>
      <c r="AD212" s="79"/>
      <c r="AE212" s="79"/>
      <c r="AF212" s="7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73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K212" s="69"/>
      <c r="BL212" s="69"/>
      <c r="BM212" s="69"/>
      <c r="BN212" s="69"/>
      <c r="BO212" s="69"/>
      <c r="BP212" s="69"/>
      <c r="BQ212" s="69"/>
      <c r="BR212" s="69"/>
      <c r="BS212" s="69"/>
      <c r="BT212" s="69"/>
      <c r="BU212" s="69"/>
      <c r="BV212" s="69"/>
      <c r="BW212" s="69"/>
      <c r="BX212" s="69"/>
      <c r="BY212" s="69"/>
      <c r="BZ212" s="69"/>
      <c r="CA212" s="69"/>
      <c r="CB212" s="69"/>
      <c r="CC212" s="69"/>
      <c r="CD212" s="69"/>
    </row>
    <row r="213" ht="14" customHeight="1" spans="1:82" s="69" customFormat="1" x14ac:dyDescent="0.25" outlineLevel="1" collapsed="1">
      <c r="A213" s="69" t="s">
        <v>336</v>
      </c>
      <c r="B213" s="69" t="s">
        <v>384</v>
      </c>
      <c r="C213" s="70">
        <v>46225</v>
      </c>
      <c r="D213" s="70">
        <v>46338</v>
      </c>
      <c r="E213" s="71">
        <v>0.43</v>
      </c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  <c r="AA213" s="69"/>
      <c r="AB213" s="69"/>
      <c r="AC213" s="69"/>
      <c r="AD213" s="69"/>
      <c r="AE213" s="69"/>
      <c r="AF213" s="69"/>
      <c r="AG213" s="69"/>
      <c r="AH213" s="79"/>
      <c r="AI213" s="79"/>
      <c r="AJ213" s="79"/>
      <c r="AK213" s="79"/>
      <c r="AL213" s="79"/>
      <c r="AM213" s="79"/>
      <c r="AN213" s="79"/>
      <c r="AO213" s="79"/>
      <c r="AP213" s="79"/>
      <c r="AQ213" s="79"/>
      <c r="AR213" s="80"/>
      <c r="AS213" s="81"/>
      <c r="AT213" s="81"/>
      <c r="AU213" s="81"/>
      <c r="AV213" s="81"/>
      <c r="AW213" s="81"/>
      <c r="AX213" s="81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K213" s="69"/>
      <c r="BL213" s="69"/>
      <c r="BM213" s="69"/>
      <c r="BN213" s="69"/>
      <c r="BO213" s="69"/>
      <c r="BP213" s="69"/>
      <c r="BQ213" s="69"/>
      <c r="BR213" s="69"/>
      <c r="BS213" s="69"/>
      <c r="BT213" s="69"/>
      <c r="BU213" s="69"/>
      <c r="BV213" s="69"/>
      <c r="BW213" s="69"/>
      <c r="BX213" s="69"/>
      <c r="BY213" s="69"/>
      <c r="BZ213" s="69"/>
      <c r="CA213" s="69"/>
      <c r="CB213" s="69"/>
      <c r="CC213" s="69"/>
      <c r="CD213" s="69"/>
    </row>
    <row r="214" ht="14" customHeight="1" spans="1:82" s="69" customFormat="1" x14ac:dyDescent="0.25" outlineLevel="1" collapsed="1">
      <c r="A214" s="69" t="s">
        <v>337</v>
      </c>
      <c r="B214" s="69" t="s">
        <v>385</v>
      </c>
      <c r="C214" s="70">
        <v>46248</v>
      </c>
      <c r="D214" s="70">
        <v>46326</v>
      </c>
      <c r="E214" s="71">
        <v>0.4</v>
      </c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69"/>
      <c r="AJ214" s="69"/>
      <c r="AK214" s="79"/>
      <c r="AL214" s="79"/>
      <c r="AM214" s="79"/>
      <c r="AN214" s="79"/>
      <c r="AO214" s="79"/>
      <c r="AP214" s="79"/>
      <c r="AQ214" s="79"/>
      <c r="AR214" s="80"/>
      <c r="AS214" s="81"/>
      <c r="AT214" s="81"/>
      <c r="AU214" s="81"/>
      <c r="AV214" s="81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  <c r="BG214" s="69"/>
      <c r="BH214" s="69"/>
      <c r="BI214" s="69"/>
      <c r="BJ214" s="69"/>
      <c r="BK214" s="69"/>
      <c r="BL214" s="69"/>
      <c r="BM214" s="69"/>
      <c r="BN214" s="69"/>
      <c r="BO214" s="69"/>
      <c r="BP214" s="69"/>
      <c r="BQ214" s="69"/>
      <c r="BR214" s="69"/>
      <c r="BS214" s="69"/>
      <c r="BT214" s="69"/>
      <c r="BU214" s="69"/>
      <c r="BV214" s="69"/>
      <c r="BW214" s="69"/>
      <c r="BX214" s="69"/>
      <c r="BY214" s="69"/>
      <c r="BZ214" s="69"/>
      <c r="CA214" s="69"/>
      <c r="CB214" s="69"/>
      <c r="CC214" s="69"/>
      <c r="CD214" s="69"/>
    </row>
    <row r="215" ht="14" customHeight="1" spans="1:82" s="69" customFormat="1" x14ac:dyDescent="0.25" outlineLevel="1" collapsed="1">
      <c r="A215" s="69" t="s">
        <v>338</v>
      </c>
      <c r="B215" s="69" t="s">
        <v>386</v>
      </c>
      <c r="C215" s="70">
        <v>46332</v>
      </c>
      <c r="D215" s="70">
        <v>46359</v>
      </c>
      <c r="E215" s="71">
        <v>0</v>
      </c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69"/>
      <c r="AJ215" s="69"/>
      <c r="AK215" s="69"/>
      <c r="AL215" s="69"/>
      <c r="AM215" s="69"/>
      <c r="AN215" s="69"/>
      <c r="AO215" s="69"/>
      <c r="AP215" s="69"/>
      <c r="AQ215" s="69"/>
      <c r="AR215" s="73"/>
      <c r="AS215" s="69"/>
      <c r="AT215" s="69"/>
      <c r="AU215" s="69"/>
      <c r="AV215" s="69"/>
      <c r="AW215" s="81"/>
      <c r="AX215" s="81"/>
      <c r="AY215" s="81"/>
      <c r="AZ215" s="81"/>
      <c r="BA215" s="81"/>
      <c r="BB215" s="69"/>
      <c r="BC215" s="69"/>
      <c r="BD215" s="69"/>
      <c r="BE215" s="69"/>
      <c r="BF215" s="69"/>
      <c r="BG215" s="69"/>
      <c r="BH215" s="69"/>
      <c r="BI215" s="69"/>
      <c r="BJ215" s="69"/>
      <c r="BK215" s="69"/>
      <c r="BL215" s="69"/>
      <c r="BM215" s="69"/>
      <c r="BN215" s="69"/>
      <c r="BO215" s="69"/>
      <c r="BP215" s="69"/>
      <c r="BQ215" s="69"/>
      <c r="BR215" s="69"/>
      <c r="BS215" s="69"/>
      <c r="BT215" s="69"/>
      <c r="BU215" s="69"/>
      <c r="BV215" s="69"/>
      <c r="BW215" s="69"/>
      <c r="BX215" s="69"/>
      <c r="BY215" s="69"/>
      <c r="BZ215" s="69"/>
      <c r="CA215" s="69"/>
      <c r="CB215" s="69"/>
      <c r="CC215" s="69"/>
      <c r="CD215" s="69"/>
    </row>
    <row r="216" ht="14" customHeight="1" spans="1:82" s="69" customFormat="1" x14ac:dyDescent="0.25" outlineLevel="1" collapsed="1">
      <c r="A216" s="69" t="s">
        <v>339</v>
      </c>
      <c r="B216" s="69" t="s">
        <v>387</v>
      </c>
      <c r="C216" s="70">
        <v>46360</v>
      </c>
      <c r="D216" s="70">
        <v>46423</v>
      </c>
      <c r="E216" s="71">
        <v>0</v>
      </c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69"/>
      <c r="AJ216" s="69"/>
      <c r="AK216" s="69"/>
      <c r="AL216" s="69"/>
      <c r="AM216" s="69"/>
      <c r="AN216" s="69"/>
      <c r="AO216" s="69"/>
      <c r="AP216" s="69"/>
      <c r="AQ216" s="69"/>
      <c r="AR216" s="73"/>
      <c r="AS216" s="69"/>
      <c r="AT216" s="69"/>
      <c r="AU216" s="69"/>
      <c r="AV216" s="69"/>
      <c r="AW216" s="69"/>
      <c r="AX216" s="69"/>
      <c r="AY216" s="69"/>
      <c r="AZ216" s="69"/>
      <c r="BA216" s="81"/>
      <c r="BB216" s="81"/>
      <c r="BC216" s="81"/>
      <c r="BD216" s="81"/>
      <c r="BE216" s="81"/>
      <c r="BF216" s="81"/>
      <c r="BG216" s="81"/>
      <c r="BH216" s="81"/>
      <c r="BI216" s="81"/>
      <c r="BJ216" s="81"/>
      <c r="BK216" s="69"/>
      <c r="BL216" s="69"/>
      <c r="BM216" s="69"/>
      <c r="BN216" s="69"/>
      <c r="BO216" s="69"/>
      <c r="BP216" s="69"/>
      <c r="BQ216" s="69"/>
      <c r="BR216" s="69"/>
      <c r="BS216" s="69"/>
      <c r="BT216" s="69"/>
      <c r="BU216" s="69"/>
      <c r="BV216" s="69"/>
      <c r="BW216" s="69"/>
      <c r="BX216" s="69"/>
      <c r="BY216" s="69"/>
      <c r="BZ216" s="69"/>
      <c r="CA216" s="69"/>
      <c r="CB216" s="69"/>
      <c r="CC216" s="69"/>
      <c r="CD216" s="69"/>
    </row>
    <row r="217" ht="14" customHeight="1" spans="1:82" s="69" customFormat="1" x14ac:dyDescent="0.25" outlineLevel="1" collapsed="1">
      <c r="A217" s="69" t="s">
        <v>340</v>
      </c>
      <c r="B217" s="69" t="s">
        <v>388</v>
      </c>
      <c r="C217" s="70">
        <v>46360</v>
      </c>
      <c r="D217" s="70">
        <v>46398</v>
      </c>
      <c r="E217" s="71">
        <v>0</v>
      </c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  <c r="AI217" s="69"/>
      <c r="AJ217" s="69"/>
      <c r="AK217" s="69"/>
      <c r="AL217" s="69"/>
      <c r="AM217" s="69"/>
      <c r="AN217" s="69"/>
      <c r="AO217" s="69"/>
      <c r="AP217" s="69"/>
      <c r="AQ217" s="69"/>
      <c r="AR217" s="73"/>
      <c r="AS217" s="69"/>
      <c r="AT217" s="69"/>
      <c r="AU217" s="69"/>
      <c r="AV217" s="69"/>
      <c r="AW217" s="69"/>
      <c r="AX217" s="69"/>
      <c r="AY217" s="69"/>
      <c r="AZ217" s="69"/>
      <c r="BA217" s="81"/>
      <c r="BB217" s="81"/>
      <c r="BC217" s="81"/>
      <c r="BD217" s="81"/>
      <c r="BE217" s="81"/>
      <c r="BF217" s="81"/>
      <c r="BG217" s="81"/>
      <c r="BH217" s="69"/>
      <c r="BI217" s="69"/>
      <c r="BJ217" s="69"/>
      <c r="BK217" s="69"/>
      <c r="BL217" s="69"/>
      <c r="BM217" s="69"/>
      <c r="BN217" s="69"/>
      <c r="BO217" s="69"/>
      <c r="BP217" s="69"/>
      <c r="BQ217" s="69"/>
      <c r="BR217" s="69"/>
      <c r="BS217" s="69"/>
      <c r="BT217" s="69"/>
      <c r="BU217" s="69"/>
      <c r="BV217" s="69"/>
      <c r="BW217" s="69"/>
      <c r="BX217" s="69"/>
      <c r="BY217" s="69"/>
      <c r="BZ217" s="69"/>
      <c r="CA217" s="69"/>
      <c r="CB217" s="69"/>
      <c r="CC217" s="69"/>
      <c r="CD217" s="69"/>
    </row>
    <row r="218" ht="14" customHeight="1" spans="1:82" s="69" customFormat="1" x14ac:dyDescent="0.25" outlineLevel="1" collapsed="1">
      <c r="A218" s="69" t="s">
        <v>341</v>
      </c>
      <c r="B218" s="69" t="s">
        <v>389</v>
      </c>
      <c r="C218" s="70">
        <v>46424</v>
      </c>
      <c r="D218" s="70">
        <v>46438</v>
      </c>
      <c r="E218" s="71">
        <v>0</v>
      </c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  <c r="AI218" s="69"/>
      <c r="AJ218" s="69"/>
      <c r="AK218" s="69"/>
      <c r="AL218" s="69"/>
      <c r="AM218" s="69"/>
      <c r="AN218" s="69"/>
      <c r="AO218" s="69"/>
      <c r="AP218" s="69"/>
      <c r="AQ218" s="69"/>
      <c r="AR218" s="73"/>
      <c r="AS218" s="69"/>
      <c r="AT218" s="69"/>
      <c r="AU218" s="69"/>
      <c r="AV218" s="69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  <c r="BG218" s="69"/>
      <c r="BH218" s="69"/>
      <c r="BI218" s="69"/>
      <c r="BJ218" s="81"/>
      <c r="BK218" s="81"/>
      <c r="BL218" s="81"/>
      <c r="BM218" s="69"/>
      <c r="BN218" s="69"/>
      <c r="BO218" s="69"/>
      <c r="BP218" s="69"/>
      <c r="BQ218" s="69"/>
      <c r="BR218" s="69"/>
      <c r="BS218" s="69"/>
      <c r="BT218" s="69"/>
      <c r="BU218" s="69"/>
      <c r="BV218" s="69"/>
      <c r="BW218" s="69"/>
      <c r="BX218" s="69"/>
      <c r="BY218" s="69"/>
      <c r="BZ218" s="69"/>
      <c r="CA218" s="69"/>
      <c r="CB218" s="69"/>
      <c r="CC218" s="69"/>
      <c r="CD218" s="69"/>
    </row>
    <row r="219" ht="14" customHeight="1" spans="1:82" s="69" customFormat="1" x14ac:dyDescent="0.25" outlineLevel="1" collapsed="1">
      <c r="A219" s="69" t="s">
        <v>342</v>
      </c>
      <c r="B219" s="69" t="s">
        <v>390</v>
      </c>
      <c r="C219" s="70">
        <v>46438</v>
      </c>
      <c r="D219" s="70">
        <v>46438</v>
      </c>
      <c r="E219" s="71">
        <v>0</v>
      </c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  <c r="AI219" s="69"/>
      <c r="AJ219" s="69"/>
      <c r="AK219" s="69"/>
      <c r="AL219" s="69"/>
      <c r="AM219" s="69"/>
      <c r="AN219" s="69"/>
      <c r="AO219" s="69"/>
      <c r="AP219" s="69"/>
      <c r="AQ219" s="69"/>
      <c r="AR219" s="73"/>
      <c r="AS219" s="69"/>
      <c r="AT219" s="69"/>
      <c r="AU219" s="69"/>
      <c r="AV219" s="69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  <c r="BG219" s="69"/>
      <c r="BH219" s="69"/>
      <c r="BI219" s="69"/>
      <c r="BJ219" s="69"/>
      <c r="BK219" s="69"/>
      <c r="BL219" s="82" t="s">
        <v>365</v>
      </c>
      <c r="BM219" s="69"/>
      <c r="BN219" s="69"/>
      <c r="BO219" s="69"/>
      <c r="BP219" s="69"/>
      <c r="BQ219" s="69"/>
      <c r="BR219" s="69"/>
      <c r="BS219" s="69"/>
      <c r="BT219" s="69"/>
      <c r="BU219" s="69"/>
      <c r="BV219" s="69"/>
      <c r="BW219" s="69"/>
      <c r="BX219" s="69"/>
      <c r="BY219" s="69"/>
      <c r="BZ219" s="69"/>
      <c r="CA219" s="69"/>
      <c r="CB219" s="69"/>
      <c r="CC219" s="69"/>
      <c r="CD219" s="69"/>
    </row>
  </sheetData>
  <mergeCells count="20">
    <mergeCell ref="A1:BH1"/>
    <mergeCell ref="A2:BH2"/>
    <mergeCell ref="F4:I4"/>
    <mergeCell ref="J4:M4"/>
    <mergeCell ref="N4:R4"/>
    <mergeCell ref="S4:V4"/>
    <mergeCell ref="W4:Z4"/>
    <mergeCell ref="AA4:AE4"/>
    <mergeCell ref="AF4:AI4"/>
    <mergeCell ref="AJ4:AN4"/>
    <mergeCell ref="AO4:AR4"/>
    <mergeCell ref="AS4:AV4"/>
    <mergeCell ref="AW4:BA4"/>
    <mergeCell ref="BB4:BE4"/>
    <mergeCell ref="BF4:BI4"/>
    <mergeCell ref="BJ4:BM4"/>
    <mergeCell ref="BN4:BR4"/>
    <mergeCell ref="BS4:BV4"/>
    <mergeCell ref="BW4:CA4"/>
    <mergeCell ref="CB4:CD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68D2E"/>
  </sheetPr>
  <dimension ref="A1:W81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44" customWidth="1"/>
    <col min="3" max="3" width="18" customWidth="1"/>
    <col min="4" max="4" width="14" customWidth="1"/>
    <col min="5" max="5" width="12" customWidth="1"/>
    <col min="6" max="6" width="22" customWidth="1"/>
    <col min="7" max="10" width="11" customWidth="1"/>
    <col min="11" max="12" width="8" customWidth="1"/>
    <col min="13" max="14" width="12" customWidth="1"/>
    <col min="15" max="16" width="10" customWidth="1"/>
    <col min="17" max="17" width="12" customWidth="1"/>
    <col min="18" max="18" width="7" customWidth="1"/>
    <col min="21" max="21" width="8" customWidth="1"/>
    <col min="22" max="22" width="36" customWidth="1"/>
    <col min="23" max="23" width="34" customWidth="1"/>
  </cols>
  <sheetData>
    <row r="1" ht="30" customHeight="1" spans="1:23" x14ac:dyDescent="0.25">
      <c r="A1" s="1" t="s">
        <v>399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400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4" ht="30" customHeight="1" spans="1:23" x14ac:dyDescent="0.25">
      <c r="A4" s="9" t="s">
        <v>66</v>
      </c>
      <c r="B4" s="9" t="s">
        <v>67</v>
      </c>
      <c r="C4" s="9" t="s">
        <v>54</v>
      </c>
      <c r="D4" s="9" t="s">
        <v>68</v>
      </c>
      <c r="E4" s="9" t="s">
        <v>69</v>
      </c>
      <c r="F4" s="9" t="s">
        <v>81</v>
      </c>
      <c r="G4" s="9" t="s">
        <v>401</v>
      </c>
      <c r="H4" s="9" t="s">
        <v>402</v>
      </c>
      <c r="I4" s="9" t="s">
        <v>403</v>
      </c>
      <c r="J4" s="9" t="s">
        <v>404</v>
      </c>
      <c r="K4" s="9" t="s">
        <v>405</v>
      </c>
      <c r="L4" s="9" t="s">
        <v>406</v>
      </c>
      <c r="M4" s="85" t="s">
        <v>407</v>
      </c>
      <c r="N4" s="85" t="s">
        <v>408</v>
      </c>
      <c r="O4" s="85" t="s">
        <v>409</v>
      </c>
      <c r="P4" s="85" t="s">
        <v>410</v>
      </c>
      <c r="Q4" s="85" t="s">
        <v>411</v>
      </c>
      <c r="R4" s="9" t="s">
        <v>412</v>
      </c>
      <c r="S4" s="9" t="s">
        <v>413</v>
      </c>
      <c r="T4" s="85" t="s">
        <v>414</v>
      </c>
      <c r="U4" s="9" t="s">
        <v>415</v>
      </c>
      <c r="V4" s="85" t="s">
        <v>82</v>
      </c>
      <c r="W4" s="9" t="s">
        <v>416</v>
      </c>
    </row>
    <row r="5" spans="1:23" s="28" customFormat="1" x14ac:dyDescent="0.25">
      <c r="A5" s="28" t="s">
        <v>92</v>
      </c>
      <c r="B5" s="28" t="s">
        <v>93</v>
      </c>
      <c r="C5" s="28" t="s">
        <v>19</v>
      </c>
      <c r="D5" s="28" t="s">
        <v>39</v>
      </c>
      <c r="E5" s="28" t="s">
        <v>94</v>
      </c>
      <c r="F5" s="28" t="s">
        <v>11</v>
      </c>
      <c r="G5" s="86">
        <v>46541</v>
      </c>
      <c r="H5" s="86">
        <v>46541</v>
      </c>
      <c r="I5" s="86"/>
      <c r="J5" s="86"/>
      <c r="K5" s="87">
        <v>0</v>
      </c>
      <c r="L5" s="28">
        <v>0</v>
      </c>
      <c r="M5" s="88"/>
      <c r="N5" s="88"/>
      <c r="O5" s="89"/>
      <c r="P5" s="89"/>
      <c r="Q5" s="88"/>
      <c r="R5" s="28" t="s">
        <v>85</v>
      </c>
      <c r="S5" s="28"/>
      <c r="T5" s="89"/>
      <c r="U5" s="90">
        <f>IF(AND(ISNUMBER(S5),S5&gt;0,ISNUMBER(T5)),MIN(1,T5/S5),"")</f>
      </c>
      <c r="V5" s="89" t="s">
        <v>85</v>
      </c>
      <c r="W5" s="28">
        <f>IF(AND(M5&lt;&gt;"",M5&gt;=46296),"Actual Start must be before Data Date",IF(AND(N5&lt;&gt;"",N5&gt;=46296),"Actual Finish must be before Data Date",IF(AND(N5&lt;&gt;"",M5&lt;&gt;"",N5&lt;M5),"Finish before Start",IF(AND(O5&lt;&gt;"",O5&gt;=100,N5=""),"100% needs Actual Finish",IF(AND(O5&lt;&gt;"",O5&gt;0,M5="",I5=""),"Enter Actual Start",IF(AND(Q5&lt;&gt;"",Q5&lt;46296),"Expected Finish must be after Data Date","OK"))))))</f>
      </c>
    </row>
    <row r="6" spans="1:23" s="28" customFormat="1" x14ac:dyDescent="0.25">
      <c r="A6" s="28" t="s">
        <v>160</v>
      </c>
      <c r="B6" s="28" t="s">
        <v>131</v>
      </c>
      <c r="C6" s="28" t="s">
        <v>26</v>
      </c>
      <c r="D6" s="28" t="s">
        <v>38</v>
      </c>
      <c r="E6" s="28" t="s">
        <v>86</v>
      </c>
      <c r="F6" s="28" t="s">
        <v>5</v>
      </c>
      <c r="G6" s="86">
        <v>46186</v>
      </c>
      <c r="H6" s="86">
        <v>46298</v>
      </c>
      <c r="I6" s="86">
        <v>46186</v>
      </c>
      <c r="J6" s="86"/>
      <c r="K6" s="87">
        <v>0.88</v>
      </c>
      <c r="L6" s="28">
        <v>10</v>
      </c>
      <c r="M6" s="88"/>
      <c r="N6" s="88"/>
      <c r="O6" s="89"/>
      <c r="P6" s="89"/>
      <c r="Q6" s="88"/>
      <c r="R6" s="28" t="s">
        <v>417</v>
      </c>
      <c r="S6" s="28">
        <v>670</v>
      </c>
      <c r="T6" s="89">
        <v>456</v>
      </c>
      <c r="U6" s="90">
        <f>IF(AND(ISNUMBER(S6),S6&gt;0,ISNUMBER(T6)),MIN(1,T6/S6),"")</f>
      </c>
      <c r="V6" s="89" t="s">
        <v>85</v>
      </c>
      <c r="W6" s="28">
        <f>IF(AND(M6&lt;&gt;"",M6&gt;=46296),"Actual Start must be before Data Date",IF(AND(N6&lt;&gt;"",N6&gt;=46296),"Actual Finish must be before Data Date",IF(AND(N6&lt;&gt;"",M6&lt;&gt;"",N6&lt;M6),"Finish before Start",IF(AND(O6&lt;&gt;"",O6&gt;=100,N6=""),"100% needs Actual Finish",IF(AND(O6&lt;&gt;"",O6&gt;0,M6="",I6=""),"Enter Actual Start",IF(AND(Q6&lt;&gt;"",Q6&lt;46296),"Expected Finish must be after Data Date","OK"))))))</f>
      </c>
    </row>
    <row r="7" spans="1:23" s="28" customFormat="1" x14ac:dyDescent="0.25">
      <c r="A7" s="28" t="s">
        <v>154</v>
      </c>
      <c r="B7" s="28" t="s">
        <v>119</v>
      </c>
      <c r="C7" s="28" t="s">
        <v>26</v>
      </c>
      <c r="D7" s="28" t="s">
        <v>37</v>
      </c>
      <c r="E7" s="28" t="s">
        <v>86</v>
      </c>
      <c r="F7" s="28" t="s">
        <v>5</v>
      </c>
      <c r="G7" s="86">
        <v>46195</v>
      </c>
      <c r="H7" s="86">
        <v>46344</v>
      </c>
      <c r="I7" s="86">
        <v>46195</v>
      </c>
      <c r="J7" s="86"/>
      <c r="K7" s="87">
        <v>0.69</v>
      </c>
      <c r="L7" s="28">
        <v>31</v>
      </c>
      <c r="M7" s="88"/>
      <c r="N7" s="88"/>
      <c r="O7" s="89"/>
      <c r="P7" s="89"/>
      <c r="Q7" s="88"/>
      <c r="R7" s="28" t="s">
        <v>85</v>
      </c>
      <c r="S7" s="28"/>
      <c r="T7" s="89"/>
      <c r="U7" s="90">
        <f>IF(AND(ISNUMBER(S7),S7&gt;0,ISNUMBER(T7)),MIN(1,T7/S7),"")</f>
      </c>
      <c r="V7" s="89" t="s">
        <v>85</v>
      </c>
      <c r="W7" s="28">
        <f>IF(AND(M7&lt;&gt;"",M7&gt;=46296),"Actual Start must be before Data Date",IF(AND(N7&lt;&gt;"",N7&gt;=46296),"Actual Finish must be before Data Date",IF(AND(N7&lt;&gt;"",M7&lt;&gt;"",N7&lt;M7),"Finish before Start",IF(AND(O7&lt;&gt;"",O7&gt;=100,N7=""),"100% needs Actual Finish",IF(AND(O7&lt;&gt;"",O7&gt;0,M7="",I7=""),"Enter Actual Start",IF(AND(Q7&lt;&gt;"",Q7&lt;46296),"Expected Finish must be after Data Date","OK"))))))</f>
      </c>
    </row>
    <row r="8" spans="1:23" s="28" customFormat="1" x14ac:dyDescent="0.25">
      <c r="A8" s="91" t="s">
        <v>161</v>
      </c>
      <c r="B8" s="91" t="s">
        <v>133</v>
      </c>
      <c r="C8" s="28" t="s">
        <v>26</v>
      </c>
      <c r="D8" s="28" t="s">
        <v>38</v>
      </c>
      <c r="E8" s="28" t="s">
        <v>86</v>
      </c>
      <c r="F8" s="91" t="s">
        <v>162</v>
      </c>
      <c r="G8" s="86">
        <v>46214</v>
      </c>
      <c r="H8" s="86">
        <v>46289</v>
      </c>
      <c r="I8" s="86">
        <v>46214</v>
      </c>
      <c r="J8" s="86"/>
      <c r="K8" s="87">
        <v>0.84</v>
      </c>
      <c r="L8" s="28">
        <v>9</v>
      </c>
      <c r="M8" s="88"/>
      <c r="N8" s="88"/>
      <c r="O8" s="89"/>
      <c r="P8" s="89"/>
      <c r="Q8" s="88"/>
      <c r="R8" s="28" t="s">
        <v>85</v>
      </c>
      <c r="S8" s="28"/>
      <c r="T8" s="89"/>
      <c r="U8" s="90">
        <f>IF(AND(ISNUMBER(S8),S8&gt;0,ISNUMBER(T8)),MIN(1,T8/S8),"")</f>
      </c>
      <c r="V8" s="89" t="s">
        <v>85</v>
      </c>
      <c r="W8" s="28">
        <f>IF(AND(M8&lt;&gt;"",M8&gt;=46296),"Actual Start must be before Data Date",IF(AND(N8&lt;&gt;"",N8&gt;=46296),"Actual Finish must be before Data Date",IF(AND(N8&lt;&gt;"",M8&lt;&gt;"",N8&lt;M8),"Finish before Start",IF(AND(O8&lt;&gt;"",O8&gt;=100,N8=""),"100% needs Actual Finish",IF(AND(O8&lt;&gt;"",O8&gt;0,M8="",I8=""),"Enter Actual Start",IF(AND(Q8&lt;&gt;"",Q8&lt;46296),"Expected Finish must be after Data Date","OK"))))))</f>
      </c>
    </row>
    <row r="9" spans="1:23" s="28" customFormat="1" x14ac:dyDescent="0.25">
      <c r="A9" s="28" t="s">
        <v>163</v>
      </c>
      <c r="B9" s="28" t="s">
        <v>135</v>
      </c>
      <c r="C9" s="28" t="s">
        <v>26</v>
      </c>
      <c r="D9" s="28" t="s">
        <v>38</v>
      </c>
      <c r="E9" s="28" t="s">
        <v>86</v>
      </c>
      <c r="F9" s="28" t="s">
        <v>164</v>
      </c>
      <c r="G9" s="86">
        <v>46293</v>
      </c>
      <c r="H9" s="86">
        <v>46330</v>
      </c>
      <c r="I9" s="86">
        <v>46293</v>
      </c>
      <c r="J9" s="86"/>
      <c r="K9" s="87">
        <v>0.15</v>
      </c>
      <c r="L9" s="28">
        <v>26</v>
      </c>
      <c r="M9" s="88"/>
      <c r="N9" s="88"/>
      <c r="O9" s="89"/>
      <c r="P9" s="89"/>
      <c r="Q9" s="88"/>
      <c r="R9" s="28" t="s">
        <v>85</v>
      </c>
      <c r="S9" s="28"/>
      <c r="T9" s="89"/>
      <c r="U9" s="90">
        <f>IF(AND(ISNUMBER(S9),S9&gt;0,ISNUMBER(T9)),MIN(1,T9/S9),"")</f>
      </c>
      <c r="V9" s="89" t="s">
        <v>85</v>
      </c>
      <c r="W9" s="28">
        <f>IF(AND(M9&lt;&gt;"",M9&gt;=46296),"Actual Start must be before Data Date",IF(AND(N9&lt;&gt;"",N9&gt;=46296),"Actual Finish must be before Data Date",IF(AND(N9&lt;&gt;"",M9&lt;&gt;"",N9&lt;M9),"Finish before Start",IF(AND(O9&lt;&gt;"",O9&gt;=100,N9=""),"100% needs Actual Finish",IF(AND(O9&lt;&gt;"",O9&gt;0,M9="",I9=""),"Enter Actual Start",IF(AND(Q9&lt;&gt;"",Q9&lt;46296),"Expected Finish must be after Data Date","OK"))))))</f>
      </c>
    </row>
    <row r="10" spans="1:23" s="28" customFormat="1" x14ac:dyDescent="0.25">
      <c r="A10" s="28" t="s">
        <v>165</v>
      </c>
      <c r="B10" s="28" t="s">
        <v>137</v>
      </c>
      <c r="C10" s="28" t="s">
        <v>26</v>
      </c>
      <c r="D10" s="28" t="s">
        <v>38</v>
      </c>
      <c r="E10" s="28" t="s">
        <v>94</v>
      </c>
      <c r="F10" s="28" t="s">
        <v>85</v>
      </c>
      <c r="G10" s="86">
        <v>46345</v>
      </c>
      <c r="H10" s="86">
        <v>46420</v>
      </c>
      <c r="I10" s="86"/>
      <c r="J10" s="86"/>
      <c r="K10" s="87">
        <v>0</v>
      </c>
      <c r="L10" s="28">
        <v>63</v>
      </c>
      <c r="M10" s="88"/>
      <c r="N10" s="88"/>
      <c r="O10" s="89"/>
      <c r="P10" s="89"/>
      <c r="Q10" s="88"/>
      <c r="R10" s="28" t="s">
        <v>418</v>
      </c>
      <c r="S10" s="28">
        <v>378</v>
      </c>
      <c r="T10" s="89">
        <v>0</v>
      </c>
      <c r="U10" s="90">
        <f>IF(AND(ISNUMBER(S10),S10&gt;0,ISNUMBER(T10)),MIN(1,T10/S10),"")</f>
      </c>
      <c r="V10" s="89" t="s">
        <v>85</v>
      </c>
      <c r="W10" s="28">
        <f>IF(AND(M10&lt;&gt;"",M10&gt;=46296),"Actual Start must be before Data Date",IF(AND(N10&lt;&gt;"",N10&gt;=46296),"Actual Finish must be before Data Date",IF(AND(N10&lt;&gt;"",M10&lt;&gt;"",N10&lt;M10),"Finish before Start",IF(AND(O10&lt;&gt;"",O10&gt;=100,N10=""),"100% needs Actual Finish",IF(AND(O10&lt;&gt;"",O10&gt;0,M10="",I10=""),"Enter Actual Start",IF(AND(Q10&lt;&gt;"",Q10&lt;46296),"Expected Finish must be after Data Date","OK"))))))</f>
      </c>
    </row>
    <row r="11" spans="1:23" s="28" customFormat="1" x14ac:dyDescent="0.25">
      <c r="A11" s="28" t="s">
        <v>166</v>
      </c>
      <c r="B11" s="28" t="s">
        <v>139</v>
      </c>
      <c r="C11" s="28" t="s">
        <v>26</v>
      </c>
      <c r="D11" s="28" t="s">
        <v>38</v>
      </c>
      <c r="E11" s="28" t="s">
        <v>94</v>
      </c>
      <c r="F11" s="28" t="s">
        <v>85</v>
      </c>
      <c r="G11" s="86">
        <v>46331</v>
      </c>
      <c r="H11" s="86">
        <v>46386</v>
      </c>
      <c r="I11" s="86"/>
      <c r="J11" s="86"/>
      <c r="K11" s="87">
        <v>0</v>
      </c>
      <c r="L11" s="28">
        <v>46</v>
      </c>
      <c r="M11" s="88"/>
      <c r="N11" s="88"/>
      <c r="O11" s="89"/>
      <c r="P11" s="89"/>
      <c r="Q11" s="88"/>
      <c r="R11" s="28" t="s">
        <v>85</v>
      </c>
      <c r="S11" s="28"/>
      <c r="T11" s="89"/>
      <c r="U11" s="90">
        <f>IF(AND(ISNUMBER(S11),S11&gt;0,ISNUMBER(T11)),MIN(1,T11/S11),"")</f>
      </c>
      <c r="V11" s="89" t="s">
        <v>85</v>
      </c>
      <c r="W11" s="28">
        <f>IF(AND(M11&lt;&gt;"",M11&gt;=46296),"Actual Start must be before Data Date",IF(AND(N11&lt;&gt;"",N11&gt;=46296),"Actual Finish must be before Data Date",IF(AND(N11&lt;&gt;"",M11&lt;&gt;"",N11&lt;M11),"Finish before Start",IF(AND(O11&lt;&gt;"",O11&gt;=100,N11=""),"100% needs Actual Finish",IF(AND(O11&lt;&gt;"",O11&gt;0,M11="",I11=""),"Enter Actual Start",IF(AND(Q11&lt;&gt;"",Q11&lt;46296),"Expected Finish must be after Data Date","OK"))))))</f>
      </c>
    </row>
    <row r="12" spans="1:23" s="28" customFormat="1" x14ac:dyDescent="0.25">
      <c r="A12" s="28" t="s">
        <v>167</v>
      </c>
      <c r="B12" s="28" t="s">
        <v>141</v>
      </c>
      <c r="C12" s="28" t="s">
        <v>26</v>
      </c>
      <c r="D12" s="28" t="s">
        <v>38</v>
      </c>
      <c r="E12" s="28" t="s">
        <v>94</v>
      </c>
      <c r="F12" s="28" t="s">
        <v>85</v>
      </c>
      <c r="G12" s="86">
        <v>46421</v>
      </c>
      <c r="H12" s="86">
        <v>46440</v>
      </c>
      <c r="I12" s="86"/>
      <c r="J12" s="86"/>
      <c r="K12" s="87">
        <v>0</v>
      </c>
      <c r="L12" s="28">
        <v>17</v>
      </c>
      <c r="M12" s="88"/>
      <c r="N12" s="88"/>
      <c r="O12" s="89"/>
      <c r="P12" s="89"/>
      <c r="Q12" s="88"/>
      <c r="R12" s="28" t="s">
        <v>85</v>
      </c>
      <c r="S12" s="28"/>
      <c r="T12" s="89"/>
      <c r="U12" s="90">
        <f>IF(AND(ISNUMBER(S12),S12&gt;0,ISNUMBER(T12)),MIN(1,T12/S12),"")</f>
      </c>
      <c r="V12" s="89" t="s">
        <v>85</v>
      </c>
      <c r="W12" s="28">
        <f>IF(AND(M12&lt;&gt;"",M12&gt;=46296),"Actual Start must be before Data Date",IF(AND(N12&lt;&gt;"",N12&gt;=46296),"Actual Finish must be before Data Date",IF(AND(N12&lt;&gt;"",M12&lt;&gt;"",N12&lt;M12),"Finish before Start",IF(AND(O12&lt;&gt;"",O12&gt;=100,N12=""),"100% needs Actual Finish",IF(AND(O12&lt;&gt;"",O12&gt;0,M12="",I12=""),"Enter Actual Start",IF(AND(Q12&lt;&gt;"",Q12&lt;46296),"Expected Finish must be after Data Date","OK"))))))</f>
      </c>
    </row>
    <row r="13" spans="1:23" s="28" customFormat="1" x14ac:dyDescent="0.25">
      <c r="A13" s="28" t="s">
        <v>168</v>
      </c>
      <c r="B13" s="28" t="s">
        <v>143</v>
      </c>
      <c r="C13" s="28" t="s">
        <v>26</v>
      </c>
      <c r="D13" s="28" t="s">
        <v>38</v>
      </c>
      <c r="E13" s="28" t="s">
        <v>94</v>
      </c>
      <c r="F13" s="28" t="s">
        <v>85</v>
      </c>
      <c r="G13" s="86">
        <v>46440</v>
      </c>
      <c r="H13" s="86">
        <v>46440</v>
      </c>
      <c r="I13" s="86"/>
      <c r="J13" s="86"/>
      <c r="K13" s="87">
        <v>0</v>
      </c>
      <c r="L13" s="28">
        <v>0</v>
      </c>
      <c r="M13" s="88"/>
      <c r="N13" s="88"/>
      <c r="O13" s="89"/>
      <c r="P13" s="89"/>
      <c r="Q13" s="88"/>
      <c r="R13" s="28" t="s">
        <v>85</v>
      </c>
      <c r="S13" s="28"/>
      <c r="T13" s="89"/>
      <c r="U13" s="90">
        <f>IF(AND(ISNUMBER(S13),S13&gt;0,ISNUMBER(T13)),MIN(1,T13/S13),"")</f>
      </c>
      <c r="V13" s="89" t="s">
        <v>85</v>
      </c>
      <c r="W13" s="28">
        <f>IF(AND(M13&lt;&gt;"",M13&gt;=46296),"Actual Start must be before Data Date",IF(AND(N13&lt;&gt;"",N13&gt;=46296),"Actual Finish must be before Data Date",IF(AND(N13&lt;&gt;"",M13&lt;&gt;"",N13&lt;M13),"Finish before Start",IF(AND(O13&lt;&gt;"",O13&gt;=100,N13=""),"100% needs Actual Finish",IF(AND(O13&lt;&gt;"",O13&gt;0,M13="",I13=""),"Enter Actual Start",IF(AND(Q13&lt;&gt;"",Q13&lt;46296),"Expected Finish must be after Data Date","OK"))))))</f>
      </c>
    </row>
    <row r="14" spans="1:23" s="28" customFormat="1" x14ac:dyDescent="0.25">
      <c r="A14" s="28" t="s">
        <v>178</v>
      </c>
      <c r="B14" s="28" t="s">
        <v>115</v>
      </c>
      <c r="C14" s="28" t="s">
        <v>27</v>
      </c>
      <c r="D14" s="28" t="s">
        <v>37</v>
      </c>
      <c r="E14" s="28" t="s">
        <v>86</v>
      </c>
      <c r="F14" s="28" t="s">
        <v>5</v>
      </c>
      <c r="G14" s="86">
        <v>46174</v>
      </c>
      <c r="H14" s="86">
        <v>46300</v>
      </c>
      <c r="I14" s="86">
        <v>46174</v>
      </c>
      <c r="J14" s="86"/>
      <c r="K14" s="87">
        <v>0.93</v>
      </c>
      <c r="L14" s="28">
        <v>6</v>
      </c>
      <c r="M14" s="88"/>
      <c r="N14" s="88"/>
      <c r="O14" s="89"/>
      <c r="P14" s="89"/>
      <c r="Q14" s="88"/>
      <c r="R14" s="28" t="s">
        <v>417</v>
      </c>
      <c r="S14" s="28">
        <v>840</v>
      </c>
      <c r="T14" s="89">
        <v>613</v>
      </c>
      <c r="U14" s="90">
        <f>IF(AND(ISNUMBER(S14),S14&gt;0,ISNUMBER(T14)),MIN(1,T14/S14),"")</f>
      </c>
      <c r="V14" s="89" t="s">
        <v>85</v>
      </c>
      <c r="W14" s="28">
        <f>IF(AND(M14&lt;&gt;"",M14&gt;=46296),"Actual Start must be before Data Date",IF(AND(N14&lt;&gt;"",N14&gt;=46296),"Actual Finish must be before Data Date",IF(AND(N14&lt;&gt;"",M14&lt;&gt;"",N14&lt;M14),"Finish before Start",IF(AND(O14&lt;&gt;"",O14&gt;=100,N14=""),"100% needs Actual Finish",IF(AND(O14&lt;&gt;"",O14&gt;0,M14="",I14=""),"Enter Actual Start",IF(AND(Q14&lt;&gt;"",Q14&lt;46296),"Expected Finish must be after Data Date","OK"))))))</f>
      </c>
    </row>
    <row r="15" spans="1:23" s="28" customFormat="1" x14ac:dyDescent="0.25">
      <c r="A15" s="28" t="s">
        <v>186</v>
      </c>
      <c r="B15" s="28" t="s">
        <v>131</v>
      </c>
      <c r="C15" s="28" t="s">
        <v>27</v>
      </c>
      <c r="D15" s="28" t="s">
        <v>38</v>
      </c>
      <c r="E15" s="28" t="s">
        <v>86</v>
      </c>
      <c r="F15" s="28" t="s">
        <v>5</v>
      </c>
      <c r="G15" s="86">
        <v>46202</v>
      </c>
      <c r="H15" s="86">
        <v>46325</v>
      </c>
      <c r="I15" s="86">
        <v>46202</v>
      </c>
      <c r="J15" s="86"/>
      <c r="K15" s="87">
        <v>0.78</v>
      </c>
      <c r="L15" s="28">
        <v>21</v>
      </c>
      <c r="M15" s="88"/>
      <c r="N15" s="88"/>
      <c r="O15" s="89"/>
      <c r="P15" s="89"/>
      <c r="Q15" s="88"/>
      <c r="R15" s="28" t="s">
        <v>417</v>
      </c>
      <c r="S15" s="28">
        <v>840</v>
      </c>
      <c r="T15" s="89">
        <v>487</v>
      </c>
      <c r="U15" s="90">
        <f>IF(AND(ISNUMBER(S15),S15&gt;0,ISNUMBER(T15)),MIN(1,T15/S15),"")</f>
      </c>
      <c r="V15" s="89" t="s">
        <v>85</v>
      </c>
      <c r="W15" s="28">
        <f>IF(AND(M15&lt;&gt;"",M15&gt;=46296),"Actual Start must be before Data Date",IF(AND(N15&lt;&gt;"",N15&gt;=46296),"Actual Finish must be before Data Date",IF(AND(N15&lt;&gt;"",M15&lt;&gt;"",N15&lt;M15),"Finish before Start",IF(AND(O15&lt;&gt;"",O15&gt;=100,N15=""),"100% needs Actual Finish",IF(AND(O15&lt;&gt;"",O15&gt;0,M15="",I15=""),"Enter Actual Start",IF(AND(Q15&lt;&gt;"",Q15&lt;46296),"Expected Finish must be after Data Date","OK"))))))</f>
      </c>
    </row>
    <row r="16" spans="1:23" s="28" customFormat="1" x14ac:dyDescent="0.25">
      <c r="A16" s="28" t="s">
        <v>187</v>
      </c>
      <c r="B16" s="28" t="s">
        <v>133</v>
      </c>
      <c r="C16" s="28" t="s">
        <v>27</v>
      </c>
      <c r="D16" s="28" t="s">
        <v>38</v>
      </c>
      <c r="E16" s="28" t="s">
        <v>86</v>
      </c>
      <c r="F16" s="28" t="s">
        <v>5</v>
      </c>
      <c r="G16" s="86">
        <v>46228</v>
      </c>
      <c r="H16" s="86">
        <v>46314</v>
      </c>
      <c r="I16" s="86">
        <v>46228</v>
      </c>
      <c r="J16" s="86"/>
      <c r="K16" s="87">
        <v>0.63</v>
      </c>
      <c r="L16" s="28">
        <v>22</v>
      </c>
      <c r="M16" s="88"/>
      <c r="N16" s="88"/>
      <c r="O16" s="89"/>
      <c r="P16" s="89"/>
      <c r="Q16" s="88"/>
      <c r="R16" s="28" t="s">
        <v>85</v>
      </c>
      <c r="S16" s="28"/>
      <c r="T16" s="89"/>
      <c r="U16" s="90">
        <f>IF(AND(ISNUMBER(S16),S16&gt;0,ISNUMBER(T16)),MIN(1,T16/S16),"")</f>
      </c>
      <c r="V16" s="89" t="s">
        <v>85</v>
      </c>
      <c r="W16" s="28">
        <f>IF(AND(M16&lt;&gt;"",M16&gt;=46296),"Actual Start must be before Data Date",IF(AND(N16&lt;&gt;"",N16&gt;=46296),"Actual Finish must be before Data Date",IF(AND(N16&lt;&gt;"",M16&lt;&gt;"",N16&lt;M16),"Finish before Start",IF(AND(O16&lt;&gt;"",O16&gt;=100,N16=""),"100% needs Actual Finish",IF(AND(O16&lt;&gt;"",O16&gt;0,M16="",I16=""),"Enter Actual Start",IF(AND(Q16&lt;&gt;"",Q16&lt;46296),"Expected Finish must be after Data Date","OK"))))))</f>
      </c>
    </row>
    <row r="17" spans="1:23" s="28" customFormat="1" x14ac:dyDescent="0.25">
      <c r="A17" s="28" t="s">
        <v>180</v>
      </c>
      <c r="B17" s="28" t="s">
        <v>119</v>
      </c>
      <c r="C17" s="28" t="s">
        <v>27</v>
      </c>
      <c r="D17" s="28" t="s">
        <v>37</v>
      </c>
      <c r="E17" s="28" t="s">
        <v>86</v>
      </c>
      <c r="F17" s="28" t="s">
        <v>5</v>
      </c>
      <c r="G17" s="86">
        <v>46248</v>
      </c>
      <c r="H17" s="86">
        <v>46405</v>
      </c>
      <c r="I17" s="86">
        <v>46248</v>
      </c>
      <c r="J17" s="86"/>
      <c r="K17" s="87">
        <v>0.31</v>
      </c>
      <c r="L17" s="28">
        <v>81</v>
      </c>
      <c r="M17" s="88"/>
      <c r="N17" s="88"/>
      <c r="O17" s="89"/>
      <c r="P17" s="89"/>
      <c r="Q17" s="88"/>
      <c r="R17" s="28" t="s">
        <v>85</v>
      </c>
      <c r="S17" s="28"/>
      <c r="T17" s="89"/>
      <c r="U17" s="90">
        <f>IF(AND(ISNUMBER(S17),S17&gt;0,ISNUMBER(T17)),MIN(1,T17/S17),"")</f>
      </c>
      <c r="V17" s="89" t="s">
        <v>85</v>
      </c>
      <c r="W17" s="28">
        <f>IF(AND(M17&lt;&gt;"",M17&gt;=46296),"Actual Start must be before Data Date",IF(AND(N17&lt;&gt;"",N17&gt;=46296),"Actual Finish must be before Data Date",IF(AND(N17&lt;&gt;"",M17&lt;&gt;"",N17&lt;M17),"Finish before Start",IF(AND(O17&lt;&gt;"",O17&gt;=100,N17=""),"100% needs Actual Finish",IF(AND(O17&lt;&gt;"",O17&gt;0,M17="",I17=""),"Enter Actual Start",IF(AND(Q17&lt;&gt;"",Q17&lt;46296),"Expected Finish must be after Data Date","OK"))))))</f>
      </c>
    </row>
    <row r="18" spans="1:23" s="28" customFormat="1" x14ac:dyDescent="0.25">
      <c r="A18" s="28" t="s">
        <v>188</v>
      </c>
      <c r="B18" s="28" t="s">
        <v>135</v>
      </c>
      <c r="C18" s="28" t="s">
        <v>27</v>
      </c>
      <c r="D18" s="28" t="s">
        <v>38</v>
      </c>
      <c r="E18" s="28" t="s">
        <v>94</v>
      </c>
      <c r="F18" s="28" t="s">
        <v>85</v>
      </c>
      <c r="G18" s="86">
        <v>46321</v>
      </c>
      <c r="H18" s="86">
        <v>46374</v>
      </c>
      <c r="I18" s="86"/>
      <c r="J18" s="86"/>
      <c r="K18" s="87">
        <v>0</v>
      </c>
      <c r="L18" s="28">
        <v>46</v>
      </c>
      <c r="M18" s="88"/>
      <c r="N18" s="88"/>
      <c r="O18" s="89"/>
      <c r="P18" s="89"/>
      <c r="Q18" s="88"/>
      <c r="R18" s="28" t="s">
        <v>85</v>
      </c>
      <c r="S18" s="28"/>
      <c r="T18" s="89"/>
      <c r="U18" s="90">
        <f>IF(AND(ISNUMBER(S18),S18&gt;0,ISNUMBER(T18)),MIN(1,T18/S18),"")</f>
      </c>
      <c r="V18" s="89" t="s">
        <v>85</v>
      </c>
      <c r="W18" s="28">
        <f>IF(AND(M18&lt;&gt;"",M18&gt;=46296),"Actual Start must be before Data Date",IF(AND(N18&lt;&gt;"",N18&gt;=46296),"Actual Finish must be before Data Date",IF(AND(N18&lt;&gt;"",M18&lt;&gt;"",N18&lt;M18),"Finish before Start",IF(AND(O18&lt;&gt;"",O18&gt;=100,N18=""),"100% needs Actual Finish",IF(AND(O18&lt;&gt;"",O18&gt;0,M18="",I18=""),"Enter Actual Start",IF(AND(Q18&lt;&gt;"",Q18&lt;46296),"Expected Finish must be after Data Date","OK"))))))</f>
      </c>
    </row>
    <row r="19" spans="1:23" s="28" customFormat="1" x14ac:dyDescent="0.25">
      <c r="A19" s="28" t="s">
        <v>189</v>
      </c>
      <c r="B19" s="28" t="s">
        <v>139</v>
      </c>
      <c r="C19" s="28" t="s">
        <v>27</v>
      </c>
      <c r="D19" s="28" t="s">
        <v>38</v>
      </c>
      <c r="E19" s="28" t="s">
        <v>94</v>
      </c>
      <c r="F19" s="28" t="s">
        <v>85</v>
      </c>
      <c r="G19" s="86">
        <v>46375</v>
      </c>
      <c r="H19" s="86">
        <v>46448</v>
      </c>
      <c r="I19" s="86"/>
      <c r="J19" s="86"/>
      <c r="K19" s="87">
        <v>0</v>
      </c>
      <c r="L19" s="28">
        <v>61</v>
      </c>
      <c r="M19" s="88"/>
      <c r="N19" s="88"/>
      <c r="O19" s="89"/>
      <c r="P19" s="89"/>
      <c r="Q19" s="88"/>
      <c r="R19" s="28" t="s">
        <v>85</v>
      </c>
      <c r="S19" s="28"/>
      <c r="T19" s="89"/>
      <c r="U19" s="90">
        <f>IF(AND(ISNUMBER(S19),S19&gt;0,ISNUMBER(T19)),MIN(1,T19/S19),"")</f>
      </c>
      <c r="V19" s="89" t="s">
        <v>85</v>
      </c>
      <c r="W19" s="28">
        <f>IF(AND(M19&lt;&gt;"",M19&gt;=46296),"Actual Start must be before Data Date",IF(AND(N19&lt;&gt;"",N19&gt;=46296),"Actual Finish must be before Data Date",IF(AND(N19&lt;&gt;"",M19&lt;&gt;"",N19&lt;M19),"Finish before Start",IF(AND(O19&lt;&gt;"",O19&gt;=100,N19=""),"100% needs Actual Finish",IF(AND(O19&lt;&gt;"",O19&gt;0,M19="",I19=""),"Enter Actual Start",IF(AND(Q19&lt;&gt;"",Q19&lt;46296),"Expected Finish must be after Data Date","OK"))))))</f>
      </c>
    </row>
    <row r="20" spans="1:23" s="28" customFormat="1" x14ac:dyDescent="0.25">
      <c r="A20" s="28" t="s">
        <v>190</v>
      </c>
      <c r="B20" s="28" t="s">
        <v>137</v>
      </c>
      <c r="C20" s="28" t="s">
        <v>27</v>
      </c>
      <c r="D20" s="28" t="s">
        <v>38</v>
      </c>
      <c r="E20" s="28" t="s">
        <v>94</v>
      </c>
      <c r="F20" s="28" t="s">
        <v>85</v>
      </c>
      <c r="G20" s="86">
        <v>46406</v>
      </c>
      <c r="H20" s="86">
        <v>46511</v>
      </c>
      <c r="I20" s="86"/>
      <c r="J20" s="86"/>
      <c r="K20" s="87">
        <v>0</v>
      </c>
      <c r="L20" s="28">
        <v>89</v>
      </c>
      <c r="M20" s="88"/>
      <c r="N20" s="88"/>
      <c r="O20" s="89"/>
      <c r="P20" s="89"/>
      <c r="Q20" s="88"/>
      <c r="R20" s="28" t="s">
        <v>418</v>
      </c>
      <c r="S20" s="28">
        <v>534</v>
      </c>
      <c r="T20" s="89">
        <v>0</v>
      </c>
      <c r="U20" s="90">
        <f>IF(AND(ISNUMBER(S20),S20&gt;0,ISNUMBER(T20)),MIN(1,T20/S20),"")</f>
      </c>
      <c r="V20" s="89" t="s">
        <v>85</v>
      </c>
      <c r="W20" s="28">
        <f>IF(AND(M20&lt;&gt;"",M20&gt;=46296),"Actual Start must be before Data Date",IF(AND(N20&lt;&gt;"",N20&gt;=46296),"Actual Finish must be before Data Date",IF(AND(N20&lt;&gt;"",M20&lt;&gt;"",N20&lt;M20),"Finish before Start",IF(AND(O20&lt;&gt;"",O20&gt;=100,N20=""),"100% needs Actual Finish",IF(AND(O20&lt;&gt;"",O20&gt;0,M20="",I20=""),"Enter Actual Start",IF(AND(Q20&lt;&gt;"",Q20&lt;46296),"Expected Finish must be after Data Date","OK"))))))</f>
      </c>
    </row>
    <row r="21" spans="1:23" s="28" customFormat="1" x14ac:dyDescent="0.25">
      <c r="A21" s="28" t="s">
        <v>191</v>
      </c>
      <c r="B21" s="28" t="s">
        <v>141</v>
      </c>
      <c r="C21" s="28" t="s">
        <v>27</v>
      </c>
      <c r="D21" s="28" t="s">
        <v>38</v>
      </c>
      <c r="E21" s="28" t="s">
        <v>94</v>
      </c>
      <c r="F21" s="28" t="s">
        <v>85</v>
      </c>
      <c r="G21" s="86">
        <v>46512</v>
      </c>
      <c r="H21" s="86">
        <v>46541</v>
      </c>
      <c r="I21" s="86"/>
      <c r="J21" s="86"/>
      <c r="K21" s="87">
        <v>0</v>
      </c>
      <c r="L21" s="28">
        <v>26</v>
      </c>
      <c r="M21" s="88"/>
      <c r="N21" s="88"/>
      <c r="O21" s="89"/>
      <c r="P21" s="89"/>
      <c r="Q21" s="88"/>
      <c r="R21" s="28" t="s">
        <v>85</v>
      </c>
      <c r="S21" s="28"/>
      <c r="T21" s="89"/>
      <c r="U21" s="90">
        <f>IF(AND(ISNUMBER(S21),S21&gt;0,ISNUMBER(T21)),MIN(1,T21/S21),"")</f>
      </c>
      <c r="V21" s="89" t="s">
        <v>85</v>
      </c>
      <c r="W21" s="28">
        <f>IF(AND(M21&lt;&gt;"",M21&gt;=46296),"Actual Start must be before Data Date",IF(AND(N21&lt;&gt;"",N21&gt;=46296),"Actual Finish must be before Data Date",IF(AND(N21&lt;&gt;"",M21&lt;&gt;"",N21&lt;M21),"Finish before Start",IF(AND(O21&lt;&gt;"",O21&gt;=100,N21=""),"100% needs Actual Finish",IF(AND(O21&lt;&gt;"",O21&gt;0,M21="",I21=""),"Enter Actual Start",IF(AND(Q21&lt;&gt;"",Q21&lt;46296),"Expected Finish must be after Data Date","OK"))))))</f>
      </c>
    </row>
    <row r="22" spans="1:23" s="28" customFormat="1" x14ac:dyDescent="0.25">
      <c r="A22" s="28" t="s">
        <v>192</v>
      </c>
      <c r="B22" s="28" t="s">
        <v>143</v>
      </c>
      <c r="C22" s="28" t="s">
        <v>27</v>
      </c>
      <c r="D22" s="28" t="s">
        <v>38</v>
      </c>
      <c r="E22" s="28" t="s">
        <v>94</v>
      </c>
      <c r="F22" s="28" t="s">
        <v>85</v>
      </c>
      <c r="G22" s="86">
        <v>46541</v>
      </c>
      <c r="H22" s="86">
        <v>46541</v>
      </c>
      <c r="I22" s="86"/>
      <c r="J22" s="86"/>
      <c r="K22" s="87">
        <v>0</v>
      </c>
      <c r="L22" s="28">
        <v>0</v>
      </c>
      <c r="M22" s="88"/>
      <c r="N22" s="88"/>
      <c r="O22" s="89"/>
      <c r="P22" s="89"/>
      <c r="Q22" s="88"/>
      <c r="R22" s="28" t="s">
        <v>85</v>
      </c>
      <c r="S22" s="28"/>
      <c r="T22" s="89"/>
      <c r="U22" s="90">
        <f>IF(AND(ISNUMBER(S22),S22&gt;0,ISNUMBER(T22)),MIN(1,T22/S22),"")</f>
      </c>
      <c r="V22" s="89" t="s">
        <v>85</v>
      </c>
      <c r="W22" s="28">
        <f>IF(AND(M22&lt;&gt;"",M22&gt;=46296),"Actual Start must be before Data Date",IF(AND(N22&lt;&gt;"",N22&gt;=46296),"Actual Finish must be before Data Date",IF(AND(N22&lt;&gt;"",M22&lt;&gt;"",N22&lt;M22),"Finish before Start",IF(AND(O22&lt;&gt;"",O22&gt;=100,N22=""),"100% needs Actual Finish",IF(AND(O22&lt;&gt;"",O22&gt;0,M22="",I22=""),"Enter Actual Start",IF(AND(Q22&lt;&gt;"",Q22&lt;46296),"Expected Finish must be after Data Date","OK"))))))</f>
      </c>
    </row>
    <row r="23" spans="1:23" s="28" customFormat="1" x14ac:dyDescent="0.25">
      <c r="A23" s="28" t="s">
        <v>201</v>
      </c>
      <c r="B23" s="28" t="s">
        <v>115</v>
      </c>
      <c r="C23" s="28" t="s">
        <v>28</v>
      </c>
      <c r="D23" s="28" t="s">
        <v>37</v>
      </c>
      <c r="E23" s="28" t="s">
        <v>86</v>
      </c>
      <c r="F23" s="28" t="s">
        <v>5</v>
      </c>
      <c r="G23" s="86">
        <v>46206</v>
      </c>
      <c r="H23" s="86">
        <v>46343</v>
      </c>
      <c r="I23" s="86">
        <v>46206</v>
      </c>
      <c r="J23" s="86"/>
      <c r="K23" s="87">
        <v>0.61</v>
      </c>
      <c r="L23" s="28">
        <v>34</v>
      </c>
      <c r="M23" s="88"/>
      <c r="N23" s="88"/>
      <c r="O23" s="89"/>
      <c r="P23" s="89"/>
      <c r="Q23" s="88"/>
      <c r="R23" s="28" t="s">
        <v>417</v>
      </c>
      <c r="S23" s="28">
        <v>760</v>
      </c>
      <c r="T23" s="89">
        <v>312</v>
      </c>
      <c r="U23" s="90">
        <f>IF(AND(ISNUMBER(S23),S23&gt;0,ISNUMBER(T23)),MIN(1,T23/S23),"")</f>
      </c>
      <c r="V23" s="89" t="s">
        <v>85</v>
      </c>
      <c r="W23" s="28">
        <f>IF(AND(M23&lt;&gt;"",M23&gt;=46296),"Actual Start must be before Data Date",IF(AND(N23&lt;&gt;"",N23&gt;=46296),"Actual Finish must be before Data Date",IF(AND(N23&lt;&gt;"",M23&lt;&gt;"",N23&lt;M23),"Finish before Start",IF(AND(O23&lt;&gt;"",O23&gt;=100,N23=""),"100% needs Actual Finish",IF(AND(O23&lt;&gt;"",O23&gt;0,M23="",I23=""),"Enter Actual Start",IF(AND(Q23&lt;&gt;"",Q23&lt;46296),"Expected Finish must be after Data Date","OK"))))))</f>
      </c>
    </row>
    <row r="24" spans="1:23" s="28" customFormat="1" x14ac:dyDescent="0.25">
      <c r="A24" s="91" t="s">
        <v>202</v>
      </c>
      <c r="B24" s="91" t="s">
        <v>117</v>
      </c>
      <c r="C24" s="28" t="s">
        <v>28</v>
      </c>
      <c r="D24" s="28" t="s">
        <v>37</v>
      </c>
      <c r="E24" s="28" t="s">
        <v>86</v>
      </c>
      <c r="F24" s="91" t="s">
        <v>162</v>
      </c>
      <c r="G24" s="86">
        <v>46248</v>
      </c>
      <c r="H24" s="86">
        <v>46277</v>
      </c>
      <c r="I24" s="86">
        <v>46248</v>
      </c>
      <c r="J24" s="86"/>
      <c r="K24" s="87">
        <v>0.72</v>
      </c>
      <c r="L24" s="28">
        <v>6</v>
      </c>
      <c r="M24" s="88"/>
      <c r="N24" s="88"/>
      <c r="O24" s="89"/>
      <c r="P24" s="89"/>
      <c r="Q24" s="88"/>
      <c r="R24" s="28" t="s">
        <v>85</v>
      </c>
      <c r="S24" s="28"/>
      <c r="T24" s="89"/>
      <c r="U24" s="90">
        <f>IF(AND(ISNUMBER(S24),S24&gt;0,ISNUMBER(T24)),MIN(1,T24/S24),"")</f>
      </c>
      <c r="V24" s="89" t="s">
        <v>85</v>
      </c>
      <c r="W24" s="28">
        <f>IF(AND(M24&lt;&gt;"",M24&gt;=46296),"Actual Start must be before Data Date",IF(AND(N24&lt;&gt;"",N24&gt;=46296),"Actual Finish must be before Data Date",IF(AND(N24&lt;&gt;"",M24&lt;&gt;"",N24&lt;M24),"Finish before Start",IF(AND(O24&lt;&gt;"",O24&gt;=100,N24=""),"100% needs Actual Finish",IF(AND(O24&lt;&gt;"",O24&gt;0,M24="",I24=""),"Enter Actual Start",IF(AND(Q24&lt;&gt;"",Q24&lt;46296),"Expected Finish must be after Data Date","OK"))))))</f>
      </c>
    </row>
    <row r="25" spans="1:23" s="28" customFormat="1" x14ac:dyDescent="0.25">
      <c r="A25" s="28" t="s">
        <v>210</v>
      </c>
      <c r="B25" s="28" t="s">
        <v>131</v>
      </c>
      <c r="C25" s="28" t="s">
        <v>28</v>
      </c>
      <c r="D25" s="28" t="s">
        <v>38</v>
      </c>
      <c r="E25" s="28" t="s">
        <v>86</v>
      </c>
      <c r="F25" s="28" t="s">
        <v>5</v>
      </c>
      <c r="G25" s="86">
        <v>46251</v>
      </c>
      <c r="H25" s="86">
        <v>46367</v>
      </c>
      <c r="I25" s="86">
        <v>46251</v>
      </c>
      <c r="J25" s="86"/>
      <c r="K25" s="87">
        <v>0.34</v>
      </c>
      <c r="L25" s="28">
        <v>52</v>
      </c>
      <c r="M25" s="88"/>
      <c r="N25" s="88"/>
      <c r="O25" s="89"/>
      <c r="P25" s="89"/>
      <c r="Q25" s="88"/>
      <c r="R25" s="28" t="s">
        <v>417</v>
      </c>
      <c r="S25" s="28">
        <v>760</v>
      </c>
      <c r="T25" s="89">
        <v>106</v>
      </c>
      <c r="U25" s="90">
        <f>IF(AND(ISNUMBER(S25),S25&gt;0,ISNUMBER(T25)),MIN(1,T25/S25),"")</f>
      </c>
      <c r="V25" s="89" t="s">
        <v>85</v>
      </c>
      <c r="W25" s="28">
        <f>IF(AND(M25&lt;&gt;"",M25&gt;=46296),"Actual Start must be before Data Date",IF(AND(N25&lt;&gt;"",N25&gt;=46296),"Actual Finish must be before Data Date",IF(AND(N25&lt;&gt;"",M25&lt;&gt;"",N25&lt;M25),"Finish before Start",IF(AND(O25&lt;&gt;"",O25&gt;=100,N25=""),"100% needs Actual Finish",IF(AND(O25&lt;&gt;"",O25&gt;0,M25="",I25=""),"Enter Actual Start",IF(AND(Q25&lt;&gt;"",Q25&lt;46296),"Expected Finish must be after Data Date","OK"))))))</f>
      </c>
    </row>
    <row r="26" spans="1:23" s="28" customFormat="1" x14ac:dyDescent="0.25">
      <c r="A26" s="92" t="s">
        <v>211</v>
      </c>
      <c r="B26" s="92" t="s">
        <v>137</v>
      </c>
      <c r="C26" s="28" t="s">
        <v>28</v>
      </c>
      <c r="D26" s="28" t="s">
        <v>38</v>
      </c>
      <c r="E26" s="28" t="s">
        <v>86</v>
      </c>
      <c r="F26" s="92" t="s">
        <v>212</v>
      </c>
      <c r="G26" s="86">
        <v>46260</v>
      </c>
      <c r="H26" s="86">
        <v>46476</v>
      </c>
      <c r="I26" s="86">
        <v>46260</v>
      </c>
      <c r="J26" s="86"/>
      <c r="K26" s="87">
        <v>0.25</v>
      </c>
      <c r="L26" s="28">
        <v>55</v>
      </c>
      <c r="M26" s="88"/>
      <c r="N26" s="88"/>
      <c r="O26" s="89"/>
      <c r="P26" s="89"/>
      <c r="Q26" s="88"/>
      <c r="R26" s="28" t="s">
        <v>418</v>
      </c>
      <c r="S26" s="28">
        <v>438</v>
      </c>
      <c r="T26" s="89">
        <v>0</v>
      </c>
      <c r="U26" s="90">
        <f>IF(AND(ISNUMBER(S26),S26&gt;0,ISNUMBER(T26)),MIN(1,T26/S26),"")</f>
      </c>
      <c r="V26" s="89" t="s">
        <v>85</v>
      </c>
      <c r="W26" s="28">
        <f>IF(AND(M26&lt;&gt;"",M26&gt;=46296),"Actual Start must be before Data Date",IF(AND(N26&lt;&gt;"",N26&gt;=46296),"Actual Finish must be before Data Date",IF(AND(N26&lt;&gt;"",M26&lt;&gt;"",N26&lt;M26),"Finish before Start",IF(AND(O26&lt;&gt;"",O26&gt;=100,N26=""),"100% needs Actual Finish",IF(AND(O26&lt;&gt;"",O26&gt;0,M26="",I26=""),"Enter Actual Start",IF(AND(Q26&lt;&gt;"",Q26&lt;46296),"Expected Finish must be after Data Date","OK"))))))</f>
      </c>
    </row>
    <row r="27" spans="1:23" s="28" customFormat="1" x14ac:dyDescent="0.25">
      <c r="A27" s="93" t="s">
        <v>213</v>
      </c>
      <c r="B27" s="93" t="s">
        <v>133</v>
      </c>
      <c r="C27" s="28" t="s">
        <v>28</v>
      </c>
      <c r="D27" s="28" t="s">
        <v>38</v>
      </c>
      <c r="E27" s="28" t="s">
        <v>94</v>
      </c>
      <c r="F27" s="93" t="s">
        <v>204</v>
      </c>
      <c r="G27" s="86">
        <v>46274</v>
      </c>
      <c r="H27" s="86">
        <v>46331</v>
      </c>
      <c r="I27" s="86"/>
      <c r="J27" s="86"/>
      <c r="K27" s="87">
        <v>0</v>
      </c>
      <c r="L27" s="28">
        <v>48</v>
      </c>
      <c r="M27" s="88"/>
      <c r="N27" s="88"/>
      <c r="O27" s="89"/>
      <c r="P27" s="89"/>
      <c r="Q27" s="88"/>
      <c r="R27" s="28" t="s">
        <v>85</v>
      </c>
      <c r="S27" s="28"/>
      <c r="T27" s="89"/>
      <c r="U27" s="90">
        <f>IF(AND(ISNUMBER(S27),S27&gt;0,ISNUMBER(T27)),MIN(1,T27/S27),"")</f>
      </c>
      <c r="V27" s="89" t="s">
        <v>85</v>
      </c>
      <c r="W27" s="28">
        <f>IF(AND(M27&lt;&gt;"",M27&gt;=46296),"Actual Start must be before Data Date",IF(AND(N27&lt;&gt;"",N27&gt;=46296),"Actual Finish must be before Data Date",IF(AND(N27&lt;&gt;"",M27&lt;&gt;"",N27&lt;M27),"Finish before Start",IF(AND(O27&lt;&gt;"",O27&gt;=100,N27=""),"100% needs Actual Finish",IF(AND(O27&lt;&gt;"",O27&gt;0,M27="",I27=""),"Enter Actual Start",IF(AND(Q27&lt;&gt;"",Q27&lt;46296),"Expected Finish must be after Data Date","OK"))))))</f>
      </c>
    </row>
    <row r="28" spans="1:23" s="28" customFormat="1" x14ac:dyDescent="0.25">
      <c r="A28" s="93" t="s">
        <v>203</v>
      </c>
      <c r="B28" s="93" t="s">
        <v>119</v>
      </c>
      <c r="C28" s="28" t="s">
        <v>28</v>
      </c>
      <c r="D28" s="28" t="s">
        <v>37</v>
      </c>
      <c r="E28" s="28" t="s">
        <v>94</v>
      </c>
      <c r="F28" s="93" t="s">
        <v>204</v>
      </c>
      <c r="G28" s="86">
        <v>46279</v>
      </c>
      <c r="H28" s="86">
        <v>46391</v>
      </c>
      <c r="I28" s="86"/>
      <c r="J28" s="86"/>
      <c r="K28" s="87">
        <v>0</v>
      </c>
      <c r="L28" s="28">
        <v>93</v>
      </c>
      <c r="M28" s="88"/>
      <c r="N28" s="88"/>
      <c r="O28" s="89"/>
      <c r="P28" s="89"/>
      <c r="Q28" s="88"/>
      <c r="R28" s="28" t="s">
        <v>85</v>
      </c>
      <c r="S28" s="28"/>
      <c r="T28" s="89"/>
      <c r="U28" s="90">
        <f>IF(AND(ISNUMBER(S28),S28&gt;0,ISNUMBER(T28)),MIN(1,T28/S28),"")</f>
      </c>
      <c r="V28" s="89" t="s">
        <v>85</v>
      </c>
      <c r="W28" s="28">
        <f>IF(AND(M28&lt;&gt;"",M28&gt;=46296),"Actual Start must be before Data Date",IF(AND(N28&lt;&gt;"",N28&gt;=46296),"Actual Finish must be before Data Date",IF(AND(N28&lt;&gt;"",M28&lt;&gt;"",N28&lt;M28),"Finish before Start",IF(AND(O28&lt;&gt;"",O28&gt;=100,N28=""),"100% needs Actual Finish",IF(AND(O28&lt;&gt;"",O28&gt;0,M28="",I28=""),"Enter Actual Start",IF(AND(Q28&lt;&gt;"",Q28&lt;46296),"Expected Finish must be after Data Date","OK"))))))</f>
      </c>
    </row>
    <row r="29" spans="1:23" s="28" customFormat="1" x14ac:dyDescent="0.25">
      <c r="A29" s="28" t="s">
        <v>214</v>
      </c>
      <c r="B29" s="28" t="s">
        <v>135</v>
      </c>
      <c r="C29" s="28" t="s">
        <v>28</v>
      </c>
      <c r="D29" s="28" t="s">
        <v>38</v>
      </c>
      <c r="E29" s="28" t="s">
        <v>94</v>
      </c>
      <c r="F29" s="28" t="s">
        <v>85</v>
      </c>
      <c r="G29" s="86">
        <v>46363</v>
      </c>
      <c r="H29" s="86">
        <v>46403</v>
      </c>
      <c r="I29" s="86"/>
      <c r="J29" s="86"/>
      <c r="K29" s="87">
        <v>0</v>
      </c>
      <c r="L29" s="28">
        <v>35</v>
      </c>
      <c r="M29" s="88"/>
      <c r="N29" s="88"/>
      <c r="O29" s="89"/>
      <c r="P29" s="89"/>
      <c r="Q29" s="88"/>
      <c r="R29" s="28" t="s">
        <v>85</v>
      </c>
      <c r="S29" s="28"/>
      <c r="T29" s="89"/>
      <c r="U29" s="90">
        <f>IF(AND(ISNUMBER(S29),S29&gt;0,ISNUMBER(T29)),MIN(1,T29/S29),"")</f>
      </c>
      <c r="V29" s="89" t="s">
        <v>85</v>
      </c>
      <c r="W29" s="28">
        <f>IF(AND(M29&lt;&gt;"",M29&gt;=46296),"Actual Start must be before Data Date",IF(AND(N29&lt;&gt;"",N29&gt;=46296),"Actual Finish must be before Data Date",IF(AND(N29&lt;&gt;"",M29&lt;&gt;"",N29&lt;M29),"Finish before Start",IF(AND(O29&lt;&gt;"",O29&gt;=100,N29=""),"100% needs Actual Finish",IF(AND(O29&lt;&gt;"",O29&gt;0,M29="",I29=""),"Enter Actual Start",IF(AND(Q29&lt;&gt;"",Q29&lt;46296),"Expected Finish must be after Data Date","OK"))))))</f>
      </c>
    </row>
    <row r="30" spans="1:23" s="28" customFormat="1" x14ac:dyDescent="0.25">
      <c r="A30" s="28" t="s">
        <v>215</v>
      </c>
      <c r="B30" s="28" t="s">
        <v>139</v>
      </c>
      <c r="C30" s="28" t="s">
        <v>28</v>
      </c>
      <c r="D30" s="28" t="s">
        <v>38</v>
      </c>
      <c r="E30" s="28" t="s">
        <v>94</v>
      </c>
      <c r="F30" s="28" t="s">
        <v>85</v>
      </c>
      <c r="G30" s="86">
        <v>46405</v>
      </c>
      <c r="H30" s="86">
        <v>46476</v>
      </c>
      <c r="I30" s="86"/>
      <c r="J30" s="86"/>
      <c r="K30" s="87">
        <v>0</v>
      </c>
      <c r="L30" s="28">
        <v>60</v>
      </c>
      <c r="M30" s="88"/>
      <c r="N30" s="88"/>
      <c r="O30" s="89"/>
      <c r="P30" s="89"/>
      <c r="Q30" s="88"/>
      <c r="R30" s="28" t="s">
        <v>85</v>
      </c>
      <c r="S30" s="28"/>
      <c r="T30" s="89"/>
      <c r="U30" s="90">
        <f>IF(AND(ISNUMBER(S30),S30&gt;0,ISNUMBER(T30)),MIN(1,T30/S30),"")</f>
      </c>
      <c r="V30" s="89" t="s">
        <v>85</v>
      </c>
      <c r="W30" s="28">
        <f>IF(AND(M30&lt;&gt;"",M30&gt;=46296),"Actual Start must be before Data Date",IF(AND(N30&lt;&gt;"",N30&gt;=46296),"Actual Finish must be before Data Date",IF(AND(N30&lt;&gt;"",M30&lt;&gt;"",N30&lt;M30),"Finish before Start",IF(AND(O30&lt;&gt;"",O30&gt;=100,N30=""),"100% needs Actual Finish",IF(AND(O30&lt;&gt;"",O30&gt;0,M30="",I30=""),"Enter Actual Start",IF(AND(Q30&lt;&gt;"",Q30&lt;46296),"Expected Finish must be after Data Date","OK"))))))</f>
      </c>
    </row>
    <row r="31" spans="1:23" s="28" customFormat="1" x14ac:dyDescent="0.25">
      <c r="A31" s="28" t="s">
        <v>216</v>
      </c>
      <c r="B31" s="28" t="s">
        <v>141</v>
      </c>
      <c r="C31" s="28" t="s">
        <v>28</v>
      </c>
      <c r="D31" s="28" t="s">
        <v>38</v>
      </c>
      <c r="E31" s="28" t="s">
        <v>94</v>
      </c>
      <c r="F31" s="28" t="s">
        <v>85</v>
      </c>
      <c r="G31" s="86">
        <v>46477</v>
      </c>
      <c r="H31" s="86">
        <v>46500</v>
      </c>
      <c r="I31" s="86"/>
      <c r="J31" s="86"/>
      <c r="K31" s="87">
        <v>0</v>
      </c>
      <c r="L31" s="28">
        <v>21</v>
      </c>
      <c r="M31" s="88"/>
      <c r="N31" s="88"/>
      <c r="O31" s="89"/>
      <c r="P31" s="89"/>
      <c r="Q31" s="88"/>
      <c r="R31" s="28" t="s">
        <v>85</v>
      </c>
      <c r="S31" s="28"/>
      <c r="T31" s="89"/>
      <c r="U31" s="90">
        <f>IF(AND(ISNUMBER(S31),S31&gt;0,ISNUMBER(T31)),MIN(1,T31/S31),"")</f>
      </c>
      <c r="V31" s="89" t="s">
        <v>85</v>
      </c>
      <c r="W31" s="28">
        <f>IF(AND(M31&lt;&gt;"",M31&gt;=46296),"Actual Start must be before Data Date",IF(AND(N31&lt;&gt;"",N31&gt;=46296),"Actual Finish must be before Data Date",IF(AND(N31&lt;&gt;"",M31&lt;&gt;"",N31&lt;M31),"Finish before Start",IF(AND(O31&lt;&gt;"",O31&gt;=100,N31=""),"100% needs Actual Finish",IF(AND(O31&lt;&gt;"",O31&gt;0,M31="",I31=""),"Enter Actual Start",IF(AND(Q31&lt;&gt;"",Q31&lt;46296),"Expected Finish must be after Data Date","OK"))))))</f>
      </c>
    </row>
    <row r="32" spans="1:23" s="28" customFormat="1" x14ac:dyDescent="0.25">
      <c r="A32" s="28" t="s">
        <v>217</v>
      </c>
      <c r="B32" s="28" t="s">
        <v>143</v>
      </c>
      <c r="C32" s="28" t="s">
        <v>28</v>
      </c>
      <c r="D32" s="28" t="s">
        <v>38</v>
      </c>
      <c r="E32" s="28" t="s">
        <v>94</v>
      </c>
      <c r="F32" s="28" t="s">
        <v>85</v>
      </c>
      <c r="G32" s="86">
        <v>46500</v>
      </c>
      <c r="H32" s="86">
        <v>46500</v>
      </c>
      <c r="I32" s="86"/>
      <c r="J32" s="86"/>
      <c r="K32" s="87">
        <v>0</v>
      </c>
      <c r="L32" s="28">
        <v>0</v>
      </c>
      <c r="M32" s="88"/>
      <c r="N32" s="88"/>
      <c r="O32" s="89"/>
      <c r="P32" s="89"/>
      <c r="Q32" s="88"/>
      <c r="R32" s="28" t="s">
        <v>85</v>
      </c>
      <c r="S32" s="28"/>
      <c r="T32" s="89"/>
      <c r="U32" s="90">
        <f>IF(AND(ISNUMBER(S32),S32&gt;0,ISNUMBER(T32)),MIN(1,T32/S32),"")</f>
      </c>
      <c r="V32" s="89" t="s">
        <v>85</v>
      </c>
      <c r="W32" s="28">
        <f>IF(AND(M32&lt;&gt;"",M32&gt;=46296),"Actual Start must be before Data Date",IF(AND(N32&lt;&gt;"",N32&gt;=46296),"Actual Finish must be before Data Date",IF(AND(N32&lt;&gt;"",M32&lt;&gt;"",N32&lt;M32),"Finish before Start",IF(AND(O32&lt;&gt;"",O32&gt;=100,N32=""),"100% needs Actual Finish",IF(AND(O32&lt;&gt;"",O32&gt;0,M32="",I32=""),"Enter Actual Start",IF(AND(Q32&lt;&gt;"",Q32&lt;46296),"Expected Finish must be after Data Date","OK"))))))</f>
      </c>
    </row>
    <row r="33" spans="1:23" s="28" customFormat="1" x14ac:dyDescent="0.25">
      <c r="A33" s="91" t="s">
        <v>230</v>
      </c>
      <c r="B33" s="91" t="s">
        <v>119</v>
      </c>
      <c r="C33" s="28" t="s">
        <v>29</v>
      </c>
      <c r="D33" s="28" t="s">
        <v>37</v>
      </c>
      <c r="E33" s="28" t="s">
        <v>86</v>
      </c>
      <c r="F33" s="91" t="s">
        <v>231</v>
      </c>
      <c r="G33" s="86">
        <v>46205</v>
      </c>
      <c r="H33" s="86">
        <v>46293</v>
      </c>
      <c r="I33" s="86">
        <v>46205</v>
      </c>
      <c r="J33" s="86"/>
      <c r="K33" s="87">
        <v>0.66</v>
      </c>
      <c r="L33" s="28">
        <v>24</v>
      </c>
      <c r="M33" s="88"/>
      <c r="N33" s="88"/>
      <c r="O33" s="89"/>
      <c r="P33" s="89"/>
      <c r="Q33" s="88"/>
      <c r="R33" s="28" t="s">
        <v>85</v>
      </c>
      <c r="S33" s="28"/>
      <c r="T33" s="89"/>
      <c r="U33" s="90">
        <f>IF(AND(ISNUMBER(S33),S33&gt;0,ISNUMBER(T33)),MIN(1,T33/S33),"")</f>
      </c>
      <c r="V33" s="89" t="s">
        <v>85</v>
      </c>
      <c r="W33" s="28">
        <f>IF(AND(M33&lt;&gt;"",M33&gt;=46296),"Actual Start must be before Data Date",IF(AND(N33&lt;&gt;"",N33&gt;=46296),"Actual Finish must be before Data Date",IF(AND(N33&lt;&gt;"",M33&lt;&gt;"",N33&lt;M33),"Finish before Start",IF(AND(O33&lt;&gt;"",O33&gt;=100,N33=""),"100% needs Actual Finish",IF(AND(O33&lt;&gt;"",O33&gt;0,M33="",I33=""),"Enter Actual Start",IF(AND(Q33&lt;&gt;"",Q33&lt;46296),"Expected Finish must be after Data Date","OK"))))))</f>
      </c>
    </row>
    <row r="34" spans="1:23" s="28" customFormat="1" x14ac:dyDescent="0.25">
      <c r="A34" s="91" t="s">
        <v>237</v>
      </c>
      <c r="B34" s="91" t="s">
        <v>131</v>
      </c>
      <c r="C34" s="28" t="s">
        <v>29</v>
      </c>
      <c r="D34" s="28" t="s">
        <v>38</v>
      </c>
      <c r="E34" s="28" t="s">
        <v>86</v>
      </c>
      <c r="F34" s="91" t="s">
        <v>231</v>
      </c>
      <c r="G34" s="86">
        <v>46207</v>
      </c>
      <c r="H34" s="86">
        <v>46268</v>
      </c>
      <c r="I34" s="86">
        <v>46207</v>
      </c>
      <c r="J34" s="86"/>
      <c r="K34" s="87">
        <v>0.94</v>
      </c>
      <c r="L34" s="28">
        <v>3</v>
      </c>
      <c r="M34" s="88"/>
      <c r="N34" s="88"/>
      <c r="O34" s="89"/>
      <c r="P34" s="89"/>
      <c r="Q34" s="88"/>
      <c r="R34" s="28" t="s">
        <v>417</v>
      </c>
      <c r="S34" s="28">
        <v>420</v>
      </c>
      <c r="T34" s="89">
        <v>395</v>
      </c>
      <c r="U34" s="90">
        <f>IF(AND(ISNUMBER(S34),S34&gt;0,ISNUMBER(T34)),MIN(1,T34/S34),"")</f>
      </c>
      <c r="V34" s="89" t="s">
        <v>85</v>
      </c>
      <c r="W34" s="28">
        <f>IF(AND(M34&lt;&gt;"",M34&gt;=46296),"Actual Start must be before Data Date",IF(AND(N34&lt;&gt;"",N34&gt;=46296),"Actual Finish must be before Data Date",IF(AND(N34&lt;&gt;"",M34&lt;&gt;"",N34&lt;M34),"Finish before Start",IF(AND(O34&lt;&gt;"",O34&gt;=100,N34=""),"100% needs Actual Finish",IF(AND(O34&lt;&gt;"",O34&gt;0,M34="",I34=""),"Enter Actual Start",IF(AND(Q34&lt;&gt;"",Q34&lt;46296),"Expected Finish must be after Data Date","OK"))))))</f>
      </c>
    </row>
    <row r="35" spans="1:23" s="28" customFormat="1" x14ac:dyDescent="0.25">
      <c r="A35" s="91" t="s">
        <v>238</v>
      </c>
      <c r="B35" s="91" t="s">
        <v>133</v>
      </c>
      <c r="C35" s="28" t="s">
        <v>29</v>
      </c>
      <c r="D35" s="28" t="s">
        <v>38</v>
      </c>
      <c r="E35" s="28" t="s">
        <v>86</v>
      </c>
      <c r="F35" s="91" t="s">
        <v>231</v>
      </c>
      <c r="G35" s="86">
        <v>46234</v>
      </c>
      <c r="H35" s="86">
        <v>46282</v>
      </c>
      <c r="I35" s="86">
        <v>46234</v>
      </c>
      <c r="J35" s="86"/>
      <c r="K35" s="87">
        <v>0.61</v>
      </c>
      <c r="L35" s="28">
        <v>15</v>
      </c>
      <c r="M35" s="88"/>
      <c r="N35" s="88"/>
      <c r="O35" s="89"/>
      <c r="P35" s="89"/>
      <c r="Q35" s="88"/>
      <c r="R35" s="28" t="s">
        <v>85</v>
      </c>
      <c r="S35" s="28"/>
      <c r="T35" s="89"/>
      <c r="U35" s="90">
        <f>IF(AND(ISNUMBER(S35),S35&gt;0,ISNUMBER(T35)),MIN(1,T35/S35),"")</f>
      </c>
      <c r="V35" s="89" t="s">
        <v>85</v>
      </c>
      <c r="W35" s="28">
        <f>IF(AND(M35&lt;&gt;"",M35&gt;=46296),"Actual Start must be before Data Date",IF(AND(N35&lt;&gt;"",N35&gt;=46296),"Actual Finish must be before Data Date",IF(AND(N35&lt;&gt;"",M35&lt;&gt;"",N35&lt;M35),"Finish before Start",IF(AND(O35&lt;&gt;"",O35&gt;=100,N35=""),"100% needs Actual Finish",IF(AND(O35&lt;&gt;"",O35&gt;0,M35="",I35=""),"Enter Actual Start",IF(AND(Q35&lt;&gt;"",Q35&lt;46296),"Expected Finish must be after Data Date","OK"))))))</f>
      </c>
    </row>
    <row r="36" spans="1:23" s="28" customFormat="1" x14ac:dyDescent="0.25">
      <c r="A36" s="91" t="s">
        <v>239</v>
      </c>
      <c r="B36" s="91" t="s">
        <v>135</v>
      </c>
      <c r="C36" s="28" t="s">
        <v>29</v>
      </c>
      <c r="D36" s="28" t="s">
        <v>38</v>
      </c>
      <c r="E36" s="28" t="s">
        <v>94</v>
      </c>
      <c r="F36" s="91" t="s">
        <v>240</v>
      </c>
      <c r="G36" s="86">
        <v>46266</v>
      </c>
      <c r="H36" s="86">
        <v>46288</v>
      </c>
      <c r="I36" s="86"/>
      <c r="J36" s="86"/>
      <c r="K36" s="87">
        <v>0</v>
      </c>
      <c r="L36" s="28">
        <v>20</v>
      </c>
      <c r="M36" s="88"/>
      <c r="N36" s="88"/>
      <c r="O36" s="89"/>
      <c r="P36" s="89"/>
      <c r="Q36" s="88"/>
      <c r="R36" s="28" t="s">
        <v>85</v>
      </c>
      <c r="S36" s="28"/>
      <c r="T36" s="89"/>
      <c r="U36" s="90">
        <f>IF(AND(ISNUMBER(S36),S36&gt;0,ISNUMBER(T36)),MIN(1,T36/S36),"")</f>
      </c>
      <c r="V36" s="89" t="s">
        <v>85</v>
      </c>
      <c r="W36" s="28">
        <f>IF(AND(M36&lt;&gt;"",M36&gt;=46296),"Actual Start must be before Data Date",IF(AND(N36&lt;&gt;"",N36&gt;=46296),"Actual Finish must be before Data Date",IF(AND(N36&lt;&gt;"",M36&lt;&gt;"",N36&lt;M36),"Finish before Start",IF(AND(O36&lt;&gt;"",O36&gt;=100,N36=""),"100% needs Actual Finish",IF(AND(O36&lt;&gt;"",O36&gt;0,M36="",I36=""),"Enter Actual Start",IF(AND(Q36&lt;&gt;"",Q36&lt;46296),"Expected Finish must be after Data Date","OK"))))))</f>
      </c>
    </row>
    <row r="37" spans="1:23" s="28" customFormat="1" x14ac:dyDescent="0.25">
      <c r="A37" s="93" t="s">
        <v>241</v>
      </c>
      <c r="B37" s="93" t="s">
        <v>139</v>
      </c>
      <c r="C37" s="28" t="s">
        <v>29</v>
      </c>
      <c r="D37" s="28" t="s">
        <v>38</v>
      </c>
      <c r="E37" s="28" t="s">
        <v>94</v>
      </c>
      <c r="F37" s="93" t="s">
        <v>204</v>
      </c>
      <c r="G37" s="86">
        <v>46289</v>
      </c>
      <c r="H37" s="86">
        <v>46321</v>
      </c>
      <c r="I37" s="86"/>
      <c r="J37" s="86"/>
      <c r="K37" s="87">
        <v>0</v>
      </c>
      <c r="L37" s="28">
        <v>26</v>
      </c>
      <c r="M37" s="88"/>
      <c r="N37" s="88"/>
      <c r="O37" s="89"/>
      <c r="P37" s="89"/>
      <c r="Q37" s="88"/>
      <c r="R37" s="28" t="s">
        <v>85</v>
      </c>
      <c r="S37" s="28"/>
      <c r="T37" s="89"/>
      <c r="U37" s="90">
        <f>IF(AND(ISNUMBER(S37),S37&gt;0,ISNUMBER(T37)),MIN(1,T37/S37),"")</f>
      </c>
      <c r="V37" s="89" t="s">
        <v>85</v>
      </c>
      <c r="W37" s="28">
        <f>IF(AND(M37&lt;&gt;"",M37&gt;=46296),"Actual Start must be before Data Date",IF(AND(N37&lt;&gt;"",N37&gt;=46296),"Actual Finish must be before Data Date",IF(AND(N37&lt;&gt;"",M37&lt;&gt;"",N37&lt;M37),"Finish before Start",IF(AND(O37&lt;&gt;"",O37&gt;=100,N37=""),"100% needs Actual Finish",IF(AND(O37&lt;&gt;"",O37&gt;0,M37="",I37=""),"Enter Actual Start",IF(AND(Q37&lt;&gt;"",Q37&lt;46296),"Expected Finish must be after Data Date","OK"))))))</f>
      </c>
    </row>
    <row r="38" spans="1:23" s="28" customFormat="1" x14ac:dyDescent="0.25">
      <c r="A38" s="93" t="s">
        <v>242</v>
      </c>
      <c r="B38" s="93" t="s">
        <v>137</v>
      </c>
      <c r="C38" s="28" t="s">
        <v>29</v>
      </c>
      <c r="D38" s="28" t="s">
        <v>38</v>
      </c>
      <c r="E38" s="28" t="s">
        <v>94</v>
      </c>
      <c r="F38" s="93" t="s">
        <v>204</v>
      </c>
      <c r="G38" s="86">
        <v>46294</v>
      </c>
      <c r="H38" s="86">
        <v>46345</v>
      </c>
      <c r="I38" s="86"/>
      <c r="J38" s="86"/>
      <c r="K38" s="87">
        <v>0</v>
      </c>
      <c r="L38" s="28">
        <v>42</v>
      </c>
      <c r="M38" s="88"/>
      <c r="N38" s="88"/>
      <c r="O38" s="89"/>
      <c r="P38" s="89"/>
      <c r="Q38" s="88"/>
      <c r="R38" s="28" t="s">
        <v>418</v>
      </c>
      <c r="S38" s="28">
        <v>252</v>
      </c>
      <c r="T38" s="89">
        <v>0</v>
      </c>
      <c r="U38" s="90">
        <f>IF(AND(ISNUMBER(S38),S38&gt;0,ISNUMBER(T38)),MIN(1,T38/S38),"")</f>
      </c>
      <c r="V38" s="89" t="s">
        <v>85</v>
      </c>
      <c r="W38" s="28">
        <f>IF(AND(M38&lt;&gt;"",M38&gt;=46296),"Actual Start must be before Data Date",IF(AND(N38&lt;&gt;"",N38&gt;=46296),"Actual Finish must be before Data Date",IF(AND(N38&lt;&gt;"",M38&lt;&gt;"",N38&lt;M38),"Finish before Start",IF(AND(O38&lt;&gt;"",O38&gt;=100,N38=""),"100% needs Actual Finish",IF(AND(O38&lt;&gt;"",O38&gt;0,M38="",I38=""),"Enter Actual Start",IF(AND(Q38&lt;&gt;"",Q38&lt;46296),"Expected Finish must be after Data Date","OK"))))))</f>
      </c>
    </row>
    <row r="39" spans="1:23" s="28" customFormat="1" x14ac:dyDescent="0.25">
      <c r="A39" s="28" t="s">
        <v>243</v>
      </c>
      <c r="B39" s="28" t="s">
        <v>141</v>
      </c>
      <c r="C39" s="28" t="s">
        <v>29</v>
      </c>
      <c r="D39" s="28" t="s">
        <v>38</v>
      </c>
      <c r="E39" s="28" t="s">
        <v>94</v>
      </c>
      <c r="F39" s="28" t="s">
        <v>85</v>
      </c>
      <c r="G39" s="86">
        <v>46346</v>
      </c>
      <c r="H39" s="86">
        <v>46358</v>
      </c>
      <c r="I39" s="86"/>
      <c r="J39" s="86"/>
      <c r="K39" s="87">
        <v>0</v>
      </c>
      <c r="L39" s="28">
        <v>11</v>
      </c>
      <c r="M39" s="88"/>
      <c r="N39" s="88"/>
      <c r="O39" s="89"/>
      <c r="P39" s="89"/>
      <c r="Q39" s="88"/>
      <c r="R39" s="28" t="s">
        <v>85</v>
      </c>
      <c r="S39" s="28"/>
      <c r="T39" s="89"/>
      <c r="U39" s="90">
        <f>IF(AND(ISNUMBER(S39),S39&gt;0,ISNUMBER(T39)),MIN(1,T39/S39),"")</f>
      </c>
      <c r="V39" s="89" t="s">
        <v>85</v>
      </c>
      <c r="W39" s="28">
        <f>IF(AND(M39&lt;&gt;"",M39&gt;=46296),"Actual Start must be before Data Date",IF(AND(N39&lt;&gt;"",N39&gt;=46296),"Actual Finish must be before Data Date",IF(AND(N39&lt;&gt;"",M39&lt;&gt;"",N39&lt;M39),"Finish before Start",IF(AND(O39&lt;&gt;"",O39&gt;=100,N39=""),"100% needs Actual Finish",IF(AND(O39&lt;&gt;"",O39&gt;0,M39="",I39=""),"Enter Actual Start",IF(AND(Q39&lt;&gt;"",Q39&lt;46296),"Expected Finish must be after Data Date","OK"))))))</f>
      </c>
    </row>
    <row r="40" spans="1:23" s="28" customFormat="1" x14ac:dyDescent="0.25">
      <c r="A40" s="28" t="s">
        <v>244</v>
      </c>
      <c r="B40" s="28" t="s">
        <v>143</v>
      </c>
      <c r="C40" s="28" t="s">
        <v>29</v>
      </c>
      <c r="D40" s="28" t="s">
        <v>38</v>
      </c>
      <c r="E40" s="28" t="s">
        <v>94</v>
      </c>
      <c r="F40" s="28" t="s">
        <v>85</v>
      </c>
      <c r="G40" s="86">
        <v>46358</v>
      </c>
      <c r="H40" s="86">
        <v>46358</v>
      </c>
      <c r="I40" s="86"/>
      <c r="J40" s="86"/>
      <c r="K40" s="87">
        <v>0</v>
      </c>
      <c r="L40" s="28">
        <v>0</v>
      </c>
      <c r="M40" s="88"/>
      <c r="N40" s="88"/>
      <c r="O40" s="89"/>
      <c r="P40" s="89"/>
      <c r="Q40" s="88"/>
      <c r="R40" s="28" t="s">
        <v>85</v>
      </c>
      <c r="S40" s="28"/>
      <c r="T40" s="89"/>
      <c r="U40" s="90">
        <f>IF(AND(ISNUMBER(S40),S40&gt;0,ISNUMBER(T40)),MIN(1,T40/S40),"")</f>
      </c>
      <c r="V40" s="89" t="s">
        <v>85</v>
      </c>
      <c r="W40" s="28">
        <f>IF(AND(M40&lt;&gt;"",M40&gt;=46296),"Actual Start must be before Data Date",IF(AND(N40&lt;&gt;"",N40&gt;=46296),"Actual Finish must be before Data Date",IF(AND(N40&lt;&gt;"",M40&lt;&gt;"",N40&lt;M40),"Finish before Start",IF(AND(O40&lt;&gt;"",O40&gt;=100,N40=""),"100% needs Actual Finish",IF(AND(O40&lt;&gt;"",O40&gt;0,M40="",I40=""),"Enter Actual Start",IF(AND(Q40&lt;&gt;"",Q40&lt;46296),"Expected Finish must be after Data Date","OK"))))))</f>
      </c>
    </row>
    <row r="41" spans="1:23" s="28" customFormat="1" x14ac:dyDescent="0.25">
      <c r="A41" s="28" t="s">
        <v>253</v>
      </c>
      <c r="B41" s="28" t="s">
        <v>115</v>
      </c>
      <c r="C41" s="28" t="s">
        <v>30</v>
      </c>
      <c r="D41" s="28" t="s">
        <v>37</v>
      </c>
      <c r="E41" s="28" t="s">
        <v>86</v>
      </c>
      <c r="F41" s="28" t="s">
        <v>254</v>
      </c>
      <c r="G41" s="86">
        <v>46242</v>
      </c>
      <c r="H41" s="86">
        <v>46344</v>
      </c>
      <c r="I41" s="86">
        <v>46242</v>
      </c>
      <c r="J41" s="86"/>
      <c r="K41" s="87">
        <v>0.24</v>
      </c>
      <c r="L41" s="28">
        <v>65</v>
      </c>
      <c r="M41" s="88"/>
      <c r="N41" s="88"/>
      <c r="O41" s="89"/>
      <c r="P41" s="89"/>
      <c r="Q41" s="88"/>
      <c r="R41" s="28" t="s">
        <v>417</v>
      </c>
      <c r="S41" s="28">
        <v>760</v>
      </c>
      <c r="T41" s="89">
        <v>182</v>
      </c>
      <c r="U41" s="90">
        <f>IF(AND(ISNUMBER(S41),S41&gt;0,ISNUMBER(T41)),MIN(1,T41/S41),"")</f>
      </c>
      <c r="V41" s="89" t="s">
        <v>85</v>
      </c>
      <c r="W41" s="28">
        <f>IF(AND(M41&lt;&gt;"",M41&gt;=46296),"Actual Start must be before Data Date",IF(AND(N41&lt;&gt;"",N41&gt;=46296),"Actual Finish must be before Data Date",IF(AND(N41&lt;&gt;"",M41&lt;&gt;"",N41&lt;M41),"Finish before Start",IF(AND(O41&lt;&gt;"",O41&gt;=100,N41=""),"100% needs Actual Finish",IF(AND(O41&lt;&gt;"",O41&gt;0,M41="",I41=""),"Enter Actual Start",IF(AND(Q41&lt;&gt;"",Q41&lt;46296),"Expected Finish must be after Data Date","OK"))))))</f>
      </c>
    </row>
    <row r="42" spans="1:23" s="28" customFormat="1" x14ac:dyDescent="0.25">
      <c r="A42" s="28" t="s">
        <v>263</v>
      </c>
      <c r="B42" s="28" t="s">
        <v>129</v>
      </c>
      <c r="C42" s="28" t="s">
        <v>30</v>
      </c>
      <c r="D42" s="28" t="s">
        <v>38</v>
      </c>
      <c r="E42" s="28" t="s">
        <v>86</v>
      </c>
      <c r="F42" s="28" t="s">
        <v>254</v>
      </c>
      <c r="G42" s="86">
        <v>46262</v>
      </c>
      <c r="H42" s="86">
        <v>46296</v>
      </c>
      <c r="I42" s="86">
        <v>46262</v>
      </c>
      <c r="J42" s="86"/>
      <c r="K42" s="87">
        <v>0.1</v>
      </c>
      <c r="L42" s="28">
        <v>27</v>
      </c>
      <c r="M42" s="88"/>
      <c r="N42" s="88"/>
      <c r="O42" s="89"/>
      <c r="P42" s="89"/>
      <c r="Q42" s="88"/>
      <c r="R42" s="28" t="s">
        <v>85</v>
      </c>
      <c r="S42" s="28"/>
      <c r="T42" s="89"/>
      <c r="U42" s="90">
        <f>IF(AND(ISNUMBER(S42),S42&gt;0,ISNUMBER(T42)),MIN(1,T42/S42),"")</f>
      </c>
      <c r="V42" s="89" t="s">
        <v>85</v>
      </c>
      <c r="W42" s="28">
        <f>IF(AND(M42&lt;&gt;"",M42&gt;=46296),"Actual Start must be before Data Date",IF(AND(N42&lt;&gt;"",N42&gt;=46296),"Actual Finish must be before Data Date",IF(AND(N42&lt;&gt;"",M42&lt;&gt;"",N42&lt;M42),"Finish before Start",IF(AND(O42&lt;&gt;"",O42&gt;=100,N42=""),"100% needs Actual Finish",IF(AND(O42&lt;&gt;"",O42&gt;0,M42="",I42=""),"Enter Actual Start",IF(AND(Q42&lt;&gt;"",Q42&lt;46296),"Expected Finish must be after Data Date","OK"))))))</f>
      </c>
    </row>
    <row r="43" spans="1:23" s="28" customFormat="1" x14ac:dyDescent="0.25">
      <c r="A43" s="91" t="s">
        <v>255</v>
      </c>
      <c r="B43" s="91" t="s">
        <v>117</v>
      </c>
      <c r="C43" s="28" t="s">
        <v>30</v>
      </c>
      <c r="D43" s="28" t="s">
        <v>37</v>
      </c>
      <c r="E43" s="28" t="s">
        <v>94</v>
      </c>
      <c r="F43" s="91" t="s">
        <v>256</v>
      </c>
      <c r="G43" s="86">
        <v>46266</v>
      </c>
      <c r="H43" s="86">
        <v>46287</v>
      </c>
      <c r="I43" s="86"/>
      <c r="J43" s="86"/>
      <c r="K43" s="87">
        <v>0</v>
      </c>
      <c r="L43" s="28">
        <v>19</v>
      </c>
      <c r="M43" s="88"/>
      <c r="N43" s="88"/>
      <c r="O43" s="89"/>
      <c r="P43" s="89"/>
      <c r="Q43" s="88"/>
      <c r="R43" s="28" t="s">
        <v>85</v>
      </c>
      <c r="S43" s="28"/>
      <c r="T43" s="89"/>
      <c r="U43" s="90">
        <f>IF(AND(ISNUMBER(S43),S43&gt;0,ISNUMBER(T43)),MIN(1,T43/S43),"")</f>
      </c>
      <c r="V43" s="89" t="s">
        <v>85</v>
      </c>
      <c r="W43" s="28">
        <f>IF(AND(M43&lt;&gt;"",M43&gt;=46296),"Actual Start must be before Data Date",IF(AND(N43&lt;&gt;"",N43&gt;=46296),"Actual Finish must be before Data Date",IF(AND(N43&lt;&gt;"",M43&lt;&gt;"",N43&lt;M43),"Finish before Start",IF(AND(O43&lt;&gt;"",O43&gt;=100,N43=""),"100% needs Actual Finish",IF(AND(O43&lt;&gt;"",O43&gt;0,M43="",I43=""),"Enter Actual Start",IF(AND(Q43&lt;&gt;"",Q43&lt;46296),"Expected Finish must be after Data Date","OK"))))))</f>
      </c>
    </row>
    <row r="44" spans="1:23" s="28" customFormat="1" x14ac:dyDescent="0.25">
      <c r="A44" s="93" t="s">
        <v>257</v>
      </c>
      <c r="B44" s="93" t="s">
        <v>119</v>
      </c>
      <c r="C44" s="28" t="s">
        <v>30</v>
      </c>
      <c r="D44" s="28" t="s">
        <v>37</v>
      </c>
      <c r="E44" s="28" t="s">
        <v>94</v>
      </c>
      <c r="F44" s="93" t="s">
        <v>258</v>
      </c>
      <c r="G44" s="86">
        <v>46288</v>
      </c>
      <c r="H44" s="86">
        <v>46408</v>
      </c>
      <c r="I44" s="86"/>
      <c r="J44" s="86"/>
      <c r="K44" s="87">
        <v>0</v>
      </c>
      <c r="L44" s="28">
        <v>100</v>
      </c>
      <c r="M44" s="88"/>
      <c r="N44" s="88"/>
      <c r="O44" s="89"/>
      <c r="P44" s="89"/>
      <c r="Q44" s="88"/>
      <c r="R44" s="28" t="s">
        <v>85</v>
      </c>
      <c r="S44" s="28"/>
      <c r="T44" s="89"/>
      <c r="U44" s="90">
        <f>IF(AND(ISNUMBER(S44),S44&gt;0,ISNUMBER(T44)),MIN(1,T44/S44),"")</f>
      </c>
      <c r="V44" s="89" t="s">
        <v>85</v>
      </c>
      <c r="W44" s="28">
        <f>IF(AND(M44&lt;&gt;"",M44&gt;=46296),"Actual Start must be before Data Date",IF(AND(N44&lt;&gt;"",N44&gt;=46296),"Actual Finish must be before Data Date",IF(AND(N44&lt;&gt;"",M44&lt;&gt;"",N44&lt;M44),"Finish before Start",IF(AND(O44&lt;&gt;"",O44&gt;=100,N44=""),"100% needs Actual Finish",IF(AND(O44&lt;&gt;"",O44&gt;0,M44="",I44=""),"Enter Actual Start",IF(AND(Q44&lt;&gt;"",Q44&lt;46296),"Expected Finish must be after Data Date","OK"))))))</f>
      </c>
    </row>
    <row r="45" spans="1:23" s="28" customFormat="1" x14ac:dyDescent="0.25">
      <c r="A45" s="28" t="s">
        <v>264</v>
      </c>
      <c r="B45" s="28" t="s">
        <v>131</v>
      </c>
      <c r="C45" s="28" t="s">
        <v>30</v>
      </c>
      <c r="D45" s="28" t="s">
        <v>38</v>
      </c>
      <c r="E45" s="28" t="s">
        <v>94</v>
      </c>
      <c r="F45" s="28" t="s">
        <v>85</v>
      </c>
      <c r="G45" s="86">
        <v>46298</v>
      </c>
      <c r="H45" s="86">
        <v>46391</v>
      </c>
      <c r="I45" s="86"/>
      <c r="J45" s="86"/>
      <c r="K45" s="87">
        <v>0</v>
      </c>
      <c r="L45" s="28">
        <v>77</v>
      </c>
      <c r="M45" s="88"/>
      <c r="N45" s="88"/>
      <c r="O45" s="89"/>
      <c r="P45" s="89"/>
      <c r="Q45" s="88"/>
      <c r="R45" s="28" t="s">
        <v>417</v>
      </c>
      <c r="S45" s="28">
        <v>760</v>
      </c>
      <c r="T45" s="89">
        <v>0</v>
      </c>
      <c r="U45" s="90">
        <f>IF(AND(ISNUMBER(S45),S45&gt;0,ISNUMBER(T45)),MIN(1,T45/S45),"")</f>
      </c>
      <c r="V45" s="89" t="s">
        <v>85</v>
      </c>
      <c r="W45" s="28">
        <f>IF(AND(M45&lt;&gt;"",M45&gt;=46296),"Actual Start must be before Data Date",IF(AND(N45&lt;&gt;"",N45&gt;=46296),"Actual Finish must be before Data Date",IF(AND(N45&lt;&gt;"",M45&lt;&gt;"",N45&lt;M45),"Finish before Start",IF(AND(O45&lt;&gt;"",O45&gt;=100,N45=""),"100% needs Actual Finish",IF(AND(O45&lt;&gt;"",O45&gt;0,M45="",I45=""),"Enter Actual Start",IF(AND(Q45&lt;&gt;"",Q45&lt;46296),"Expected Finish must be after Data Date","OK"))))))</f>
      </c>
    </row>
    <row r="46" spans="1:23" s="28" customFormat="1" x14ac:dyDescent="0.25">
      <c r="A46" s="28" t="s">
        <v>265</v>
      </c>
      <c r="B46" s="28" t="s">
        <v>133</v>
      </c>
      <c r="C46" s="28" t="s">
        <v>30</v>
      </c>
      <c r="D46" s="28" t="s">
        <v>38</v>
      </c>
      <c r="E46" s="28" t="s">
        <v>94</v>
      </c>
      <c r="F46" s="28" t="s">
        <v>85</v>
      </c>
      <c r="G46" s="86">
        <v>46323</v>
      </c>
      <c r="H46" s="86">
        <v>46394</v>
      </c>
      <c r="I46" s="86"/>
      <c r="J46" s="86"/>
      <c r="K46" s="87">
        <v>0</v>
      </c>
      <c r="L46" s="28">
        <v>60</v>
      </c>
      <c r="M46" s="88"/>
      <c r="N46" s="88"/>
      <c r="O46" s="89"/>
      <c r="P46" s="89"/>
      <c r="Q46" s="88"/>
      <c r="R46" s="28" t="s">
        <v>85</v>
      </c>
      <c r="S46" s="28"/>
      <c r="T46" s="89"/>
      <c r="U46" s="90">
        <f>IF(AND(ISNUMBER(S46),S46&gt;0,ISNUMBER(T46)),MIN(1,T46/S46),"")</f>
      </c>
      <c r="V46" s="89" t="s">
        <v>85</v>
      </c>
      <c r="W46" s="28">
        <f>IF(AND(M46&lt;&gt;"",M46&gt;=46296),"Actual Start must be before Data Date",IF(AND(N46&lt;&gt;"",N46&gt;=46296),"Actual Finish must be before Data Date",IF(AND(N46&lt;&gt;"",M46&lt;&gt;"",N46&lt;M46),"Finish before Start",IF(AND(O46&lt;&gt;"",O46&gt;=100,N46=""),"100% needs Actual Finish",IF(AND(O46&lt;&gt;"",O46&gt;0,M46="",I46=""),"Enter Actual Start",IF(AND(Q46&lt;&gt;"",Q46&lt;46296),"Expected Finish must be after Data Date","OK"))))))</f>
      </c>
    </row>
    <row r="47" spans="1:23" s="28" customFormat="1" x14ac:dyDescent="0.25">
      <c r="A47" s="28" t="s">
        <v>266</v>
      </c>
      <c r="B47" s="28" t="s">
        <v>135</v>
      </c>
      <c r="C47" s="28" t="s">
        <v>30</v>
      </c>
      <c r="D47" s="28" t="s">
        <v>38</v>
      </c>
      <c r="E47" s="28" t="s">
        <v>94</v>
      </c>
      <c r="F47" s="28" t="s">
        <v>85</v>
      </c>
      <c r="G47" s="86">
        <v>46386</v>
      </c>
      <c r="H47" s="86">
        <v>46429</v>
      </c>
      <c r="I47" s="86"/>
      <c r="J47" s="86"/>
      <c r="K47" s="87">
        <v>0</v>
      </c>
      <c r="L47" s="28">
        <v>37</v>
      </c>
      <c r="M47" s="88"/>
      <c r="N47" s="88"/>
      <c r="O47" s="89"/>
      <c r="P47" s="89"/>
      <c r="Q47" s="88"/>
      <c r="R47" s="28" t="s">
        <v>85</v>
      </c>
      <c r="S47" s="28"/>
      <c r="T47" s="89"/>
      <c r="U47" s="90">
        <f>IF(AND(ISNUMBER(S47),S47&gt;0,ISNUMBER(T47)),MIN(1,T47/S47),"")</f>
      </c>
      <c r="V47" s="89" t="s">
        <v>85</v>
      </c>
      <c r="W47" s="28">
        <f>IF(AND(M47&lt;&gt;"",M47&gt;=46296),"Actual Start must be before Data Date",IF(AND(N47&lt;&gt;"",N47&gt;=46296),"Actual Finish must be before Data Date",IF(AND(N47&lt;&gt;"",M47&lt;&gt;"",N47&lt;M47),"Finish before Start",IF(AND(O47&lt;&gt;"",O47&gt;=100,N47=""),"100% needs Actual Finish",IF(AND(O47&lt;&gt;"",O47&gt;0,M47="",I47=""),"Enter Actual Start",IF(AND(Q47&lt;&gt;"",Q47&lt;46296),"Expected Finish must be after Data Date","OK"))))))</f>
      </c>
    </row>
    <row r="48" spans="1:23" s="28" customFormat="1" x14ac:dyDescent="0.25">
      <c r="A48" s="28" t="s">
        <v>267</v>
      </c>
      <c r="B48" s="28" t="s">
        <v>137</v>
      </c>
      <c r="C48" s="28" t="s">
        <v>30</v>
      </c>
      <c r="D48" s="28" t="s">
        <v>38</v>
      </c>
      <c r="E48" s="28" t="s">
        <v>94</v>
      </c>
      <c r="F48" s="28" t="s">
        <v>11</v>
      </c>
      <c r="G48" s="86">
        <v>46409</v>
      </c>
      <c r="H48" s="86">
        <v>46500</v>
      </c>
      <c r="I48" s="86"/>
      <c r="J48" s="86"/>
      <c r="K48" s="87">
        <v>0</v>
      </c>
      <c r="L48" s="28">
        <v>77</v>
      </c>
      <c r="M48" s="88"/>
      <c r="N48" s="88"/>
      <c r="O48" s="89"/>
      <c r="P48" s="89"/>
      <c r="Q48" s="88"/>
      <c r="R48" s="28" t="s">
        <v>418</v>
      </c>
      <c r="S48" s="28">
        <v>462</v>
      </c>
      <c r="T48" s="89">
        <v>0</v>
      </c>
      <c r="U48" s="90">
        <f>IF(AND(ISNUMBER(S48),S48&gt;0,ISNUMBER(T48)),MIN(1,T48/S48),"")</f>
      </c>
      <c r="V48" s="89" t="s">
        <v>85</v>
      </c>
      <c r="W48" s="28">
        <f>IF(AND(M48&lt;&gt;"",M48&gt;=46296),"Actual Start must be before Data Date",IF(AND(N48&lt;&gt;"",N48&gt;=46296),"Actual Finish must be before Data Date",IF(AND(N48&lt;&gt;"",M48&lt;&gt;"",N48&lt;M48),"Finish before Start",IF(AND(O48&lt;&gt;"",O48&gt;=100,N48=""),"100% needs Actual Finish",IF(AND(O48&lt;&gt;"",O48&gt;0,M48="",I48=""),"Enter Actual Start",IF(AND(Q48&lt;&gt;"",Q48&lt;46296),"Expected Finish must be after Data Date","OK"))))))</f>
      </c>
    </row>
    <row r="49" spans="1:23" s="28" customFormat="1" x14ac:dyDescent="0.25">
      <c r="A49" s="28" t="s">
        <v>268</v>
      </c>
      <c r="B49" s="28" t="s">
        <v>139</v>
      </c>
      <c r="C49" s="28" t="s">
        <v>30</v>
      </c>
      <c r="D49" s="28" t="s">
        <v>38</v>
      </c>
      <c r="E49" s="28" t="s">
        <v>94</v>
      </c>
      <c r="F49" s="28" t="s">
        <v>85</v>
      </c>
      <c r="G49" s="86">
        <v>46430</v>
      </c>
      <c r="H49" s="86">
        <v>46493</v>
      </c>
      <c r="I49" s="86"/>
      <c r="J49" s="86"/>
      <c r="K49" s="87">
        <v>0</v>
      </c>
      <c r="L49" s="28">
        <v>54</v>
      </c>
      <c r="M49" s="88"/>
      <c r="N49" s="88"/>
      <c r="O49" s="89"/>
      <c r="P49" s="89"/>
      <c r="Q49" s="88"/>
      <c r="R49" s="28" t="s">
        <v>85</v>
      </c>
      <c r="S49" s="28"/>
      <c r="T49" s="89"/>
      <c r="U49" s="90">
        <f>IF(AND(ISNUMBER(S49),S49&gt;0,ISNUMBER(T49)),MIN(1,T49/S49),"")</f>
      </c>
      <c r="V49" s="89" t="s">
        <v>85</v>
      </c>
      <c r="W49" s="28">
        <f>IF(AND(M49&lt;&gt;"",M49&gt;=46296),"Actual Start must be before Data Date",IF(AND(N49&lt;&gt;"",N49&gt;=46296),"Actual Finish must be before Data Date",IF(AND(N49&lt;&gt;"",M49&lt;&gt;"",N49&lt;M49),"Finish before Start",IF(AND(O49&lt;&gt;"",O49&gt;=100,N49=""),"100% needs Actual Finish",IF(AND(O49&lt;&gt;"",O49&gt;0,M49="",I49=""),"Enter Actual Start",IF(AND(Q49&lt;&gt;"",Q49&lt;46296),"Expected Finish must be after Data Date","OK"))))))</f>
      </c>
    </row>
    <row r="50" spans="1:23" s="28" customFormat="1" x14ac:dyDescent="0.25">
      <c r="A50" s="28" t="s">
        <v>269</v>
      </c>
      <c r="B50" s="28" t="s">
        <v>141</v>
      </c>
      <c r="C50" s="28" t="s">
        <v>30</v>
      </c>
      <c r="D50" s="28" t="s">
        <v>38</v>
      </c>
      <c r="E50" s="28" t="s">
        <v>94</v>
      </c>
      <c r="F50" s="28" t="s">
        <v>11</v>
      </c>
      <c r="G50" s="86">
        <v>46501</v>
      </c>
      <c r="H50" s="86">
        <v>46527</v>
      </c>
      <c r="I50" s="86"/>
      <c r="J50" s="86"/>
      <c r="K50" s="87">
        <v>0</v>
      </c>
      <c r="L50" s="28">
        <v>23</v>
      </c>
      <c r="M50" s="88"/>
      <c r="N50" s="88"/>
      <c r="O50" s="89"/>
      <c r="P50" s="89"/>
      <c r="Q50" s="88"/>
      <c r="R50" s="28" t="s">
        <v>85</v>
      </c>
      <c r="S50" s="28"/>
      <c r="T50" s="89"/>
      <c r="U50" s="90">
        <f>IF(AND(ISNUMBER(S50),S50&gt;0,ISNUMBER(T50)),MIN(1,T50/S50),"")</f>
      </c>
      <c r="V50" s="89" t="s">
        <v>85</v>
      </c>
      <c r="W50" s="28">
        <f>IF(AND(M50&lt;&gt;"",M50&gt;=46296),"Actual Start must be before Data Date",IF(AND(N50&lt;&gt;"",N50&gt;=46296),"Actual Finish must be before Data Date",IF(AND(N50&lt;&gt;"",M50&lt;&gt;"",N50&lt;M50),"Finish before Start",IF(AND(O50&lt;&gt;"",O50&gt;=100,N50=""),"100% needs Actual Finish",IF(AND(O50&lt;&gt;"",O50&gt;0,M50="",I50=""),"Enter Actual Start",IF(AND(Q50&lt;&gt;"",Q50&lt;46296),"Expected Finish must be after Data Date","OK"))))))</f>
      </c>
    </row>
    <row r="51" spans="1:23" s="28" customFormat="1" x14ac:dyDescent="0.25">
      <c r="A51" s="28" t="s">
        <v>270</v>
      </c>
      <c r="B51" s="28" t="s">
        <v>143</v>
      </c>
      <c r="C51" s="28" t="s">
        <v>30</v>
      </c>
      <c r="D51" s="28" t="s">
        <v>38</v>
      </c>
      <c r="E51" s="28" t="s">
        <v>94</v>
      </c>
      <c r="F51" s="28" t="s">
        <v>11</v>
      </c>
      <c r="G51" s="86">
        <v>46527</v>
      </c>
      <c r="H51" s="86">
        <v>46527</v>
      </c>
      <c r="I51" s="86"/>
      <c r="J51" s="86"/>
      <c r="K51" s="87">
        <v>0</v>
      </c>
      <c r="L51" s="28">
        <v>0</v>
      </c>
      <c r="M51" s="88"/>
      <c r="N51" s="88"/>
      <c r="O51" s="89"/>
      <c r="P51" s="89"/>
      <c r="Q51" s="88"/>
      <c r="R51" s="28" t="s">
        <v>85</v>
      </c>
      <c r="S51" s="28"/>
      <c r="T51" s="89"/>
      <c r="U51" s="90">
        <f>IF(AND(ISNUMBER(S51),S51&gt;0,ISNUMBER(T51)),MIN(1,T51/S51),"")</f>
      </c>
      <c r="V51" s="89" t="s">
        <v>85</v>
      </c>
      <c r="W51" s="28">
        <f>IF(AND(M51&lt;&gt;"",M51&gt;=46296),"Actual Start must be before Data Date",IF(AND(N51&lt;&gt;"",N51&gt;=46296),"Actual Finish must be before Data Date",IF(AND(N51&lt;&gt;"",M51&lt;&gt;"",N51&lt;M51),"Finish before Start",IF(AND(O51&lt;&gt;"",O51&gt;=100,N51=""),"100% needs Actual Finish",IF(AND(O51&lt;&gt;"",O51&gt;0,M51="",I51=""),"Enter Actual Start",IF(AND(Q51&lt;&gt;"",Q51&lt;46296),"Expected Finish must be after Data Date","OK"))))))</f>
      </c>
    </row>
    <row r="52" spans="1:23" s="28" customFormat="1" x14ac:dyDescent="0.25">
      <c r="A52" s="91" t="s">
        <v>275</v>
      </c>
      <c r="B52" s="91" t="s">
        <v>108</v>
      </c>
      <c r="C52" s="28" t="s">
        <v>31</v>
      </c>
      <c r="D52" s="28" t="s">
        <v>36</v>
      </c>
      <c r="E52" s="28" t="s">
        <v>86</v>
      </c>
      <c r="F52" s="91" t="s">
        <v>231</v>
      </c>
      <c r="G52" s="86">
        <v>46203</v>
      </c>
      <c r="H52" s="86">
        <v>46267</v>
      </c>
      <c r="I52" s="86">
        <v>46203</v>
      </c>
      <c r="J52" s="86"/>
      <c r="K52" s="87">
        <v>0.95</v>
      </c>
      <c r="L52" s="28">
        <v>2</v>
      </c>
      <c r="M52" s="88"/>
      <c r="N52" s="88"/>
      <c r="O52" s="89"/>
      <c r="P52" s="89"/>
      <c r="Q52" s="88"/>
      <c r="R52" s="28" t="s">
        <v>85</v>
      </c>
      <c r="S52" s="28"/>
      <c r="T52" s="89"/>
      <c r="U52" s="90">
        <f>IF(AND(ISNUMBER(S52),S52&gt;0,ISNUMBER(T52)),MIN(1,T52/S52),"")</f>
      </c>
      <c r="V52" s="89" t="s">
        <v>85</v>
      </c>
      <c r="W52" s="28">
        <f>IF(AND(M52&lt;&gt;"",M52&gt;=46296),"Actual Start must be before Data Date",IF(AND(N52&lt;&gt;"",N52&gt;=46296),"Actual Finish must be before Data Date",IF(AND(N52&lt;&gt;"",M52&lt;&gt;"",N52&lt;M52),"Finish before Start",IF(AND(O52&lt;&gt;"",O52&gt;=100,N52=""),"100% needs Actual Finish",IF(AND(O52&lt;&gt;"",O52&gt;0,M52="",I52=""),"Enter Actual Start",IF(AND(Q52&lt;&gt;"",Q52&lt;46296),"Expected Finish must be after Data Date","OK"))))))</f>
      </c>
    </row>
    <row r="53" spans="1:23" s="28" customFormat="1" x14ac:dyDescent="0.25">
      <c r="A53" s="91" t="s">
        <v>276</v>
      </c>
      <c r="B53" s="91" t="s">
        <v>110</v>
      </c>
      <c r="C53" s="28" t="s">
        <v>31</v>
      </c>
      <c r="D53" s="28" t="s">
        <v>36</v>
      </c>
      <c r="E53" s="28" t="s">
        <v>86</v>
      </c>
      <c r="F53" s="91" t="s">
        <v>231</v>
      </c>
      <c r="G53" s="86">
        <v>46234</v>
      </c>
      <c r="H53" s="86">
        <v>46267</v>
      </c>
      <c r="I53" s="86">
        <v>46234</v>
      </c>
      <c r="J53" s="86"/>
      <c r="K53" s="87">
        <v>0.95</v>
      </c>
      <c r="L53" s="28">
        <v>1</v>
      </c>
      <c r="M53" s="88"/>
      <c r="N53" s="88"/>
      <c r="O53" s="89"/>
      <c r="P53" s="89"/>
      <c r="Q53" s="88"/>
      <c r="R53" s="28" t="s">
        <v>85</v>
      </c>
      <c r="S53" s="28"/>
      <c r="T53" s="89"/>
      <c r="U53" s="90">
        <f>IF(AND(ISNUMBER(S53),S53&gt;0,ISNUMBER(T53)),MIN(1,T53/S53),"")</f>
      </c>
      <c r="V53" s="89" t="s">
        <v>85</v>
      </c>
      <c r="W53" s="28">
        <f>IF(AND(M53&lt;&gt;"",M53&gt;=46296),"Actual Start must be before Data Date",IF(AND(N53&lt;&gt;"",N53&gt;=46296),"Actual Finish must be before Data Date",IF(AND(N53&lt;&gt;"",M53&lt;&gt;"",N53&lt;M53),"Finish before Start",IF(AND(O53&lt;&gt;"",O53&gt;=100,N53=""),"100% needs Actual Finish",IF(AND(O53&lt;&gt;"",O53&gt;0,M53="",I53=""),"Enter Actual Start",IF(AND(Q53&lt;&gt;"",Q53&lt;46296),"Expected Finish must be after Data Date","OK"))))))</f>
      </c>
    </row>
    <row r="54" spans="1:23" s="28" customFormat="1" x14ac:dyDescent="0.25">
      <c r="A54" s="91" t="s">
        <v>286</v>
      </c>
      <c r="B54" s="91" t="s">
        <v>129</v>
      </c>
      <c r="C54" s="28" t="s">
        <v>31</v>
      </c>
      <c r="D54" s="28" t="s">
        <v>38</v>
      </c>
      <c r="E54" s="28" t="s">
        <v>86</v>
      </c>
      <c r="F54" s="91" t="s">
        <v>231</v>
      </c>
      <c r="G54" s="86">
        <v>46247</v>
      </c>
      <c r="H54" s="86">
        <v>46275</v>
      </c>
      <c r="I54" s="86">
        <v>46247</v>
      </c>
      <c r="J54" s="86"/>
      <c r="K54" s="87">
        <v>0.59</v>
      </c>
      <c r="L54" s="28">
        <v>9</v>
      </c>
      <c r="M54" s="88"/>
      <c r="N54" s="88"/>
      <c r="O54" s="89"/>
      <c r="P54" s="89"/>
      <c r="Q54" s="88"/>
      <c r="R54" s="28" t="s">
        <v>85</v>
      </c>
      <c r="S54" s="28"/>
      <c r="T54" s="89"/>
      <c r="U54" s="90">
        <f>IF(AND(ISNUMBER(S54),S54&gt;0,ISNUMBER(T54)),MIN(1,T54/S54),"")</f>
      </c>
      <c r="V54" s="89" t="s">
        <v>85</v>
      </c>
      <c r="W54" s="28">
        <f>IF(AND(M54&lt;&gt;"",M54&gt;=46296),"Actual Start must be before Data Date",IF(AND(N54&lt;&gt;"",N54&gt;=46296),"Actual Finish must be before Data Date",IF(AND(N54&lt;&gt;"",M54&lt;&gt;"",N54&lt;M54),"Finish before Start",IF(AND(O54&lt;&gt;"",O54&gt;=100,N54=""),"100% needs Actual Finish",IF(AND(O54&lt;&gt;"",O54&gt;0,M54="",I54=""),"Enter Actual Start",IF(AND(Q54&lt;&gt;"",Q54&lt;46296),"Expected Finish must be after Data Date","OK"))))))</f>
      </c>
    </row>
    <row r="55" spans="1:23" s="28" customFormat="1" x14ac:dyDescent="0.25">
      <c r="A55" s="28" t="s">
        <v>279</v>
      </c>
      <c r="B55" s="28" t="s">
        <v>115</v>
      </c>
      <c r="C55" s="28" t="s">
        <v>31</v>
      </c>
      <c r="D55" s="28" t="s">
        <v>37</v>
      </c>
      <c r="E55" s="28" t="s">
        <v>86</v>
      </c>
      <c r="F55" s="28" t="s">
        <v>254</v>
      </c>
      <c r="G55" s="86">
        <v>46262</v>
      </c>
      <c r="H55" s="86">
        <v>46360</v>
      </c>
      <c r="I55" s="86">
        <v>46262</v>
      </c>
      <c r="J55" s="86"/>
      <c r="K55" s="87">
        <v>0.05</v>
      </c>
      <c r="L55" s="28">
        <v>79</v>
      </c>
      <c r="M55" s="88"/>
      <c r="N55" s="88"/>
      <c r="O55" s="89"/>
      <c r="P55" s="89"/>
      <c r="Q55" s="88"/>
      <c r="R55" s="28" t="s">
        <v>417</v>
      </c>
      <c r="S55" s="28">
        <v>550</v>
      </c>
      <c r="T55" s="89">
        <v>28</v>
      </c>
      <c r="U55" s="90">
        <f>IF(AND(ISNUMBER(S55),S55&gt;0,ISNUMBER(T55)),MIN(1,T55/S55),"")</f>
      </c>
      <c r="V55" s="89" t="s">
        <v>85</v>
      </c>
      <c r="W55" s="28">
        <f>IF(AND(M55&lt;&gt;"",M55&gt;=46296),"Actual Start must be before Data Date",IF(AND(N55&lt;&gt;"",N55&gt;=46296),"Actual Finish must be before Data Date",IF(AND(N55&lt;&gt;"",M55&lt;&gt;"",N55&lt;M55),"Finish before Start",IF(AND(O55&lt;&gt;"",O55&gt;=100,N55=""),"100% needs Actual Finish",IF(AND(O55&lt;&gt;"",O55&gt;0,M55="",I55=""),"Enter Actual Start",IF(AND(Q55&lt;&gt;"",Q55&lt;46296),"Expected Finish must be after Data Date","OK"))))))</f>
      </c>
    </row>
    <row r="56" spans="1:23" s="28" customFormat="1" x14ac:dyDescent="0.25">
      <c r="A56" s="91" t="s">
        <v>280</v>
      </c>
      <c r="B56" s="91" t="s">
        <v>117</v>
      </c>
      <c r="C56" s="28" t="s">
        <v>31</v>
      </c>
      <c r="D56" s="28" t="s">
        <v>37</v>
      </c>
      <c r="E56" s="28" t="s">
        <v>94</v>
      </c>
      <c r="F56" s="91" t="s">
        <v>240</v>
      </c>
      <c r="G56" s="86">
        <v>46268</v>
      </c>
      <c r="H56" s="86">
        <v>46288</v>
      </c>
      <c r="I56" s="86"/>
      <c r="J56" s="86"/>
      <c r="K56" s="87">
        <v>0</v>
      </c>
      <c r="L56" s="28">
        <v>18</v>
      </c>
      <c r="M56" s="88"/>
      <c r="N56" s="88"/>
      <c r="O56" s="89"/>
      <c r="P56" s="89"/>
      <c r="Q56" s="88"/>
      <c r="R56" s="28" t="s">
        <v>85</v>
      </c>
      <c r="S56" s="28"/>
      <c r="T56" s="89"/>
      <c r="U56" s="90">
        <f>IF(AND(ISNUMBER(S56),S56&gt;0,ISNUMBER(T56)),MIN(1,T56/S56),"")</f>
      </c>
      <c r="V56" s="89" t="s">
        <v>85</v>
      </c>
      <c r="W56" s="28">
        <f>IF(AND(M56&lt;&gt;"",M56&gt;=46296),"Actual Start must be before Data Date",IF(AND(N56&lt;&gt;"",N56&gt;=46296),"Actual Finish must be before Data Date",IF(AND(N56&lt;&gt;"",M56&lt;&gt;"",N56&lt;M56),"Finish before Start",IF(AND(O56&lt;&gt;"",O56&gt;=100,N56=""),"100% needs Actual Finish",IF(AND(O56&lt;&gt;"",O56&gt;0,M56="",I56=""),"Enter Actual Start",IF(AND(Q56&lt;&gt;"",Q56&lt;46296),"Expected Finish must be after Data Date","OK"))))))</f>
      </c>
    </row>
    <row r="57" spans="1:23" s="28" customFormat="1" x14ac:dyDescent="0.25">
      <c r="A57" s="93" t="s">
        <v>287</v>
      </c>
      <c r="B57" s="93" t="s">
        <v>131</v>
      </c>
      <c r="C57" s="28" t="s">
        <v>31</v>
      </c>
      <c r="D57" s="28" t="s">
        <v>38</v>
      </c>
      <c r="E57" s="28" t="s">
        <v>94</v>
      </c>
      <c r="F57" s="93" t="s">
        <v>204</v>
      </c>
      <c r="G57" s="86">
        <v>46280</v>
      </c>
      <c r="H57" s="86">
        <v>46343</v>
      </c>
      <c r="I57" s="86"/>
      <c r="J57" s="86"/>
      <c r="K57" s="87">
        <v>0</v>
      </c>
      <c r="L57" s="28">
        <v>52</v>
      </c>
      <c r="M57" s="88"/>
      <c r="N57" s="88"/>
      <c r="O57" s="89"/>
      <c r="P57" s="89"/>
      <c r="Q57" s="88"/>
      <c r="R57" s="28" t="s">
        <v>417</v>
      </c>
      <c r="S57" s="28">
        <v>550</v>
      </c>
      <c r="T57" s="89">
        <v>0</v>
      </c>
      <c r="U57" s="90">
        <f>IF(AND(ISNUMBER(S57),S57&gt;0,ISNUMBER(T57)),MIN(1,T57/S57),"")</f>
      </c>
      <c r="V57" s="89" t="s">
        <v>85</v>
      </c>
      <c r="W57" s="28">
        <f>IF(AND(M57&lt;&gt;"",M57&gt;=46296),"Actual Start must be before Data Date",IF(AND(N57&lt;&gt;"",N57&gt;=46296),"Actual Finish must be before Data Date",IF(AND(N57&lt;&gt;"",M57&lt;&gt;"",N57&lt;M57),"Finish before Start",IF(AND(O57&lt;&gt;"",O57&gt;=100,N57=""),"100% needs Actual Finish",IF(AND(O57&lt;&gt;"",O57&gt;0,M57="",I57=""),"Enter Actual Start",IF(AND(Q57&lt;&gt;"",Q57&lt;46296),"Expected Finish must be after Data Date","OK"))))))</f>
      </c>
    </row>
    <row r="58" spans="1:23" s="28" customFormat="1" x14ac:dyDescent="0.25">
      <c r="A58" s="93" t="s">
        <v>281</v>
      </c>
      <c r="B58" s="93" t="s">
        <v>119</v>
      </c>
      <c r="C58" s="28" t="s">
        <v>31</v>
      </c>
      <c r="D58" s="28" t="s">
        <v>37</v>
      </c>
      <c r="E58" s="28" t="s">
        <v>94</v>
      </c>
      <c r="F58" s="93" t="s">
        <v>204</v>
      </c>
      <c r="G58" s="86">
        <v>46289</v>
      </c>
      <c r="H58" s="86">
        <v>46382</v>
      </c>
      <c r="I58" s="86"/>
      <c r="J58" s="86"/>
      <c r="K58" s="87">
        <v>0</v>
      </c>
      <c r="L58" s="28">
        <v>77</v>
      </c>
      <c r="M58" s="88"/>
      <c r="N58" s="88"/>
      <c r="O58" s="89"/>
      <c r="P58" s="89"/>
      <c r="Q58" s="88"/>
      <c r="R58" s="28" t="s">
        <v>85</v>
      </c>
      <c r="S58" s="28"/>
      <c r="T58" s="89"/>
      <c r="U58" s="90">
        <f>IF(AND(ISNUMBER(S58),S58&gt;0,ISNUMBER(T58)),MIN(1,T58/S58),"")</f>
      </c>
      <c r="V58" s="89" t="s">
        <v>85</v>
      </c>
      <c r="W58" s="28">
        <f>IF(AND(M58&lt;&gt;"",M58&gt;=46296),"Actual Start must be before Data Date",IF(AND(N58&lt;&gt;"",N58&gt;=46296),"Actual Finish must be before Data Date",IF(AND(N58&lt;&gt;"",M58&lt;&gt;"",N58&lt;M58),"Finish before Start",IF(AND(O58&lt;&gt;"",O58&gt;=100,N58=""),"100% needs Actual Finish",IF(AND(O58&lt;&gt;"",O58&gt;0,M58="",I58=""),"Enter Actual Start",IF(AND(Q58&lt;&gt;"",Q58&lt;46296),"Expected Finish must be after Data Date","OK"))))))</f>
      </c>
    </row>
    <row r="59" spans="1:23" s="28" customFormat="1" x14ac:dyDescent="0.25">
      <c r="A59" s="28" t="s">
        <v>288</v>
      </c>
      <c r="B59" s="28" t="s">
        <v>133</v>
      </c>
      <c r="C59" s="28" t="s">
        <v>31</v>
      </c>
      <c r="D59" s="28" t="s">
        <v>38</v>
      </c>
      <c r="E59" s="28" t="s">
        <v>94</v>
      </c>
      <c r="F59" s="28" t="s">
        <v>85</v>
      </c>
      <c r="G59" s="86">
        <v>46304</v>
      </c>
      <c r="H59" s="86">
        <v>46351</v>
      </c>
      <c r="I59" s="86"/>
      <c r="J59" s="86"/>
      <c r="K59" s="87">
        <v>0</v>
      </c>
      <c r="L59" s="28">
        <v>39</v>
      </c>
      <c r="M59" s="88"/>
      <c r="N59" s="88"/>
      <c r="O59" s="89"/>
      <c r="P59" s="89"/>
      <c r="Q59" s="88"/>
      <c r="R59" s="28" t="s">
        <v>85</v>
      </c>
      <c r="S59" s="28"/>
      <c r="T59" s="89"/>
      <c r="U59" s="90">
        <f>IF(AND(ISNUMBER(S59),S59&gt;0,ISNUMBER(T59)),MIN(1,T59/S59),"")</f>
      </c>
      <c r="V59" s="89" t="s">
        <v>85</v>
      </c>
      <c r="W59" s="28">
        <f>IF(AND(M59&lt;&gt;"",M59&gt;=46296),"Actual Start must be before Data Date",IF(AND(N59&lt;&gt;"",N59&gt;=46296),"Actual Finish must be before Data Date",IF(AND(N59&lt;&gt;"",M59&lt;&gt;"",N59&lt;M59),"Finish before Start",IF(AND(O59&lt;&gt;"",O59&gt;=100,N59=""),"100% needs Actual Finish",IF(AND(O59&lt;&gt;"",O59&gt;0,M59="",I59=""),"Enter Actual Start",IF(AND(Q59&lt;&gt;"",Q59&lt;46296),"Expected Finish must be after Data Date","OK"))))))</f>
      </c>
    </row>
    <row r="60" spans="1:23" s="28" customFormat="1" x14ac:dyDescent="0.25">
      <c r="A60" s="28" t="s">
        <v>289</v>
      </c>
      <c r="B60" s="28" t="s">
        <v>135</v>
      </c>
      <c r="C60" s="28" t="s">
        <v>31</v>
      </c>
      <c r="D60" s="28" t="s">
        <v>38</v>
      </c>
      <c r="E60" s="28" t="s">
        <v>94</v>
      </c>
      <c r="F60" s="28" t="s">
        <v>85</v>
      </c>
      <c r="G60" s="86">
        <v>46338</v>
      </c>
      <c r="H60" s="86">
        <v>46368</v>
      </c>
      <c r="I60" s="86"/>
      <c r="J60" s="86"/>
      <c r="K60" s="87">
        <v>0</v>
      </c>
      <c r="L60" s="28">
        <v>27</v>
      </c>
      <c r="M60" s="88"/>
      <c r="N60" s="88"/>
      <c r="O60" s="89"/>
      <c r="P60" s="89"/>
      <c r="Q60" s="88"/>
      <c r="R60" s="28" t="s">
        <v>85</v>
      </c>
      <c r="S60" s="28"/>
      <c r="T60" s="89"/>
      <c r="U60" s="90">
        <f>IF(AND(ISNUMBER(S60),S60&gt;0,ISNUMBER(T60)),MIN(1,T60/S60),"")</f>
      </c>
      <c r="V60" s="89" t="s">
        <v>85</v>
      </c>
      <c r="W60" s="28">
        <f>IF(AND(M60&lt;&gt;"",M60&gt;=46296),"Actual Start must be before Data Date",IF(AND(N60&lt;&gt;"",N60&gt;=46296),"Actual Finish must be before Data Date",IF(AND(N60&lt;&gt;"",M60&lt;&gt;"",N60&lt;M60),"Finish before Start",IF(AND(O60&lt;&gt;"",O60&gt;=100,N60=""),"100% needs Actual Finish",IF(AND(O60&lt;&gt;"",O60&gt;0,M60="",I60=""),"Enter Actual Start",IF(AND(Q60&lt;&gt;"",Q60&lt;46296),"Expected Finish must be after Data Date","OK"))))))</f>
      </c>
    </row>
    <row r="61" spans="1:23" s="28" customFormat="1" x14ac:dyDescent="0.25">
      <c r="A61" s="28" t="s">
        <v>290</v>
      </c>
      <c r="B61" s="28" t="s">
        <v>139</v>
      </c>
      <c r="C61" s="28" t="s">
        <v>31</v>
      </c>
      <c r="D61" s="28" t="s">
        <v>38</v>
      </c>
      <c r="E61" s="28" t="s">
        <v>94</v>
      </c>
      <c r="F61" s="28" t="s">
        <v>85</v>
      </c>
      <c r="G61" s="86">
        <v>46370</v>
      </c>
      <c r="H61" s="86">
        <v>46421</v>
      </c>
      <c r="I61" s="86"/>
      <c r="J61" s="86"/>
      <c r="K61" s="87">
        <v>0</v>
      </c>
      <c r="L61" s="28">
        <v>43</v>
      </c>
      <c r="M61" s="88"/>
      <c r="N61" s="88"/>
      <c r="O61" s="89"/>
      <c r="P61" s="89"/>
      <c r="Q61" s="88"/>
      <c r="R61" s="28" t="s">
        <v>85</v>
      </c>
      <c r="S61" s="28"/>
      <c r="T61" s="89"/>
      <c r="U61" s="90">
        <f>IF(AND(ISNUMBER(S61),S61&gt;0,ISNUMBER(T61)),MIN(1,T61/S61),"")</f>
      </c>
      <c r="V61" s="89" t="s">
        <v>85</v>
      </c>
      <c r="W61" s="28">
        <f>IF(AND(M61&lt;&gt;"",M61&gt;=46296),"Actual Start must be before Data Date",IF(AND(N61&lt;&gt;"",N61&gt;=46296),"Actual Finish must be before Data Date",IF(AND(N61&lt;&gt;"",M61&lt;&gt;"",N61&lt;M61),"Finish before Start",IF(AND(O61&lt;&gt;"",O61&gt;=100,N61=""),"100% needs Actual Finish",IF(AND(O61&lt;&gt;"",O61&gt;0,M61="",I61=""),"Enter Actual Start",IF(AND(Q61&lt;&gt;"",Q61&lt;46296),"Expected Finish must be after Data Date","OK"))))))</f>
      </c>
    </row>
    <row r="62" spans="1:23" s="28" customFormat="1" x14ac:dyDescent="0.25">
      <c r="A62" s="28" t="s">
        <v>291</v>
      </c>
      <c r="B62" s="28" t="s">
        <v>137</v>
      </c>
      <c r="C62" s="28" t="s">
        <v>31</v>
      </c>
      <c r="D62" s="28" t="s">
        <v>38</v>
      </c>
      <c r="E62" s="28" t="s">
        <v>94</v>
      </c>
      <c r="F62" s="28" t="s">
        <v>85</v>
      </c>
      <c r="G62" s="86">
        <v>46384</v>
      </c>
      <c r="H62" s="86">
        <v>46448</v>
      </c>
      <c r="I62" s="86"/>
      <c r="J62" s="86"/>
      <c r="K62" s="87">
        <v>0</v>
      </c>
      <c r="L62" s="28">
        <v>55</v>
      </c>
      <c r="M62" s="88"/>
      <c r="N62" s="88"/>
      <c r="O62" s="89"/>
      <c r="P62" s="89"/>
      <c r="Q62" s="88"/>
      <c r="R62" s="28" t="s">
        <v>418</v>
      </c>
      <c r="S62" s="28">
        <v>330</v>
      </c>
      <c r="T62" s="89">
        <v>0</v>
      </c>
      <c r="U62" s="90">
        <f>IF(AND(ISNUMBER(S62),S62&gt;0,ISNUMBER(T62)),MIN(1,T62/S62),"")</f>
      </c>
      <c r="V62" s="89" t="s">
        <v>85</v>
      </c>
      <c r="W62" s="28">
        <f>IF(AND(M62&lt;&gt;"",M62&gt;=46296),"Actual Start must be before Data Date",IF(AND(N62&lt;&gt;"",N62&gt;=46296),"Actual Finish must be before Data Date",IF(AND(N62&lt;&gt;"",M62&lt;&gt;"",N62&lt;M62),"Finish before Start",IF(AND(O62&lt;&gt;"",O62&gt;=100,N62=""),"100% needs Actual Finish",IF(AND(O62&lt;&gt;"",O62&gt;0,M62="",I62=""),"Enter Actual Start",IF(AND(Q62&lt;&gt;"",Q62&lt;46296),"Expected Finish must be after Data Date","OK"))))))</f>
      </c>
    </row>
    <row r="63" spans="1:23" s="28" customFormat="1" x14ac:dyDescent="0.25">
      <c r="A63" s="28" t="s">
        <v>292</v>
      </c>
      <c r="B63" s="28" t="s">
        <v>141</v>
      </c>
      <c r="C63" s="28" t="s">
        <v>31</v>
      </c>
      <c r="D63" s="28" t="s">
        <v>38</v>
      </c>
      <c r="E63" s="28" t="s">
        <v>94</v>
      </c>
      <c r="F63" s="28" t="s">
        <v>85</v>
      </c>
      <c r="G63" s="86">
        <v>46449</v>
      </c>
      <c r="H63" s="86">
        <v>46466</v>
      </c>
      <c r="I63" s="86"/>
      <c r="J63" s="86"/>
      <c r="K63" s="87">
        <v>0</v>
      </c>
      <c r="L63" s="28">
        <v>16</v>
      </c>
      <c r="M63" s="88"/>
      <c r="N63" s="88"/>
      <c r="O63" s="89"/>
      <c r="P63" s="89"/>
      <c r="Q63" s="88"/>
      <c r="R63" s="28" t="s">
        <v>85</v>
      </c>
      <c r="S63" s="28"/>
      <c r="T63" s="89"/>
      <c r="U63" s="90">
        <f>IF(AND(ISNUMBER(S63),S63&gt;0,ISNUMBER(T63)),MIN(1,T63/S63),"")</f>
      </c>
      <c r="V63" s="89" t="s">
        <v>85</v>
      </c>
      <c r="W63" s="28">
        <f>IF(AND(M63&lt;&gt;"",M63&gt;=46296),"Actual Start must be before Data Date",IF(AND(N63&lt;&gt;"",N63&gt;=46296),"Actual Finish must be before Data Date",IF(AND(N63&lt;&gt;"",M63&lt;&gt;"",N63&lt;M63),"Finish before Start",IF(AND(O63&lt;&gt;"",O63&gt;=100,N63=""),"100% needs Actual Finish",IF(AND(O63&lt;&gt;"",O63&gt;0,M63="",I63=""),"Enter Actual Start",IF(AND(Q63&lt;&gt;"",Q63&lt;46296),"Expected Finish must be after Data Date","OK"))))))</f>
      </c>
    </row>
    <row r="64" spans="1:23" s="28" customFormat="1" x14ac:dyDescent="0.25">
      <c r="A64" s="28" t="s">
        <v>293</v>
      </c>
      <c r="B64" s="28" t="s">
        <v>143</v>
      </c>
      <c r="C64" s="28" t="s">
        <v>31</v>
      </c>
      <c r="D64" s="28" t="s">
        <v>38</v>
      </c>
      <c r="E64" s="28" t="s">
        <v>94</v>
      </c>
      <c r="F64" s="28" t="s">
        <v>85</v>
      </c>
      <c r="G64" s="86">
        <v>46466</v>
      </c>
      <c r="H64" s="86">
        <v>46466</v>
      </c>
      <c r="I64" s="86"/>
      <c r="J64" s="86"/>
      <c r="K64" s="87">
        <v>0</v>
      </c>
      <c r="L64" s="28">
        <v>0</v>
      </c>
      <c r="M64" s="88"/>
      <c r="N64" s="88"/>
      <c r="O64" s="89"/>
      <c r="P64" s="89"/>
      <c r="Q64" s="88"/>
      <c r="R64" s="28" t="s">
        <v>85</v>
      </c>
      <c r="S64" s="28"/>
      <c r="T64" s="89"/>
      <c r="U64" s="90">
        <f>IF(AND(ISNUMBER(S64),S64&gt;0,ISNUMBER(T64)),MIN(1,T64/S64),"")</f>
      </c>
      <c r="V64" s="89" t="s">
        <v>85</v>
      </c>
      <c r="W64" s="28">
        <f>IF(AND(M64&lt;&gt;"",M64&gt;=46296),"Actual Start must be before Data Date",IF(AND(N64&lt;&gt;"",N64&gt;=46296),"Actual Finish must be before Data Date",IF(AND(N64&lt;&gt;"",M64&lt;&gt;"",N64&lt;M64),"Finish before Start",IF(AND(O64&lt;&gt;"",O64&gt;=100,N64=""),"100% needs Actual Finish",IF(AND(O64&lt;&gt;"",O64&gt;0,M64="",I64=""),"Enter Actual Start",IF(AND(Q64&lt;&gt;"",Q64&lt;46296),"Expected Finish must be after Data Date","OK"))))))</f>
      </c>
    </row>
    <row r="65" spans="1:23" s="28" customFormat="1" x14ac:dyDescent="0.25">
      <c r="A65" s="28" t="s">
        <v>312</v>
      </c>
      <c r="B65" s="28" t="s">
        <v>131</v>
      </c>
      <c r="C65" s="28" t="s">
        <v>32</v>
      </c>
      <c r="D65" s="28" t="s">
        <v>38</v>
      </c>
      <c r="E65" s="28" t="s">
        <v>86</v>
      </c>
      <c r="F65" s="28" t="s">
        <v>254</v>
      </c>
      <c r="G65" s="86">
        <v>46198</v>
      </c>
      <c r="H65" s="86">
        <v>46296</v>
      </c>
      <c r="I65" s="86">
        <v>46198</v>
      </c>
      <c r="J65" s="86"/>
      <c r="K65" s="87">
        <v>0.66</v>
      </c>
      <c r="L65" s="28">
        <v>27</v>
      </c>
      <c r="M65" s="88"/>
      <c r="N65" s="88"/>
      <c r="O65" s="89"/>
      <c r="P65" s="89"/>
      <c r="Q65" s="88"/>
      <c r="R65" s="28" t="s">
        <v>417</v>
      </c>
      <c r="S65" s="28">
        <v>670</v>
      </c>
      <c r="T65" s="89">
        <v>442</v>
      </c>
      <c r="U65" s="90">
        <f>IF(AND(ISNUMBER(S65),S65&gt;0,ISNUMBER(T65)),MIN(1,T65/S65),"")</f>
      </c>
      <c r="V65" s="89" t="s">
        <v>85</v>
      </c>
      <c r="W65" s="28">
        <f>IF(AND(M65&lt;&gt;"",M65&gt;=46296),"Actual Start must be before Data Date",IF(AND(N65&lt;&gt;"",N65&gt;=46296),"Actual Finish must be before Data Date",IF(AND(N65&lt;&gt;"",M65&lt;&gt;"",N65&lt;M65),"Finish before Start",IF(AND(O65&lt;&gt;"",O65&gt;=100,N65=""),"100% needs Actual Finish",IF(AND(O65&lt;&gt;"",O65&gt;0,M65="",I65=""),"Enter Actual Start",IF(AND(Q65&lt;&gt;"",Q65&lt;46296),"Expected Finish must be after Data Date","OK"))))))</f>
      </c>
    </row>
    <row r="66" spans="1:23" s="28" customFormat="1" x14ac:dyDescent="0.25">
      <c r="A66" s="28" t="s">
        <v>306</v>
      </c>
      <c r="B66" s="28" t="s">
        <v>119</v>
      </c>
      <c r="C66" s="28" t="s">
        <v>32</v>
      </c>
      <c r="D66" s="28" t="s">
        <v>37</v>
      </c>
      <c r="E66" s="28" t="s">
        <v>86</v>
      </c>
      <c r="F66" s="28" t="s">
        <v>254</v>
      </c>
      <c r="G66" s="86">
        <v>46207</v>
      </c>
      <c r="H66" s="86">
        <v>46342</v>
      </c>
      <c r="I66" s="86">
        <v>46207</v>
      </c>
      <c r="J66" s="86"/>
      <c r="K66" s="87">
        <v>0.45</v>
      </c>
      <c r="L66" s="28">
        <v>63</v>
      </c>
      <c r="M66" s="88"/>
      <c r="N66" s="88"/>
      <c r="O66" s="89"/>
      <c r="P66" s="89"/>
      <c r="Q66" s="88"/>
      <c r="R66" s="28" t="s">
        <v>85</v>
      </c>
      <c r="S66" s="28"/>
      <c r="T66" s="89"/>
      <c r="U66" s="90">
        <f>IF(AND(ISNUMBER(S66),S66&gt;0,ISNUMBER(T66)),MIN(1,T66/S66),"")</f>
      </c>
      <c r="V66" s="89" t="s">
        <v>85</v>
      </c>
      <c r="W66" s="28">
        <f>IF(AND(M66&lt;&gt;"",M66&gt;=46296),"Actual Start must be before Data Date",IF(AND(N66&lt;&gt;"",N66&gt;=46296),"Actual Finish must be before Data Date",IF(AND(N66&lt;&gt;"",M66&lt;&gt;"",N66&lt;M66),"Finish before Start",IF(AND(O66&lt;&gt;"",O66&gt;=100,N66=""),"100% needs Actual Finish",IF(AND(O66&lt;&gt;"",O66&gt;0,M66="",I66=""),"Enter Actual Start",IF(AND(Q66&lt;&gt;"",Q66&lt;46296),"Expected Finish must be after Data Date","OK"))))))</f>
      </c>
    </row>
    <row r="67" spans="1:23" s="28" customFormat="1" x14ac:dyDescent="0.25">
      <c r="A67" s="91" t="s">
        <v>313</v>
      </c>
      <c r="B67" s="91" t="s">
        <v>133</v>
      </c>
      <c r="C67" s="28" t="s">
        <v>32</v>
      </c>
      <c r="D67" s="28" t="s">
        <v>38</v>
      </c>
      <c r="E67" s="28" t="s">
        <v>86</v>
      </c>
      <c r="F67" s="91" t="s">
        <v>231</v>
      </c>
      <c r="G67" s="86">
        <v>46225</v>
      </c>
      <c r="H67" s="86">
        <v>46283</v>
      </c>
      <c r="I67" s="86">
        <v>46225</v>
      </c>
      <c r="J67" s="86"/>
      <c r="K67" s="87">
        <v>0.73</v>
      </c>
      <c r="L67" s="28">
        <v>16</v>
      </c>
      <c r="M67" s="88"/>
      <c r="N67" s="88"/>
      <c r="O67" s="89"/>
      <c r="P67" s="89"/>
      <c r="Q67" s="88"/>
      <c r="R67" s="28" t="s">
        <v>85</v>
      </c>
      <c r="S67" s="28"/>
      <c r="T67" s="89"/>
      <c r="U67" s="90">
        <f>IF(AND(ISNUMBER(S67),S67&gt;0,ISNUMBER(T67)),MIN(1,T67/S67),"")</f>
      </c>
      <c r="V67" s="89" t="s">
        <v>85</v>
      </c>
      <c r="W67" s="28">
        <f>IF(AND(M67&lt;&gt;"",M67&gt;=46296),"Actual Start must be before Data Date",IF(AND(N67&lt;&gt;"",N67&gt;=46296),"Actual Finish must be before Data Date",IF(AND(N67&lt;&gt;"",M67&lt;&gt;"",N67&lt;M67),"Finish before Start",IF(AND(O67&lt;&gt;"",O67&gt;=100,N67=""),"100% needs Actual Finish",IF(AND(O67&lt;&gt;"",O67&gt;0,M67="",I67=""),"Enter Actual Start",IF(AND(Q67&lt;&gt;"",Q67&lt;46296),"Expected Finish must be after Data Date","OK"))))))</f>
      </c>
    </row>
    <row r="68" spans="1:23" s="28" customFormat="1" x14ac:dyDescent="0.25">
      <c r="A68" s="92" t="s">
        <v>314</v>
      </c>
      <c r="B68" s="92" t="s">
        <v>137</v>
      </c>
      <c r="C68" s="28" t="s">
        <v>32</v>
      </c>
      <c r="D68" s="28" t="s">
        <v>38</v>
      </c>
      <c r="E68" s="28" t="s">
        <v>86</v>
      </c>
      <c r="F68" s="92" t="s">
        <v>315</v>
      </c>
      <c r="G68" s="86">
        <v>46260</v>
      </c>
      <c r="H68" s="86">
        <v>46422</v>
      </c>
      <c r="I68" s="86">
        <v>46260</v>
      </c>
      <c r="J68" s="86"/>
      <c r="K68" s="87">
        <v>0.05</v>
      </c>
      <c r="L68" s="28">
        <v>67</v>
      </c>
      <c r="M68" s="88"/>
      <c r="N68" s="88"/>
      <c r="O68" s="89"/>
      <c r="P68" s="89"/>
      <c r="Q68" s="88"/>
      <c r="R68" s="28" t="s">
        <v>418</v>
      </c>
      <c r="S68" s="28">
        <v>414</v>
      </c>
      <c r="T68" s="89">
        <v>0</v>
      </c>
      <c r="U68" s="90">
        <f>IF(AND(ISNUMBER(S68),S68&gt;0,ISNUMBER(T68)),MIN(1,T68/S68),"")</f>
      </c>
      <c r="V68" s="89" t="s">
        <v>85</v>
      </c>
      <c r="W68" s="28">
        <f>IF(AND(M68&lt;&gt;"",M68&gt;=46296),"Actual Start must be before Data Date",IF(AND(N68&lt;&gt;"",N68&gt;=46296),"Actual Finish must be before Data Date",IF(AND(N68&lt;&gt;"",M68&lt;&gt;"",N68&lt;M68),"Finish before Start",IF(AND(O68&lt;&gt;"",O68&gt;=100,N68=""),"100% needs Actual Finish",IF(AND(O68&lt;&gt;"",O68&gt;0,M68="",I68=""),"Enter Actual Start",IF(AND(Q68&lt;&gt;"",Q68&lt;46296),"Expected Finish must be after Data Date","OK"))))))</f>
      </c>
    </row>
    <row r="69" spans="1:23" s="28" customFormat="1" x14ac:dyDescent="0.25">
      <c r="A69" s="93" t="s">
        <v>316</v>
      </c>
      <c r="B69" s="93" t="s">
        <v>135</v>
      </c>
      <c r="C69" s="28" t="s">
        <v>32</v>
      </c>
      <c r="D69" s="28" t="s">
        <v>38</v>
      </c>
      <c r="E69" s="28" t="s">
        <v>94</v>
      </c>
      <c r="F69" s="93" t="s">
        <v>204</v>
      </c>
      <c r="G69" s="86">
        <v>46291</v>
      </c>
      <c r="H69" s="86">
        <v>46332</v>
      </c>
      <c r="I69" s="86"/>
      <c r="J69" s="86"/>
      <c r="K69" s="87">
        <v>0</v>
      </c>
      <c r="L69" s="28">
        <v>34</v>
      </c>
      <c r="M69" s="88"/>
      <c r="N69" s="88"/>
      <c r="O69" s="89"/>
      <c r="P69" s="89"/>
      <c r="Q69" s="88"/>
      <c r="R69" s="28" t="s">
        <v>85</v>
      </c>
      <c r="S69" s="28"/>
      <c r="T69" s="89"/>
      <c r="U69" s="90">
        <f>IF(AND(ISNUMBER(S69),S69&gt;0,ISNUMBER(T69)),MIN(1,T69/S69),"")</f>
      </c>
      <c r="V69" s="89" t="s">
        <v>85</v>
      </c>
      <c r="W69" s="28">
        <f>IF(AND(M69&lt;&gt;"",M69&gt;=46296),"Actual Start must be before Data Date",IF(AND(N69&lt;&gt;"",N69&gt;=46296),"Actual Finish must be before Data Date",IF(AND(N69&lt;&gt;"",M69&lt;&gt;"",N69&lt;M69),"Finish before Start",IF(AND(O69&lt;&gt;"",O69&gt;=100,N69=""),"100% needs Actual Finish",IF(AND(O69&lt;&gt;"",O69&gt;0,M69="",I69=""),"Enter Actual Start",IF(AND(Q69&lt;&gt;"",Q69&lt;46296),"Expected Finish must be after Data Date","OK"))))))</f>
      </c>
    </row>
    <row r="70" spans="1:23" s="28" customFormat="1" x14ac:dyDescent="0.25">
      <c r="A70" s="28" t="s">
        <v>317</v>
      </c>
      <c r="B70" s="28" t="s">
        <v>139</v>
      </c>
      <c r="C70" s="28" t="s">
        <v>32</v>
      </c>
      <c r="D70" s="28" t="s">
        <v>38</v>
      </c>
      <c r="E70" s="28" t="s">
        <v>94</v>
      </c>
      <c r="F70" s="28" t="s">
        <v>85</v>
      </c>
      <c r="G70" s="86">
        <v>46333</v>
      </c>
      <c r="H70" s="86">
        <v>46393</v>
      </c>
      <c r="I70" s="86"/>
      <c r="J70" s="86"/>
      <c r="K70" s="87">
        <v>0</v>
      </c>
      <c r="L70" s="28">
        <v>50</v>
      </c>
      <c r="M70" s="88"/>
      <c r="N70" s="88"/>
      <c r="O70" s="89"/>
      <c r="P70" s="89"/>
      <c r="Q70" s="88"/>
      <c r="R70" s="28" t="s">
        <v>85</v>
      </c>
      <c r="S70" s="28"/>
      <c r="T70" s="89"/>
      <c r="U70" s="90">
        <f>IF(AND(ISNUMBER(S70),S70&gt;0,ISNUMBER(T70)),MIN(1,T70/S70),"")</f>
      </c>
      <c r="V70" s="89" t="s">
        <v>85</v>
      </c>
      <c r="W70" s="28">
        <f>IF(AND(M70&lt;&gt;"",M70&gt;=46296),"Actual Start must be before Data Date",IF(AND(N70&lt;&gt;"",N70&gt;=46296),"Actual Finish must be before Data Date",IF(AND(N70&lt;&gt;"",M70&lt;&gt;"",N70&lt;M70),"Finish before Start",IF(AND(O70&lt;&gt;"",O70&gt;=100,N70=""),"100% needs Actual Finish",IF(AND(O70&lt;&gt;"",O70&gt;0,M70="",I70=""),"Enter Actual Start",IF(AND(Q70&lt;&gt;"",Q70&lt;46296),"Expected Finish must be after Data Date","OK"))))))</f>
      </c>
    </row>
    <row r="71" spans="1:23" s="28" customFormat="1" x14ac:dyDescent="0.25">
      <c r="A71" s="28" t="s">
        <v>318</v>
      </c>
      <c r="B71" s="28" t="s">
        <v>141</v>
      </c>
      <c r="C71" s="28" t="s">
        <v>32</v>
      </c>
      <c r="D71" s="28" t="s">
        <v>38</v>
      </c>
      <c r="E71" s="28" t="s">
        <v>94</v>
      </c>
      <c r="F71" s="28" t="s">
        <v>85</v>
      </c>
      <c r="G71" s="86">
        <v>46423</v>
      </c>
      <c r="H71" s="86">
        <v>46447</v>
      </c>
      <c r="I71" s="86"/>
      <c r="J71" s="86"/>
      <c r="K71" s="87">
        <v>0</v>
      </c>
      <c r="L71" s="28">
        <v>21</v>
      </c>
      <c r="M71" s="88"/>
      <c r="N71" s="88"/>
      <c r="O71" s="89"/>
      <c r="P71" s="89"/>
      <c r="Q71" s="88"/>
      <c r="R71" s="28" t="s">
        <v>85</v>
      </c>
      <c r="S71" s="28"/>
      <c r="T71" s="89"/>
      <c r="U71" s="90">
        <f>IF(AND(ISNUMBER(S71),S71&gt;0,ISNUMBER(T71)),MIN(1,T71/S71),"")</f>
      </c>
      <c r="V71" s="89" t="s">
        <v>85</v>
      </c>
      <c r="W71" s="28">
        <f>IF(AND(M71&lt;&gt;"",M71&gt;=46296),"Actual Start must be before Data Date",IF(AND(N71&lt;&gt;"",N71&gt;=46296),"Actual Finish must be before Data Date",IF(AND(N71&lt;&gt;"",M71&lt;&gt;"",N71&lt;M71),"Finish before Start",IF(AND(O71&lt;&gt;"",O71&gt;=100,N71=""),"100% needs Actual Finish",IF(AND(O71&lt;&gt;"",O71&gt;0,M71="",I71=""),"Enter Actual Start",IF(AND(Q71&lt;&gt;"",Q71&lt;46296),"Expected Finish must be after Data Date","OK"))))))</f>
      </c>
    </row>
    <row r="72" spans="1:23" s="28" customFormat="1" x14ac:dyDescent="0.25">
      <c r="A72" s="28" t="s">
        <v>319</v>
      </c>
      <c r="B72" s="28" t="s">
        <v>143</v>
      </c>
      <c r="C72" s="28" t="s">
        <v>32</v>
      </c>
      <c r="D72" s="28" t="s">
        <v>38</v>
      </c>
      <c r="E72" s="28" t="s">
        <v>94</v>
      </c>
      <c r="F72" s="28" t="s">
        <v>85</v>
      </c>
      <c r="G72" s="86">
        <v>46447</v>
      </c>
      <c r="H72" s="86">
        <v>46447</v>
      </c>
      <c r="I72" s="86"/>
      <c r="J72" s="86"/>
      <c r="K72" s="87">
        <v>0</v>
      </c>
      <c r="L72" s="28">
        <v>0</v>
      </c>
      <c r="M72" s="88"/>
      <c r="N72" s="88"/>
      <c r="O72" s="89"/>
      <c r="P72" s="89"/>
      <c r="Q72" s="88"/>
      <c r="R72" s="28" t="s">
        <v>85</v>
      </c>
      <c r="S72" s="28"/>
      <c r="T72" s="89"/>
      <c r="U72" s="90">
        <f>IF(AND(ISNUMBER(S72),S72&gt;0,ISNUMBER(T72)),MIN(1,T72/S72),"")</f>
      </c>
      <c r="V72" s="89" t="s">
        <v>85</v>
      </c>
      <c r="W72" s="28">
        <f>IF(AND(M72&lt;&gt;"",M72&gt;=46296),"Actual Start must be before Data Date",IF(AND(N72&lt;&gt;"",N72&gt;=46296),"Actual Finish must be before Data Date",IF(AND(N72&lt;&gt;"",M72&lt;&gt;"",N72&lt;M72),"Finish before Start",IF(AND(O72&lt;&gt;"",O72&gt;=100,N72=""),"100% needs Actual Finish",IF(AND(O72&lt;&gt;"",O72&gt;0,M72="",I72=""),"Enter Actual Start",IF(AND(Q72&lt;&gt;"",Q72&lt;46296),"Expected Finish must be after Data Date","OK"))))))</f>
      </c>
    </row>
    <row r="73" spans="1:23" s="28" customFormat="1" x14ac:dyDescent="0.25">
      <c r="A73" s="28" t="s">
        <v>328</v>
      </c>
      <c r="B73" s="28" t="s">
        <v>115</v>
      </c>
      <c r="C73" s="28" t="s">
        <v>33</v>
      </c>
      <c r="D73" s="28" t="s">
        <v>37</v>
      </c>
      <c r="E73" s="28" t="s">
        <v>86</v>
      </c>
      <c r="F73" s="28" t="s">
        <v>254</v>
      </c>
      <c r="G73" s="86">
        <v>46203</v>
      </c>
      <c r="H73" s="86">
        <v>46298</v>
      </c>
      <c r="I73" s="86">
        <v>46203</v>
      </c>
      <c r="J73" s="86"/>
      <c r="K73" s="87">
        <v>0.62</v>
      </c>
      <c r="L73" s="28">
        <v>28</v>
      </c>
      <c r="M73" s="88"/>
      <c r="N73" s="88"/>
      <c r="O73" s="89"/>
      <c r="P73" s="89"/>
      <c r="Q73" s="88"/>
      <c r="R73" s="28" t="s">
        <v>417</v>
      </c>
      <c r="S73" s="28">
        <v>500</v>
      </c>
      <c r="T73" s="89">
        <v>310</v>
      </c>
      <c r="U73" s="90">
        <f>IF(AND(ISNUMBER(S73),S73&gt;0,ISNUMBER(T73)),MIN(1,T73/S73),"")</f>
      </c>
      <c r="V73" s="89" t="s">
        <v>85</v>
      </c>
      <c r="W73" s="28">
        <f>IF(AND(M73&lt;&gt;"",M73&gt;=46296),"Actual Start must be before Data Date",IF(AND(N73&lt;&gt;"",N73&gt;=46296),"Actual Finish must be before Data Date",IF(AND(N73&lt;&gt;"",M73&lt;&gt;"",N73&lt;M73),"Finish before Start",IF(AND(O73&lt;&gt;"",O73&gt;=100,N73=""),"100% needs Actual Finish",IF(AND(O73&lt;&gt;"",O73&gt;0,M73="",I73=""),"Enter Actual Start",IF(AND(Q73&lt;&gt;"",Q73&lt;46296),"Expected Finish must be after Data Date","OK"))))))</f>
      </c>
    </row>
    <row r="74" spans="1:23" s="28" customFormat="1" x14ac:dyDescent="0.25">
      <c r="A74" s="28" t="s">
        <v>336</v>
      </c>
      <c r="B74" s="28" t="s">
        <v>131</v>
      </c>
      <c r="C74" s="28" t="s">
        <v>33</v>
      </c>
      <c r="D74" s="28" t="s">
        <v>38</v>
      </c>
      <c r="E74" s="28" t="s">
        <v>86</v>
      </c>
      <c r="F74" s="28" t="s">
        <v>254</v>
      </c>
      <c r="G74" s="86">
        <v>46225</v>
      </c>
      <c r="H74" s="86">
        <v>46305</v>
      </c>
      <c r="I74" s="86">
        <v>46225</v>
      </c>
      <c r="J74" s="86"/>
      <c r="K74" s="87">
        <v>0.43</v>
      </c>
      <c r="L74" s="28">
        <v>34</v>
      </c>
      <c r="M74" s="88"/>
      <c r="N74" s="88"/>
      <c r="O74" s="89"/>
      <c r="P74" s="89"/>
      <c r="Q74" s="88"/>
      <c r="R74" s="28" t="s">
        <v>417</v>
      </c>
      <c r="S74" s="28">
        <v>500</v>
      </c>
      <c r="T74" s="89">
        <v>215</v>
      </c>
      <c r="U74" s="90">
        <f>IF(AND(ISNUMBER(S74),S74&gt;0,ISNUMBER(T74)),MIN(1,T74/S74),"")</f>
      </c>
      <c r="V74" s="89" t="s">
        <v>85</v>
      </c>
      <c r="W74" s="28">
        <f>IF(AND(M74&lt;&gt;"",M74&gt;=46296),"Actual Start must be before Data Date",IF(AND(N74&lt;&gt;"",N74&gt;=46296),"Actual Finish must be before Data Date",IF(AND(N74&lt;&gt;"",M74&lt;&gt;"",N74&lt;M74),"Finish before Start",IF(AND(O74&lt;&gt;"",O74&gt;=100,N74=""),"100% needs Actual Finish",IF(AND(O74&lt;&gt;"",O74&gt;0,M74="",I74=""),"Enter Actual Start",IF(AND(Q74&lt;&gt;"",Q74&lt;46296),"Expected Finish must be after Data Date","OK"))))))</f>
      </c>
    </row>
    <row r="75" spans="1:23" s="28" customFormat="1" x14ac:dyDescent="0.25">
      <c r="A75" s="28" t="s">
        <v>330</v>
      </c>
      <c r="B75" s="28" t="s">
        <v>119</v>
      </c>
      <c r="C75" s="28" t="s">
        <v>33</v>
      </c>
      <c r="D75" s="28" t="s">
        <v>37</v>
      </c>
      <c r="E75" s="28" t="s">
        <v>86</v>
      </c>
      <c r="F75" s="28" t="s">
        <v>254</v>
      </c>
      <c r="G75" s="86">
        <v>46232</v>
      </c>
      <c r="H75" s="86">
        <v>46328</v>
      </c>
      <c r="I75" s="86">
        <v>46232</v>
      </c>
      <c r="J75" s="86"/>
      <c r="K75" s="87">
        <v>0.34</v>
      </c>
      <c r="L75" s="28">
        <v>52</v>
      </c>
      <c r="M75" s="88"/>
      <c r="N75" s="88"/>
      <c r="O75" s="89"/>
      <c r="P75" s="89"/>
      <c r="Q75" s="88"/>
      <c r="R75" s="28" t="s">
        <v>85</v>
      </c>
      <c r="S75" s="28"/>
      <c r="T75" s="89"/>
      <c r="U75" s="90">
        <f>IF(AND(ISNUMBER(S75),S75&gt;0,ISNUMBER(T75)),MIN(1,T75/S75),"")</f>
      </c>
      <c r="V75" s="89" t="s">
        <v>85</v>
      </c>
      <c r="W75" s="28">
        <f>IF(AND(M75&lt;&gt;"",M75&gt;=46296),"Actual Start must be before Data Date",IF(AND(N75&lt;&gt;"",N75&gt;=46296),"Actual Finish must be before Data Date",IF(AND(N75&lt;&gt;"",M75&lt;&gt;"",N75&lt;M75),"Finish before Start",IF(AND(O75&lt;&gt;"",O75&gt;=100,N75=""),"100% needs Actual Finish",IF(AND(O75&lt;&gt;"",O75&gt;0,M75="",I75=""),"Enter Actual Start",IF(AND(Q75&lt;&gt;"",Q75&lt;46296),"Expected Finish must be after Data Date","OK"))))))</f>
      </c>
    </row>
    <row r="76" spans="1:23" s="28" customFormat="1" x14ac:dyDescent="0.25">
      <c r="A76" s="91" t="s">
        <v>337</v>
      </c>
      <c r="B76" s="91" t="s">
        <v>133</v>
      </c>
      <c r="C76" s="28" t="s">
        <v>33</v>
      </c>
      <c r="D76" s="28" t="s">
        <v>38</v>
      </c>
      <c r="E76" s="28" t="s">
        <v>86</v>
      </c>
      <c r="F76" s="91" t="s">
        <v>231</v>
      </c>
      <c r="G76" s="86">
        <v>46248</v>
      </c>
      <c r="H76" s="86">
        <v>46294</v>
      </c>
      <c r="I76" s="86">
        <v>46248</v>
      </c>
      <c r="J76" s="86"/>
      <c r="K76" s="87">
        <v>0.4</v>
      </c>
      <c r="L76" s="28">
        <v>25</v>
      </c>
      <c r="M76" s="88"/>
      <c r="N76" s="88"/>
      <c r="O76" s="89"/>
      <c r="P76" s="89"/>
      <c r="Q76" s="88"/>
      <c r="R76" s="28" t="s">
        <v>85</v>
      </c>
      <c r="S76" s="28"/>
      <c r="T76" s="89"/>
      <c r="U76" s="90">
        <f>IF(AND(ISNUMBER(S76),S76&gt;0,ISNUMBER(T76)),MIN(1,T76/S76),"")</f>
      </c>
      <c r="V76" s="89" t="s">
        <v>85</v>
      </c>
      <c r="W76" s="28">
        <f>IF(AND(M76&lt;&gt;"",M76&gt;=46296),"Actual Start must be before Data Date",IF(AND(N76&lt;&gt;"",N76&gt;=46296),"Actual Finish must be before Data Date",IF(AND(N76&lt;&gt;"",M76&lt;&gt;"",N76&lt;M76),"Finish before Start",IF(AND(O76&lt;&gt;"",O76&gt;=100,N76=""),"100% needs Actual Finish",IF(AND(O76&lt;&gt;"",O76&gt;0,M76="",I76=""),"Enter Actual Start",IF(AND(Q76&lt;&gt;"",Q76&lt;46296),"Expected Finish must be after Data Date","OK"))))))</f>
      </c>
    </row>
    <row r="77" spans="1:23" s="28" customFormat="1" x14ac:dyDescent="0.25">
      <c r="A77" s="28" t="s">
        <v>338</v>
      </c>
      <c r="B77" s="28" t="s">
        <v>135</v>
      </c>
      <c r="C77" s="28" t="s">
        <v>33</v>
      </c>
      <c r="D77" s="28" t="s">
        <v>38</v>
      </c>
      <c r="E77" s="28" t="s">
        <v>94</v>
      </c>
      <c r="F77" s="28" t="s">
        <v>85</v>
      </c>
      <c r="G77" s="86">
        <v>46301</v>
      </c>
      <c r="H77" s="86">
        <v>46328</v>
      </c>
      <c r="I77" s="86"/>
      <c r="J77" s="86"/>
      <c r="K77" s="87">
        <v>0</v>
      </c>
      <c r="L77" s="28">
        <v>23</v>
      </c>
      <c r="M77" s="88"/>
      <c r="N77" s="88"/>
      <c r="O77" s="89"/>
      <c r="P77" s="89"/>
      <c r="Q77" s="88"/>
      <c r="R77" s="28" t="s">
        <v>85</v>
      </c>
      <c r="S77" s="28"/>
      <c r="T77" s="89"/>
      <c r="U77" s="90">
        <f>IF(AND(ISNUMBER(S77),S77&gt;0,ISNUMBER(T77)),MIN(1,T77/S77),"")</f>
      </c>
      <c r="V77" s="89" t="s">
        <v>85</v>
      </c>
      <c r="W77" s="28">
        <f>IF(AND(M77&lt;&gt;"",M77&gt;=46296),"Actual Start must be before Data Date",IF(AND(N77&lt;&gt;"",N77&gt;=46296),"Actual Finish must be before Data Date",IF(AND(N77&lt;&gt;"",M77&lt;&gt;"",N77&lt;M77),"Finish before Start",IF(AND(O77&lt;&gt;"",O77&gt;=100,N77=""),"100% needs Actual Finish",IF(AND(O77&lt;&gt;"",O77&gt;0,M77="",I77=""),"Enter Actual Start",IF(AND(Q77&lt;&gt;"",Q77&lt;46296),"Expected Finish must be after Data Date","OK"))))))</f>
      </c>
    </row>
    <row r="78" spans="1:23" s="28" customFormat="1" x14ac:dyDescent="0.25">
      <c r="A78" s="28" t="s">
        <v>339</v>
      </c>
      <c r="B78" s="28" t="s">
        <v>137</v>
      </c>
      <c r="C78" s="28" t="s">
        <v>33</v>
      </c>
      <c r="D78" s="28" t="s">
        <v>38</v>
      </c>
      <c r="E78" s="28" t="s">
        <v>94</v>
      </c>
      <c r="F78" s="28" t="s">
        <v>85</v>
      </c>
      <c r="G78" s="86">
        <v>46329</v>
      </c>
      <c r="H78" s="86">
        <v>46392</v>
      </c>
      <c r="I78" s="86"/>
      <c r="J78" s="86"/>
      <c r="K78" s="87">
        <v>0</v>
      </c>
      <c r="L78" s="28">
        <v>53</v>
      </c>
      <c r="M78" s="88"/>
      <c r="N78" s="88"/>
      <c r="O78" s="89"/>
      <c r="P78" s="89"/>
      <c r="Q78" s="88"/>
      <c r="R78" s="28" t="s">
        <v>418</v>
      </c>
      <c r="S78" s="28">
        <v>318</v>
      </c>
      <c r="T78" s="89">
        <v>0</v>
      </c>
      <c r="U78" s="90">
        <f>IF(AND(ISNUMBER(S78),S78&gt;0,ISNUMBER(T78)),MIN(1,T78/S78),"")</f>
      </c>
      <c r="V78" s="89" t="s">
        <v>85</v>
      </c>
      <c r="W78" s="28">
        <f>IF(AND(M78&lt;&gt;"",M78&gt;=46296),"Actual Start must be before Data Date",IF(AND(N78&lt;&gt;"",N78&gt;=46296),"Actual Finish must be before Data Date",IF(AND(N78&lt;&gt;"",M78&lt;&gt;"",N78&lt;M78),"Finish before Start",IF(AND(O78&lt;&gt;"",O78&gt;=100,N78=""),"100% needs Actual Finish",IF(AND(O78&lt;&gt;"",O78&gt;0,M78="",I78=""),"Enter Actual Start",IF(AND(Q78&lt;&gt;"",Q78&lt;46296),"Expected Finish must be after Data Date","OK"))))))</f>
      </c>
    </row>
    <row r="79" spans="1:23" s="28" customFormat="1" x14ac:dyDescent="0.25">
      <c r="A79" s="28" t="s">
        <v>340</v>
      </c>
      <c r="B79" s="28" t="s">
        <v>139</v>
      </c>
      <c r="C79" s="28" t="s">
        <v>33</v>
      </c>
      <c r="D79" s="28" t="s">
        <v>38</v>
      </c>
      <c r="E79" s="28" t="s">
        <v>94</v>
      </c>
      <c r="F79" s="28" t="s">
        <v>85</v>
      </c>
      <c r="G79" s="86">
        <v>46329</v>
      </c>
      <c r="H79" s="86">
        <v>46366</v>
      </c>
      <c r="I79" s="86"/>
      <c r="J79" s="86"/>
      <c r="K79" s="87">
        <v>0</v>
      </c>
      <c r="L79" s="28">
        <v>32</v>
      </c>
      <c r="M79" s="88"/>
      <c r="N79" s="88"/>
      <c r="O79" s="89"/>
      <c r="P79" s="89"/>
      <c r="Q79" s="88"/>
      <c r="R79" s="28" t="s">
        <v>85</v>
      </c>
      <c r="S79" s="28"/>
      <c r="T79" s="89"/>
      <c r="U79" s="90">
        <f>IF(AND(ISNUMBER(S79),S79&gt;0,ISNUMBER(T79)),MIN(1,T79/S79),"")</f>
      </c>
      <c r="V79" s="89" t="s">
        <v>85</v>
      </c>
      <c r="W79" s="28">
        <f>IF(AND(M79&lt;&gt;"",M79&gt;=46296),"Actual Start must be before Data Date",IF(AND(N79&lt;&gt;"",N79&gt;=46296),"Actual Finish must be before Data Date",IF(AND(N79&lt;&gt;"",M79&lt;&gt;"",N79&lt;M79),"Finish before Start",IF(AND(O79&lt;&gt;"",O79&gt;=100,N79=""),"100% needs Actual Finish",IF(AND(O79&lt;&gt;"",O79&gt;0,M79="",I79=""),"Enter Actual Start",IF(AND(Q79&lt;&gt;"",Q79&lt;46296),"Expected Finish must be after Data Date","OK"))))))</f>
      </c>
    </row>
    <row r="80" spans="1:23" s="28" customFormat="1" x14ac:dyDescent="0.25">
      <c r="A80" s="28" t="s">
        <v>341</v>
      </c>
      <c r="B80" s="28" t="s">
        <v>141</v>
      </c>
      <c r="C80" s="28" t="s">
        <v>33</v>
      </c>
      <c r="D80" s="28" t="s">
        <v>38</v>
      </c>
      <c r="E80" s="28" t="s">
        <v>94</v>
      </c>
      <c r="F80" s="28" t="s">
        <v>85</v>
      </c>
      <c r="G80" s="86">
        <v>46393</v>
      </c>
      <c r="H80" s="86">
        <v>46407</v>
      </c>
      <c r="I80" s="86"/>
      <c r="J80" s="86"/>
      <c r="K80" s="87">
        <v>0</v>
      </c>
      <c r="L80" s="28">
        <v>13</v>
      </c>
      <c r="M80" s="88"/>
      <c r="N80" s="88"/>
      <c r="O80" s="89"/>
      <c r="P80" s="89"/>
      <c r="Q80" s="88"/>
      <c r="R80" s="28" t="s">
        <v>85</v>
      </c>
      <c r="S80" s="28"/>
      <c r="T80" s="89"/>
      <c r="U80" s="90">
        <f>IF(AND(ISNUMBER(S80),S80&gt;0,ISNUMBER(T80)),MIN(1,T80/S80),"")</f>
      </c>
      <c r="V80" s="89" t="s">
        <v>85</v>
      </c>
      <c r="W80" s="28">
        <f>IF(AND(M80&lt;&gt;"",M80&gt;=46296),"Actual Start must be before Data Date",IF(AND(N80&lt;&gt;"",N80&gt;=46296),"Actual Finish must be before Data Date",IF(AND(N80&lt;&gt;"",M80&lt;&gt;"",N80&lt;M80),"Finish before Start",IF(AND(O80&lt;&gt;"",O80&gt;=100,N80=""),"100% needs Actual Finish",IF(AND(O80&lt;&gt;"",O80&gt;0,M80="",I80=""),"Enter Actual Start",IF(AND(Q80&lt;&gt;"",Q80&lt;46296),"Expected Finish must be after Data Date","OK"))))))</f>
      </c>
    </row>
    <row r="81" spans="1:23" s="28" customFormat="1" x14ac:dyDescent="0.25">
      <c r="A81" s="28" t="s">
        <v>342</v>
      </c>
      <c r="B81" s="28" t="s">
        <v>143</v>
      </c>
      <c r="C81" s="28" t="s">
        <v>33</v>
      </c>
      <c r="D81" s="28" t="s">
        <v>38</v>
      </c>
      <c r="E81" s="28" t="s">
        <v>94</v>
      </c>
      <c r="F81" s="28" t="s">
        <v>85</v>
      </c>
      <c r="G81" s="86">
        <v>46407</v>
      </c>
      <c r="H81" s="86">
        <v>46407</v>
      </c>
      <c r="I81" s="86"/>
      <c r="J81" s="86"/>
      <c r="K81" s="87">
        <v>0</v>
      </c>
      <c r="L81" s="28">
        <v>0</v>
      </c>
      <c r="M81" s="88"/>
      <c r="N81" s="88"/>
      <c r="O81" s="89"/>
      <c r="P81" s="89"/>
      <c r="Q81" s="88"/>
      <c r="R81" s="28" t="s">
        <v>85</v>
      </c>
      <c r="S81" s="28"/>
      <c r="T81" s="89"/>
      <c r="U81" s="90">
        <f>IF(AND(ISNUMBER(S81),S81&gt;0,ISNUMBER(T81)),MIN(1,T81/S81),"")</f>
      </c>
      <c r="V81" s="89" t="s">
        <v>85</v>
      </c>
      <c r="W81" s="28">
        <f>IF(AND(M81&lt;&gt;"",M81&gt;=46296),"Actual Start must be before Data Date",IF(AND(N81&lt;&gt;"",N81&gt;=46296),"Actual Finish must be before Data Date",IF(AND(N81&lt;&gt;"",M81&lt;&gt;"",N81&lt;M81),"Finish before Start",IF(AND(O81&lt;&gt;"",O81&gt;=100,N81=""),"100% needs Actual Finish",IF(AND(O81&lt;&gt;"",O81&gt;0,M81="",I81=""),"Enter Actual Start",IF(AND(Q81&lt;&gt;"",Q81&lt;46296),"Expected Finish must be after Data Date","OK"))))))</f>
      </c>
    </row>
  </sheetData>
  <autoFilter ref="A4:W4"/>
  <mergeCells count="2">
    <mergeCell ref="A1:W1"/>
    <mergeCell ref="A2:W2"/>
  </mergeCells>
  <conditionalFormatting sqref="W5:W81">
    <cfRule type="containsText" dxfId="0" priority="1">
      <formula>NOT(ISERROR(SEARCH("OK",W5)))</formula>
    </cfRule>
  </conditionalFormatting>
  <dataValidations count="8">
    <dataValidation type="date" operator="lessThan" allowBlank="1" showErrorMessage="1" errorTitle="Actual Start" error="Actual dates must be before the Data Date 01-Oct-2026" sqref="M10:M81">
      <formula1>46296</formula1>
    </dataValidation>
    <dataValidation type="date" operator="lessThan" allowBlank="1" showErrorMessage="1" errorTitle="Actual Start" error="Actual dates must be before the Data Date 01-Oct-2026" sqref="M5:M81">
      <formula1>46296</formula1>
    </dataValidation>
    <dataValidation type="date" operator="lessThan" allowBlank="1" showErrorMessage="1" errorTitle="Actual Finish" error="Actual dates must be before the Data Date 01-Oct-2026" sqref="N10:N81">
      <formula1>46296</formula1>
    </dataValidation>
    <dataValidation type="date" operator="lessThan" allowBlank="1" showErrorMessage="1" errorTitle="Actual Finish" error="Actual dates must be before the Data Date 01-Oct-2026" sqref="N5:N81">
      <formula1>46296</formula1>
    </dataValidation>
    <dataValidation type="decimal" allowBlank="1" showErrorMessage="1" errorTitle="% Complete" error="Enter a number from 0 to 100" sqref="O10:O81">
      <formula1>0</formula1>
      <formula2>100</formula2>
    </dataValidation>
    <dataValidation type="decimal" allowBlank="1" showErrorMessage="1" errorTitle="% Complete" error="Enter a number from 0 to 100" sqref="O5:O81">
      <formula1>0</formula1>
      <formula2>100</formula2>
    </dataValidation>
    <dataValidation type="decimal" operator="greaterThanOrEqual" allowBlank="1" showErrorMessage="1" errorTitle="Remaining duration" error="Remaining duration must be 0 or more days" sqref="P10:P81">
      <formula1>0</formula1>
    </dataValidation>
    <dataValidation type="decimal" operator="greaterThanOrEqual" allowBlank="1" showErrorMessage="1" errorTitle="Remaining duration" error="Remaining duration must be 0 or more days" sqref="P5:P8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91DA"/>
  </sheetPr>
  <dimension ref="A1:K5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46" customWidth="1"/>
    <col min="3" max="3" width="18" customWidth="1"/>
    <col min="4" max="4" width="14" customWidth="1"/>
    <col min="5" max="5" width="12" customWidth="1"/>
    <col min="6" max="7" width="11" customWidth="1"/>
    <col min="8" max="8" width="8" customWidth="1"/>
    <col min="10" max="10" width="8" customWidth="1"/>
    <col min="11" max="11" width="16" customWidth="1"/>
  </cols>
  <sheetData>
    <row r="1" ht="30" customHeight="1" spans="1:11" x14ac:dyDescent="0.25">
      <c r="A1" s="1" t="s">
        <v>419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30" customHeight="1" spans="1:11" x14ac:dyDescent="0.25">
      <c r="A4" s="94" t="s">
        <v>66</v>
      </c>
      <c r="B4" s="94" t="s">
        <v>67</v>
      </c>
      <c r="C4" s="94" t="s">
        <v>54</v>
      </c>
      <c r="D4" s="94" t="s">
        <v>68</v>
      </c>
      <c r="E4" s="94" t="s">
        <v>69</v>
      </c>
      <c r="F4" s="94" t="s">
        <v>73</v>
      </c>
      <c r="G4" s="94" t="s">
        <v>74</v>
      </c>
      <c r="H4" s="94" t="s">
        <v>71</v>
      </c>
      <c r="I4" s="94" t="s">
        <v>72</v>
      </c>
      <c r="J4" s="94" t="s">
        <v>80</v>
      </c>
      <c r="K4" s="94" t="s">
        <v>420</v>
      </c>
    </row>
    <row r="5" spans="1:11" s="28" customFormat="1" x14ac:dyDescent="0.25">
      <c r="A5" s="29" t="s">
        <v>178</v>
      </c>
      <c r="B5" s="29" t="s">
        <v>115</v>
      </c>
      <c r="C5" s="29" t="s">
        <v>27</v>
      </c>
      <c r="D5" s="29" t="s">
        <v>37</v>
      </c>
      <c r="E5" s="29" t="s">
        <v>86</v>
      </c>
      <c r="F5" s="32">
        <v>46174</v>
      </c>
      <c r="G5" s="32">
        <v>46303</v>
      </c>
      <c r="H5" s="29">
        <v>6</v>
      </c>
      <c r="I5" s="31">
        <v>0.93</v>
      </c>
      <c r="J5" s="29">
        <v>59</v>
      </c>
      <c r="K5" s="29" t="s">
        <v>421</v>
      </c>
    </row>
    <row r="6" spans="1:11" s="28" customFormat="1" x14ac:dyDescent="0.25">
      <c r="A6" s="29" t="s">
        <v>160</v>
      </c>
      <c r="B6" s="29" t="s">
        <v>131</v>
      </c>
      <c r="C6" s="29" t="s">
        <v>26</v>
      </c>
      <c r="D6" s="29" t="s">
        <v>38</v>
      </c>
      <c r="E6" s="29" t="s">
        <v>86</v>
      </c>
      <c r="F6" s="32">
        <v>46186</v>
      </c>
      <c r="G6" s="32">
        <v>46308</v>
      </c>
      <c r="H6" s="29">
        <v>10</v>
      </c>
      <c r="I6" s="31">
        <v>0.88</v>
      </c>
      <c r="J6" s="29">
        <v>109</v>
      </c>
      <c r="K6" s="29" t="s">
        <v>421</v>
      </c>
    </row>
    <row r="7" spans="1:11" s="28" customFormat="1" x14ac:dyDescent="0.25">
      <c r="A7" s="29" t="s">
        <v>154</v>
      </c>
      <c r="B7" s="29" t="s">
        <v>119</v>
      </c>
      <c r="C7" s="29" t="s">
        <v>26</v>
      </c>
      <c r="D7" s="29" t="s">
        <v>37</v>
      </c>
      <c r="E7" s="29" t="s">
        <v>86</v>
      </c>
      <c r="F7" s="32">
        <v>46195</v>
      </c>
      <c r="G7" s="32">
        <v>46333</v>
      </c>
      <c r="H7" s="29">
        <v>31</v>
      </c>
      <c r="I7" s="31">
        <v>0.69</v>
      </c>
      <c r="J7" s="29">
        <v>108</v>
      </c>
      <c r="K7" s="29" t="s">
        <v>421</v>
      </c>
    </row>
    <row r="8" spans="1:11" s="28" customFormat="1" x14ac:dyDescent="0.25">
      <c r="A8" s="29" t="s">
        <v>312</v>
      </c>
      <c r="B8" s="29" t="s">
        <v>131</v>
      </c>
      <c r="C8" s="29" t="s">
        <v>32</v>
      </c>
      <c r="D8" s="29" t="s">
        <v>38</v>
      </c>
      <c r="E8" s="29" t="s">
        <v>86</v>
      </c>
      <c r="F8" s="32">
        <v>46198</v>
      </c>
      <c r="G8" s="32">
        <v>46329</v>
      </c>
      <c r="H8" s="29">
        <v>27</v>
      </c>
      <c r="I8" s="31">
        <v>0.66</v>
      </c>
      <c r="J8" s="29">
        <v>101</v>
      </c>
      <c r="K8" s="29" t="s">
        <v>421</v>
      </c>
    </row>
    <row r="9" spans="1:11" s="28" customFormat="1" x14ac:dyDescent="0.25">
      <c r="A9" s="29" t="s">
        <v>186</v>
      </c>
      <c r="B9" s="29" t="s">
        <v>131</v>
      </c>
      <c r="C9" s="29" t="s">
        <v>27</v>
      </c>
      <c r="D9" s="29" t="s">
        <v>38</v>
      </c>
      <c r="E9" s="29" t="s">
        <v>86</v>
      </c>
      <c r="F9" s="32">
        <v>46202</v>
      </c>
      <c r="G9" s="32">
        <v>46322</v>
      </c>
      <c r="H9" s="29">
        <v>21</v>
      </c>
      <c r="I9" s="31">
        <v>0.78</v>
      </c>
      <c r="J9" s="29">
        <v>74</v>
      </c>
      <c r="K9" s="29" t="s">
        <v>421</v>
      </c>
    </row>
    <row r="10" spans="1:11" s="28" customFormat="1" x14ac:dyDescent="0.25">
      <c r="A10" s="29" t="s">
        <v>328</v>
      </c>
      <c r="B10" s="29" t="s">
        <v>115</v>
      </c>
      <c r="C10" s="29" t="s">
        <v>33</v>
      </c>
      <c r="D10" s="29" t="s">
        <v>37</v>
      </c>
      <c r="E10" s="29" t="s">
        <v>86</v>
      </c>
      <c r="F10" s="32">
        <v>46203</v>
      </c>
      <c r="G10" s="32">
        <v>46330</v>
      </c>
      <c r="H10" s="29">
        <v>28</v>
      </c>
      <c r="I10" s="31">
        <v>0.62</v>
      </c>
      <c r="J10" s="29">
        <v>108</v>
      </c>
      <c r="K10" s="29" t="s">
        <v>421</v>
      </c>
    </row>
    <row r="11" spans="1:11" s="28" customFormat="1" x14ac:dyDescent="0.25">
      <c r="A11" s="29" t="s">
        <v>275</v>
      </c>
      <c r="B11" s="29" t="s">
        <v>108</v>
      </c>
      <c r="C11" s="29" t="s">
        <v>31</v>
      </c>
      <c r="D11" s="29" t="s">
        <v>36</v>
      </c>
      <c r="E11" s="29" t="s">
        <v>86</v>
      </c>
      <c r="F11" s="32">
        <v>46203</v>
      </c>
      <c r="G11" s="32">
        <v>46300</v>
      </c>
      <c r="H11" s="29">
        <v>2</v>
      </c>
      <c r="I11" s="31">
        <v>0.95</v>
      </c>
      <c r="J11" s="29">
        <v>42</v>
      </c>
      <c r="K11" s="29" t="s">
        <v>421</v>
      </c>
    </row>
    <row r="12" spans="1:11" s="28" customFormat="1" x14ac:dyDescent="0.25">
      <c r="A12" s="29" t="s">
        <v>230</v>
      </c>
      <c r="B12" s="29" t="s">
        <v>119</v>
      </c>
      <c r="C12" s="29" t="s">
        <v>29</v>
      </c>
      <c r="D12" s="29" t="s">
        <v>37</v>
      </c>
      <c r="E12" s="29" t="s">
        <v>86</v>
      </c>
      <c r="F12" s="32">
        <v>46205</v>
      </c>
      <c r="G12" s="32">
        <v>46325</v>
      </c>
      <c r="H12" s="29">
        <v>24</v>
      </c>
      <c r="I12" s="31">
        <v>0.66</v>
      </c>
      <c r="J12" s="29">
        <v>142</v>
      </c>
      <c r="K12" s="29" t="s">
        <v>421</v>
      </c>
    </row>
    <row r="13" spans="1:11" s="28" customFormat="1" x14ac:dyDescent="0.25">
      <c r="A13" s="29" t="s">
        <v>201</v>
      </c>
      <c r="B13" s="29" t="s">
        <v>115</v>
      </c>
      <c r="C13" s="29" t="s">
        <v>28</v>
      </c>
      <c r="D13" s="29" t="s">
        <v>37</v>
      </c>
      <c r="E13" s="29" t="s">
        <v>86</v>
      </c>
      <c r="F13" s="32">
        <v>46206</v>
      </c>
      <c r="G13" s="32">
        <v>46338</v>
      </c>
      <c r="H13" s="29">
        <v>34</v>
      </c>
      <c r="I13" s="31">
        <v>0.61</v>
      </c>
      <c r="J13" s="29">
        <v>62</v>
      </c>
      <c r="K13" s="29" t="s">
        <v>421</v>
      </c>
    </row>
    <row r="14" spans="1:11" s="28" customFormat="1" x14ac:dyDescent="0.25">
      <c r="A14" s="29" t="s">
        <v>306</v>
      </c>
      <c r="B14" s="29" t="s">
        <v>119</v>
      </c>
      <c r="C14" s="29" t="s">
        <v>32</v>
      </c>
      <c r="D14" s="29" t="s">
        <v>37</v>
      </c>
      <c r="E14" s="29" t="s">
        <v>86</v>
      </c>
      <c r="F14" s="32">
        <v>46207</v>
      </c>
      <c r="G14" s="32">
        <v>46372</v>
      </c>
      <c r="H14" s="29">
        <v>63</v>
      </c>
      <c r="I14" s="31">
        <v>0.45</v>
      </c>
      <c r="J14" s="29">
        <v>68</v>
      </c>
      <c r="K14" s="29" t="s">
        <v>421</v>
      </c>
    </row>
    <row r="15" spans="1:11" s="28" customFormat="1" x14ac:dyDescent="0.25">
      <c r="A15" s="29" t="s">
        <v>237</v>
      </c>
      <c r="B15" s="29" t="s">
        <v>131</v>
      </c>
      <c r="C15" s="29" t="s">
        <v>29</v>
      </c>
      <c r="D15" s="29" t="s">
        <v>38</v>
      </c>
      <c r="E15" s="29" t="s">
        <v>86</v>
      </c>
      <c r="F15" s="32">
        <v>46207</v>
      </c>
      <c r="G15" s="32">
        <v>46300</v>
      </c>
      <c r="H15" s="29">
        <v>3</v>
      </c>
      <c r="I15" s="31">
        <v>0.94</v>
      </c>
      <c r="J15" s="29">
        <v>136</v>
      </c>
      <c r="K15" s="29" t="s">
        <v>421</v>
      </c>
    </row>
    <row r="16" spans="1:11" s="28" customFormat="1" x14ac:dyDescent="0.25">
      <c r="A16" s="29" t="s">
        <v>161</v>
      </c>
      <c r="B16" s="29" t="s">
        <v>133</v>
      </c>
      <c r="C16" s="29" t="s">
        <v>26</v>
      </c>
      <c r="D16" s="29" t="s">
        <v>38</v>
      </c>
      <c r="E16" s="29" t="s">
        <v>86</v>
      </c>
      <c r="F16" s="32">
        <v>46214</v>
      </c>
      <c r="G16" s="32">
        <v>46307</v>
      </c>
      <c r="H16" s="29">
        <v>9</v>
      </c>
      <c r="I16" s="31">
        <v>0.84</v>
      </c>
      <c r="J16" s="29">
        <v>129</v>
      </c>
      <c r="K16" s="29" t="s">
        <v>421</v>
      </c>
    </row>
    <row r="17" spans="1:11" s="28" customFormat="1" x14ac:dyDescent="0.25">
      <c r="A17" s="29" t="s">
        <v>313</v>
      </c>
      <c r="B17" s="29" t="s">
        <v>133</v>
      </c>
      <c r="C17" s="29" t="s">
        <v>32</v>
      </c>
      <c r="D17" s="29" t="s">
        <v>38</v>
      </c>
      <c r="E17" s="29" t="s">
        <v>86</v>
      </c>
      <c r="F17" s="32">
        <v>46225</v>
      </c>
      <c r="G17" s="32">
        <v>46316</v>
      </c>
      <c r="H17" s="29">
        <v>16</v>
      </c>
      <c r="I17" s="31">
        <v>0.73</v>
      </c>
      <c r="J17" s="29">
        <v>121</v>
      </c>
      <c r="K17" s="29" t="s">
        <v>421</v>
      </c>
    </row>
    <row r="18" spans="1:11" s="28" customFormat="1" x14ac:dyDescent="0.25">
      <c r="A18" s="29" t="s">
        <v>336</v>
      </c>
      <c r="B18" s="29" t="s">
        <v>131</v>
      </c>
      <c r="C18" s="29" t="s">
        <v>33</v>
      </c>
      <c r="D18" s="29" t="s">
        <v>38</v>
      </c>
      <c r="E18" s="29" t="s">
        <v>86</v>
      </c>
      <c r="F18" s="32">
        <v>46225</v>
      </c>
      <c r="G18" s="32">
        <v>46338</v>
      </c>
      <c r="H18" s="29">
        <v>34</v>
      </c>
      <c r="I18" s="31">
        <v>0.43</v>
      </c>
      <c r="J18" s="29">
        <v>123</v>
      </c>
      <c r="K18" s="29" t="s">
        <v>421</v>
      </c>
    </row>
    <row r="19" spans="1:11" s="28" customFormat="1" x14ac:dyDescent="0.25">
      <c r="A19" s="29" t="s">
        <v>187</v>
      </c>
      <c r="B19" s="29" t="s">
        <v>133</v>
      </c>
      <c r="C19" s="29" t="s">
        <v>27</v>
      </c>
      <c r="D19" s="29" t="s">
        <v>38</v>
      </c>
      <c r="E19" s="29" t="s">
        <v>86</v>
      </c>
      <c r="F19" s="32">
        <v>46228</v>
      </c>
      <c r="G19" s="32">
        <v>46323</v>
      </c>
      <c r="H19" s="29">
        <v>22</v>
      </c>
      <c r="I19" s="31">
        <v>0.63</v>
      </c>
      <c r="J19" s="29">
        <v>94</v>
      </c>
      <c r="K19" s="29" t="s">
        <v>421</v>
      </c>
    </row>
    <row r="20" spans="1:11" s="28" customFormat="1" x14ac:dyDescent="0.25">
      <c r="A20" s="29" t="s">
        <v>330</v>
      </c>
      <c r="B20" s="29" t="s">
        <v>119</v>
      </c>
      <c r="C20" s="29" t="s">
        <v>33</v>
      </c>
      <c r="D20" s="29" t="s">
        <v>37</v>
      </c>
      <c r="E20" s="29" t="s">
        <v>86</v>
      </c>
      <c r="F20" s="32">
        <v>46232</v>
      </c>
      <c r="G20" s="32">
        <v>46359</v>
      </c>
      <c r="H20" s="29">
        <v>52</v>
      </c>
      <c r="I20" s="31">
        <v>0.34</v>
      </c>
      <c r="J20" s="29">
        <v>101</v>
      </c>
      <c r="K20" s="29" t="s">
        <v>421</v>
      </c>
    </row>
    <row r="21" spans="1:11" s="28" customFormat="1" x14ac:dyDescent="0.25">
      <c r="A21" s="29" t="s">
        <v>238</v>
      </c>
      <c r="B21" s="29" t="s">
        <v>133</v>
      </c>
      <c r="C21" s="29" t="s">
        <v>29</v>
      </c>
      <c r="D21" s="29" t="s">
        <v>38</v>
      </c>
      <c r="E21" s="29" t="s">
        <v>86</v>
      </c>
      <c r="F21" s="32">
        <v>46234</v>
      </c>
      <c r="G21" s="32">
        <v>46314</v>
      </c>
      <c r="H21" s="29">
        <v>15</v>
      </c>
      <c r="I21" s="31">
        <v>0.61</v>
      </c>
      <c r="J21" s="29">
        <v>156</v>
      </c>
      <c r="K21" s="29" t="s">
        <v>421</v>
      </c>
    </row>
    <row r="22" spans="1:11" s="28" customFormat="1" x14ac:dyDescent="0.25">
      <c r="A22" s="29" t="s">
        <v>276</v>
      </c>
      <c r="B22" s="29" t="s">
        <v>110</v>
      </c>
      <c r="C22" s="29" t="s">
        <v>31</v>
      </c>
      <c r="D22" s="29" t="s">
        <v>36</v>
      </c>
      <c r="E22" s="29" t="s">
        <v>86</v>
      </c>
      <c r="F22" s="32">
        <v>46234</v>
      </c>
      <c r="G22" s="32">
        <v>46300</v>
      </c>
      <c r="H22" s="29">
        <v>1</v>
      </c>
      <c r="I22" s="31">
        <v>0.95</v>
      </c>
      <c r="J22" s="29">
        <v>179</v>
      </c>
      <c r="K22" s="29" t="s">
        <v>421</v>
      </c>
    </row>
    <row r="23" spans="1:11" s="28" customFormat="1" x14ac:dyDescent="0.25">
      <c r="A23" s="29" t="s">
        <v>253</v>
      </c>
      <c r="B23" s="29" t="s">
        <v>115</v>
      </c>
      <c r="C23" s="29" t="s">
        <v>30</v>
      </c>
      <c r="D23" s="29" t="s">
        <v>37</v>
      </c>
      <c r="E23" s="29" t="s">
        <v>86</v>
      </c>
      <c r="F23" s="32">
        <v>46242</v>
      </c>
      <c r="G23" s="32">
        <v>46374</v>
      </c>
      <c r="H23" s="29">
        <v>65</v>
      </c>
      <c r="I23" s="31">
        <v>0.24</v>
      </c>
      <c r="J23" s="29">
        <v>41</v>
      </c>
      <c r="K23" s="29" t="s">
        <v>421</v>
      </c>
    </row>
    <row r="24" spans="1:11" s="28" customFormat="1" x14ac:dyDescent="0.25">
      <c r="A24" s="29" t="s">
        <v>286</v>
      </c>
      <c r="B24" s="29" t="s">
        <v>129</v>
      </c>
      <c r="C24" s="29" t="s">
        <v>31</v>
      </c>
      <c r="D24" s="29" t="s">
        <v>38</v>
      </c>
      <c r="E24" s="29" t="s">
        <v>86</v>
      </c>
      <c r="F24" s="32">
        <v>46247</v>
      </c>
      <c r="G24" s="32">
        <v>46307</v>
      </c>
      <c r="H24" s="29">
        <v>9</v>
      </c>
      <c r="I24" s="31">
        <v>0.59</v>
      </c>
      <c r="J24" s="29">
        <v>93</v>
      </c>
      <c r="K24" s="29" t="s">
        <v>421</v>
      </c>
    </row>
    <row r="25" spans="1:11" s="28" customFormat="1" x14ac:dyDescent="0.25">
      <c r="A25" s="29" t="s">
        <v>337</v>
      </c>
      <c r="B25" s="29" t="s">
        <v>133</v>
      </c>
      <c r="C25" s="29" t="s">
        <v>33</v>
      </c>
      <c r="D25" s="29" t="s">
        <v>38</v>
      </c>
      <c r="E25" s="29" t="s">
        <v>86</v>
      </c>
      <c r="F25" s="32">
        <v>46248</v>
      </c>
      <c r="G25" s="32">
        <v>46326</v>
      </c>
      <c r="H25" s="29">
        <v>25</v>
      </c>
      <c r="I25" s="31">
        <v>0.4</v>
      </c>
      <c r="J25" s="29">
        <v>143</v>
      </c>
      <c r="K25" s="29" t="s">
        <v>421</v>
      </c>
    </row>
    <row r="26" spans="1:11" s="28" customFormat="1" x14ac:dyDescent="0.25">
      <c r="A26" s="29" t="s">
        <v>180</v>
      </c>
      <c r="B26" s="29" t="s">
        <v>119</v>
      </c>
      <c r="C26" s="29" t="s">
        <v>27</v>
      </c>
      <c r="D26" s="29" t="s">
        <v>37</v>
      </c>
      <c r="E26" s="29" t="s">
        <v>86</v>
      </c>
      <c r="F26" s="32">
        <v>46248</v>
      </c>
      <c r="G26" s="32">
        <v>46394</v>
      </c>
      <c r="H26" s="29">
        <v>81</v>
      </c>
      <c r="I26" s="31">
        <v>0.31</v>
      </c>
      <c r="J26" s="29">
        <v>23</v>
      </c>
      <c r="K26" s="29" t="s">
        <v>421</v>
      </c>
    </row>
    <row r="27" spans="1:11" s="28" customFormat="1" x14ac:dyDescent="0.25">
      <c r="A27" s="29" t="s">
        <v>202</v>
      </c>
      <c r="B27" s="29" t="s">
        <v>117</v>
      </c>
      <c r="C27" s="29" t="s">
        <v>28</v>
      </c>
      <c r="D27" s="29" t="s">
        <v>37</v>
      </c>
      <c r="E27" s="29" t="s">
        <v>86</v>
      </c>
      <c r="F27" s="32">
        <v>46248</v>
      </c>
      <c r="G27" s="32">
        <v>46303</v>
      </c>
      <c r="H27" s="29">
        <v>6</v>
      </c>
      <c r="I27" s="31">
        <v>0.72</v>
      </c>
      <c r="J27" s="29">
        <v>44</v>
      </c>
      <c r="K27" s="29" t="s">
        <v>421</v>
      </c>
    </row>
    <row r="28" spans="1:11" s="28" customFormat="1" x14ac:dyDescent="0.25">
      <c r="A28" s="29" t="s">
        <v>210</v>
      </c>
      <c r="B28" s="29" t="s">
        <v>131</v>
      </c>
      <c r="C28" s="29" t="s">
        <v>28</v>
      </c>
      <c r="D28" s="29" t="s">
        <v>38</v>
      </c>
      <c r="E28" s="29" t="s">
        <v>86</v>
      </c>
      <c r="F28" s="32">
        <v>46251</v>
      </c>
      <c r="G28" s="32">
        <v>46359</v>
      </c>
      <c r="H28" s="29">
        <v>52</v>
      </c>
      <c r="I28" s="31">
        <v>0.34</v>
      </c>
      <c r="J28" s="29">
        <v>77</v>
      </c>
      <c r="K28" s="29" t="s">
        <v>421</v>
      </c>
    </row>
    <row r="29" spans="1:11" s="28" customFormat="1" x14ac:dyDescent="0.25">
      <c r="A29" s="29" t="s">
        <v>314</v>
      </c>
      <c r="B29" s="29" t="s">
        <v>137</v>
      </c>
      <c r="C29" s="29" t="s">
        <v>32</v>
      </c>
      <c r="D29" s="29" t="s">
        <v>38</v>
      </c>
      <c r="E29" s="29" t="s">
        <v>86</v>
      </c>
      <c r="F29" s="32">
        <v>46260</v>
      </c>
      <c r="G29" s="32">
        <v>46452</v>
      </c>
      <c r="H29" s="29">
        <v>67</v>
      </c>
      <c r="I29" s="31">
        <v>0.05</v>
      </c>
      <c r="J29" s="29">
        <v>68</v>
      </c>
      <c r="K29" s="29" t="s">
        <v>421</v>
      </c>
    </row>
    <row r="30" spans="1:11" s="28" customFormat="1" x14ac:dyDescent="0.25">
      <c r="A30" s="29" t="s">
        <v>211</v>
      </c>
      <c r="B30" s="29" t="s">
        <v>137</v>
      </c>
      <c r="C30" s="29" t="s">
        <v>28</v>
      </c>
      <c r="D30" s="29" t="s">
        <v>38</v>
      </c>
      <c r="E30" s="29" t="s">
        <v>86</v>
      </c>
      <c r="F30" s="32">
        <v>46260</v>
      </c>
      <c r="G30" s="32">
        <v>46482</v>
      </c>
      <c r="H30" s="29">
        <v>55</v>
      </c>
      <c r="I30" s="31">
        <v>0.25</v>
      </c>
      <c r="J30" s="29">
        <v>44</v>
      </c>
      <c r="K30" s="29" t="s">
        <v>421</v>
      </c>
    </row>
    <row r="31" spans="1:11" s="28" customFormat="1" x14ac:dyDescent="0.25">
      <c r="A31" s="29" t="s">
        <v>263</v>
      </c>
      <c r="B31" s="29" t="s">
        <v>129</v>
      </c>
      <c r="C31" s="29" t="s">
        <v>30</v>
      </c>
      <c r="D31" s="29" t="s">
        <v>38</v>
      </c>
      <c r="E31" s="29" t="s">
        <v>86</v>
      </c>
      <c r="F31" s="32">
        <v>46262</v>
      </c>
      <c r="G31" s="32">
        <v>46329</v>
      </c>
      <c r="H31" s="29">
        <v>27</v>
      </c>
      <c r="I31" s="31">
        <v>0.1</v>
      </c>
      <c r="J31" s="29">
        <v>29</v>
      </c>
      <c r="K31" s="29" t="s">
        <v>421</v>
      </c>
    </row>
    <row r="32" spans="1:11" s="28" customFormat="1" x14ac:dyDescent="0.25">
      <c r="A32" s="29" t="s">
        <v>279</v>
      </c>
      <c r="B32" s="29" t="s">
        <v>115</v>
      </c>
      <c r="C32" s="29" t="s">
        <v>31</v>
      </c>
      <c r="D32" s="29" t="s">
        <v>37</v>
      </c>
      <c r="E32" s="29" t="s">
        <v>86</v>
      </c>
      <c r="F32" s="32">
        <v>46262</v>
      </c>
      <c r="G32" s="32">
        <v>46392</v>
      </c>
      <c r="H32" s="29">
        <v>79</v>
      </c>
      <c r="I32" s="31">
        <v>0.05</v>
      </c>
      <c r="J32" s="29">
        <v>87</v>
      </c>
      <c r="K32" s="29" t="s">
        <v>421</v>
      </c>
    </row>
    <row r="33" spans="1:11" s="28" customFormat="1" x14ac:dyDescent="0.25">
      <c r="A33" s="29" t="s">
        <v>163</v>
      </c>
      <c r="B33" s="29" t="s">
        <v>135</v>
      </c>
      <c r="C33" s="29" t="s">
        <v>26</v>
      </c>
      <c r="D33" s="29" t="s">
        <v>38</v>
      </c>
      <c r="E33" s="29" t="s">
        <v>86</v>
      </c>
      <c r="F33" s="32">
        <v>46293</v>
      </c>
      <c r="G33" s="32">
        <v>46333</v>
      </c>
      <c r="H33" s="29">
        <v>26</v>
      </c>
      <c r="I33" s="31">
        <v>0.15</v>
      </c>
      <c r="J33" s="29">
        <v>142</v>
      </c>
      <c r="K33" s="29" t="s">
        <v>421</v>
      </c>
    </row>
    <row r="34" spans="1:11" s="28" customFormat="1" x14ac:dyDescent="0.25">
      <c r="A34" s="29" t="s">
        <v>213</v>
      </c>
      <c r="B34" s="29" t="s">
        <v>133</v>
      </c>
      <c r="C34" s="29" t="s">
        <v>28</v>
      </c>
      <c r="D34" s="29" t="s">
        <v>38</v>
      </c>
      <c r="E34" s="29" t="s">
        <v>94</v>
      </c>
      <c r="F34" s="32">
        <v>46296</v>
      </c>
      <c r="G34" s="32">
        <v>46354</v>
      </c>
      <c r="H34" s="29">
        <v>48</v>
      </c>
      <c r="I34" s="31">
        <v>0</v>
      </c>
      <c r="J34" s="29">
        <v>111</v>
      </c>
      <c r="K34" s="29" t="s">
        <v>422</v>
      </c>
    </row>
    <row r="35" spans="1:11" s="28" customFormat="1" x14ac:dyDescent="0.25">
      <c r="A35" s="29" t="s">
        <v>239</v>
      </c>
      <c r="B35" s="29" t="s">
        <v>135</v>
      </c>
      <c r="C35" s="29" t="s">
        <v>29</v>
      </c>
      <c r="D35" s="29" t="s">
        <v>38</v>
      </c>
      <c r="E35" s="29" t="s">
        <v>94</v>
      </c>
      <c r="F35" s="32">
        <v>46296</v>
      </c>
      <c r="G35" s="32">
        <v>46321</v>
      </c>
      <c r="H35" s="29">
        <v>20</v>
      </c>
      <c r="I35" s="31">
        <v>0</v>
      </c>
      <c r="J35" s="29">
        <v>173</v>
      </c>
      <c r="K35" s="29" t="s">
        <v>422</v>
      </c>
    </row>
    <row r="36" spans="1:11" s="28" customFormat="1" x14ac:dyDescent="0.25">
      <c r="A36" s="29" t="s">
        <v>255</v>
      </c>
      <c r="B36" s="29" t="s">
        <v>117</v>
      </c>
      <c r="C36" s="29" t="s">
        <v>30</v>
      </c>
      <c r="D36" s="29" t="s">
        <v>37</v>
      </c>
      <c r="E36" s="29" t="s">
        <v>94</v>
      </c>
      <c r="F36" s="32">
        <v>46296</v>
      </c>
      <c r="G36" s="32">
        <v>46319</v>
      </c>
      <c r="H36" s="29">
        <v>19</v>
      </c>
      <c r="I36" s="31">
        <v>0</v>
      </c>
      <c r="J36" s="29">
        <v>0</v>
      </c>
      <c r="K36" s="29" t="s">
        <v>422</v>
      </c>
    </row>
    <row r="37" spans="1:11" s="28" customFormat="1" x14ac:dyDescent="0.25">
      <c r="A37" s="29" t="s">
        <v>280</v>
      </c>
      <c r="B37" s="29" t="s">
        <v>117</v>
      </c>
      <c r="C37" s="29" t="s">
        <v>31</v>
      </c>
      <c r="D37" s="29" t="s">
        <v>37</v>
      </c>
      <c r="E37" s="29" t="s">
        <v>94</v>
      </c>
      <c r="F37" s="32">
        <v>46301</v>
      </c>
      <c r="G37" s="32">
        <v>46322</v>
      </c>
      <c r="H37" s="29">
        <v>18</v>
      </c>
      <c r="I37" s="31">
        <v>0</v>
      </c>
      <c r="J37" s="29">
        <v>50</v>
      </c>
      <c r="K37" s="29" t="s">
        <v>422</v>
      </c>
    </row>
    <row r="38" spans="1:11" s="28" customFormat="1" x14ac:dyDescent="0.25">
      <c r="A38" s="29" t="s">
        <v>203</v>
      </c>
      <c r="B38" s="29" t="s">
        <v>119</v>
      </c>
      <c r="C38" s="29" t="s">
        <v>28</v>
      </c>
      <c r="D38" s="29" t="s">
        <v>37</v>
      </c>
      <c r="E38" s="29" t="s">
        <v>94</v>
      </c>
      <c r="F38" s="32">
        <v>46304</v>
      </c>
      <c r="G38" s="32">
        <v>46416</v>
      </c>
      <c r="H38" s="29">
        <v>93</v>
      </c>
      <c r="I38" s="31">
        <v>0</v>
      </c>
      <c r="J38" s="29">
        <v>44</v>
      </c>
      <c r="K38" s="29" t="s">
        <v>422</v>
      </c>
    </row>
    <row r="39" spans="1:11" s="28" customFormat="1" x14ac:dyDescent="0.25">
      <c r="A39" s="29" t="s">
        <v>287</v>
      </c>
      <c r="B39" s="29" t="s">
        <v>131</v>
      </c>
      <c r="C39" s="29" t="s">
        <v>31</v>
      </c>
      <c r="D39" s="29" t="s">
        <v>38</v>
      </c>
      <c r="E39" s="29" t="s">
        <v>94</v>
      </c>
      <c r="F39" s="32">
        <v>46308</v>
      </c>
      <c r="G39" s="32">
        <v>46370</v>
      </c>
      <c r="H39" s="29">
        <v>52</v>
      </c>
      <c r="I39" s="31">
        <v>0</v>
      </c>
      <c r="J39" s="29">
        <v>93</v>
      </c>
      <c r="K39" s="29" t="s">
        <v>422</v>
      </c>
    </row>
    <row r="40" spans="1:11" s="28" customFormat="1" x14ac:dyDescent="0.25">
      <c r="A40" s="29" t="s">
        <v>188</v>
      </c>
      <c r="B40" s="29" t="s">
        <v>135</v>
      </c>
      <c r="C40" s="29" t="s">
        <v>27</v>
      </c>
      <c r="D40" s="29" t="s">
        <v>38</v>
      </c>
      <c r="E40" s="29" t="s">
        <v>94</v>
      </c>
      <c r="F40" s="32">
        <v>46317</v>
      </c>
      <c r="G40" s="32">
        <v>46371</v>
      </c>
      <c r="H40" s="29">
        <v>46</v>
      </c>
      <c r="I40" s="31">
        <v>0</v>
      </c>
      <c r="J40" s="29">
        <v>96</v>
      </c>
      <c r="K40" s="29" t="s">
        <v>423</v>
      </c>
    </row>
    <row r="41" spans="1:11" s="28" customFormat="1" x14ac:dyDescent="0.25">
      <c r="A41" s="29" t="s">
        <v>257</v>
      </c>
      <c r="B41" s="29" t="s">
        <v>119</v>
      </c>
      <c r="C41" s="29" t="s">
        <v>30</v>
      </c>
      <c r="D41" s="29" t="s">
        <v>37</v>
      </c>
      <c r="E41" s="29" t="s">
        <v>94</v>
      </c>
      <c r="F41" s="32">
        <v>46321</v>
      </c>
      <c r="G41" s="32">
        <v>46440</v>
      </c>
      <c r="H41" s="29">
        <v>100</v>
      </c>
      <c r="I41" s="31">
        <v>0</v>
      </c>
      <c r="J41" s="29">
        <v>0</v>
      </c>
      <c r="K41" s="29" t="s">
        <v>423</v>
      </c>
    </row>
    <row r="42" spans="1:11" s="28" customFormat="1" x14ac:dyDescent="0.25">
      <c r="A42" s="29" t="s">
        <v>241</v>
      </c>
      <c r="B42" s="29" t="s">
        <v>139</v>
      </c>
      <c r="C42" s="29" t="s">
        <v>29</v>
      </c>
      <c r="D42" s="29" t="s">
        <v>38</v>
      </c>
      <c r="E42" s="29" t="s">
        <v>94</v>
      </c>
      <c r="F42" s="32">
        <v>46322</v>
      </c>
      <c r="G42" s="32">
        <v>46352</v>
      </c>
      <c r="H42" s="29">
        <v>26</v>
      </c>
      <c r="I42" s="31">
        <v>0</v>
      </c>
      <c r="J42" s="29">
        <v>173</v>
      </c>
      <c r="K42" s="29" t="s">
        <v>423</v>
      </c>
    </row>
    <row r="43" spans="1:11" s="28" customFormat="1" x14ac:dyDescent="0.25">
      <c r="A43" s="29" t="s">
        <v>281</v>
      </c>
      <c r="B43" s="29" t="s">
        <v>119</v>
      </c>
      <c r="C43" s="29" t="s">
        <v>31</v>
      </c>
      <c r="D43" s="29" t="s">
        <v>37</v>
      </c>
      <c r="E43" s="29" t="s">
        <v>94</v>
      </c>
      <c r="F43" s="32">
        <v>46323</v>
      </c>
      <c r="G43" s="32">
        <v>46415</v>
      </c>
      <c r="H43" s="29">
        <v>77</v>
      </c>
      <c r="I43" s="31">
        <v>0</v>
      </c>
      <c r="J43" s="29">
        <v>50</v>
      </c>
      <c r="K43" s="29" t="s">
        <v>423</v>
      </c>
    </row>
    <row r="44" spans="1:11" s="28" customFormat="1" x14ac:dyDescent="0.25">
      <c r="A44" s="29" t="s">
        <v>316</v>
      </c>
      <c r="B44" s="29" t="s">
        <v>135</v>
      </c>
      <c r="C44" s="29" t="s">
        <v>32</v>
      </c>
      <c r="D44" s="29" t="s">
        <v>38</v>
      </c>
      <c r="E44" s="29" t="s">
        <v>94</v>
      </c>
      <c r="F44" s="32">
        <v>46324</v>
      </c>
      <c r="G44" s="32">
        <v>46364</v>
      </c>
      <c r="H44" s="29">
        <v>34</v>
      </c>
      <c r="I44" s="31">
        <v>0</v>
      </c>
      <c r="J44" s="29">
        <v>113</v>
      </c>
      <c r="K44" s="29" t="s">
        <v>424</v>
      </c>
    </row>
    <row r="45" spans="1:11" s="28" customFormat="1" x14ac:dyDescent="0.25">
      <c r="A45" s="29" t="s">
        <v>242</v>
      </c>
      <c r="B45" s="29" t="s">
        <v>137</v>
      </c>
      <c r="C45" s="29" t="s">
        <v>29</v>
      </c>
      <c r="D45" s="29" t="s">
        <v>38</v>
      </c>
      <c r="E45" s="29" t="s">
        <v>94</v>
      </c>
      <c r="F45" s="32">
        <v>46326</v>
      </c>
      <c r="G45" s="32">
        <v>46375</v>
      </c>
      <c r="H45" s="29">
        <v>42</v>
      </c>
      <c r="I45" s="31">
        <v>0</v>
      </c>
      <c r="J45" s="29">
        <v>142</v>
      </c>
      <c r="K45" s="29" t="s">
        <v>424</v>
      </c>
    </row>
    <row r="46" spans="1:11" s="28" customFormat="1" x14ac:dyDescent="0.25">
      <c r="A46" s="29" t="s">
        <v>264</v>
      </c>
      <c r="B46" s="29" t="s">
        <v>131</v>
      </c>
      <c r="C46" s="29" t="s">
        <v>30</v>
      </c>
      <c r="D46" s="29" t="s">
        <v>38</v>
      </c>
      <c r="E46" s="29" t="s">
        <v>94</v>
      </c>
      <c r="F46" s="32">
        <v>46330</v>
      </c>
      <c r="G46" s="32">
        <v>46422</v>
      </c>
      <c r="H46" s="29">
        <v>77</v>
      </c>
      <c r="I46" s="31">
        <v>0</v>
      </c>
      <c r="J46" s="29">
        <v>29</v>
      </c>
      <c r="K46" s="29" t="s">
        <v>424</v>
      </c>
    </row>
    <row r="47" spans="1:11" s="28" customFormat="1" x14ac:dyDescent="0.25">
      <c r="A47" s="29" t="s">
        <v>338</v>
      </c>
      <c r="B47" s="29" t="s">
        <v>135</v>
      </c>
      <c r="C47" s="29" t="s">
        <v>33</v>
      </c>
      <c r="D47" s="29" t="s">
        <v>38</v>
      </c>
      <c r="E47" s="29" t="s">
        <v>94</v>
      </c>
      <c r="F47" s="32">
        <v>46332</v>
      </c>
      <c r="G47" s="32">
        <v>46359</v>
      </c>
      <c r="H47" s="29">
        <v>23</v>
      </c>
      <c r="I47" s="31">
        <v>0</v>
      </c>
      <c r="J47" s="29">
        <v>135</v>
      </c>
      <c r="K47" s="29" t="s">
        <v>424</v>
      </c>
    </row>
    <row r="48" spans="1:11" s="28" customFormat="1" x14ac:dyDescent="0.25">
      <c r="A48" s="29" t="s">
        <v>288</v>
      </c>
      <c r="B48" s="29" t="s">
        <v>133</v>
      </c>
      <c r="C48" s="29" t="s">
        <v>31</v>
      </c>
      <c r="D48" s="29" t="s">
        <v>38</v>
      </c>
      <c r="E48" s="29" t="s">
        <v>94</v>
      </c>
      <c r="F48" s="32">
        <v>46332</v>
      </c>
      <c r="G48" s="32">
        <v>46378</v>
      </c>
      <c r="H48" s="29">
        <v>39</v>
      </c>
      <c r="I48" s="31">
        <v>0</v>
      </c>
      <c r="J48" s="29">
        <v>108</v>
      </c>
      <c r="K48" s="29" t="s">
        <v>424</v>
      </c>
    </row>
    <row r="49" spans="1:11" s="28" customFormat="1" x14ac:dyDescent="0.25">
      <c r="A49" s="29" t="s">
        <v>165</v>
      </c>
      <c r="B49" s="29" t="s">
        <v>137</v>
      </c>
      <c r="C49" s="29" t="s">
        <v>26</v>
      </c>
      <c r="D49" s="29" t="s">
        <v>38</v>
      </c>
      <c r="E49" s="29" t="s">
        <v>94</v>
      </c>
      <c r="F49" s="32">
        <v>46336</v>
      </c>
      <c r="G49" s="32">
        <v>46409</v>
      </c>
      <c r="H49" s="29">
        <v>63</v>
      </c>
      <c r="I49" s="31">
        <v>0</v>
      </c>
      <c r="J49" s="29">
        <v>108</v>
      </c>
      <c r="K49" s="29" t="s">
        <v>424</v>
      </c>
    </row>
    <row r="50" spans="1:11" s="28" customFormat="1" x14ac:dyDescent="0.25">
      <c r="A50" s="29" t="s">
        <v>166</v>
      </c>
      <c r="B50" s="29" t="s">
        <v>139</v>
      </c>
      <c r="C50" s="29" t="s">
        <v>26</v>
      </c>
      <c r="D50" s="29" t="s">
        <v>38</v>
      </c>
      <c r="E50" s="29" t="s">
        <v>94</v>
      </c>
      <c r="F50" s="32">
        <v>46336</v>
      </c>
      <c r="G50" s="32">
        <v>46389</v>
      </c>
      <c r="H50" s="29">
        <v>46</v>
      </c>
      <c r="I50" s="31">
        <v>0</v>
      </c>
      <c r="J50" s="29">
        <v>142</v>
      </c>
      <c r="K50" s="29" t="s">
        <v>424</v>
      </c>
    </row>
  </sheetData>
  <autoFilter ref="A4:K4"/>
  <mergeCells count="2">
    <mergeCell ref="A1:K1"/>
    <mergeCell ref="A2:K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C204B"/>
  </sheetPr>
  <dimension ref="A1:P3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5" customWidth="1"/>
    <col min="3" max="3" width="44" customWidth="1"/>
    <col min="4" max="4" width="18" customWidth="1"/>
    <col min="5" max="5" width="14" customWidth="1"/>
    <col min="6" max="6" width="12" customWidth="1"/>
    <col min="7" max="10" width="11" customWidth="1"/>
    <col min="11" max="12" width="7" customWidth="1"/>
    <col min="13" max="13" width="20" customWidth="1"/>
    <col min="14" max="14" width="60" customWidth="1"/>
    <col min="15" max="15" width="40" customWidth="1"/>
    <col min="16" max="16" width="16" customWidth="1"/>
  </cols>
  <sheetData>
    <row r="1" ht="30" customHeight="1" spans="1:16" x14ac:dyDescent="0.25">
      <c r="A1" s="1" t="s">
        <v>425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ht="30" customHeight="1" spans="1:16" x14ac:dyDescent="0.25">
      <c r="A4" s="95" t="s">
        <v>426</v>
      </c>
      <c r="B4" s="95" t="s">
        <v>66</v>
      </c>
      <c r="C4" s="95" t="s">
        <v>67</v>
      </c>
      <c r="D4" s="95" t="s">
        <v>54</v>
      </c>
      <c r="E4" s="95" t="s">
        <v>68</v>
      </c>
      <c r="F4" s="95" t="s">
        <v>69</v>
      </c>
      <c r="G4" s="95" t="s">
        <v>427</v>
      </c>
      <c r="H4" s="95" t="s">
        <v>428</v>
      </c>
      <c r="I4" s="95" t="s">
        <v>73</v>
      </c>
      <c r="J4" s="95" t="s">
        <v>74</v>
      </c>
      <c r="K4" s="95" t="s">
        <v>362</v>
      </c>
      <c r="L4" s="95" t="s">
        <v>429</v>
      </c>
      <c r="M4" s="95" t="s">
        <v>430</v>
      </c>
      <c r="N4" s="95" t="s">
        <v>431</v>
      </c>
      <c r="O4" s="95" t="s">
        <v>432</v>
      </c>
      <c r="P4" s="95" t="s">
        <v>433</v>
      </c>
    </row>
    <row r="5" spans="1:16" s="28" customFormat="1" x14ac:dyDescent="0.25">
      <c r="A5" s="29" t="s">
        <v>434</v>
      </c>
      <c r="B5" s="29" t="s">
        <v>163</v>
      </c>
      <c r="C5" s="29" t="s">
        <v>135</v>
      </c>
      <c r="D5" s="29" t="s">
        <v>26</v>
      </c>
      <c r="E5" s="29" t="s">
        <v>38</v>
      </c>
      <c r="F5" s="29" t="s">
        <v>86</v>
      </c>
      <c r="G5" s="32">
        <v>46293</v>
      </c>
      <c r="H5" s="32">
        <v>46330</v>
      </c>
      <c r="I5" s="32">
        <v>46293</v>
      </c>
      <c r="J5" s="32">
        <v>46333</v>
      </c>
      <c r="K5" s="31">
        <v>0.15</v>
      </c>
      <c r="L5" s="29">
        <v>142</v>
      </c>
      <c r="M5" s="29" t="s">
        <v>85</v>
      </c>
      <c r="N5" s="29" t="s">
        <v>435</v>
      </c>
      <c r="O5" s="29" t="s">
        <v>85</v>
      </c>
      <c r="P5" s="29" t="s">
        <v>85</v>
      </c>
    </row>
    <row r="6" spans="1:16" s="28" customFormat="1" x14ac:dyDescent="0.25">
      <c r="A6" s="29" t="s">
        <v>13</v>
      </c>
      <c r="B6" s="29" t="s">
        <v>161</v>
      </c>
      <c r="C6" s="29" t="s">
        <v>133</v>
      </c>
      <c r="D6" s="29" t="s">
        <v>26</v>
      </c>
      <c r="E6" s="29" t="s">
        <v>38</v>
      </c>
      <c r="F6" s="29" t="s">
        <v>86</v>
      </c>
      <c r="G6" s="32">
        <v>46214</v>
      </c>
      <c r="H6" s="32">
        <v>46289</v>
      </c>
      <c r="I6" s="32">
        <v>46214</v>
      </c>
      <c r="J6" s="32">
        <v>46307</v>
      </c>
      <c r="K6" s="31">
        <v>0.84</v>
      </c>
      <c r="L6" s="29">
        <v>129</v>
      </c>
      <c r="M6" s="29" t="s">
        <v>85</v>
      </c>
      <c r="N6" s="29" t="s">
        <v>435</v>
      </c>
      <c r="O6" s="29" t="s">
        <v>85</v>
      </c>
      <c r="P6" s="29" t="s">
        <v>85</v>
      </c>
    </row>
    <row r="7" spans="1:16" s="28" customFormat="1" x14ac:dyDescent="0.25">
      <c r="A7" s="29" t="s">
        <v>13</v>
      </c>
      <c r="B7" s="29" t="s">
        <v>202</v>
      </c>
      <c r="C7" s="29" t="s">
        <v>117</v>
      </c>
      <c r="D7" s="29" t="s">
        <v>28</v>
      </c>
      <c r="E7" s="29" t="s">
        <v>37</v>
      </c>
      <c r="F7" s="29" t="s">
        <v>86</v>
      </c>
      <c r="G7" s="32">
        <v>46248</v>
      </c>
      <c r="H7" s="32">
        <v>46277</v>
      </c>
      <c r="I7" s="32">
        <v>46248</v>
      </c>
      <c r="J7" s="32">
        <v>46303</v>
      </c>
      <c r="K7" s="31">
        <v>0.72</v>
      </c>
      <c r="L7" s="29">
        <v>44</v>
      </c>
      <c r="M7" s="29" t="s">
        <v>85</v>
      </c>
      <c r="N7" s="29" t="s">
        <v>435</v>
      </c>
      <c r="O7" s="29" t="s">
        <v>85</v>
      </c>
      <c r="P7" s="29" t="s">
        <v>85</v>
      </c>
    </row>
    <row r="8" spans="1:16" s="28" customFormat="1" x14ac:dyDescent="0.25">
      <c r="A8" s="29" t="s">
        <v>12</v>
      </c>
      <c r="B8" s="29" t="s">
        <v>203</v>
      </c>
      <c r="C8" s="29" t="s">
        <v>119</v>
      </c>
      <c r="D8" s="29" t="s">
        <v>28</v>
      </c>
      <c r="E8" s="29" t="s">
        <v>37</v>
      </c>
      <c r="F8" s="29" t="s">
        <v>94</v>
      </c>
      <c r="G8" s="32">
        <v>46279</v>
      </c>
      <c r="H8" s="32">
        <v>46391</v>
      </c>
      <c r="I8" s="32">
        <v>46304</v>
      </c>
      <c r="J8" s="32">
        <v>46416</v>
      </c>
      <c r="K8" s="31">
        <v>0</v>
      </c>
      <c r="L8" s="29">
        <v>44</v>
      </c>
      <c r="M8" s="29" t="s">
        <v>85</v>
      </c>
      <c r="N8" s="29" t="s">
        <v>435</v>
      </c>
      <c r="O8" s="29" t="s">
        <v>85</v>
      </c>
      <c r="P8" s="29" t="s">
        <v>85</v>
      </c>
    </row>
    <row r="9" spans="1:16" s="28" customFormat="1" x14ac:dyDescent="0.25">
      <c r="A9" s="29" t="s">
        <v>12</v>
      </c>
      <c r="B9" s="29" t="s">
        <v>213</v>
      </c>
      <c r="C9" s="29" t="s">
        <v>133</v>
      </c>
      <c r="D9" s="29" t="s">
        <v>28</v>
      </c>
      <c r="E9" s="29" t="s">
        <v>38</v>
      </c>
      <c r="F9" s="29" t="s">
        <v>94</v>
      </c>
      <c r="G9" s="32">
        <v>46274</v>
      </c>
      <c r="H9" s="32">
        <v>46331</v>
      </c>
      <c r="I9" s="32">
        <v>46296</v>
      </c>
      <c r="J9" s="32">
        <v>46354</v>
      </c>
      <c r="K9" s="31">
        <v>0</v>
      </c>
      <c r="L9" s="29">
        <v>111</v>
      </c>
      <c r="M9" s="29" t="s">
        <v>85</v>
      </c>
      <c r="N9" s="29" t="s">
        <v>435</v>
      </c>
      <c r="O9" s="29" t="s">
        <v>85</v>
      </c>
      <c r="P9" s="29" t="s">
        <v>85</v>
      </c>
    </row>
    <row r="10" spans="1:16" s="28" customFormat="1" x14ac:dyDescent="0.25">
      <c r="A10" s="29" t="s">
        <v>436</v>
      </c>
      <c r="B10" s="29" t="s">
        <v>211</v>
      </c>
      <c r="C10" s="29" t="s">
        <v>137</v>
      </c>
      <c r="D10" s="29" t="s">
        <v>28</v>
      </c>
      <c r="E10" s="29" t="s">
        <v>38</v>
      </c>
      <c r="F10" s="29" t="s">
        <v>86</v>
      </c>
      <c r="G10" s="32">
        <v>46260</v>
      </c>
      <c r="H10" s="32">
        <v>46476</v>
      </c>
      <c r="I10" s="32">
        <v>46260</v>
      </c>
      <c r="J10" s="32">
        <v>46482</v>
      </c>
      <c r="K10" s="31">
        <v>0.25</v>
      </c>
      <c r="L10" s="29">
        <v>44</v>
      </c>
      <c r="M10" s="29" t="s">
        <v>85</v>
      </c>
      <c r="N10" s="29" t="s">
        <v>435</v>
      </c>
      <c r="O10" s="29" t="s">
        <v>85</v>
      </c>
      <c r="P10" s="29" t="s">
        <v>85</v>
      </c>
    </row>
    <row r="11" spans="1:16" s="28" customFormat="1" x14ac:dyDescent="0.25">
      <c r="A11" s="29" t="s">
        <v>434</v>
      </c>
      <c r="B11" s="29" t="s">
        <v>211</v>
      </c>
      <c r="C11" s="29" t="s">
        <v>137</v>
      </c>
      <c r="D11" s="29" t="s">
        <v>28</v>
      </c>
      <c r="E11" s="29" t="s">
        <v>38</v>
      </c>
      <c r="F11" s="29" t="s">
        <v>86</v>
      </c>
      <c r="G11" s="32">
        <v>46260</v>
      </c>
      <c r="H11" s="32">
        <v>46476</v>
      </c>
      <c r="I11" s="32">
        <v>46260</v>
      </c>
      <c r="J11" s="32">
        <v>46482</v>
      </c>
      <c r="K11" s="31">
        <v>0.25</v>
      </c>
      <c r="L11" s="29">
        <v>44</v>
      </c>
      <c r="M11" s="29" t="s">
        <v>85</v>
      </c>
      <c r="N11" s="29" t="s">
        <v>435</v>
      </c>
      <c r="O11" s="29" t="s">
        <v>85</v>
      </c>
      <c r="P11" s="29" t="s">
        <v>85</v>
      </c>
    </row>
    <row r="12" spans="1:16" s="28" customFormat="1" x14ac:dyDescent="0.25">
      <c r="A12" s="29" t="s">
        <v>13</v>
      </c>
      <c r="B12" s="29" t="s">
        <v>230</v>
      </c>
      <c r="C12" s="29" t="s">
        <v>119</v>
      </c>
      <c r="D12" s="29" t="s">
        <v>29</v>
      </c>
      <c r="E12" s="29" t="s">
        <v>37</v>
      </c>
      <c r="F12" s="29" t="s">
        <v>86</v>
      </c>
      <c r="G12" s="32">
        <v>46205</v>
      </c>
      <c r="H12" s="32">
        <v>46293</v>
      </c>
      <c r="I12" s="32">
        <v>46205</v>
      </c>
      <c r="J12" s="32">
        <v>46325</v>
      </c>
      <c r="K12" s="31">
        <v>0.66</v>
      </c>
      <c r="L12" s="29">
        <v>142</v>
      </c>
      <c r="M12" s="29" t="s">
        <v>85</v>
      </c>
      <c r="N12" s="29" t="s">
        <v>435</v>
      </c>
      <c r="O12" s="29" t="s">
        <v>85</v>
      </c>
      <c r="P12" s="29" t="s">
        <v>85</v>
      </c>
    </row>
    <row r="13" spans="1:16" s="28" customFormat="1" x14ac:dyDescent="0.25">
      <c r="A13" s="29" t="s">
        <v>13</v>
      </c>
      <c r="B13" s="29" t="s">
        <v>237</v>
      </c>
      <c r="C13" s="29" t="s">
        <v>131</v>
      </c>
      <c r="D13" s="29" t="s">
        <v>29</v>
      </c>
      <c r="E13" s="29" t="s">
        <v>38</v>
      </c>
      <c r="F13" s="29" t="s">
        <v>86</v>
      </c>
      <c r="G13" s="32">
        <v>46207</v>
      </c>
      <c r="H13" s="32">
        <v>46268</v>
      </c>
      <c r="I13" s="32">
        <v>46207</v>
      </c>
      <c r="J13" s="32">
        <v>46300</v>
      </c>
      <c r="K13" s="31">
        <v>0.94</v>
      </c>
      <c r="L13" s="29">
        <v>136</v>
      </c>
      <c r="M13" s="29" t="s">
        <v>85</v>
      </c>
      <c r="N13" s="29" t="s">
        <v>435</v>
      </c>
      <c r="O13" s="29" t="s">
        <v>85</v>
      </c>
      <c r="P13" s="29" t="s">
        <v>85</v>
      </c>
    </row>
    <row r="14" spans="1:16" s="28" customFormat="1" x14ac:dyDescent="0.25">
      <c r="A14" s="29" t="s">
        <v>13</v>
      </c>
      <c r="B14" s="29" t="s">
        <v>239</v>
      </c>
      <c r="C14" s="29" t="s">
        <v>135</v>
      </c>
      <c r="D14" s="29" t="s">
        <v>29</v>
      </c>
      <c r="E14" s="29" t="s">
        <v>38</v>
      </c>
      <c r="F14" s="29" t="s">
        <v>94</v>
      </c>
      <c r="G14" s="32">
        <v>46266</v>
      </c>
      <c r="H14" s="32">
        <v>46288</v>
      </c>
      <c r="I14" s="32">
        <v>46296</v>
      </c>
      <c r="J14" s="32">
        <v>46321</v>
      </c>
      <c r="K14" s="31">
        <v>0</v>
      </c>
      <c r="L14" s="29">
        <v>173</v>
      </c>
      <c r="M14" s="29" t="s">
        <v>85</v>
      </c>
      <c r="N14" s="29" t="s">
        <v>435</v>
      </c>
      <c r="O14" s="29" t="s">
        <v>85</v>
      </c>
      <c r="P14" s="29" t="s">
        <v>85</v>
      </c>
    </row>
    <row r="15" spans="1:16" s="28" customFormat="1" x14ac:dyDescent="0.25">
      <c r="A15" s="29" t="s">
        <v>12</v>
      </c>
      <c r="B15" s="29" t="s">
        <v>239</v>
      </c>
      <c r="C15" s="29" t="s">
        <v>135</v>
      </c>
      <c r="D15" s="29" t="s">
        <v>29</v>
      </c>
      <c r="E15" s="29" t="s">
        <v>38</v>
      </c>
      <c r="F15" s="29" t="s">
        <v>94</v>
      </c>
      <c r="G15" s="32">
        <v>46266</v>
      </c>
      <c r="H15" s="32">
        <v>46288</v>
      </c>
      <c r="I15" s="32">
        <v>46296</v>
      </c>
      <c r="J15" s="32">
        <v>46321</v>
      </c>
      <c r="K15" s="31">
        <v>0</v>
      </c>
      <c r="L15" s="29">
        <v>173</v>
      </c>
      <c r="M15" s="29" t="s">
        <v>85</v>
      </c>
      <c r="N15" s="29" t="s">
        <v>435</v>
      </c>
      <c r="O15" s="29" t="s">
        <v>85</v>
      </c>
      <c r="P15" s="29" t="s">
        <v>85</v>
      </c>
    </row>
    <row r="16" spans="1:16" s="28" customFormat="1" x14ac:dyDescent="0.25">
      <c r="A16" s="29" t="s">
        <v>13</v>
      </c>
      <c r="B16" s="29" t="s">
        <v>238</v>
      </c>
      <c r="C16" s="29" t="s">
        <v>133</v>
      </c>
      <c r="D16" s="29" t="s">
        <v>29</v>
      </c>
      <c r="E16" s="29" t="s">
        <v>38</v>
      </c>
      <c r="F16" s="29" t="s">
        <v>86</v>
      </c>
      <c r="G16" s="32">
        <v>46234</v>
      </c>
      <c r="H16" s="32">
        <v>46282</v>
      </c>
      <c r="I16" s="32">
        <v>46234</v>
      </c>
      <c r="J16" s="32">
        <v>46314</v>
      </c>
      <c r="K16" s="31">
        <v>0.61</v>
      </c>
      <c r="L16" s="29">
        <v>156</v>
      </c>
      <c r="M16" s="29" t="s">
        <v>85</v>
      </c>
      <c r="N16" s="29" t="s">
        <v>435</v>
      </c>
      <c r="O16" s="29" t="s">
        <v>85</v>
      </c>
      <c r="P16" s="29" t="s">
        <v>85</v>
      </c>
    </row>
    <row r="17" spans="1:16" s="28" customFormat="1" x14ac:dyDescent="0.25">
      <c r="A17" s="29" t="s">
        <v>12</v>
      </c>
      <c r="B17" s="29" t="s">
        <v>242</v>
      </c>
      <c r="C17" s="29" t="s">
        <v>137</v>
      </c>
      <c r="D17" s="29" t="s">
        <v>29</v>
      </c>
      <c r="E17" s="29" t="s">
        <v>38</v>
      </c>
      <c r="F17" s="29" t="s">
        <v>94</v>
      </c>
      <c r="G17" s="32">
        <v>46294</v>
      </c>
      <c r="H17" s="32">
        <v>46345</v>
      </c>
      <c r="I17" s="32">
        <v>46326</v>
      </c>
      <c r="J17" s="32">
        <v>46375</v>
      </c>
      <c r="K17" s="31">
        <v>0</v>
      </c>
      <c r="L17" s="29">
        <v>142</v>
      </c>
      <c r="M17" s="29" t="s">
        <v>85</v>
      </c>
      <c r="N17" s="29" t="s">
        <v>435</v>
      </c>
      <c r="O17" s="29" t="s">
        <v>85</v>
      </c>
      <c r="P17" s="29" t="s">
        <v>85</v>
      </c>
    </row>
    <row r="18" spans="1:16" s="28" customFormat="1" x14ac:dyDescent="0.25">
      <c r="A18" s="29" t="s">
        <v>12</v>
      </c>
      <c r="B18" s="29" t="s">
        <v>241</v>
      </c>
      <c r="C18" s="29" t="s">
        <v>139</v>
      </c>
      <c r="D18" s="29" t="s">
        <v>29</v>
      </c>
      <c r="E18" s="29" t="s">
        <v>38</v>
      </c>
      <c r="F18" s="29" t="s">
        <v>94</v>
      </c>
      <c r="G18" s="32">
        <v>46289</v>
      </c>
      <c r="H18" s="32">
        <v>46321</v>
      </c>
      <c r="I18" s="32">
        <v>46322</v>
      </c>
      <c r="J18" s="32">
        <v>46352</v>
      </c>
      <c r="K18" s="31">
        <v>0</v>
      </c>
      <c r="L18" s="29">
        <v>173</v>
      </c>
      <c r="M18" s="29" t="s">
        <v>85</v>
      </c>
      <c r="N18" s="29" t="s">
        <v>435</v>
      </c>
      <c r="O18" s="29" t="s">
        <v>85</v>
      </c>
      <c r="P18" s="29" t="s">
        <v>85</v>
      </c>
    </row>
    <row r="19" spans="1:16" s="28" customFormat="1" x14ac:dyDescent="0.25">
      <c r="A19" s="29" t="s">
        <v>13</v>
      </c>
      <c r="B19" s="29" t="s">
        <v>255</v>
      </c>
      <c r="C19" s="29" t="s">
        <v>117</v>
      </c>
      <c r="D19" s="29" t="s">
        <v>30</v>
      </c>
      <c r="E19" s="29" t="s">
        <v>37</v>
      </c>
      <c r="F19" s="29" t="s">
        <v>94</v>
      </c>
      <c r="G19" s="32">
        <v>46266</v>
      </c>
      <c r="H19" s="32">
        <v>46287</v>
      </c>
      <c r="I19" s="32">
        <v>46296</v>
      </c>
      <c r="J19" s="32">
        <v>46319</v>
      </c>
      <c r="K19" s="31">
        <v>0</v>
      </c>
      <c r="L19" s="29">
        <v>0</v>
      </c>
      <c r="M19" s="29" t="s">
        <v>85</v>
      </c>
      <c r="N19" s="29" t="s">
        <v>435</v>
      </c>
      <c r="O19" s="29" t="s">
        <v>85</v>
      </c>
      <c r="P19" s="29" t="s">
        <v>85</v>
      </c>
    </row>
    <row r="20" spans="1:16" s="28" customFormat="1" x14ac:dyDescent="0.25">
      <c r="A20" s="29" t="s">
        <v>12</v>
      </c>
      <c r="B20" s="29" t="s">
        <v>255</v>
      </c>
      <c r="C20" s="29" t="s">
        <v>117</v>
      </c>
      <c r="D20" s="29" t="s">
        <v>30</v>
      </c>
      <c r="E20" s="29" t="s">
        <v>37</v>
      </c>
      <c r="F20" s="29" t="s">
        <v>94</v>
      </c>
      <c r="G20" s="32">
        <v>46266</v>
      </c>
      <c r="H20" s="32">
        <v>46287</v>
      </c>
      <c r="I20" s="32">
        <v>46296</v>
      </c>
      <c r="J20" s="32">
        <v>46319</v>
      </c>
      <c r="K20" s="31">
        <v>0</v>
      </c>
      <c r="L20" s="29">
        <v>0</v>
      </c>
      <c r="M20" s="29" t="s">
        <v>85</v>
      </c>
      <c r="N20" s="29" t="s">
        <v>435</v>
      </c>
      <c r="O20" s="29" t="s">
        <v>85</v>
      </c>
      <c r="P20" s="29" t="s">
        <v>85</v>
      </c>
    </row>
    <row r="21" spans="1:16" s="28" customFormat="1" x14ac:dyDescent="0.25">
      <c r="A21" s="29" t="s">
        <v>12</v>
      </c>
      <c r="B21" s="29" t="s">
        <v>257</v>
      </c>
      <c r="C21" s="29" t="s">
        <v>119</v>
      </c>
      <c r="D21" s="29" t="s">
        <v>30</v>
      </c>
      <c r="E21" s="29" t="s">
        <v>37</v>
      </c>
      <c r="F21" s="29" t="s">
        <v>94</v>
      </c>
      <c r="G21" s="32">
        <v>46288</v>
      </c>
      <c r="H21" s="32">
        <v>46408</v>
      </c>
      <c r="I21" s="32">
        <v>46321</v>
      </c>
      <c r="J21" s="32">
        <v>46440</v>
      </c>
      <c r="K21" s="31">
        <v>0</v>
      </c>
      <c r="L21" s="29">
        <v>0</v>
      </c>
      <c r="M21" s="29" t="s">
        <v>85</v>
      </c>
      <c r="N21" s="29" t="s">
        <v>435</v>
      </c>
      <c r="O21" s="29" t="s">
        <v>85</v>
      </c>
      <c r="P21" s="29" t="s">
        <v>85</v>
      </c>
    </row>
    <row r="22" spans="1:16" s="28" customFormat="1" x14ac:dyDescent="0.25">
      <c r="A22" s="29" t="s">
        <v>13</v>
      </c>
      <c r="B22" s="29" t="s">
        <v>275</v>
      </c>
      <c r="C22" s="29" t="s">
        <v>108</v>
      </c>
      <c r="D22" s="29" t="s">
        <v>31</v>
      </c>
      <c r="E22" s="29" t="s">
        <v>36</v>
      </c>
      <c r="F22" s="29" t="s">
        <v>86</v>
      </c>
      <c r="G22" s="32">
        <v>46203</v>
      </c>
      <c r="H22" s="32">
        <v>46267</v>
      </c>
      <c r="I22" s="32">
        <v>46203</v>
      </c>
      <c r="J22" s="32">
        <v>46300</v>
      </c>
      <c r="K22" s="31">
        <v>0.95</v>
      </c>
      <c r="L22" s="29">
        <v>42</v>
      </c>
      <c r="M22" s="29" t="s">
        <v>85</v>
      </c>
      <c r="N22" s="29" t="s">
        <v>435</v>
      </c>
      <c r="O22" s="29" t="s">
        <v>85</v>
      </c>
      <c r="P22" s="29" t="s">
        <v>85</v>
      </c>
    </row>
    <row r="23" spans="1:16" s="28" customFormat="1" x14ac:dyDescent="0.25">
      <c r="A23" s="29" t="s">
        <v>13</v>
      </c>
      <c r="B23" s="29" t="s">
        <v>276</v>
      </c>
      <c r="C23" s="29" t="s">
        <v>110</v>
      </c>
      <c r="D23" s="29" t="s">
        <v>31</v>
      </c>
      <c r="E23" s="29" t="s">
        <v>36</v>
      </c>
      <c r="F23" s="29" t="s">
        <v>86</v>
      </c>
      <c r="G23" s="32">
        <v>46234</v>
      </c>
      <c r="H23" s="32">
        <v>46267</v>
      </c>
      <c r="I23" s="32">
        <v>46234</v>
      </c>
      <c r="J23" s="32">
        <v>46300</v>
      </c>
      <c r="K23" s="31">
        <v>0.95</v>
      </c>
      <c r="L23" s="29">
        <v>179</v>
      </c>
      <c r="M23" s="29" t="s">
        <v>85</v>
      </c>
      <c r="N23" s="29" t="s">
        <v>435</v>
      </c>
      <c r="O23" s="29" t="s">
        <v>85</v>
      </c>
      <c r="P23" s="29" t="s">
        <v>85</v>
      </c>
    </row>
    <row r="24" spans="1:16" s="28" customFormat="1" x14ac:dyDescent="0.25">
      <c r="A24" s="29" t="s">
        <v>13</v>
      </c>
      <c r="B24" s="29" t="s">
        <v>280</v>
      </c>
      <c r="C24" s="29" t="s">
        <v>117</v>
      </c>
      <c r="D24" s="29" t="s">
        <v>31</v>
      </c>
      <c r="E24" s="29" t="s">
        <v>37</v>
      </c>
      <c r="F24" s="29" t="s">
        <v>94</v>
      </c>
      <c r="G24" s="32">
        <v>46268</v>
      </c>
      <c r="H24" s="32">
        <v>46288</v>
      </c>
      <c r="I24" s="32">
        <v>46301</v>
      </c>
      <c r="J24" s="32">
        <v>46322</v>
      </c>
      <c r="K24" s="31">
        <v>0</v>
      </c>
      <c r="L24" s="29">
        <v>50</v>
      </c>
      <c r="M24" s="29" t="s">
        <v>85</v>
      </c>
      <c r="N24" s="29" t="s">
        <v>435</v>
      </c>
      <c r="O24" s="29" t="s">
        <v>85</v>
      </c>
      <c r="P24" s="29" t="s">
        <v>85</v>
      </c>
    </row>
    <row r="25" spans="1:16" s="28" customFormat="1" x14ac:dyDescent="0.25">
      <c r="A25" s="29" t="s">
        <v>12</v>
      </c>
      <c r="B25" s="29" t="s">
        <v>280</v>
      </c>
      <c r="C25" s="29" t="s">
        <v>117</v>
      </c>
      <c r="D25" s="29" t="s">
        <v>31</v>
      </c>
      <c r="E25" s="29" t="s">
        <v>37</v>
      </c>
      <c r="F25" s="29" t="s">
        <v>94</v>
      </c>
      <c r="G25" s="32">
        <v>46268</v>
      </c>
      <c r="H25" s="32">
        <v>46288</v>
      </c>
      <c r="I25" s="32">
        <v>46301</v>
      </c>
      <c r="J25" s="32">
        <v>46322</v>
      </c>
      <c r="K25" s="31">
        <v>0</v>
      </c>
      <c r="L25" s="29">
        <v>50</v>
      </c>
      <c r="M25" s="29" t="s">
        <v>85</v>
      </c>
      <c r="N25" s="29" t="s">
        <v>435</v>
      </c>
      <c r="O25" s="29" t="s">
        <v>85</v>
      </c>
      <c r="P25" s="29" t="s">
        <v>85</v>
      </c>
    </row>
    <row r="26" spans="1:16" s="28" customFormat="1" x14ac:dyDescent="0.25">
      <c r="A26" s="29" t="s">
        <v>12</v>
      </c>
      <c r="B26" s="29" t="s">
        <v>281</v>
      </c>
      <c r="C26" s="29" t="s">
        <v>119</v>
      </c>
      <c r="D26" s="29" t="s">
        <v>31</v>
      </c>
      <c r="E26" s="29" t="s">
        <v>37</v>
      </c>
      <c r="F26" s="29" t="s">
        <v>94</v>
      </c>
      <c r="G26" s="32">
        <v>46289</v>
      </c>
      <c r="H26" s="32">
        <v>46382</v>
      </c>
      <c r="I26" s="32">
        <v>46323</v>
      </c>
      <c r="J26" s="32">
        <v>46415</v>
      </c>
      <c r="K26" s="31">
        <v>0</v>
      </c>
      <c r="L26" s="29">
        <v>50</v>
      </c>
      <c r="M26" s="29" t="s">
        <v>85</v>
      </c>
      <c r="N26" s="29" t="s">
        <v>435</v>
      </c>
      <c r="O26" s="29" t="s">
        <v>85</v>
      </c>
      <c r="P26" s="29" t="s">
        <v>85</v>
      </c>
    </row>
    <row r="27" spans="1:16" s="28" customFormat="1" x14ac:dyDescent="0.25">
      <c r="A27" s="29" t="s">
        <v>13</v>
      </c>
      <c r="B27" s="29" t="s">
        <v>286</v>
      </c>
      <c r="C27" s="29" t="s">
        <v>129</v>
      </c>
      <c r="D27" s="29" t="s">
        <v>31</v>
      </c>
      <c r="E27" s="29" t="s">
        <v>38</v>
      </c>
      <c r="F27" s="29" t="s">
        <v>86</v>
      </c>
      <c r="G27" s="32">
        <v>46247</v>
      </c>
      <c r="H27" s="32">
        <v>46275</v>
      </c>
      <c r="I27" s="32">
        <v>46247</v>
      </c>
      <c r="J27" s="32">
        <v>46307</v>
      </c>
      <c r="K27" s="31">
        <v>0.59</v>
      </c>
      <c r="L27" s="29">
        <v>93</v>
      </c>
      <c r="M27" s="29" t="s">
        <v>85</v>
      </c>
      <c r="N27" s="29" t="s">
        <v>435</v>
      </c>
      <c r="O27" s="29" t="s">
        <v>85</v>
      </c>
      <c r="P27" s="29" t="s">
        <v>85</v>
      </c>
    </row>
    <row r="28" spans="1:16" s="28" customFormat="1" x14ac:dyDescent="0.25">
      <c r="A28" s="29" t="s">
        <v>12</v>
      </c>
      <c r="B28" s="29" t="s">
        <v>287</v>
      </c>
      <c r="C28" s="29" t="s">
        <v>131</v>
      </c>
      <c r="D28" s="29" t="s">
        <v>31</v>
      </c>
      <c r="E28" s="29" t="s">
        <v>38</v>
      </c>
      <c r="F28" s="29" t="s">
        <v>94</v>
      </c>
      <c r="G28" s="32">
        <v>46280</v>
      </c>
      <c r="H28" s="32">
        <v>46343</v>
      </c>
      <c r="I28" s="32">
        <v>46308</v>
      </c>
      <c r="J28" s="32">
        <v>46370</v>
      </c>
      <c r="K28" s="31">
        <v>0</v>
      </c>
      <c r="L28" s="29">
        <v>93</v>
      </c>
      <c r="M28" s="29" t="s">
        <v>85</v>
      </c>
      <c r="N28" s="29" t="s">
        <v>435</v>
      </c>
      <c r="O28" s="29" t="s">
        <v>85</v>
      </c>
      <c r="P28" s="29" t="s">
        <v>85</v>
      </c>
    </row>
    <row r="29" spans="1:16" s="28" customFormat="1" x14ac:dyDescent="0.25">
      <c r="A29" s="29" t="s">
        <v>12</v>
      </c>
      <c r="B29" s="29" t="s">
        <v>316</v>
      </c>
      <c r="C29" s="29" t="s">
        <v>135</v>
      </c>
      <c r="D29" s="29" t="s">
        <v>32</v>
      </c>
      <c r="E29" s="29" t="s">
        <v>38</v>
      </c>
      <c r="F29" s="29" t="s">
        <v>94</v>
      </c>
      <c r="G29" s="32">
        <v>46291</v>
      </c>
      <c r="H29" s="32">
        <v>46332</v>
      </c>
      <c r="I29" s="32">
        <v>46324</v>
      </c>
      <c r="J29" s="32">
        <v>46364</v>
      </c>
      <c r="K29" s="31">
        <v>0</v>
      </c>
      <c r="L29" s="29">
        <v>113</v>
      </c>
      <c r="M29" s="29" t="s">
        <v>85</v>
      </c>
      <c r="N29" s="29" t="s">
        <v>435</v>
      </c>
      <c r="O29" s="29" t="s">
        <v>85</v>
      </c>
      <c r="P29" s="29" t="s">
        <v>85</v>
      </c>
    </row>
    <row r="30" spans="1:16" s="28" customFormat="1" x14ac:dyDescent="0.25">
      <c r="A30" s="29" t="s">
        <v>13</v>
      </c>
      <c r="B30" s="29" t="s">
        <v>313</v>
      </c>
      <c r="C30" s="29" t="s">
        <v>133</v>
      </c>
      <c r="D30" s="29" t="s">
        <v>32</v>
      </c>
      <c r="E30" s="29" t="s">
        <v>38</v>
      </c>
      <c r="F30" s="29" t="s">
        <v>86</v>
      </c>
      <c r="G30" s="32">
        <v>46225</v>
      </c>
      <c r="H30" s="32">
        <v>46283</v>
      </c>
      <c r="I30" s="32">
        <v>46225</v>
      </c>
      <c r="J30" s="32">
        <v>46316</v>
      </c>
      <c r="K30" s="31">
        <v>0.73</v>
      </c>
      <c r="L30" s="29">
        <v>121</v>
      </c>
      <c r="M30" s="29" t="s">
        <v>85</v>
      </c>
      <c r="N30" s="29" t="s">
        <v>435</v>
      </c>
      <c r="O30" s="29" t="s">
        <v>85</v>
      </c>
      <c r="P30" s="29" t="s">
        <v>85</v>
      </c>
    </row>
    <row r="31" spans="1:16" s="28" customFormat="1" x14ac:dyDescent="0.25">
      <c r="A31" s="29" t="s">
        <v>436</v>
      </c>
      <c r="B31" s="29" t="s">
        <v>314</v>
      </c>
      <c r="C31" s="29" t="s">
        <v>137</v>
      </c>
      <c r="D31" s="29" t="s">
        <v>32</v>
      </c>
      <c r="E31" s="29" t="s">
        <v>38</v>
      </c>
      <c r="F31" s="29" t="s">
        <v>86</v>
      </c>
      <c r="G31" s="32">
        <v>46260</v>
      </c>
      <c r="H31" s="32">
        <v>46422</v>
      </c>
      <c r="I31" s="32">
        <v>46260</v>
      </c>
      <c r="J31" s="32">
        <v>46452</v>
      </c>
      <c r="K31" s="31">
        <v>0.05</v>
      </c>
      <c r="L31" s="29">
        <v>68</v>
      </c>
      <c r="M31" s="29" t="s">
        <v>85</v>
      </c>
      <c r="N31" s="29" t="s">
        <v>435</v>
      </c>
      <c r="O31" s="29" t="s">
        <v>85</v>
      </c>
      <c r="P31" s="29" t="s">
        <v>85</v>
      </c>
    </row>
    <row r="32" spans="1:16" s="28" customFormat="1" x14ac:dyDescent="0.25">
      <c r="A32" s="29" t="s">
        <v>434</v>
      </c>
      <c r="B32" s="29" t="s">
        <v>314</v>
      </c>
      <c r="C32" s="29" t="s">
        <v>137</v>
      </c>
      <c r="D32" s="29" t="s">
        <v>32</v>
      </c>
      <c r="E32" s="29" t="s">
        <v>38</v>
      </c>
      <c r="F32" s="29" t="s">
        <v>86</v>
      </c>
      <c r="G32" s="32">
        <v>46260</v>
      </c>
      <c r="H32" s="32">
        <v>46422</v>
      </c>
      <c r="I32" s="32">
        <v>46260</v>
      </c>
      <c r="J32" s="32">
        <v>46452</v>
      </c>
      <c r="K32" s="31">
        <v>0.05</v>
      </c>
      <c r="L32" s="29">
        <v>68</v>
      </c>
      <c r="M32" s="29" t="s">
        <v>85</v>
      </c>
      <c r="N32" s="29" t="s">
        <v>435</v>
      </c>
      <c r="O32" s="29" t="s">
        <v>85</v>
      </c>
      <c r="P32" s="29" t="s">
        <v>85</v>
      </c>
    </row>
    <row r="33" spans="1:16" s="28" customFormat="1" x14ac:dyDescent="0.25">
      <c r="A33" s="29" t="s">
        <v>13</v>
      </c>
      <c r="B33" s="29" t="s">
        <v>337</v>
      </c>
      <c r="C33" s="29" t="s">
        <v>133</v>
      </c>
      <c r="D33" s="29" t="s">
        <v>33</v>
      </c>
      <c r="E33" s="29" t="s">
        <v>38</v>
      </c>
      <c r="F33" s="29" t="s">
        <v>86</v>
      </c>
      <c r="G33" s="32">
        <v>46248</v>
      </c>
      <c r="H33" s="32">
        <v>46294</v>
      </c>
      <c r="I33" s="32">
        <v>46248</v>
      </c>
      <c r="J33" s="32">
        <v>46326</v>
      </c>
      <c r="K33" s="31">
        <v>0.4</v>
      </c>
      <c r="L33" s="29">
        <v>143</v>
      </c>
      <c r="M33" s="29" t="s">
        <v>85</v>
      </c>
      <c r="N33" s="29" t="s">
        <v>435</v>
      </c>
      <c r="O33" s="29" t="s">
        <v>85</v>
      </c>
      <c r="P33" s="29" t="s">
        <v>85</v>
      </c>
    </row>
  </sheetData>
  <autoFilter ref="A4:P4"/>
  <mergeCells count="2">
    <mergeCell ref="A1:P1"/>
    <mergeCell ref="A2:P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6007E"/>
  </sheetPr>
  <dimension ref="A1:M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14" customWidth="1"/>
    <col min="3" max="3" width="15" customWidth="1"/>
    <col min="4" max="4" width="44" customWidth="1"/>
    <col min="5" max="5" width="26" customWidth="1"/>
    <col min="6" max="6" width="22" customWidth="1"/>
    <col min="7" max="7" width="70" customWidth="1"/>
    <col min="8" max="8" width="44" customWidth="1"/>
    <col min="9" max="9" width="16" customWidth="1"/>
    <col min="10" max="12" width="11" customWidth="1"/>
    <col min="13" max="13" width="7" customWidth="1"/>
  </cols>
  <sheetData>
    <row r="1" ht="30" customHeight="1" spans="1:13" x14ac:dyDescent="0.25">
      <c r="A1" s="1" t="s">
        <v>437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ht="30" customHeight="1" spans="1:13" x14ac:dyDescent="0.25">
      <c r="A4" s="96" t="s">
        <v>54</v>
      </c>
      <c r="B4" s="96" t="s">
        <v>68</v>
      </c>
      <c r="C4" s="96" t="s">
        <v>66</v>
      </c>
      <c r="D4" s="96" t="s">
        <v>67</v>
      </c>
      <c r="E4" s="96" t="s">
        <v>81</v>
      </c>
      <c r="F4" s="96" t="s">
        <v>438</v>
      </c>
      <c r="G4" s="96" t="s">
        <v>431</v>
      </c>
      <c r="H4" s="96" t="s">
        <v>432</v>
      </c>
      <c r="I4" s="96" t="s">
        <v>433</v>
      </c>
      <c r="J4" s="96" t="s">
        <v>439</v>
      </c>
      <c r="K4" s="96" t="s">
        <v>440</v>
      </c>
      <c r="L4" s="96" t="s">
        <v>74</v>
      </c>
      <c r="M4" s="96" t="s">
        <v>429</v>
      </c>
    </row>
  </sheetData>
  <mergeCells count="2">
    <mergeCell ref="A1:M1"/>
    <mergeCell ref="A2:M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83698"/>
  </sheetPr>
  <dimension ref="A1:F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0" customWidth="1"/>
    <col min="6" max="6" width="80" customWidth="1"/>
  </cols>
  <sheetData>
    <row r="1" ht="30" customHeight="1" spans="1:6" x14ac:dyDescent="0.25">
      <c r="A1" s="1" t="s">
        <v>441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4" ht="30" customHeight="1" spans="1:6" x14ac:dyDescent="0.25">
      <c r="A4" s="97" t="s">
        <v>416</v>
      </c>
      <c r="B4" s="97" t="s">
        <v>442</v>
      </c>
      <c r="C4" s="97" t="s">
        <v>443</v>
      </c>
      <c r="D4" s="97" t="s">
        <v>444</v>
      </c>
      <c r="E4" s="97" t="s">
        <v>362</v>
      </c>
      <c r="F4" s="97" t="s">
        <v>445</v>
      </c>
    </row>
    <row r="5" spans="1:6" s="28" customFormat="1" x14ac:dyDescent="0.25">
      <c r="A5" s="29" t="s">
        <v>446</v>
      </c>
      <c r="B5" s="29" t="s">
        <v>447</v>
      </c>
      <c r="C5" s="29">
        <v>0</v>
      </c>
      <c r="D5" s="29">
        <v>77</v>
      </c>
      <c r="E5" s="29">
        <v>0</v>
      </c>
      <c r="F5" s="29" t="s">
        <v>448</v>
      </c>
    </row>
    <row r="6" spans="1:6" s="28" customFormat="1" x14ac:dyDescent="0.25">
      <c r="A6" s="29" t="s">
        <v>449</v>
      </c>
      <c r="B6" s="29" t="s">
        <v>450</v>
      </c>
      <c r="C6" s="29">
        <v>9</v>
      </c>
      <c r="D6" s="29">
        <v>234</v>
      </c>
      <c r="E6" s="29">
        <v>3.8</v>
      </c>
      <c r="F6" s="29" t="s">
        <v>451</v>
      </c>
    </row>
    <row r="7" spans="1:6" s="28" customFormat="1" x14ac:dyDescent="0.25">
      <c r="A7" s="29" t="s">
        <v>452</v>
      </c>
      <c r="B7" s="29" t="s">
        <v>450</v>
      </c>
      <c r="C7" s="29">
        <v>70</v>
      </c>
      <c r="D7" s="29">
        <v>234</v>
      </c>
      <c r="E7" s="29">
        <v>29.9</v>
      </c>
      <c r="F7" s="29" t="s">
        <v>453</v>
      </c>
    </row>
    <row r="8" spans="1:6" s="28" customFormat="1" x14ac:dyDescent="0.25">
      <c r="A8" s="29" t="s">
        <v>454</v>
      </c>
      <c r="B8" s="29" t="s">
        <v>450</v>
      </c>
      <c r="C8" s="29">
        <v>72</v>
      </c>
      <c r="D8" s="29">
        <v>234</v>
      </c>
      <c r="E8" s="29">
        <v>69.2</v>
      </c>
      <c r="F8" s="29" t="s">
        <v>455</v>
      </c>
    </row>
    <row r="9" spans="1:6" s="28" customFormat="1" x14ac:dyDescent="0.25">
      <c r="A9" s="29" t="s">
        <v>456</v>
      </c>
      <c r="B9" s="29" t="s">
        <v>447</v>
      </c>
      <c r="C9" s="29">
        <v>0</v>
      </c>
      <c r="D9" s="29">
        <v>77</v>
      </c>
      <c r="E9" s="29">
        <v>0</v>
      </c>
      <c r="F9" s="29" t="s">
        <v>457</v>
      </c>
    </row>
    <row r="10" spans="1:6" s="28" customFormat="1" x14ac:dyDescent="0.25">
      <c r="A10" s="29" t="s">
        <v>458</v>
      </c>
      <c r="B10" s="29" t="s">
        <v>450</v>
      </c>
      <c r="C10" s="29">
        <v>56</v>
      </c>
      <c r="D10" s="29">
        <v>77</v>
      </c>
      <c r="E10" s="29">
        <v>72.7</v>
      </c>
      <c r="F10" s="29" t="s">
        <v>459</v>
      </c>
    </row>
    <row r="11" spans="1:6" s="28" customFormat="1" x14ac:dyDescent="0.25">
      <c r="A11" s="29" t="s">
        <v>460</v>
      </c>
      <c r="B11" s="29" t="s">
        <v>447</v>
      </c>
      <c r="C11" s="29">
        <v>0</v>
      </c>
      <c r="D11" s="29">
        <v>77</v>
      </c>
      <c r="E11" s="29">
        <v>0</v>
      </c>
      <c r="F11" s="29" t="s">
        <v>461</v>
      </c>
    </row>
    <row r="12" spans="1:6" s="28" customFormat="1" x14ac:dyDescent="0.25">
      <c r="A12" s="29" t="s">
        <v>462</v>
      </c>
      <c r="B12" s="29" t="s">
        <v>450</v>
      </c>
      <c r="C12" s="29">
        <v>39</v>
      </c>
      <c r="D12" s="29">
        <v>77</v>
      </c>
      <c r="E12" s="29">
        <v>50.6</v>
      </c>
      <c r="F12" s="29" t="s">
        <v>463</v>
      </c>
    </row>
    <row r="13" spans="1:6" s="28" customFormat="1" x14ac:dyDescent="0.25">
      <c r="A13" s="29" t="s">
        <v>464</v>
      </c>
      <c r="B13" s="29" t="s">
        <v>447</v>
      </c>
      <c r="C13" s="29">
        <v>0</v>
      </c>
      <c r="D13" s="29">
        <v>173</v>
      </c>
      <c r="E13" s="29">
        <v>0</v>
      </c>
      <c r="F13" s="29" t="s">
        <v>465</v>
      </c>
    </row>
    <row r="14" spans="1:6" s="28" customFormat="1" x14ac:dyDescent="0.25">
      <c r="A14" s="29" t="s">
        <v>466</v>
      </c>
      <c r="B14" s="29" t="s">
        <v>450</v>
      </c>
      <c r="C14" s="29">
        <v>119</v>
      </c>
      <c r="D14" s="29">
        <v>125</v>
      </c>
      <c r="E14" s="29">
        <v>95.2</v>
      </c>
      <c r="F14" s="29" t="s">
        <v>467</v>
      </c>
    </row>
    <row r="15" spans="1:6" s="28" customFormat="1" x14ac:dyDescent="0.25">
      <c r="A15" s="29" t="s">
        <v>468</v>
      </c>
      <c r="B15" s="29" t="s">
        <v>447</v>
      </c>
      <c r="C15" s="29">
        <v>6</v>
      </c>
      <c r="D15" s="29">
        <v>77</v>
      </c>
      <c r="E15" s="29">
        <v>7.8</v>
      </c>
      <c r="F15" s="29" t="s">
        <v>469</v>
      </c>
    </row>
    <row r="16" spans="1:6" s="28" customFormat="1" x14ac:dyDescent="0.25">
      <c r="A16" s="29" t="s">
        <v>470</v>
      </c>
      <c r="B16" s="29" t="s">
        <v>450</v>
      </c>
      <c r="C16" s="29">
        <v>96</v>
      </c>
      <c r="D16" s="29">
        <v>125</v>
      </c>
      <c r="E16" s="29">
        <v>76.8</v>
      </c>
      <c r="F16" s="29" t="s">
        <v>471</v>
      </c>
    </row>
    <row r="17" spans="1:6" s="28" customFormat="1" x14ac:dyDescent="0.25">
      <c r="A17" s="29" t="s">
        <v>472</v>
      </c>
      <c r="B17" s="29" t="s">
        <v>447</v>
      </c>
      <c r="C17" s="29">
        <v>0</v>
      </c>
      <c r="D17" s="29">
        <v>173</v>
      </c>
      <c r="E17" s="29">
        <v>0</v>
      </c>
      <c r="F17" s="29" t="s">
        <v>473</v>
      </c>
    </row>
  </sheetData>
  <autoFilter ref="A4:F4"/>
  <mergeCells count="2">
    <mergeCell ref="A1:F1"/>
    <mergeCell ref="A2:F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7F7F"/>
  </sheetPr>
  <dimension ref="A1:E8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44" customWidth="1"/>
    <col min="3" max="3" width="18" customWidth="1"/>
    <col min="4" max="4" width="70" customWidth="1"/>
    <col min="5" max="5" width="12" customWidth="1"/>
  </cols>
  <sheetData>
    <row r="1" ht="30" customHeight="1" spans="1:5" x14ac:dyDescent="0.25">
      <c r="A1" s="1" t="s">
        <v>474</v>
      </c>
      <c r="B1" s="1"/>
      <c r="C1" s="1"/>
      <c r="D1" s="1"/>
      <c r="E1" s="1"/>
    </row>
    <row r="2" spans="1:5" x14ac:dyDescent="0.25">
      <c r="A2" s="2" t="s">
        <v>1</v>
      </c>
      <c r="B2" s="2"/>
      <c r="C2" s="2"/>
      <c r="D2" s="2"/>
      <c r="E2" s="2"/>
    </row>
    <row r="4" ht="30" customHeight="1" spans="1:5" x14ac:dyDescent="0.25">
      <c r="A4" s="98" t="s">
        <v>66</v>
      </c>
      <c r="B4" s="98" t="s">
        <v>67</v>
      </c>
      <c r="C4" s="98" t="s">
        <v>54</v>
      </c>
      <c r="D4" s="98" t="s">
        <v>475</v>
      </c>
      <c r="E4" s="98" t="s">
        <v>476</v>
      </c>
    </row>
    <row r="5" spans="1:5" s="28" customFormat="1" x14ac:dyDescent="0.25">
      <c r="A5" s="29" t="s">
        <v>92</v>
      </c>
      <c r="B5" s="29" t="s">
        <v>93</v>
      </c>
      <c r="C5" s="29" t="s">
        <v>19</v>
      </c>
      <c r="D5" s="29" t="s">
        <v>85</v>
      </c>
      <c r="E5" s="29">
        <v>14</v>
      </c>
    </row>
    <row r="6" spans="1:5" s="28" customFormat="1" x14ac:dyDescent="0.25">
      <c r="A6" s="29" t="s">
        <v>154</v>
      </c>
      <c r="B6" s="29" t="s">
        <v>119</v>
      </c>
      <c r="C6" s="29" t="s">
        <v>26</v>
      </c>
      <c r="D6" s="29" t="s">
        <v>477</v>
      </c>
      <c r="E6" s="29">
        <v>-8</v>
      </c>
    </row>
    <row r="7" spans="1:5" s="28" customFormat="1" x14ac:dyDescent="0.25">
      <c r="A7" s="29" t="s">
        <v>160</v>
      </c>
      <c r="B7" s="29" t="s">
        <v>131</v>
      </c>
      <c r="C7" s="29" t="s">
        <v>26</v>
      </c>
      <c r="D7" s="29" t="s">
        <v>478</v>
      </c>
      <c r="E7" s="29">
        <v>8</v>
      </c>
    </row>
    <row r="8" spans="1:5" s="28" customFormat="1" x14ac:dyDescent="0.25">
      <c r="A8" s="29" t="s">
        <v>163</v>
      </c>
      <c r="B8" s="29" t="s">
        <v>135</v>
      </c>
      <c r="C8" s="29" t="s">
        <v>26</v>
      </c>
      <c r="D8" s="29" t="s">
        <v>479</v>
      </c>
      <c r="E8" s="29">
        <v>3</v>
      </c>
    </row>
    <row r="9" spans="1:5" s="28" customFormat="1" x14ac:dyDescent="0.25">
      <c r="A9" s="29" t="s">
        <v>161</v>
      </c>
      <c r="B9" s="29" t="s">
        <v>133</v>
      </c>
      <c r="C9" s="29" t="s">
        <v>26</v>
      </c>
      <c r="D9" s="29" t="s">
        <v>480</v>
      </c>
      <c r="E9" s="29">
        <v>14</v>
      </c>
    </row>
    <row r="10" spans="1:5" s="28" customFormat="1" x14ac:dyDescent="0.25">
      <c r="A10" s="29" t="s">
        <v>165</v>
      </c>
      <c r="B10" s="29" t="s">
        <v>137</v>
      </c>
      <c r="C10" s="29" t="s">
        <v>26</v>
      </c>
      <c r="D10" s="29" t="s">
        <v>85</v>
      </c>
      <c r="E10" s="29">
        <v>-8</v>
      </c>
    </row>
    <row r="11" spans="1:5" s="28" customFormat="1" x14ac:dyDescent="0.25">
      <c r="A11" s="29" t="s">
        <v>166</v>
      </c>
      <c r="B11" s="29" t="s">
        <v>139</v>
      </c>
      <c r="C11" s="29" t="s">
        <v>26</v>
      </c>
      <c r="D11" s="29" t="s">
        <v>85</v>
      </c>
      <c r="E11" s="29">
        <v>3</v>
      </c>
    </row>
    <row r="12" spans="1:5" s="28" customFormat="1" x14ac:dyDescent="0.25">
      <c r="A12" s="29" t="s">
        <v>167</v>
      </c>
      <c r="B12" s="29" t="s">
        <v>141</v>
      </c>
      <c r="C12" s="29" t="s">
        <v>26</v>
      </c>
      <c r="D12" s="29" t="s">
        <v>85</v>
      </c>
      <c r="E12" s="29">
        <v>-8</v>
      </c>
    </row>
    <row r="13" spans="1:5" s="28" customFormat="1" x14ac:dyDescent="0.25">
      <c r="A13" s="29" t="s">
        <v>168</v>
      </c>
      <c r="B13" s="29" t="s">
        <v>143</v>
      </c>
      <c r="C13" s="29" t="s">
        <v>26</v>
      </c>
      <c r="D13" s="29" t="s">
        <v>85</v>
      </c>
      <c r="E13" s="29">
        <v>-8</v>
      </c>
    </row>
    <row r="14" spans="1:5" s="28" customFormat="1" x14ac:dyDescent="0.25">
      <c r="A14" s="29" t="s">
        <v>178</v>
      </c>
      <c r="B14" s="29" t="s">
        <v>115</v>
      </c>
      <c r="C14" s="29" t="s">
        <v>27</v>
      </c>
      <c r="D14" s="29" t="s">
        <v>481</v>
      </c>
      <c r="E14" s="29">
        <v>3</v>
      </c>
    </row>
    <row r="15" spans="1:5" s="28" customFormat="1" x14ac:dyDescent="0.25">
      <c r="A15" s="29" t="s">
        <v>180</v>
      </c>
      <c r="B15" s="29" t="s">
        <v>119</v>
      </c>
      <c r="C15" s="29" t="s">
        <v>27</v>
      </c>
      <c r="D15" s="29" t="s">
        <v>482</v>
      </c>
      <c r="E15" s="29">
        <v>-9</v>
      </c>
    </row>
    <row r="16" spans="1:5" s="28" customFormat="1" x14ac:dyDescent="0.25">
      <c r="A16" s="29" t="s">
        <v>186</v>
      </c>
      <c r="B16" s="29" t="s">
        <v>131</v>
      </c>
      <c r="C16" s="29" t="s">
        <v>27</v>
      </c>
      <c r="D16" s="29" t="s">
        <v>483</v>
      </c>
      <c r="E16" s="29">
        <v>-3</v>
      </c>
    </row>
    <row r="17" spans="1:5" s="28" customFormat="1" x14ac:dyDescent="0.25">
      <c r="A17" s="29" t="s">
        <v>188</v>
      </c>
      <c r="B17" s="29" t="s">
        <v>135</v>
      </c>
      <c r="C17" s="29" t="s">
        <v>27</v>
      </c>
      <c r="D17" s="29" t="s">
        <v>85</v>
      </c>
      <c r="E17" s="29">
        <v>-3</v>
      </c>
    </row>
    <row r="18" spans="1:5" s="28" customFormat="1" x14ac:dyDescent="0.25">
      <c r="A18" s="29" t="s">
        <v>187</v>
      </c>
      <c r="B18" s="29" t="s">
        <v>133</v>
      </c>
      <c r="C18" s="29" t="s">
        <v>27</v>
      </c>
      <c r="D18" s="29" t="s">
        <v>484</v>
      </c>
      <c r="E18" s="29">
        <v>7</v>
      </c>
    </row>
    <row r="19" spans="1:5" s="28" customFormat="1" x14ac:dyDescent="0.25">
      <c r="A19" s="29" t="s">
        <v>190</v>
      </c>
      <c r="B19" s="29" t="s">
        <v>137</v>
      </c>
      <c r="C19" s="29" t="s">
        <v>27</v>
      </c>
      <c r="D19" s="29" t="s">
        <v>85</v>
      </c>
      <c r="E19" s="29">
        <v>-9</v>
      </c>
    </row>
    <row r="20" spans="1:5" s="28" customFormat="1" x14ac:dyDescent="0.25">
      <c r="A20" s="29" t="s">
        <v>189</v>
      </c>
      <c r="B20" s="29" t="s">
        <v>139</v>
      </c>
      <c r="C20" s="29" t="s">
        <v>27</v>
      </c>
      <c r="D20" s="29" t="s">
        <v>85</v>
      </c>
      <c r="E20" s="29">
        <v>-3</v>
      </c>
    </row>
    <row r="21" spans="1:5" s="28" customFormat="1" x14ac:dyDescent="0.25">
      <c r="A21" s="29" t="s">
        <v>191</v>
      </c>
      <c r="B21" s="29" t="s">
        <v>141</v>
      </c>
      <c r="C21" s="29" t="s">
        <v>27</v>
      </c>
      <c r="D21" s="29" t="s">
        <v>85</v>
      </c>
      <c r="E21" s="29">
        <v>-9</v>
      </c>
    </row>
    <row r="22" spans="1:5" s="28" customFormat="1" x14ac:dyDescent="0.25">
      <c r="A22" s="29" t="s">
        <v>192</v>
      </c>
      <c r="B22" s="29" t="s">
        <v>143</v>
      </c>
      <c r="C22" s="29" t="s">
        <v>27</v>
      </c>
      <c r="D22" s="29" t="s">
        <v>85</v>
      </c>
      <c r="E22" s="29">
        <v>-9</v>
      </c>
    </row>
    <row r="23" spans="1:5" s="28" customFormat="1" x14ac:dyDescent="0.25">
      <c r="A23" s="29" t="s">
        <v>201</v>
      </c>
      <c r="B23" s="29" t="s">
        <v>115</v>
      </c>
      <c r="C23" s="29" t="s">
        <v>28</v>
      </c>
      <c r="D23" s="29" t="s">
        <v>485</v>
      </c>
      <c r="E23" s="29">
        <v>-4</v>
      </c>
    </row>
    <row r="24" spans="1:5" s="28" customFormat="1" x14ac:dyDescent="0.25">
      <c r="A24" s="29" t="s">
        <v>202</v>
      </c>
      <c r="B24" s="29" t="s">
        <v>117</v>
      </c>
      <c r="C24" s="29" t="s">
        <v>28</v>
      </c>
      <c r="D24" s="29" t="s">
        <v>486</v>
      </c>
      <c r="E24" s="29">
        <v>21</v>
      </c>
    </row>
    <row r="25" spans="1:5" s="28" customFormat="1" x14ac:dyDescent="0.25">
      <c r="A25" s="29" t="s">
        <v>203</v>
      </c>
      <c r="B25" s="29" t="s">
        <v>119</v>
      </c>
      <c r="C25" s="29" t="s">
        <v>28</v>
      </c>
      <c r="D25" s="29" t="s">
        <v>85</v>
      </c>
      <c r="E25" s="29">
        <v>21</v>
      </c>
    </row>
    <row r="26" spans="1:5" s="28" customFormat="1" x14ac:dyDescent="0.25">
      <c r="A26" s="29" t="s">
        <v>210</v>
      </c>
      <c r="B26" s="29" t="s">
        <v>131</v>
      </c>
      <c r="C26" s="29" t="s">
        <v>28</v>
      </c>
      <c r="D26" s="29" t="s">
        <v>487</v>
      </c>
      <c r="E26" s="29">
        <v>-7</v>
      </c>
    </row>
    <row r="27" spans="1:5" s="28" customFormat="1" x14ac:dyDescent="0.25">
      <c r="A27" s="29" t="s">
        <v>214</v>
      </c>
      <c r="B27" s="29" t="s">
        <v>135</v>
      </c>
      <c r="C27" s="29" t="s">
        <v>28</v>
      </c>
      <c r="D27" s="29" t="s">
        <v>85</v>
      </c>
      <c r="E27" s="29">
        <v>-7</v>
      </c>
    </row>
    <row r="28" spans="1:5" s="28" customFormat="1" x14ac:dyDescent="0.25">
      <c r="A28" s="29" t="s">
        <v>213</v>
      </c>
      <c r="B28" s="29" t="s">
        <v>133</v>
      </c>
      <c r="C28" s="29" t="s">
        <v>28</v>
      </c>
      <c r="D28" s="29" t="s">
        <v>85</v>
      </c>
      <c r="E28" s="29">
        <v>19</v>
      </c>
    </row>
    <row r="29" spans="1:5" s="28" customFormat="1" x14ac:dyDescent="0.25">
      <c r="A29" s="29" t="s">
        <v>211</v>
      </c>
      <c r="B29" s="29" t="s">
        <v>137</v>
      </c>
      <c r="C29" s="29" t="s">
        <v>28</v>
      </c>
      <c r="D29" s="29" t="s">
        <v>488</v>
      </c>
      <c r="E29" s="29">
        <v>5</v>
      </c>
    </row>
    <row r="30" spans="1:5" s="28" customFormat="1" x14ac:dyDescent="0.25">
      <c r="A30" s="29" t="s">
        <v>215</v>
      </c>
      <c r="B30" s="29" t="s">
        <v>139</v>
      </c>
      <c r="C30" s="29" t="s">
        <v>28</v>
      </c>
      <c r="D30" s="29" t="s">
        <v>85</v>
      </c>
      <c r="E30" s="29">
        <v>-7</v>
      </c>
    </row>
    <row r="31" spans="1:5" s="28" customFormat="1" x14ac:dyDescent="0.25">
      <c r="A31" s="29" t="s">
        <v>216</v>
      </c>
      <c r="B31" s="29" t="s">
        <v>141</v>
      </c>
      <c r="C31" s="29" t="s">
        <v>28</v>
      </c>
      <c r="D31" s="29" t="s">
        <v>85</v>
      </c>
      <c r="E31" s="29">
        <v>5</v>
      </c>
    </row>
    <row r="32" spans="1:5" s="28" customFormat="1" x14ac:dyDescent="0.25">
      <c r="A32" s="29" t="s">
        <v>217</v>
      </c>
      <c r="B32" s="29" t="s">
        <v>143</v>
      </c>
      <c r="C32" s="29" t="s">
        <v>28</v>
      </c>
      <c r="D32" s="29" t="s">
        <v>85</v>
      </c>
      <c r="E32" s="29">
        <v>5</v>
      </c>
    </row>
    <row r="33" spans="1:5" s="28" customFormat="1" x14ac:dyDescent="0.25">
      <c r="A33" s="29" t="s">
        <v>230</v>
      </c>
      <c r="B33" s="29" t="s">
        <v>119</v>
      </c>
      <c r="C33" s="29" t="s">
        <v>29</v>
      </c>
      <c r="D33" s="29" t="s">
        <v>85</v>
      </c>
      <c r="E33" s="29">
        <v>26</v>
      </c>
    </row>
    <row r="34" spans="1:5" s="28" customFormat="1" x14ac:dyDescent="0.25">
      <c r="A34" s="29" t="s">
        <v>237</v>
      </c>
      <c r="B34" s="29" t="s">
        <v>131</v>
      </c>
      <c r="C34" s="29" t="s">
        <v>29</v>
      </c>
      <c r="D34" s="29" t="s">
        <v>85</v>
      </c>
      <c r="E34" s="29">
        <v>26</v>
      </c>
    </row>
    <row r="35" spans="1:5" s="28" customFormat="1" x14ac:dyDescent="0.25">
      <c r="A35" s="29" t="s">
        <v>239</v>
      </c>
      <c r="B35" s="29" t="s">
        <v>135</v>
      </c>
      <c r="C35" s="29" t="s">
        <v>29</v>
      </c>
      <c r="D35" s="29" t="s">
        <v>85</v>
      </c>
      <c r="E35" s="29">
        <v>26</v>
      </c>
    </row>
    <row r="36" spans="1:5" s="28" customFormat="1" x14ac:dyDescent="0.25">
      <c r="A36" s="29" t="s">
        <v>238</v>
      </c>
      <c r="B36" s="29" t="s">
        <v>133</v>
      </c>
      <c r="C36" s="29" t="s">
        <v>29</v>
      </c>
      <c r="D36" s="29" t="s">
        <v>85</v>
      </c>
      <c r="E36" s="29">
        <v>26</v>
      </c>
    </row>
    <row r="37" spans="1:5" s="28" customFormat="1" x14ac:dyDescent="0.25">
      <c r="A37" s="29" t="s">
        <v>242</v>
      </c>
      <c r="B37" s="29" t="s">
        <v>137</v>
      </c>
      <c r="C37" s="29" t="s">
        <v>29</v>
      </c>
      <c r="D37" s="29" t="s">
        <v>85</v>
      </c>
      <c r="E37" s="29">
        <v>26</v>
      </c>
    </row>
    <row r="38" spans="1:5" s="28" customFormat="1" x14ac:dyDescent="0.25">
      <c r="A38" s="29" t="s">
        <v>241</v>
      </c>
      <c r="B38" s="29" t="s">
        <v>139</v>
      </c>
      <c r="C38" s="29" t="s">
        <v>29</v>
      </c>
      <c r="D38" s="29" t="s">
        <v>85</v>
      </c>
      <c r="E38" s="29">
        <v>26</v>
      </c>
    </row>
    <row r="39" spans="1:5" s="28" customFormat="1" x14ac:dyDescent="0.25">
      <c r="A39" s="29" t="s">
        <v>243</v>
      </c>
      <c r="B39" s="29" t="s">
        <v>141</v>
      </c>
      <c r="C39" s="29" t="s">
        <v>29</v>
      </c>
      <c r="D39" s="29" t="s">
        <v>85</v>
      </c>
      <c r="E39" s="29">
        <v>26</v>
      </c>
    </row>
    <row r="40" spans="1:5" s="28" customFormat="1" x14ac:dyDescent="0.25">
      <c r="A40" s="29" t="s">
        <v>244</v>
      </c>
      <c r="B40" s="29" t="s">
        <v>143</v>
      </c>
      <c r="C40" s="29" t="s">
        <v>29</v>
      </c>
      <c r="D40" s="29" t="s">
        <v>85</v>
      </c>
      <c r="E40" s="29">
        <v>26</v>
      </c>
    </row>
    <row r="41" spans="1:5" s="28" customFormat="1" x14ac:dyDescent="0.25">
      <c r="A41" s="29" t="s">
        <v>253</v>
      </c>
      <c r="B41" s="29" t="s">
        <v>115</v>
      </c>
      <c r="C41" s="29" t="s">
        <v>30</v>
      </c>
      <c r="D41" s="29" t="s">
        <v>85</v>
      </c>
      <c r="E41" s="29">
        <v>26</v>
      </c>
    </row>
    <row r="42" spans="1:5" s="28" customFormat="1" x14ac:dyDescent="0.25">
      <c r="A42" s="29" t="s">
        <v>255</v>
      </c>
      <c r="B42" s="29" t="s">
        <v>117</v>
      </c>
      <c r="C42" s="29" t="s">
        <v>30</v>
      </c>
      <c r="D42" s="29" t="s">
        <v>85</v>
      </c>
      <c r="E42" s="29">
        <v>26</v>
      </c>
    </row>
    <row r="43" spans="1:5" s="28" customFormat="1" x14ac:dyDescent="0.25">
      <c r="A43" s="29" t="s">
        <v>257</v>
      </c>
      <c r="B43" s="29" t="s">
        <v>119</v>
      </c>
      <c r="C43" s="29" t="s">
        <v>30</v>
      </c>
      <c r="D43" s="29" t="s">
        <v>85</v>
      </c>
      <c r="E43" s="29">
        <v>26</v>
      </c>
    </row>
    <row r="44" spans="1:5" s="28" customFormat="1" x14ac:dyDescent="0.25">
      <c r="A44" s="29" t="s">
        <v>263</v>
      </c>
      <c r="B44" s="29" t="s">
        <v>129</v>
      </c>
      <c r="C44" s="29" t="s">
        <v>30</v>
      </c>
      <c r="D44" s="29" t="s">
        <v>85</v>
      </c>
      <c r="E44" s="29">
        <v>26</v>
      </c>
    </row>
    <row r="45" spans="1:5" s="28" customFormat="1" x14ac:dyDescent="0.25">
      <c r="A45" s="29" t="s">
        <v>264</v>
      </c>
      <c r="B45" s="29" t="s">
        <v>131</v>
      </c>
      <c r="C45" s="29" t="s">
        <v>30</v>
      </c>
      <c r="D45" s="29" t="s">
        <v>85</v>
      </c>
      <c r="E45" s="29">
        <v>26</v>
      </c>
    </row>
    <row r="46" spans="1:5" s="28" customFormat="1" x14ac:dyDescent="0.25">
      <c r="A46" s="29" t="s">
        <v>266</v>
      </c>
      <c r="B46" s="29" t="s">
        <v>135</v>
      </c>
      <c r="C46" s="29" t="s">
        <v>30</v>
      </c>
      <c r="D46" s="29" t="s">
        <v>85</v>
      </c>
      <c r="E46" s="29">
        <v>26</v>
      </c>
    </row>
    <row r="47" spans="1:5" s="28" customFormat="1" x14ac:dyDescent="0.25">
      <c r="A47" s="29" t="s">
        <v>265</v>
      </c>
      <c r="B47" s="29" t="s">
        <v>133</v>
      </c>
      <c r="C47" s="29" t="s">
        <v>30</v>
      </c>
      <c r="D47" s="29" t="s">
        <v>85</v>
      </c>
      <c r="E47" s="29">
        <v>26</v>
      </c>
    </row>
    <row r="48" spans="1:5" s="28" customFormat="1" x14ac:dyDescent="0.25">
      <c r="A48" s="29" t="s">
        <v>267</v>
      </c>
      <c r="B48" s="29" t="s">
        <v>137</v>
      </c>
      <c r="C48" s="29" t="s">
        <v>30</v>
      </c>
      <c r="D48" s="29" t="s">
        <v>85</v>
      </c>
      <c r="E48" s="29">
        <v>26</v>
      </c>
    </row>
    <row r="49" spans="1:5" s="28" customFormat="1" x14ac:dyDescent="0.25">
      <c r="A49" s="29" t="s">
        <v>268</v>
      </c>
      <c r="B49" s="29" t="s">
        <v>139</v>
      </c>
      <c r="C49" s="29" t="s">
        <v>30</v>
      </c>
      <c r="D49" s="29" t="s">
        <v>85</v>
      </c>
      <c r="E49" s="29">
        <v>26</v>
      </c>
    </row>
    <row r="50" spans="1:5" s="28" customFormat="1" x14ac:dyDescent="0.25">
      <c r="A50" s="29" t="s">
        <v>269</v>
      </c>
      <c r="B50" s="29" t="s">
        <v>141</v>
      </c>
      <c r="C50" s="29" t="s">
        <v>30</v>
      </c>
      <c r="D50" s="29" t="s">
        <v>85</v>
      </c>
      <c r="E50" s="29">
        <v>26</v>
      </c>
    </row>
    <row r="51" spans="1:5" s="28" customFormat="1" x14ac:dyDescent="0.25">
      <c r="A51" s="29" t="s">
        <v>270</v>
      </c>
      <c r="B51" s="29" t="s">
        <v>143</v>
      </c>
      <c r="C51" s="29" t="s">
        <v>30</v>
      </c>
      <c r="D51" s="29" t="s">
        <v>85</v>
      </c>
      <c r="E51" s="29">
        <v>26</v>
      </c>
    </row>
    <row r="52" spans="1:5" s="28" customFormat="1" x14ac:dyDescent="0.25">
      <c r="A52" s="29" t="s">
        <v>275</v>
      </c>
      <c r="B52" s="29" t="s">
        <v>108</v>
      </c>
      <c r="C52" s="29" t="s">
        <v>31</v>
      </c>
      <c r="D52" s="29" t="s">
        <v>85</v>
      </c>
      <c r="E52" s="29">
        <v>22</v>
      </c>
    </row>
    <row r="53" spans="1:5" s="28" customFormat="1" x14ac:dyDescent="0.25">
      <c r="A53" s="29" t="s">
        <v>276</v>
      </c>
      <c r="B53" s="29" t="s">
        <v>110</v>
      </c>
      <c r="C53" s="29" t="s">
        <v>31</v>
      </c>
      <c r="D53" s="29" t="s">
        <v>85</v>
      </c>
      <c r="E53" s="29">
        <v>22</v>
      </c>
    </row>
    <row r="54" spans="1:5" s="28" customFormat="1" x14ac:dyDescent="0.25">
      <c r="A54" s="29" t="s">
        <v>279</v>
      </c>
      <c r="B54" s="29" t="s">
        <v>115</v>
      </c>
      <c r="C54" s="29" t="s">
        <v>31</v>
      </c>
      <c r="D54" s="29" t="s">
        <v>85</v>
      </c>
      <c r="E54" s="29">
        <v>26</v>
      </c>
    </row>
    <row r="55" spans="1:5" s="28" customFormat="1" x14ac:dyDescent="0.25">
      <c r="A55" s="29" t="s">
        <v>280</v>
      </c>
      <c r="B55" s="29" t="s">
        <v>117</v>
      </c>
      <c r="C55" s="29" t="s">
        <v>31</v>
      </c>
      <c r="D55" s="29" t="s">
        <v>85</v>
      </c>
      <c r="E55" s="29">
        <v>27</v>
      </c>
    </row>
    <row r="56" spans="1:5" s="28" customFormat="1" x14ac:dyDescent="0.25">
      <c r="A56" s="29" t="s">
        <v>281</v>
      </c>
      <c r="B56" s="29" t="s">
        <v>119</v>
      </c>
      <c r="C56" s="29" t="s">
        <v>31</v>
      </c>
      <c r="D56" s="29" t="s">
        <v>85</v>
      </c>
      <c r="E56" s="29">
        <v>27</v>
      </c>
    </row>
    <row r="57" spans="1:5" s="28" customFormat="1" x14ac:dyDescent="0.25">
      <c r="A57" s="29" t="s">
        <v>286</v>
      </c>
      <c r="B57" s="29" t="s">
        <v>129</v>
      </c>
      <c r="C57" s="29" t="s">
        <v>31</v>
      </c>
      <c r="D57" s="29" t="s">
        <v>85</v>
      </c>
      <c r="E57" s="29">
        <v>26</v>
      </c>
    </row>
    <row r="58" spans="1:5" s="28" customFormat="1" x14ac:dyDescent="0.25">
      <c r="A58" s="29" t="s">
        <v>287</v>
      </c>
      <c r="B58" s="29" t="s">
        <v>131</v>
      </c>
      <c r="C58" s="29" t="s">
        <v>31</v>
      </c>
      <c r="D58" s="29" t="s">
        <v>85</v>
      </c>
      <c r="E58" s="29">
        <v>23</v>
      </c>
    </row>
    <row r="59" spans="1:5" s="28" customFormat="1" x14ac:dyDescent="0.25">
      <c r="A59" s="29" t="s">
        <v>289</v>
      </c>
      <c r="B59" s="29" t="s">
        <v>135</v>
      </c>
      <c r="C59" s="29" t="s">
        <v>31</v>
      </c>
      <c r="D59" s="29" t="s">
        <v>85</v>
      </c>
      <c r="E59" s="29">
        <v>23</v>
      </c>
    </row>
    <row r="60" spans="1:5" s="28" customFormat="1" x14ac:dyDescent="0.25">
      <c r="A60" s="29" t="s">
        <v>288</v>
      </c>
      <c r="B60" s="29" t="s">
        <v>133</v>
      </c>
      <c r="C60" s="29" t="s">
        <v>31</v>
      </c>
      <c r="D60" s="29" t="s">
        <v>85</v>
      </c>
      <c r="E60" s="29">
        <v>23</v>
      </c>
    </row>
    <row r="61" spans="1:5" s="28" customFormat="1" x14ac:dyDescent="0.25">
      <c r="A61" s="29" t="s">
        <v>291</v>
      </c>
      <c r="B61" s="29" t="s">
        <v>137</v>
      </c>
      <c r="C61" s="29" t="s">
        <v>31</v>
      </c>
      <c r="D61" s="29" t="s">
        <v>85</v>
      </c>
      <c r="E61" s="29">
        <v>27</v>
      </c>
    </row>
    <row r="62" spans="1:5" s="28" customFormat="1" x14ac:dyDescent="0.25">
      <c r="A62" s="29" t="s">
        <v>290</v>
      </c>
      <c r="B62" s="29" t="s">
        <v>139</v>
      </c>
      <c r="C62" s="29" t="s">
        <v>31</v>
      </c>
      <c r="D62" s="29" t="s">
        <v>85</v>
      </c>
      <c r="E62" s="29">
        <v>23</v>
      </c>
    </row>
    <row r="63" spans="1:5" s="28" customFormat="1" x14ac:dyDescent="0.25">
      <c r="A63" s="29" t="s">
        <v>292</v>
      </c>
      <c r="B63" s="29" t="s">
        <v>141</v>
      </c>
      <c r="C63" s="29" t="s">
        <v>31</v>
      </c>
      <c r="D63" s="29" t="s">
        <v>85</v>
      </c>
      <c r="E63" s="29">
        <v>27</v>
      </c>
    </row>
    <row r="64" spans="1:5" s="28" customFormat="1" x14ac:dyDescent="0.25">
      <c r="A64" s="29" t="s">
        <v>293</v>
      </c>
      <c r="B64" s="29" t="s">
        <v>143</v>
      </c>
      <c r="C64" s="29" t="s">
        <v>31</v>
      </c>
      <c r="D64" s="29" t="s">
        <v>85</v>
      </c>
      <c r="E64" s="29">
        <v>27</v>
      </c>
    </row>
    <row r="65" spans="1:5" s="28" customFormat="1" x14ac:dyDescent="0.25">
      <c r="A65" s="29" t="s">
        <v>306</v>
      </c>
      <c r="B65" s="29" t="s">
        <v>119</v>
      </c>
      <c r="C65" s="29" t="s">
        <v>32</v>
      </c>
      <c r="D65" s="29" t="s">
        <v>85</v>
      </c>
      <c r="E65" s="29">
        <v>26</v>
      </c>
    </row>
    <row r="66" spans="1:5" s="28" customFormat="1" x14ac:dyDescent="0.25">
      <c r="A66" s="29" t="s">
        <v>312</v>
      </c>
      <c r="B66" s="29" t="s">
        <v>131</v>
      </c>
      <c r="C66" s="29" t="s">
        <v>32</v>
      </c>
      <c r="D66" s="29" t="s">
        <v>85</v>
      </c>
      <c r="E66" s="29">
        <v>26</v>
      </c>
    </row>
    <row r="67" spans="1:5" s="28" customFormat="1" x14ac:dyDescent="0.25">
      <c r="A67" s="29" t="s">
        <v>316</v>
      </c>
      <c r="B67" s="29" t="s">
        <v>135</v>
      </c>
      <c r="C67" s="29" t="s">
        <v>32</v>
      </c>
      <c r="D67" s="29" t="s">
        <v>85</v>
      </c>
      <c r="E67" s="29">
        <v>26</v>
      </c>
    </row>
    <row r="68" spans="1:5" s="28" customFormat="1" x14ac:dyDescent="0.25">
      <c r="A68" s="29" t="s">
        <v>313</v>
      </c>
      <c r="B68" s="29" t="s">
        <v>133</v>
      </c>
      <c r="C68" s="29" t="s">
        <v>32</v>
      </c>
      <c r="D68" s="29" t="s">
        <v>85</v>
      </c>
      <c r="E68" s="29">
        <v>26</v>
      </c>
    </row>
    <row r="69" spans="1:5" s="28" customFormat="1" x14ac:dyDescent="0.25">
      <c r="A69" s="29" t="s">
        <v>314</v>
      </c>
      <c r="B69" s="29" t="s">
        <v>137</v>
      </c>
      <c r="C69" s="29" t="s">
        <v>32</v>
      </c>
      <c r="D69" s="29" t="s">
        <v>85</v>
      </c>
      <c r="E69" s="29">
        <v>26</v>
      </c>
    </row>
    <row r="70" spans="1:5" s="28" customFormat="1" x14ac:dyDescent="0.25">
      <c r="A70" s="29" t="s">
        <v>317</v>
      </c>
      <c r="B70" s="29" t="s">
        <v>139</v>
      </c>
      <c r="C70" s="29" t="s">
        <v>32</v>
      </c>
      <c r="D70" s="29" t="s">
        <v>85</v>
      </c>
      <c r="E70" s="29">
        <v>26</v>
      </c>
    </row>
    <row r="71" spans="1:5" s="28" customFormat="1" x14ac:dyDescent="0.25">
      <c r="A71" s="29" t="s">
        <v>318</v>
      </c>
      <c r="B71" s="29" t="s">
        <v>141</v>
      </c>
      <c r="C71" s="29" t="s">
        <v>32</v>
      </c>
      <c r="D71" s="29" t="s">
        <v>85</v>
      </c>
      <c r="E71" s="29">
        <v>26</v>
      </c>
    </row>
    <row r="72" spans="1:5" s="28" customFormat="1" x14ac:dyDescent="0.25">
      <c r="A72" s="29" t="s">
        <v>319</v>
      </c>
      <c r="B72" s="29" t="s">
        <v>143</v>
      </c>
      <c r="C72" s="29" t="s">
        <v>32</v>
      </c>
      <c r="D72" s="29" t="s">
        <v>85</v>
      </c>
      <c r="E72" s="29">
        <v>26</v>
      </c>
    </row>
    <row r="73" spans="1:5" s="28" customFormat="1" x14ac:dyDescent="0.25">
      <c r="A73" s="29" t="s">
        <v>328</v>
      </c>
      <c r="B73" s="29" t="s">
        <v>115</v>
      </c>
      <c r="C73" s="29" t="s">
        <v>33</v>
      </c>
      <c r="D73" s="29" t="s">
        <v>85</v>
      </c>
      <c r="E73" s="29">
        <v>26</v>
      </c>
    </row>
    <row r="74" spans="1:5" s="28" customFormat="1" x14ac:dyDescent="0.25">
      <c r="A74" s="29" t="s">
        <v>330</v>
      </c>
      <c r="B74" s="29" t="s">
        <v>119</v>
      </c>
      <c r="C74" s="29" t="s">
        <v>33</v>
      </c>
      <c r="D74" s="29" t="s">
        <v>85</v>
      </c>
      <c r="E74" s="29">
        <v>26</v>
      </c>
    </row>
    <row r="75" spans="1:5" s="28" customFormat="1" x14ac:dyDescent="0.25">
      <c r="A75" s="29" t="s">
        <v>336</v>
      </c>
      <c r="B75" s="29" t="s">
        <v>131</v>
      </c>
      <c r="C75" s="29" t="s">
        <v>33</v>
      </c>
      <c r="D75" s="29" t="s">
        <v>85</v>
      </c>
      <c r="E75" s="29">
        <v>26</v>
      </c>
    </row>
    <row r="76" spans="1:5" s="28" customFormat="1" x14ac:dyDescent="0.25">
      <c r="A76" s="29" t="s">
        <v>338</v>
      </c>
      <c r="B76" s="29" t="s">
        <v>135</v>
      </c>
      <c r="C76" s="29" t="s">
        <v>33</v>
      </c>
      <c r="D76" s="29" t="s">
        <v>85</v>
      </c>
      <c r="E76" s="29">
        <v>26</v>
      </c>
    </row>
    <row r="77" spans="1:5" s="28" customFormat="1" x14ac:dyDescent="0.25">
      <c r="A77" s="29" t="s">
        <v>337</v>
      </c>
      <c r="B77" s="29" t="s">
        <v>133</v>
      </c>
      <c r="C77" s="29" t="s">
        <v>33</v>
      </c>
      <c r="D77" s="29" t="s">
        <v>85</v>
      </c>
      <c r="E77" s="29">
        <v>26</v>
      </c>
    </row>
    <row r="78" spans="1:5" s="28" customFormat="1" x14ac:dyDescent="0.25">
      <c r="A78" s="29" t="s">
        <v>339</v>
      </c>
      <c r="B78" s="29" t="s">
        <v>137</v>
      </c>
      <c r="C78" s="29" t="s">
        <v>33</v>
      </c>
      <c r="D78" s="29" t="s">
        <v>85</v>
      </c>
      <c r="E78" s="29">
        <v>26</v>
      </c>
    </row>
    <row r="79" spans="1:5" s="28" customFormat="1" x14ac:dyDescent="0.25">
      <c r="A79" s="29" t="s">
        <v>340</v>
      </c>
      <c r="B79" s="29" t="s">
        <v>139</v>
      </c>
      <c r="C79" s="29" t="s">
        <v>33</v>
      </c>
      <c r="D79" s="29" t="s">
        <v>85</v>
      </c>
      <c r="E79" s="29">
        <v>26</v>
      </c>
    </row>
    <row r="80" spans="1:5" s="28" customFormat="1" x14ac:dyDescent="0.25">
      <c r="A80" s="29" t="s">
        <v>341</v>
      </c>
      <c r="B80" s="29" t="s">
        <v>141</v>
      </c>
      <c r="C80" s="29" t="s">
        <v>33</v>
      </c>
      <c r="D80" s="29" t="s">
        <v>85</v>
      </c>
      <c r="E80" s="29">
        <v>26</v>
      </c>
    </row>
    <row r="81" spans="1:5" s="28" customFormat="1" x14ac:dyDescent="0.25">
      <c r="A81" s="29" t="s">
        <v>342</v>
      </c>
      <c r="B81" s="29" t="s">
        <v>143</v>
      </c>
      <c r="C81" s="29" t="s">
        <v>33</v>
      </c>
      <c r="D81" s="29" t="s">
        <v>85</v>
      </c>
      <c r="E81" s="29">
        <v>26</v>
      </c>
    </row>
  </sheetData>
  <autoFilter ref="A4:E4"/>
  <mergeCells count="2">
    <mergeCell ref="A1:E1"/>
    <mergeCell ref="A2:E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0A68"/>
  </sheetPr>
  <dimension ref="A1:F23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40" customWidth="1"/>
    <col min="3" max="3" width="6" customWidth="1"/>
    <col min="4" max="4" width="7" customWidth="1"/>
    <col min="5" max="5" width="15" customWidth="1"/>
    <col min="6" max="6" width="40" customWidth="1"/>
  </cols>
  <sheetData>
    <row r="1" ht="30" customHeight="1" spans="1:6" x14ac:dyDescent="0.25">
      <c r="A1" s="1" t="s">
        <v>489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4" ht="30" customHeight="1" spans="1:6" x14ac:dyDescent="0.25">
      <c r="A4" s="99" t="s">
        <v>490</v>
      </c>
      <c r="B4" s="99" t="s">
        <v>491</v>
      </c>
      <c r="C4" s="99" t="s">
        <v>492</v>
      </c>
      <c r="D4" s="99" t="s">
        <v>493</v>
      </c>
      <c r="E4" s="99" t="s">
        <v>494</v>
      </c>
      <c r="F4" s="99" t="s">
        <v>495</v>
      </c>
    </row>
    <row r="5" spans="1:6" s="28" customFormat="1" x14ac:dyDescent="0.25">
      <c r="A5" s="29" t="s">
        <v>90</v>
      </c>
      <c r="B5" s="29" t="s">
        <v>91</v>
      </c>
      <c r="C5" s="29" t="s">
        <v>496</v>
      </c>
      <c r="D5" s="29">
        <v>0</v>
      </c>
      <c r="E5" s="29" t="s">
        <v>103</v>
      </c>
      <c r="F5" s="29" t="s">
        <v>104</v>
      </c>
    </row>
    <row r="6" spans="1:6" s="28" customFormat="1" x14ac:dyDescent="0.25">
      <c r="A6" s="29" t="s">
        <v>103</v>
      </c>
      <c r="B6" s="29" t="s">
        <v>104</v>
      </c>
      <c r="C6" s="29" t="s">
        <v>497</v>
      </c>
      <c r="D6" s="29">
        <v>5</v>
      </c>
      <c r="E6" s="29" t="s">
        <v>105</v>
      </c>
      <c r="F6" s="29" t="s">
        <v>106</v>
      </c>
    </row>
    <row r="7" spans="1:6" s="28" customFormat="1" x14ac:dyDescent="0.25">
      <c r="A7" s="29" t="s">
        <v>103</v>
      </c>
      <c r="B7" s="29" t="s">
        <v>104</v>
      </c>
      <c r="C7" s="29" t="s">
        <v>496</v>
      </c>
      <c r="D7" s="29">
        <v>0</v>
      </c>
      <c r="E7" s="29" t="s">
        <v>107</v>
      </c>
      <c r="F7" s="29" t="s">
        <v>108</v>
      </c>
    </row>
    <row r="8" spans="1:6" s="28" customFormat="1" x14ac:dyDescent="0.25">
      <c r="A8" s="29" t="s">
        <v>105</v>
      </c>
      <c r="B8" s="29" t="s">
        <v>106</v>
      </c>
      <c r="C8" s="29" t="s">
        <v>496</v>
      </c>
      <c r="D8" s="29">
        <v>0</v>
      </c>
      <c r="E8" s="29" t="s">
        <v>109</v>
      </c>
      <c r="F8" s="29" t="s">
        <v>110</v>
      </c>
    </row>
    <row r="9" spans="1:6" s="28" customFormat="1" x14ac:dyDescent="0.25">
      <c r="A9" s="29" t="s">
        <v>107</v>
      </c>
      <c r="B9" s="29" t="s">
        <v>108</v>
      </c>
      <c r="C9" s="29" t="s">
        <v>498</v>
      </c>
      <c r="D9" s="29">
        <v>0</v>
      </c>
      <c r="E9" s="29" t="s">
        <v>109</v>
      </c>
      <c r="F9" s="29" t="s">
        <v>110</v>
      </c>
    </row>
    <row r="10" spans="1:6" s="28" customFormat="1" x14ac:dyDescent="0.25">
      <c r="A10" s="29" t="s">
        <v>105</v>
      </c>
      <c r="B10" s="29" t="s">
        <v>106</v>
      </c>
      <c r="C10" s="29" t="s">
        <v>496</v>
      </c>
      <c r="D10" s="29">
        <v>0</v>
      </c>
      <c r="E10" s="29" t="s">
        <v>112</v>
      </c>
      <c r="F10" s="29" t="s">
        <v>113</v>
      </c>
    </row>
    <row r="11" spans="1:6" s="28" customFormat="1" x14ac:dyDescent="0.25">
      <c r="A11" s="29" t="s">
        <v>112</v>
      </c>
      <c r="B11" s="29" t="s">
        <v>113</v>
      </c>
      <c r="C11" s="29" t="s">
        <v>496</v>
      </c>
      <c r="D11" s="29">
        <v>0</v>
      </c>
      <c r="E11" s="29" t="s">
        <v>114</v>
      </c>
      <c r="F11" s="29" t="s">
        <v>115</v>
      </c>
    </row>
    <row r="12" spans="1:6" s="28" customFormat="1" x14ac:dyDescent="0.25">
      <c r="A12" s="29" t="s">
        <v>107</v>
      </c>
      <c r="B12" s="29" t="s">
        <v>108</v>
      </c>
      <c r="C12" s="29" t="s">
        <v>496</v>
      </c>
      <c r="D12" s="29">
        <v>0</v>
      </c>
      <c r="E12" s="29" t="s">
        <v>116</v>
      </c>
      <c r="F12" s="29" t="s">
        <v>117</v>
      </c>
    </row>
    <row r="13" spans="1:6" s="28" customFormat="1" x14ac:dyDescent="0.25">
      <c r="A13" s="29" t="s">
        <v>116</v>
      </c>
      <c r="B13" s="29" t="s">
        <v>117</v>
      </c>
      <c r="C13" s="29" t="s">
        <v>496</v>
      </c>
      <c r="D13" s="29">
        <v>0</v>
      </c>
      <c r="E13" s="29" t="s">
        <v>118</v>
      </c>
      <c r="F13" s="29" t="s">
        <v>119</v>
      </c>
    </row>
    <row r="14" spans="1:6" s="28" customFormat="1" x14ac:dyDescent="0.25">
      <c r="A14" s="29" t="s">
        <v>90</v>
      </c>
      <c r="B14" s="29" t="s">
        <v>91</v>
      </c>
      <c r="C14" s="29" t="s">
        <v>496</v>
      </c>
      <c r="D14" s="29">
        <v>0</v>
      </c>
      <c r="E14" s="29" t="s">
        <v>122</v>
      </c>
      <c r="F14" s="29" t="s">
        <v>123</v>
      </c>
    </row>
    <row r="15" spans="1:6" s="28" customFormat="1" x14ac:dyDescent="0.25">
      <c r="A15" s="29" t="s">
        <v>122</v>
      </c>
      <c r="B15" s="29" t="s">
        <v>123</v>
      </c>
      <c r="C15" s="29" t="s">
        <v>496</v>
      </c>
      <c r="D15" s="29">
        <v>0</v>
      </c>
      <c r="E15" s="29" t="s">
        <v>124</v>
      </c>
      <c r="F15" s="29" t="s">
        <v>125</v>
      </c>
    </row>
    <row r="16" spans="1:6" s="28" customFormat="1" x14ac:dyDescent="0.25">
      <c r="A16" s="29" t="s">
        <v>105</v>
      </c>
      <c r="B16" s="29" t="s">
        <v>106</v>
      </c>
      <c r="C16" s="29" t="s">
        <v>497</v>
      </c>
      <c r="D16" s="29">
        <v>10</v>
      </c>
      <c r="E16" s="29" t="s">
        <v>124</v>
      </c>
      <c r="F16" s="29" t="s">
        <v>125</v>
      </c>
    </row>
    <row r="17" spans="1:6" s="28" customFormat="1" x14ac:dyDescent="0.25">
      <c r="A17" s="29" t="s">
        <v>124</v>
      </c>
      <c r="B17" s="29" t="s">
        <v>125</v>
      </c>
      <c r="C17" s="29" t="s">
        <v>497</v>
      </c>
      <c r="D17" s="29">
        <v>7</v>
      </c>
      <c r="E17" s="29" t="s">
        <v>126</v>
      </c>
      <c r="F17" s="29" t="s">
        <v>127</v>
      </c>
    </row>
    <row r="18" spans="1:6" s="28" customFormat="1" x14ac:dyDescent="0.25">
      <c r="A18" s="29" t="s">
        <v>126</v>
      </c>
      <c r="B18" s="29" t="s">
        <v>127</v>
      </c>
      <c r="C18" s="29" t="s">
        <v>496</v>
      </c>
      <c r="D18" s="29">
        <v>0</v>
      </c>
      <c r="E18" s="29" t="s">
        <v>128</v>
      </c>
      <c r="F18" s="29" t="s">
        <v>129</v>
      </c>
    </row>
    <row r="19" spans="1:6" s="28" customFormat="1" x14ac:dyDescent="0.25">
      <c r="A19" s="29" t="s">
        <v>128</v>
      </c>
      <c r="B19" s="29" t="s">
        <v>129</v>
      </c>
      <c r="C19" s="29" t="s">
        <v>496</v>
      </c>
      <c r="D19" s="29">
        <v>0</v>
      </c>
      <c r="E19" s="29" t="s">
        <v>130</v>
      </c>
      <c r="F19" s="29" t="s">
        <v>131</v>
      </c>
    </row>
    <row r="20" spans="1:6" s="28" customFormat="1" x14ac:dyDescent="0.25">
      <c r="A20" s="29" t="s">
        <v>114</v>
      </c>
      <c r="B20" s="29" t="s">
        <v>115</v>
      </c>
      <c r="C20" s="29" t="s">
        <v>497</v>
      </c>
      <c r="D20" s="29">
        <v>15</v>
      </c>
      <c r="E20" s="29" t="s">
        <v>130</v>
      </c>
      <c r="F20" s="29" t="s">
        <v>131</v>
      </c>
    </row>
    <row r="21" spans="1:6" s="28" customFormat="1" x14ac:dyDescent="0.25">
      <c r="A21" s="29" t="s">
        <v>130</v>
      </c>
      <c r="B21" s="29" t="s">
        <v>131</v>
      </c>
      <c r="C21" s="29" t="s">
        <v>496</v>
      </c>
      <c r="D21" s="29">
        <v>-5</v>
      </c>
      <c r="E21" s="29" t="s">
        <v>134</v>
      </c>
      <c r="F21" s="29" t="s">
        <v>135</v>
      </c>
    </row>
    <row r="22" spans="1:6" s="28" customFormat="1" x14ac:dyDescent="0.25">
      <c r="A22" s="29" t="s">
        <v>130</v>
      </c>
      <c r="B22" s="29" t="s">
        <v>131</v>
      </c>
      <c r="C22" s="29" t="s">
        <v>497</v>
      </c>
      <c r="D22" s="29">
        <v>20</v>
      </c>
      <c r="E22" s="29" t="s">
        <v>132</v>
      </c>
      <c r="F22" s="29" t="s">
        <v>133</v>
      </c>
    </row>
    <row r="23" spans="1:6" s="28" customFormat="1" x14ac:dyDescent="0.25">
      <c r="A23" s="29" t="s">
        <v>132</v>
      </c>
      <c r="B23" s="29" t="s">
        <v>133</v>
      </c>
      <c r="C23" s="29" t="s">
        <v>497</v>
      </c>
      <c r="D23" s="29">
        <v>10</v>
      </c>
      <c r="E23" s="29" t="s">
        <v>136</v>
      </c>
      <c r="F23" s="29" t="s">
        <v>137</v>
      </c>
    </row>
    <row r="24" spans="1:6" s="28" customFormat="1" x14ac:dyDescent="0.25">
      <c r="A24" s="29" t="s">
        <v>118</v>
      </c>
      <c r="B24" s="29" t="s">
        <v>119</v>
      </c>
      <c r="C24" s="29" t="s">
        <v>496</v>
      </c>
      <c r="D24" s="29">
        <v>0</v>
      </c>
      <c r="E24" s="29" t="s">
        <v>136</v>
      </c>
      <c r="F24" s="29" t="s">
        <v>137</v>
      </c>
    </row>
    <row r="25" spans="1:6" s="28" customFormat="1" x14ac:dyDescent="0.25">
      <c r="A25" s="29" t="s">
        <v>132</v>
      </c>
      <c r="B25" s="29" t="s">
        <v>133</v>
      </c>
      <c r="C25" s="29" t="s">
        <v>496</v>
      </c>
      <c r="D25" s="29">
        <v>0</v>
      </c>
      <c r="E25" s="29" t="s">
        <v>138</v>
      </c>
      <c r="F25" s="29" t="s">
        <v>139</v>
      </c>
    </row>
    <row r="26" spans="1:6" s="28" customFormat="1" x14ac:dyDescent="0.25">
      <c r="A26" s="29" t="s">
        <v>134</v>
      </c>
      <c r="B26" s="29" t="s">
        <v>135</v>
      </c>
      <c r="C26" s="29" t="s">
        <v>496</v>
      </c>
      <c r="D26" s="29">
        <v>0</v>
      </c>
      <c r="E26" s="29" t="s">
        <v>138</v>
      </c>
      <c r="F26" s="29" t="s">
        <v>139</v>
      </c>
    </row>
    <row r="27" spans="1:6" s="28" customFormat="1" x14ac:dyDescent="0.25">
      <c r="A27" s="29" t="s">
        <v>136</v>
      </c>
      <c r="B27" s="29" t="s">
        <v>137</v>
      </c>
      <c r="C27" s="29" t="s">
        <v>496</v>
      </c>
      <c r="D27" s="29">
        <v>0</v>
      </c>
      <c r="E27" s="29" t="s">
        <v>140</v>
      </c>
      <c r="F27" s="29" t="s">
        <v>141</v>
      </c>
    </row>
    <row r="28" spans="1:6" s="28" customFormat="1" x14ac:dyDescent="0.25">
      <c r="A28" s="29" t="s">
        <v>138</v>
      </c>
      <c r="B28" s="29" t="s">
        <v>139</v>
      </c>
      <c r="C28" s="29" t="s">
        <v>498</v>
      </c>
      <c r="D28" s="29">
        <v>0</v>
      </c>
      <c r="E28" s="29" t="s">
        <v>140</v>
      </c>
      <c r="F28" s="29" t="s">
        <v>141</v>
      </c>
    </row>
    <row r="29" spans="1:6" s="28" customFormat="1" x14ac:dyDescent="0.25">
      <c r="A29" s="29" t="s">
        <v>140</v>
      </c>
      <c r="B29" s="29" t="s">
        <v>141</v>
      </c>
      <c r="C29" s="29" t="s">
        <v>496</v>
      </c>
      <c r="D29" s="29">
        <v>0</v>
      </c>
      <c r="E29" s="29" t="s">
        <v>142</v>
      </c>
      <c r="F29" s="29" t="s">
        <v>143</v>
      </c>
    </row>
    <row r="30" spans="1:6" s="28" customFormat="1" x14ac:dyDescent="0.25">
      <c r="A30" s="29" t="s">
        <v>142</v>
      </c>
      <c r="B30" s="29" t="s">
        <v>143</v>
      </c>
      <c r="C30" s="29" t="s">
        <v>496</v>
      </c>
      <c r="D30" s="29">
        <v>0</v>
      </c>
      <c r="E30" s="29" t="s">
        <v>92</v>
      </c>
      <c r="F30" s="29" t="s">
        <v>93</v>
      </c>
    </row>
    <row r="31" spans="1:6" s="28" customFormat="1" x14ac:dyDescent="0.25">
      <c r="A31" s="29" t="s">
        <v>90</v>
      </c>
      <c r="B31" s="29" t="s">
        <v>91</v>
      </c>
      <c r="C31" s="29" t="s">
        <v>496</v>
      </c>
      <c r="D31" s="29">
        <v>10</v>
      </c>
      <c r="E31" s="29" t="s">
        <v>146</v>
      </c>
      <c r="F31" s="29" t="s">
        <v>104</v>
      </c>
    </row>
    <row r="32" spans="1:6" s="28" customFormat="1" x14ac:dyDescent="0.25">
      <c r="A32" s="29" t="s">
        <v>146</v>
      </c>
      <c r="B32" s="29" t="s">
        <v>104</v>
      </c>
      <c r="C32" s="29" t="s">
        <v>497</v>
      </c>
      <c r="D32" s="29">
        <v>5</v>
      </c>
      <c r="E32" s="29" t="s">
        <v>147</v>
      </c>
      <c r="F32" s="29" t="s">
        <v>106</v>
      </c>
    </row>
    <row r="33" spans="1:6" s="28" customFormat="1" x14ac:dyDescent="0.25">
      <c r="A33" s="29" t="s">
        <v>146</v>
      </c>
      <c r="B33" s="29" t="s">
        <v>104</v>
      </c>
      <c r="C33" s="29" t="s">
        <v>496</v>
      </c>
      <c r="D33" s="29">
        <v>0</v>
      </c>
      <c r="E33" s="29" t="s">
        <v>148</v>
      </c>
      <c r="F33" s="29" t="s">
        <v>108</v>
      </c>
    </row>
    <row r="34" spans="1:6" s="28" customFormat="1" x14ac:dyDescent="0.25">
      <c r="A34" s="29" t="s">
        <v>147</v>
      </c>
      <c r="B34" s="29" t="s">
        <v>106</v>
      </c>
      <c r="C34" s="29" t="s">
        <v>496</v>
      </c>
      <c r="D34" s="29">
        <v>0</v>
      </c>
      <c r="E34" s="29" t="s">
        <v>149</v>
      </c>
      <c r="F34" s="29" t="s">
        <v>110</v>
      </c>
    </row>
    <row r="35" spans="1:6" s="28" customFormat="1" x14ac:dyDescent="0.25">
      <c r="A35" s="29" t="s">
        <v>148</v>
      </c>
      <c r="B35" s="29" t="s">
        <v>108</v>
      </c>
      <c r="C35" s="29" t="s">
        <v>498</v>
      </c>
      <c r="D35" s="29">
        <v>0</v>
      </c>
      <c r="E35" s="29" t="s">
        <v>149</v>
      </c>
      <c r="F35" s="29" t="s">
        <v>110</v>
      </c>
    </row>
    <row r="36" spans="1:6" s="28" customFormat="1" x14ac:dyDescent="0.25">
      <c r="A36" s="29" t="s">
        <v>147</v>
      </c>
      <c r="B36" s="29" t="s">
        <v>106</v>
      </c>
      <c r="C36" s="29" t="s">
        <v>496</v>
      </c>
      <c r="D36" s="29">
        <v>0</v>
      </c>
      <c r="E36" s="29" t="s">
        <v>151</v>
      </c>
      <c r="F36" s="29" t="s">
        <v>113</v>
      </c>
    </row>
    <row r="37" spans="1:6" s="28" customFormat="1" x14ac:dyDescent="0.25">
      <c r="A37" s="29" t="s">
        <v>151</v>
      </c>
      <c r="B37" s="29" t="s">
        <v>113</v>
      </c>
      <c r="C37" s="29" t="s">
        <v>496</v>
      </c>
      <c r="D37" s="29">
        <v>0</v>
      </c>
      <c r="E37" s="29" t="s">
        <v>152</v>
      </c>
      <c r="F37" s="29" t="s">
        <v>115</v>
      </c>
    </row>
    <row r="38" spans="1:6" s="28" customFormat="1" x14ac:dyDescent="0.25">
      <c r="A38" s="29" t="s">
        <v>148</v>
      </c>
      <c r="B38" s="29" t="s">
        <v>108</v>
      </c>
      <c r="C38" s="29" t="s">
        <v>496</v>
      </c>
      <c r="D38" s="29">
        <v>0</v>
      </c>
      <c r="E38" s="29" t="s">
        <v>153</v>
      </c>
      <c r="F38" s="29" t="s">
        <v>117</v>
      </c>
    </row>
    <row r="39" spans="1:6" s="28" customFormat="1" x14ac:dyDescent="0.25">
      <c r="A39" s="29" t="s">
        <v>153</v>
      </c>
      <c r="B39" s="29" t="s">
        <v>117</v>
      </c>
      <c r="C39" s="29" t="s">
        <v>496</v>
      </c>
      <c r="D39" s="29">
        <v>0</v>
      </c>
      <c r="E39" s="29" t="s">
        <v>154</v>
      </c>
      <c r="F39" s="29" t="s">
        <v>119</v>
      </c>
    </row>
    <row r="40" spans="1:6" s="28" customFormat="1" x14ac:dyDescent="0.25">
      <c r="A40" s="29" t="s">
        <v>90</v>
      </c>
      <c r="B40" s="29" t="s">
        <v>91</v>
      </c>
      <c r="C40" s="29" t="s">
        <v>496</v>
      </c>
      <c r="D40" s="29">
        <v>10</v>
      </c>
      <c r="E40" s="29" t="s">
        <v>156</v>
      </c>
      <c r="F40" s="29" t="s">
        <v>123</v>
      </c>
    </row>
    <row r="41" spans="1:6" s="28" customFormat="1" x14ac:dyDescent="0.25">
      <c r="A41" s="29" t="s">
        <v>156</v>
      </c>
      <c r="B41" s="29" t="s">
        <v>123</v>
      </c>
      <c r="C41" s="29" t="s">
        <v>496</v>
      </c>
      <c r="D41" s="29">
        <v>0</v>
      </c>
      <c r="E41" s="29" t="s">
        <v>157</v>
      </c>
      <c r="F41" s="29" t="s">
        <v>125</v>
      </c>
    </row>
    <row r="42" spans="1:6" s="28" customFormat="1" x14ac:dyDescent="0.25">
      <c r="A42" s="29" t="s">
        <v>147</v>
      </c>
      <c r="B42" s="29" t="s">
        <v>106</v>
      </c>
      <c r="C42" s="29" t="s">
        <v>497</v>
      </c>
      <c r="D42" s="29">
        <v>10</v>
      </c>
      <c r="E42" s="29" t="s">
        <v>157</v>
      </c>
      <c r="F42" s="29" t="s">
        <v>125</v>
      </c>
    </row>
    <row r="43" spans="1:6" s="28" customFormat="1" x14ac:dyDescent="0.25">
      <c r="A43" s="29" t="s">
        <v>157</v>
      </c>
      <c r="B43" s="29" t="s">
        <v>125</v>
      </c>
      <c r="C43" s="29" t="s">
        <v>497</v>
      </c>
      <c r="D43" s="29">
        <v>7</v>
      </c>
      <c r="E43" s="29" t="s">
        <v>158</v>
      </c>
      <c r="F43" s="29" t="s">
        <v>127</v>
      </c>
    </row>
    <row r="44" spans="1:6" s="28" customFormat="1" x14ac:dyDescent="0.25">
      <c r="A44" s="29" t="s">
        <v>158</v>
      </c>
      <c r="B44" s="29" t="s">
        <v>127</v>
      </c>
      <c r="C44" s="29" t="s">
        <v>496</v>
      </c>
      <c r="D44" s="29">
        <v>0</v>
      </c>
      <c r="E44" s="29" t="s">
        <v>159</v>
      </c>
      <c r="F44" s="29" t="s">
        <v>129</v>
      </c>
    </row>
    <row r="45" spans="1:6" s="28" customFormat="1" x14ac:dyDescent="0.25">
      <c r="A45" s="29" t="s">
        <v>159</v>
      </c>
      <c r="B45" s="29" t="s">
        <v>129</v>
      </c>
      <c r="C45" s="29" t="s">
        <v>496</v>
      </c>
      <c r="D45" s="29">
        <v>0</v>
      </c>
      <c r="E45" s="29" t="s">
        <v>160</v>
      </c>
      <c r="F45" s="29" t="s">
        <v>131</v>
      </c>
    </row>
    <row r="46" spans="1:6" s="28" customFormat="1" x14ac:dyDescent="0.25">
      <c r="A46" s="29" t="s">
        <v>152</v>
      </c>
      <c r="B46" s="29" t="s">
        <v>115</v>
      </c>
      <c r="C46" s="29" t="s">
        <v>497</v>
      </c>
      <c r="D46" s="29">
        <v>15</v>
      </c>
      <c r="E46" s="29" t="s">
        <v>160</v>
      </c>
      <c r="F46" s="29" t="s">
        <v>131</v>
      </c>
    </row>
    <row r="47" spans="1:6" s="28" customFormat="1" x14ac:dyDescent="0.25">
      <c r="A47" s="29" t="s">
        <v>160</v>
      </c>
      <c r="B47" s="29" t="s">
        <v>131</v>
      </c>
      <c r="C47" s="29" t="s">
        <v>496</v>
      </c>
      <c r="D47" s="29">
        <v>-5</v>
      </c>
      <c r="E47" s="29" t="s">
        <v>163</v>
      </c>
      <c r="F47" s="29" t="s">
        <v>135</v>
      </c>
    </row>
    <row r="48" spans="1:6" s="28" customFormat="1" x14ac:dyDescent="0.25">
      <c r="A48" s="29" t="s">
        <v>160</v>
      </c>
      <c r="B48" s="29" t="s">
        <v>131</v>
      </c>
      <c r="C48" s="29" t="s">
        <v>497</v>
      </c>
      <c r="D48" s="29">
        <v>20</v>
      </c>
      <c r="E48" s="29" t="s">
        <v>161</v>
      </c>
      <c r="F48" s="29" t="s">
        <v>133</v>
      </c>
    </row>
    <row r="49" spans="1:6" s="28" customFormat="1" x14ac:dyDescent="0.25">
      <c r="A49" s="29" t="s">
        <v>161</v>
      </c>
      <c r="B49" s="29" t="s">
        <v>133</v>
      </c>
      <c r="C49" s="29" t="s">
        <v>497</v>
      </c>
      <c r="D49" s="29">
        <v>10</v>
      </c>
      <c r="E49" s="29" t="s">
        <v>165</v>
      </c>
      <c r="F49" s="29" t="s">
        <v>137</v>
      </c>
    </row>
    <row r="50" spans="1:6" s="28" customFormat="1" x14ac:dyDescent="0.25">
      <c r="A50" s="29" t="s">
        <v>154</v>
      </c>
      <c r="B50" s="29" t="s">
        <v>119</v>
      </c>
      <c r="C50" s="29" t="s">
        <v>496</v>
      </c>
      <c r="D50" s="29">
        <v>0</v>
      </c>
      <c r="E50" s="29" t="s">
        <v>165</v>
      </c>
      <c r="F50" s="29" t="s">
        <v>137</v>
      </c>
    </row>
    <row r="51" spans="1:6" s="28" customFormat="1" x14ac:dyDescent="0.25">
      <c r="A51" s="29" t="s">
        <v>161</v>
      </c>
      <c r="B51" s="29" t="s">
        <v>133</v>
      </c>
      <c r="C51" s="29" t="s">
        <v>496</v>
      </c>
      <c r="D51" s="29">
        <v>0</v>
      </c>
      <c r="E51" s="29" t="s">
        <v>166</v>
      </c>
      <c r="F51" s="29" t="s">
        <v>139</v>
      </c>
    </row>
    <row r="52" spans="1:6" s="28" customFormat="1" x14ac:dyDescent="0.25">
      <c r="A52" s="29" t="s">
        <v>163</v>
      </c>
      <c r="B52" s="29" t="s">
        <v>135</v>
      </c>
      <c r="C52" s="29" t="s">
        <v>496</v>
      </c>
      <c r="D52" s="29">
        <v>0</v>
      </c>
      <c r="E52" s="29" t="s">
        <v>166</v>
      </c>
      <c r="F52" s="29" t="s">
        <v>139</v>
      </c>
    </row>
    <row r="53" spans="1:6" s="28" customFormat="1" x14ac:dyDescent="0.25">
      <c r="A53" s="29" t="s">
        <v>165</v>
      </c>
      <c r="B53" s="29" t="s">
        <v>137</v>
      </c>
      <c r="C53" s="29" t="s">
        <v>496</v>
      </c>
      <c r="D53" s="29">
        <v>0</v>
      </c>
      <c r="E53" s="29" t="s">
        <v>167</v>
      </c>
      <c r="F53" s="29" t="s">
        <v>141</v>
      </c>
    </row>
    <row r="54" spans="1:6" s="28" customFormat="1" x14ac:dyDescent="0.25">
      <c r="A54" s="29" t="s">
        <v>166</v>
      </c>
      <c r="B54" s="29" t="s">
        <v>139</v>
      </c>
      <c r="C54" s="29" t="s">
        <v>498</v>
      </c>
      <c r="D54" s="29">
        <v>0</v>
      </c>
      <c r="E54" s="29" t="s">
        <v>167</v>
      </c>
      <c r="F54" s="29" t="s">
        <v>141</v>
      </c>
    </row>
    <row r="55" spans="1:6" s="28" customFormat="1" x14ac:dyDescent="0.25">
      <c r="A55" s="29" t="s">
        <v>167</v>
      </c>
      <c r="B55" s="29" t="s">
        <v>141</v>
      </c>
      <c r="C55" s="29" t="s">
        <v>496</v>
      </c>
      <c r="D55" s="29">
        <v>0</v>
      </c>
      <c r="E55" s="29" t="s">
        <v>168</v>
      </c>
      <c r="F55" s="29" t="s">
        <v>143</v>
      </c>
    </row>
    <row r="56" spans="1:6" s="28" customFormat="1" x14ac:dyDescent="0.25">
      <c r="A56" s="29" t="s">
        <v>168</v>
      </c>
      <c r="B56" s="29" t="s">
        <v>143</v>
      </c>
      <c r="C56" s="29" t="s">
        <v>496</v>
      </c>
      <c r="D56" s="29">
        <v>0</v>
      </c>
      <c r="E56" s="29" t="s">
        <v>92</v>
      </c>
      <c r="F56" s="29" t="s">
        <v>93</v>
      </c>
    </row>
    <row r="57" spans="1:6" s="28" customFormat="1" x14ac:dyDescent="0.25">
      <c r="A57" s="29" t="s">
        <v>90</v>
      </c>
      <c r="B57" s="29" t="s">
        <v>91</v>
      </c>
      <c r="C57" s="29" t="s">
        <v>496</v>
      </c>
      <c r="D57" s="29">
        <v>20</v>
      </c>
      <c r="E57" s="29" t="s">
        <v>172</v>
      </c>
      <c r="F57" s="29" t="s">
        <v>104</v>
      </c>
    </row>
    <row r="58" spans="1:6" s="28" customFormat="1" x14ac:dyDescent="0.25">
      <c r="A58" s="29" t="s">
        <v>172</v>
      </c>
      <c r="B58" s="29" t="s">
        <v>104</v>
      </c>
      <c r="C58" s="29" t="s">
        <v>497</v>
      </c>
      <c r="D58" s="29">
        <v>5</v>
      </c>
      <c r="E58" s="29" t="s">
        <v>173</v>
      </c>
      <c r="F58" s="29" t="s">
        <v>106</v>
      </c>
    </row>
    <row r="59" spans="1:6" s="28" customFormat="1" x14ac:dyDescent="0.25">
      <c r="A59" s="29" t="s">
        <v>172</v>
      </c>
      <c r="B59" s="29" t="s">
        <v>104</v>
      </c>
      <c r="C59" s="29" t="s">
        <v>496</v>
      </c>
      <c r="D59" s="29">
        <v>0</v>
      </c>
      <c r="E59" s="29" t="s">
        <v>174</v>
      </c>
      <c r="F59" s="29" t="s">
        <v>108</v>
      </c>
    </row>
    <row r="60" spans="1:6" s="28" customFormat="1" x14ac:dyDescent="0.25">
      <c r="A60" s="29" t="s">
        <v>173</v>
      </c>
      <c r="B60" s="29" t="s">
        <v>106</v>
      </c>
      <c r="C60" s="29" t="s">
        <v>496</v>
      </c>
      <c r="D60" s="29">
        <v>0</v>
      </c>
      <c r="E60" s="29" t="s">
        <v>175</v>
      </c>
      <c r="F60" s="29" t="s">
        <v>110</v>
      </c>
    </row>
    <row r="61" spans="1:6" s="28" customFormat="1" x14ac:dyDescent="0.25">
      <c r="A61" s="29" t="s">
        <v>174</v>
      </c>
      <c r="B61" s="29" t="s">
        <v>108</v>
      </c>
      <c r="C61" s="29" t="s">
        <v>498</v>
      </c>
      <c r="D61" s="29">
        <v>0</v>
      </c>
      <c r="E61" s="29" t="s">
        <v>175</v>
      </c>
      <c r="F61" s="29" t="s">
        <v>110</v>
      </c>
    </row>
    <row r="62" spans="1:6" s="28" customFormat="1" x14ac:dyDescent="0.25">
      <c r="A62" s="29" t="s">
        <v>173</v>
      </c>
      <c r="B62" s="29" t="s">
        <v>106</v>
      </c>
      <c r="C62" s="29" t="s">
        <v>496</v>
      </c>
      <c r="D62" s="29">
        <v>0</v>
      </c>
      <c r="E62" s="29" t="s">
        <v>177</v>
      </c>
      <c r="F62" s="29" t="s">
        <v>113</v>
      </c>
    </row>
    <row r="63" spans="1:6" s="28" customFormat="1" x14ac:dyDescent="0.25">
      <c r="A63" s="29" t="s">
        <v>177</v>
      </c>
      <c r="B63" s="29" t="s">
        <v>113</v>
      </c>
      <c r="C63" s="29" t="s">
        <v>496</v>
      </c>
      <c r="D63" s="29">
        <v>0</v>
      </c>
      <c r="E63" s="29" t="s">
        <v>178</v>
      </c>
      <c r="F63" s="29" t="s">
        <v>115</v>
      </c>
    </row>
    <row r="64" spans="1:6" s="28" customFormat="1" x14ac:dyDescent="0.25">
      <c r="A64" s="29" t="s">
        <v>174</v>
      </c>
      <c r="B64" s="29" t="s">
        <v>108</v>
      </c>
      <c r="C64" s="29" t="s">
        <v>496</v>
      </c>
      <c r="D64" s="29">
        <v>0</v>
      </c>
      <c r="E64" s="29" t="s">
        <v>179</v>
      </c>
      <c r="F64" s="29" t="s">
        <v>117</v>
      </c>
    </row>
    <row r="65" spans="1:6" s="28" customFormat="1" x14ac:dyDescent="0.25">
      <c r="A65" s="29" t="s">
        <v>179</v>
      </c>
      <c r="B65" s="29" t="s">
        <v>117</v>
      </c>
      <c r="C65" s="29" t="s">
        <v>496</v>
      </c>
      <c r="D65" s="29">
        <v>0</v>
      </c>
      <c r="E65" s="29" t="s">
        <v>180</v>
      </c>
      <c r="F65" s="29" t="s">
        <v>119</v>
      </c>
    </row>
    <row r="66" spans="1:6" s="28" customFormat="1" x14ac:dyDescent="0.25">
      <c r="A66" s="29" t="s">
        <v>90</v>
      </c>
      <c r="B66" s="29" t="s">
        <v>91</v>
      </c>
      <c r="C66" s="29" t="s">
        <v>496</v>
      </c>
      <c r="D66" s="29">
        <v>20</v>
      </c>
      <c r="E66" s="29" t="s">
        <v>182</v>
      </c>
      <c r="F66" s="29" t="s">
        <v>123</v>
      </c>
    </row>
    <row r="67" spans="1:6" s="28" customFormat="1" x14ac:dyDescent="0.25">
      <c r="A67" s="29" t="s">
        <v>182</v>
      </c>
      <c r="B67" s="29" t="s">
        <v>123</v>
      </c>
      <c r="C67" s="29" t="s">
        <v>496</v>
      </c>
      <c r="D67" s="29">
        <v>0</v>
      </c>
      <c r="E67" s="29" t="s">
        <v>183</v>
      </c>
      <c r="F67" s="29" t="s">
        <v>125</v>
      </c>
    </row>
    <row r="68" spans="1:6" s="28" customFormat="1" x14ac:dyDescent="0.25">
      <c r="A68" s="29" t="s">
        <v>173</v>
      </c>
      <c r="B68" s="29" t="s">
        <v>106</v>
      </c>
      <c r="C68" s="29" t="s">
        <v>497</v>
      </c>
      <c r="D68" s="29">
        <v>10</v>
      </c>
      <c r="E68" s="29" t="s">
        <v>183</v>
      </c>
      <c r="F68" s="29" t="s">
        <v>125</v>
      </c>
    </row>
    <row r="69" spans="1:6" s="28" customFormat="1" x14ac:dyDescent="0.25">
      <c r="A69" s="29" t="s">
        <v>183</v>
      </c>
      <c r="B69" s="29" t="s">
        <v>125</v>
      </c>
      <c r="C69" s="29" t="s">
        <v>497</v>
      </c>
      <c r="D69" s="29">
        <v>7</v>
      </c>
      <c r="E69" s="29" t="s">
        <v>184</v>
      </c>
      <c r="F69" s="29" t="s">
        <v>127</v>
      </c>
    </row>
    <row r="70" spans="1:6" s="28" customFormat="1" x14ac:dyDescent="0.25">
      <c r="A70" s="29" t="s">
        <v>184</v>
      </c>
      <c r="B70" s="29" t="s">
        <v>127</v>
      </c>
      <c r="C70" s="29" t="s">
        <v>496</v>
      </c>
      <c r="D70" s="29">
        <v>0</v>
      </c>
      <c r="E70" s="29" t="s">
        <v>185</v>
      </c>
      <c r="F70" s="29" t="s">
        <v>129</v>
      </c>
    </row>
    <row r="71" spans="1:6" s="28" customFormat="1" x14ac:dyDescent="0.25">
      <c r="A71" s="29" t="s">
        <v>185</v>
      </c>
      <c r="B71" s="29" t="s">
        <v>129</v>
      </c>
      <c r="C71" s="29" t="s">
        <v>496</v>
      </c>
      <c r="D71" s="29">
        <v>0</v>
      </c>
      <c r="E71" s="29" t="s">
        <v>186</v>
      </c>
      <c r="F71" s="29" t="s">
        <v>131</v>
      </c>
    </row>
    <row r="72" spans="1:6" s="28" customFormat="1" x14ac:dyDescent="0.25">
      <c r="A72" s="29" t="s">
        <v>178</v>
      </c>
      <c r="B72" s="29" t="s">
        <v>115</v>
      </c>
      <c r="C72" s="29" t="s">
        <v>497</v>
      </c>
      <c r="D72" s="29">
        <v>15</v>
      </c>
      <c r="E72" s="29" t="s">
        <v>186</v>
      </c>
      <c r="F72" s="29" t="s">
        <v>131</v>
      </c>
    </row>
    <row r="73" spans="1:6" s="28" customFormat="1" x14ac:dyDescent="0.25">
      <c r="A73" s="29" t="s">
        <v>186</v>
      </c>
      <c r="B73" s="29" t="s">
        <v>131</v>
      </c>
      <c r="C73" s="29" t="s">
        <v>496</v>
      </c>
      <c r="D73" s="29">
        <v>-5</v>
      </c>
      <c r="E73" s="29" t="s">
        <v>188</v>
      </c>
      <c r="F73" s="29" t="s">
        <v>135</v>
      </c>
    </row>
    <row r="74" spans="1:6" s="28" customFormat="1" x14ac:dyDescent="0.25">
      <c r="A74" s="29" t="s">
        <v>186</v>
      </c>
      <c r="B74" s="29" t="s">
        <v>131</v>
      </c>
      <c r="C74" s="29" t="s">
        <v>497</v>
      </c>
      <c r="D74" s="29">
        <v>20</v>
      </c>
      <c r="E74" s="29" t="s">
        <v>187</v>
      </c>
      <c r="F74" s="29" t="s">
        <v>133</v>
      </c>
    </row>
    <row r="75" spans="1:6" s="28" customFormat="1" x14ac:dyDescent="0.25">
      <c r="A75" s="29" t="s">
        <v>187</v>
      </c>
      <c r="B75" s="29" t="s">
        <v>133</v>
      </c>
      <c r="C75" s="29" t="s">
        <v>497</v>
      </c>
      <c r="D75" s="29">
        <v>10</v>
      </c>
      <c r="E75" s="29" t="s">
        <v>190</v>
      </c>
      <c r="F75" s="29" t="s">
        <v>137</v>
      </c>
    </row>
    <row r="76" spans="1:6" s="28" customFormat="1" x14ac:dyDescent="0.25">
      <c r="A76" s="29" t="s">
        <v>180</v>
      </c>
      <c r="B76" s="29" t="s">
        <v>119</v>
      </c>
      <c r="C76" s="29" t="s">
        <v>496</v>
      </c>
      <c r="D76" s="29">
        <v>0</v>
      </c>
      <c r="E76" s="29" t="s">
        <v>190</v>
      </c>
      <c r="F76" s="29" t="s">
        <v>137</v>
      </c>
    </row>
    <row r="77" spans="1:6" s="28" customFormat="1" x14ac:dyDescent="0.25">
      <c r="A77" s="29" t="s">
        <v>187</v>
      </c>
      <c r="B77" s="29" t="s">
        <v>133</v>
      </c>
      <c r="C77" s="29" t="s">
        <v>496</v>
      </c>
      <c r="D77" s="29">
        <v>0</v>
      </c>
      <c r="E77" s="29" t="s">
        <v>189</v>
      </c>
      <c r="F77" s="29" t="s">
        <v>139</v>
      </c>
    </row>
    <row r="78" spans="1:6" s="28" customFormat="1" x14ac:dyDescent="0.25">
      <c r="A78" s="29" t="s">
        <v>188</v>
      </c>
      <c r="B78" s="29" t="s">
        <v>135</v>
      </c>
      <c r="C78" s="29" t="s">
        <v>496</v>
      </c>
      <c r="D78" s="29">
        <v>0</v>
      </c>
      <c r="E78" s="29" t="s">
        <v>189</v>
      </c>
      <c r="F78" s="29" t="s">
        <v>139</v>
      </c>
    </row>
    <row r="79" spans="1:6" s="28" customFormat="1" x14ac:dyDescent="0.25">
      <c r="A79" s="29" t="s">
        <v>190</v>
      </c>
      <c r="B79" s="29" t="s">
        <v>137</v>
      </c>
      <c r="C79" s="29" t="s">
        <v>496</v>
      </c>
      <c r="D79" s="29">
        <v>0</v>
      </c>
      <c r="E79" s="29" t="s">
        <v>191</v>
      </c>
      <c r="F79" s="29" t="s">
        <v>141</v>
      </c>
    </row>
    <row r="80" spans="1:6" s="28" customFormat="1" x14ac:dyDescent="0.25">
      <c r="A80" s="29" t="s">
        <v>189</v>
      </c>
      <c r="B80" s="29" t="s">
        <v>139</v>
      </c>
      <c r="C80" s="29" t="s">
        <v>498</v>
      </c>
      <c r="D80" s="29">
        <v>0</v>
      </c>
      <c r="E80" s="29" t="s">
        <v>191</v>
      </c>
      <c r="F80" s="29" t="s">
        <v>141</v>
      </c>
    </row>
    <row r="81" spans="1:6" s="28" customFormat="1" x14ac:dyDescent="0.25">
      <c r="A81" s="29" t="s">
        <v>191</v>
      </c>
      <c r="B81" s="29" t="s">
        <v>141</v>
      </c>
      <c r="C81" s="29" t="s">
        <v>496</v>
      </c>
      <c r="D81" s="29">
        <v>0</v>
      </c>
      <c r="E81" s="29" t="s">
        <v>192</v>
      </c>
      <c r="F81" s="29" t="s">
        <v>143</v>
      </c>
    </row>
    <row r="82" spans="1:6" s="28" customFormat="1" x14ac:dyDescent="0.25">
      <c r="A82" s="29" t="s">
        <v>192</v>
      </c>
      <c r="B82" s="29" t="s">
        <v>143</v>
      </c>
      <c r="C82" s="29" t="s">
        <v>496</v>
      </c>
      <c r="D82" s="29">
        <v>0</v>
      </c>
      <c r="E82" s="29" t="s">
        <v>92</v>
      </c>
      <c r="F82" s="29" t="s">
        <v>93</v>
      </c>
    </row>
    <row r="83" spans="1:6" s="28" customFormat="1" x14ac:dyDescent="0.25">
      <c r="A83" s="29" t="s">
        <v>90</v>
      </c>
      <c r="B83" s="29" t="s">
        <v>91</v>
      </c>
      <c r="C83" s="29" t="s">
        <v>496</v>
      </c>
      <c r="D83" s="29">
        <v>40</v>
      </c>
      <c r="E83" s="29" t="s">
        <v>195</v>
      </c>
      <c r="F83" s="29" t="s">
        <v>104</v>
      </c>
    </row>
    <row r="84" spans="1:6" s="28" customFormat="1" x14ac:dyDescent="0.25">
      <c r="A84" s="29" t="s">
        <v>195</v>
      </c>
      <c r="B84" s="29" t="s">
        <v>104</v>
      </c>
      <c r="C84" s="29" t="s">
        <v>497</v>
      </c>
      <c r="D84" s="29">
        <v>5</v>
      </c>
      <c r="E84" s="29" t="s">
        <v>196</v>
      </c>
      <c r="F84" s="29" t="s">
        <v>106</v>
      </c>
    </row>
    <row r="85" spans="1:6" s="28" customFormat="1" x14ac:dyDescent="0.25">
      <c r="A85" s="29" t="s">
        <v>195</v>
      </c>
      <c r="B85" s="29" t="s">
        <v>104</v>
      </c>
      <c r="C85" s="29" t="s">
        <v>496</v>
      </c>
      <c r="D85" s="29">
        <v>0</v>
      </c>
      <c r="E85" s="29" t="s">
        <v>197</v>
      </c>
      <c r="F85" s="29" t="s">
        <v>108</v>
      </c>
    </row>
    <row r="86" spans="1:6" s="28" customFormat="1" x14ac:dyDescent="0.25">
      <c r="A86" s="29" t="s">
        <v>196</v>
      </c>
      <c r="B86" s="29" t="s">
        <v>106</v>
      </c>
      <c r="C86" s="29" t="s">
        <v>496</v>
      </c>
      <c r="D86" s="29">
        <v>0</v>
      </c>
      <c r="E86" s="29" t="s">
        <v>198</v>
      </c>
      <c r="F86" s="29" t="s">
        <v>110</v>
      </c>
    </row>
    <row r="87" spans="1:6" s="28" customFormat="1" x14ac:dyDescent="0.25">
      <c r="A87" s="29" t="s">
        <v>197</v>
      </c>
      <c r="B87" s="29" t="s">
        <v>108</v>
      </c>
      <c r="C87" s="29" t="s">
        <v>498</v>
      </c>
      <c r="D87" s="29">
        <v>0</v>
      </c>
      <c r="E87" s="29" t="s">
        <v>198</v>
      </c>
      <c r="F87" s="29" t="s">
        <v>110</v>
      </c>
    </row>
    <row r="88" spans="1:6" s="28" customFormat="1" x14ac:dyDescent="0.25">
      <c r="A88" s="29" t="s">
        <v>196</v>
      </c>
      <c r="B88" s="29" t="s">
        <v>106</v>
      </c>
      <c r="C88" s="29" t="s">
        <v>496</v>
      </c>
      <c r="D88" s="29">
        <v>0</v>
      </c>
      <c r="E88" s="29" t="s">
        <v>200</v>
      </c>
      <c r="F88" s="29" t="s">
        <v>113</v>
      </c>
    </row>
    <row r="89" spans="1:6" s="28" customFormat="1" x14ac:dyDescent="0.25">
      <c r="A89" s="29" t="s">
        <v>200</v>
      </c>
      <c r="B89" s="29" t="s">
        <v>113</v>
      </c>
      <c r="C89" s="29" t="s">
        <v>496</v>
      </c>
      <c r="D89" s="29">
        <v>0</v>
      </c>
      <c r="E89" s="29" t="s">
        <v>201</v>
      </c>
      <c r="F89" s="29" t="s">
        <v>115</v>
      </c>
    </row>
    <row r="90" spans="1:6" s="28" customFormat="1" x14ac:dyDescent="0.25">
      <c r="A90" s="29" t="s">
        <v>197</v>
      </c>
      <c r="B90" s="29" t="s">
        <v>108</v>
      </c>
      <c r="C90" s="29" t="s">
        <v>496</v>
      </c>
      <c r="D90" s="29">
        <v>0</v>
      </c>
      <c r="E90" s="29" t="s">
        <v>202</v>
      </c>
      <c r="F90" s="29" t="s">
        <v>117</v>
      </c>
    </row>
    <row r="91" spans="1:6" s="28" customFormat="1" x14ac:dyDescent="0.25">
      <c r="A91" s="29" t="s">
        <v>202</v>
      </c>
      <c r="B91" s="29" t="s">
        <v>117</v>
      </c>
      <c r="C91" s="29" t="s">
        <v>496</v>
      </c>
      <c r="D91" s="29">
        <v>0</v>
      </c>
      <c r="E91" s="29" t="s">
        <v>203</v>
      </c>
      <c r="F91" s="29" t="s">
        <v>119</v>
      </c>
    </row>
    <row r="92" spans="1:6" s="28" customFormat="1" x14ac:dyDescent="0.25">
      <c r="A92" s="29" t="s">
        <v>90</v>
      </c>
      <c r="B92" s="29" t="s">
        <v>91</v>
      </c>
      <c r="C92" s="29" t="s">
        <v>496</v>
      </c>
      <c r="D92" s="29">
        <v>40</v>
      </c>
      <c r="E92" s="29" t="s">
        <v>206</v>
      </c>
      <c r="F92" s="29" t="s">
        <v>123</v>
      </c>
    </row>
    <row r="93" spans="1:6" s="28" customFormat="1" x14ac:dyDescent="0.25">
      <c r="A93" s="29" t="s">
        <v>206</v>
      </c>
      <c r="B93" s="29" t="s">
        <v>123</v>
      </c>
      <c r="C93" s="29" t="s">
        <v>496</v>
      </c>
      <c r="D93" s="29">
        <v>0</v>
      </c>
      <c r="E93" s="29" t="s">
        <v>207</v>
      </c>
      <c r="F93" s="29" t="s">
        <v>125</v>
      </c>
    </row>
    <row r="94" spans="1:6" s="28" customFormat="1" x14ac:dyDescent="0.25">
      <c r="A94" s="29" t="s">
        <v>196</v>
      </c>
      <c r="B94" s="29" t="s">
        <v>106</v>
      </c>
      <c r="C94" s="29" t="s">
        <v>497</v>
      </c>
      <c r="D94" s="29">
        <v>10</v>
      </c>
      <c r="E94" s="29" t="s">
        <v>207</v>
      </c>
      <c r="F94" s="29" t="s">
        <v>125</v>
      </c>
    </row>
    <row r="95" spans="1:6" s="28" customFormat="1" x14ac:dyDescent="0.25">
      <c r="A95" s="29" t="s">
        <v>207</v>
      </c>
      <c r="B95" s="29" t="s">
        <v>125</v>
      </c>
      <c r="C95" s="29" t="s">
        <v>497</v>
      </c>
      <c r="D95" s="29">
        <v>7</v>
      </c>
      <c r="E95" s="29" t="s">
        <v>208</v>
      </c>
      <c r="F95" s="29" t="s">
        <v>127</v>
      </c>
    </row>
    <row r="96" spans="1:6" s="28" customFormat="1" x14ac:dyDescent="0.25">
      <c r="A96" s="29" t="s">
        <v>208</v>
      </c>
      <c r="B96" s="29" t="s">
        <v>127</v>
      </c>
      <c r="C96" s="29" t="s">
        <v>496</v>
      </c>
      <c r="D96" s="29">
        <v>0</v>
      </c>
      <c r="E96" s="29" t="s">
        <v>209</v>
      </c>
      <c r="F96" s="29" t="s">
        <v>129</v>
      </c>
    </row>
    <row r="97" spans="1:6" s="28" customFormat="1" x14ac:dyDescent="0.25">
      <c r="A97" s="29" t="s">
        <v>209</v>
      </c>
      <c r="B97" s="29" t="s">
        <v>129</v>
      </c>
      <c r="C97" s="29" t="s">
        <v>496</v>
      </c>
      <c r="D97" s="29">
        <v>0</v>
      </c>
      <c r="E97" s="29" t="s">
        <v>210</v>
      </c>
      <c r="F97" s="29" t="s">
        <v>131</v>
      </c>
    </row>
    <row r="98" spans="1:6" s="28" customFormat="1" x14ac:dyDescent="0.25">
      <c r="A98" s="29" t="s">
        <v>201</v>
      </c>
      <c r="B98" s="29" t="s">
        <v>115</v>
      </c>
      <c r="C98" s="29" t="s">
        <v>497</v>
      </c>
      <c r="D98" s="29">
        <v>15</v>
      </c>
      <c r="E98" s="29" t="s">
        <v>210</v>
      </c>
      <c r="F98" s="29" t="s">
        <v>131</v>
      </c>
    </row>
    <row r="99" spans="1:6" s="28" customFormat="1" x14ac:dyDescent="0.25">
      <c r="A99" s="29" t="s">
        <v>210</v>
      </c>
      <c r="B99" s="29" t="s">
        <v>131</v>
      </c>
      <c r="C99" s="29" t="s">
        <v>496</v>
      </c>
      <c r="D99" s="29">
        <v>-5</v>
      </c>
      <c r="E99" s="29" t="s">
        <v>214</v>
      </c>
      <c r="F99" s="29" t="s">
        <v>135</v>
      </c>
    </row>
    <row r="100" spans="1:6" s="28" customFormat="1" x14ac:dyDescent="0.25">
      <c r="A100" s="29" t="s">
        <v>210</v>
      </c>
      <c r="B100" s="29" t="s">
        <v>131</v>
      </c>
      <c r="C100" s="29" t="s">
        <v>497</v>
      </c>
      <c r="D100" s="29">
        <v>20</v>
      </c>
      <c r="E100" s="29" t="s">
        <v>213</v>
      </c>
      <c r="F100" s="29" t="s">
        <v>133</v>
      </c>
    </row>
    <row r="101" spans="1:6" s="28" customFormat="1" x14ac:dyDescent="0.25">
      <c r="A101" s="29" t="s">
        <v>213</v>
      </c>
      <c r="B101" s="29" t="s">
        <v>133</v>
      </c>
      <c r="C101" s="29" t="s">
        <v>497</v>
      </c>
      <c r="D101" s="29">
        <v>10</v>
      </c>
      <c r="E101" s="29" t="s">
        <v>211</v>
      </c>
      <c r="F101" s="29" t="s">
        <v>137</v>
      </c>
    </row>
    <row r="102" spans="1:6" s="28" customFormat="1" x14ac:dyDescent="0.25">
      <c r="A102" s="29" t="s">
        <v>203</v>
      </c>
      <c r="B102" s="29" t="s">
        <v>119</v>
      </c>
      <c r="C102" s="29" t="s">
        <v>496</v>
      </c>
      <c r="D102" s="29">
        <v>0</v>
      </c>
      <c r="E102" s="29" t="s">
        <v>211</v>
      </c>
      <c r="F102" s="29" t="s">
        <v>137</v>
      </c>
    </row>
    <row r="103" spans="1:6" s="28" customFormat="1" x14ac:dyDescent="0.25">
      <c r="A103" s="29" t="s">
        <v>213</v>
      </c>
      <c r="B103" s="29" t="s">
        <v>133</v>
      </c>
      <c r="C103" s="29" t="s">
        <v>496</v>
      </c>
      <c r="D103" s="29">
        <v>0</v>
      </c>
      <c r="E103" s="29" t="s">
        <v>215</v>
      </c>
      <c r="F103" s="29" t="s">
        <v>139</v>
      </c>
    </row>
    <row r="104" spans="1:6" s="28" customFormat="1" x14ac:dyDescent="0.25">
      <c r="A104" s="29" t="s">
        <v>214</v>
      </c>
      <c r="B104" s="29" t="s">
        <v>135</v>
      </c>
      <c r="C104" s="29" t="s">
        <v>496</v>
      </c>
      <c r="D104" s="29">
        <v>0</v>
      </c>
      <c r="E104" s="29" t="s">
        <v>215</v>
      </c>
      <c r="F104" s="29" t="s">
        <v>139</v>
      </c>
    </row>
    <row r="105" spans="1:6" s="28" customFormat="1" x14ac:dyDescent="0.25">
      <c r="A105" s="29" t="s">
        <v>211</v>
      </c>
      <c r="B105" s="29" t="s">
        <v>137</v>
      </c>
      <c r="C105" s="29" t="s">
        <v>496</v>
      </c>
      <c r="D105" s="29">
        <v>0</v>
      </c>
      <c r="E105" s="29" t="s">
        <v>216</v>
      </c>
      <c r="F105" s="29" t="s">
        <v>141</v>
      </c>
    </row>
    <row r="106" spans="1:6" s="28" customFormat="1" x14ac:dyDescent="0.25">
      <c r="A106" s="29" t="s">
        <v>215</v>
      </c>
      <c r="B106" s="29" t="s">
        <v>139</v>
      </c>
      <c r="C106" s="29" t="s">
        <v>498</v>
      </c>
      <c r="D106" s="29">
        <v>0</v>
      </c>
      <c r="E106" s="29" t="s">
        <v>216</v>
      </c>
      <c r="F106" s="29" t="s">
        <v>141</v>
      </c>
    </row>
    <row r="107" spans="1:6" s="28" customFormat="1" x14ac:dyDescent="0.25">
      <c r="A107" s="29" t="s">
        <v>216</v>
      </c>
      <c r="B107" s="29" t="s">
        <v>141</v>
      </c>
      <c r="C107" s="29" t="s">
        <v>496</v>
      </c>
      <c r="D107" s="29">
        <v>0</v>
      </c>
      <c r="E107" s="29" t="s">
        <v>217</v>
      </c>
      <c r="F107" s="29" t="s">
        <v>143</v>
      </c>
    </row>
    <row r="108" spans="1:6" s="28" customFormat="1" x14ac:dyDescent="0.25">
      <c r="A108" s="29" t="s">
        <v>217</v>
      </c>
      <c r="B108" s="29" t="s">
        <v>143</v>
      </c>
      <c r="C108" s="29" t="s">
        <v>496</v>
      </c>
      <c r="D108" s="29">
        <v>0</v>
      </c>
      <c r="E108" s="29" t="s">
        <v>92</v>
      </c>
      <c r="F108" s="29" t="s">
        <v>93</v>
      </c>
    </row>
    <row r="109" spans="1:6" s="28" customFormat="1" x14ac:dyDescent="0.25">
      <c r="A109" s="29" t="s">
        <v>90</v>
      </c>
      <c r="B109" s="29" t="s">
        <v>91</v>
      </c>
      <c r="C109" s="29" t="s">
        <v>496</v>
      </c>
      <c r="D109" s="29">
        <v>60</v>
      </c>
      <c r="E109" s="29" t="s">
        <v>222</v>
      </c>
      <c r="F109" s="29" t="s">
        <v>104</v>
      </c>
    </row>
    <row r="110" spans="1:6" s="28" customFormat="1" x14ac:dyDescent="0.25">
      <c r="A110" s="29" t="s">
        <v>222</v>
      </c>
      <c r="B110" s="29" t="s">
        <v>104</v>
      </c>
      <c r="C110" s="29" t="s">
        <v>497</v>
      </c>
      <c r="D110" s="29">
        <v>5</v>
      </c>
      <c r="E110" s="29" t="s">
        <v>223</v>
      </c>
      <c r="F110" s="29" t="s">
        <v>106</v>
      </c>
    </row>
    <row r="111" spans="1:6" s="28" customFormat="1" x14ac:dyDescent="0.25">
      <c r="A111" s="29" t="s">
        <v>222</v>
      </c>
      <c r="B111" s="29" t="s">
        <v>104</v>
      </c>
      <c r="C111" s="29" t="s">
        <v>496</v>
      </c>
      <c r="D111" s="29">
        <v>0</v>
      </c>
      <c r="E111" s="29" t="s">
        <v>224</v>
      </c>
      <c r="F111" s="29" t="s">
        <v>108</v>
      </c>
    </row>
    <row r="112" spans="1:6" s="28" customFormat="1" x14ac:dyDescent="0.25">
      <c r="A112" s="29" t="s">
        <v>223</v>
      </c>
      <c r="B112" s="29" t="s">
        <v>106</v>
      </c>
      <c r="C112" s="29" t="s">
        <v>496</v>
      </c>
      <c r="D112" s="29">
        <v>0</v>
      </c>
      <c r="E112" s="29" t="s">
        <v>225</v>
      </c>
      <c r="F112" s="29" t="s">
        <v>110</v>
      </c>
    </row>
    <row r="113" spans="1:6" s="28" customFormat="1" x14ac:dyDescent="0.25">
      <c r="A113" s="29" t="s">
        <v>224</v>
      </c>
      <c r="B113" s="29" t="s">
        <v>108</v>
      </c>
      <c r="C113" s="29" t="s">
        <v>498</v>
      </c>
      <c r="D113" s="29">
        <v>0</v>
      </c>
      <c r="E113" s="29" t="s">
        <v>225</v>
      </c>
      <c r="F113" s="29" t="s">
        <v>110</v>
      </c>
    </row>
    <row r="114" spans="1:6" s="28" customFormat="1" x14ac:dyDescent="0.25">
      <c r="A114" s="29" t="s">
        <v>223</v>
      </c>
      <c r="B114" s="29" t="s">
        <v>106</v>
      </c>
      <c r="C114" s="29" t="s">
        <v>496</v>
      </c>
      <c r="D114" s="29">
        <v>0</v>
      </c>
      <c r="E114" s="29" t="s">
        <v>227</v>
      </c>
      <c r="F114" s="29" t="s">
        <v>113</v>
      </c>
    </row>
    <row r="115" spans="1:6" s="28" customFormat="1" x14ac:dyDescent="0.25">
      <c r="A115" s="29" t="s">
        <v>227</v>
      </c>
      <c r="B115" s="29" t="s">
        <v>113</v>
      </c>
      <c r="C115" s="29" t="s">
        <v>496</v>
      </c>
      <c r="D115" s="29">
        <v>0</v>
      </c>
      <c r="E115" s="29" t="s">
        <v>228</v>
      </c>
      <c r="F115" s="29" t="s">
        <v>115</v>
      </c>
    </row>
    <row r="116" spans="1:6" s="28" customFormat="1" x14ac:dyDescent="0.25">
      <c r="A116" s="29" t="s">
        <v>224</v>
      </c>
      <c r="B116" s="29" t="s">
        <v>108</v>
      </c>
      <c r="C116" s="29" t="s">
        <v>496</v>
      </c>
      <c r="D116" s="29">
        <v>0</v>
      </c>
      <c r="E116" s="29" t="s">
        <v>229</v>
      </c>
      <c r="F116" s="29" t="s">
        <v>117</v>
      </c>
    </row>
    <row r="117" spans="1:6" s="28" customFormat="1" x14ac:dyDescent="0.25">
      <c r="A117" s="29" t="s">
        <v>229</v>
      </c>
      <c r="B117" s="29" t="s">
        <v>117</v>
      </c>
      <c r="C117" s="29" t="s">
        <v>496</v>
      </c>
      <c r="D117" s="29">
        <v>0</v>
      </c>
      <c r="E117" s="29" t="s">
        <v>230</v>
      </c>
      <c r="F117" s="29" t="s">
        <v>119</v>
      </c>
    </row>
    <row r="118" spans="1:6" s="28" customFormat="1" x14ac:dyDescent="0.25">
      <c r="A118" s="29" t="s">
        <v>90</v>
      </c>
      <c r="B118" s="29" t="s">
        <v>91</v>
      </c>
      <c r="C118" s="29" t="s">
        <v>496</v>
      </c>
      <c r="D118" s="29">
        <v>60</v>
      </c>
      <c r="E118" s="29" t="s">
        <v>233</v>
      </c>
      <c r="F118" s="29" t="s">
        <v>123</v>
      </c>
    </row>
    <row r="119" spans="1:6" s="28" customFormat="1" x14ac:dyDescent="0.25">
      <c r="A119" s="29" t="s">
        <v>233</v>
      </c>
      <c r="B119" s="29" t="s">
        <v>123</v>
      </c>
      <c r="C119" s="29" t="s">
        <v>496</v>
      </c>
      <c r="D119" s="29">
        <v>0</v>
      </c>
      <c r="E119" s="29" t="s">
        <v>234</v>
      </c>
      <c r="F119" s="29" t="s">
        <v>125</v>
      </c>
    </row>
    <row r="120" spans="1:6" s="28" customFormat="1" x14ac:dyDescent="0.25">
      <c r="A120" s="29" t="s">
        <v>223</v>
      </c>
      <c r="B120" s="29" t="s">
        <v>106</v>
      </c>
      <c r="C120" s="29" t="s">
        <v>497</v>
      </c>
      <c r="D120" s="29">
        <v>10</v>
      </c>
      <c r="E120" s="29" t="s">
        <v>234</v>
      </c>
      <c r="F120" s="29" t="s">
        <v>125</v>
      </c>
    </row>
    <row r="121" spans="1:6" s="28" customFormat="1" x14ac:dyDescent="0.25">
      <c r="A121" s="29" t="s">
        <v>234</v>
      </c>
      <c r="B121" s="29" t="s">
        <v>125</v>
      </c>
      <c r="C121" s="29" t="s">
        <v>497</v>
      </c>
      <c r="D121" s="29">
        <v>7</v>
      </c>
      <c r="E121" s="29" t="s">
        <v>235</v>
      </c>
      <c r="F121" s="29" t="s">
        <v>127</v>
      </c>
    </row>
    <row r="122" spans="1:6" s="28" customFormat="1" x14ac:dyDescent="0.25">
      <c r="A122" s="29" t="s">
        <v>235</v>
      </c>
      <c r="B122" s="29" t="s">
        <v>127</v>
      </c>
      <c r="C122" s="29" t="s">
        <v>496</v>
      </c>
      <c r="D122" s="29">
        <v>0</v>
      </c>
      <c r="E122" s="29" t="s">
        <v>236</v>
      </c>
      <c r="F122" s="29" t="s">
        <v>129</v>
      </c>
    </row>
    <row r="123" spans="1:6" s="28" customFormat="1" x14ac:dyDescent="0.25">
      <c r="A123" s="29" t="s">
        <v>236</v>
      </c>
      <c r="B123" s="29" t="s">
        <v>129</v>
      </c>
      <c r="C123" s="29" t="s">
        <v>496</v>
      </c>
      <c r="D123" s="29">
        <v>0</v>
      </c>
      <c r="E123" s="29" t="s">
        <v>237</v>
      </c>
      <c r="F123" s="29" t="s">
        <v>131</v>
      </c>
    </row>
    <row r="124" spans="1:6" s="28" customFormat="1" x14ac:dyDescent="0.25">
      <c r="A124" s="29" t="s">
        <v>228</v>
      </c>
      <c r="B124" s="29" t="s">
        <v>115</v>
      </c>
      <c r="C124" s="29" t="s">
        <v>497</v>
      </c>
      <c r="D124" s="29">
        <v>15</v>
      </c>
      <c r="E124" s="29" t="s">
        <v>237</v>
      </c>
      <c r="F124" s="29" t="s">
        <v>131</v>
      </c>
    </row>
    <row r="125" spans="1:6" s="28" customFormat="1" x14ac:dyDescent="0.25">
      <c r="A125" s="29" t="s">
        <v>237</v>
      </c>
      <c r="B125" s="29" t="s">
        <v>131</v>
      </c>
      <c r="C125" s="29" t="s">
        <v>496</v>
      </c>
      <c r="D125" s="29">
        <v>-5</v>
      </c>
      <c r="E125" s="29" t="s">
        <v>239</v>
      </c>
      <c r="F125" s="29" t="s">
        <v>135</v>
      </c>
    </row>
    <row r="126" spans="1:6" s="28" customFormat="1" x14ac:dyDescent="0.25">
      <c r="A126" s="29" t="s">
        <v>237</v>
      </c>
      <c r="B126" s="29" t="s">
        <v>131</v>
      </c>
      <c r="C126" s="29" t="s">
        <v>497</v>
      </c>
      <c r="D126" s="29">
        <v>20</v>
      </c>
      <c r="E126" s="29" t="s">
        <v>238</v>
      </c>
      <c r="F126" s="29" t="s">
        <v>133</v>
      </c>
    </row>
    <row r="127" spans="1:6" s="28" customFormat="1" x14ac:dyDescent="0.25">
      <c r="A127" s="29" t="s">
        <v>238</v>
      </c>
      <c r="B127" s="29" t="s">
        <v>133</v>
      </c>
      <c r="C127" s="29" t="s">
        <v>497</v>
      </c>
      <c r="D127" s="29">
        <v>10</v>
      </c>
      <c r="E127" s="29" t="s">
        <v>242</v>
      </c>
      <c r="F127" s="29" t="s">
        <v>137</v>
      </c>
    </row>
    <row r="128" spans="1:6" s="28" customFormat="1" x14ac:dyDescent="0.25">
      <c r="A128" s="29" t="s">
        <v>230</v>
      </c>
      <c r="B128" s="29" t="s">
        <v>119</v>
      </c>
      <c r="C128" s="29" t="s">
        <v>496</v>
      </c>
      <c r="D128" s="29">
        <v>0</v>
      </c>
      <c r="E128" s="29" t="s">
        <v>242</v>
      </c>
      <c r="F128" s="29" t="s">
        <v>137</v>
      </c>
    </row>
    <row r="129" spans="1:6" s="28" customFormat="1" x14ac:dyDescent="0.25">
      <c r="A129" s="29" t="s">
        <v>238</v>
      </c>
      <c r="B129" s="29" t="s">
        <v>133</v>
      </c>
      <c r="C129" s="29" t="s">
        <v>496</v>
      </c>
      <c r="D129" s="29">
        <v>0</v>
      </c>
      <c r="E129" s="29" t="s">
        <v>241</v>
      </c>
      <c r="F129" s="29" t="s">
        <v>139</v>
      </c>
    </row>
    <row r="130" spans="1:6" s="28" customFormat="1" x14ac:dyDescent="0.25">
      <c r="A130" s="29" t="s">
        <v>239</v>
      </c>
      <c r="B130" s="29" t="s">
        <v>135</v>
      </c>
      <c r="C130" s="29" t="s">
        <v>496</v>
      </c>
      <c r="D130" s="29">
        <v>0</v>
      </c>
      <c r="E130" s="29" t="s">
        <v>241</v>
      </c>
      <c r="F130" s="29" t="s">
        <v>139</v>
      </c>
    </row>
    <row r="131" spans="1:6" s="28" customFormat="1" x14ac:dyDescent="0.25">
      <c r="A131" s="29" t="s">
        <v>242</v>
      </c>
      <c r="B131" s="29" t="s">
        <v>137</v>
      </c>
      <c r="C131" s="29" t="s">
        <v>496</v>
      </c>
      <c r="D131" s="29">
        <v>0</v>
      </c>
      <c r="E131" s="29" t="s">
        <v>243</v>
      </c>
      <c r="F131" s="29" t="s">
        <v>141</v>
      </c>
    </row>
    <row r="132" spans="1:6" s="28" customFormat="1" x14ac:dyDescent="0.25">
      <c r="A132" s="29" t="s">
        <v>241</v>
      </c>
      <c r="B132" s="29" t="s">
        <v>139</v>
      </c>
      <c r="C132" s="29" t="s">
        <v>498</v>
      </c>
      <c r="D132" s="29">
        <v>0</v>
      </c>
      <c r="E132" s="29" t="s">
        <v>243</v>
      </c>
      <c r="F132" s="29" t="s">
        <v>141</v>
      </c>
    </row>
    <row r="133" spans="1:6" s="28" customFormat="1" x14ac:dyDescent="0.25">
      <c r="A133" s="29" t="s">
        <v>243</v>
      </c>
      <c r="B133" s="29" t="s">
        <v>141</v>
      </c>
      <c r="C133" s="29" t="s">
        <v>496</v>
      </c>
      <c r="D133" s="29">
        <v>0</v>
      </c>
      <c r="E133" s="29" t="s">
        <v>244</v>
      </c>
      <c r="F133" s="29" t="s">
        <v>143</v>
      </c>
    </row>
    <row r="134" spans="1:6" s="28" customFormat="1" x14ac:dyDescent="0.25">
      <c r="A134" s="29" t="s">
        <v>244</v>
      </c>
      <c r="B134" s="29" t="s">
        <v>143</v>
      </c>
      <c r="C134" s="29" t="s">
        <v>496</v>
      </c>
      <c r="D134" s="29">
        <v>0</v>
      </c>
      <c r="E134" s="29" t="s">
        <v>92</v>
      </c>
      <c r="F134" s="29" t="s">
        <v>93</v>
      </c>
    </row>
    <row r="135" spans="1:6" s="28" customFormat="1" x14ac:dyDescent="0.25">
      <c r="A135" s="29" t="s">
        <v>90</v>
      </c>
      <c r="B135" s="29" t="s">
        <v>91</v>
      </c>
      <c r="C135" s="29" t="s">
        <v>496</v>
      </c>
      <c r="D135" s="29">
        <v>80</v>
      </c>
      <c r="E135" s="29" t="s">
        <v>247</v>
      </c>
      <c r="F135" s="29" t="s">
        <v>104</v>
      </c>
    </row>
    <row r="136" spans="1:6" s="28" customFormat="1" x14ac:dyDescent="0.25">
      <c r="A136" s="29" t="s">
        <v>247</v>
      </c>
      <c r="B136" s="29" t="s">
        <v>104</v>
      </c>
      <c r="C136" s="29" t="s">
        <v>497</v>
      </c>
      <c r="D136" s="29">
        <v>5</v>
      </c>
      <c r="E136" s="29" t="s">
        <v>248</v>
      </c>
      <c r="F136" s="29" t="s">
        <v>106</v>
      </c>
    </row>
    <row r="137" spans="1:6" s="28" customFormat="1" x14ac:dyDescent="0.25">
      <c r="A137" s="29" t="s">
        <v>247</v>
      </c>
      <c r="B137" s="29" t="s">
        <v>104</v>
      </c>
      <c r="C137" s="29" t="s">
        <v>496</v>
      </c>
      <c r="D137" s="29">
        <v>0</v>
      </c>
      <c r="E137" s="29" t="s">
        <v>249</v>
      </c>
      <c r="F137" s="29" t="s">
        <v>108</v>
      </c>
    </row>
    <row r="138" spans="1:6" s="28" customFormat="1" x14ac:dyDescent="0.25">
      <c r="A138" s="29" t="s">
        <v>248</v>
      </c>
      <c r="B138" s="29" t="s">
        <v>106</v>
      </c>
      <c r="C138" s="29" t="s">
        <v>496</v>
      </c>
      <c r="D138" s="29">
        <v>0</v>
      </c>
      <c r="E138" s="29" t="s">
        <v>250</v>
      </c>
      <c r="F138" s="29" t="s">
        <v>110</v>
      </c>
    </row>
    <row r="139" spans="1:6" s="28" customFormat="1" x14ac:dyDescent="0.25">
      <c r="A139" s="29" t="s">
        <v>249</v>
      </c>
      <c r="B139" s="29" t="s">
        <v>108</v>
      </c>
      <c r="C139" s="29" t="s">
        <v>498</v>
      </c>
      <c r="D139" s="29">
        <v>0</v>
      </c>
      <c r="E139" s="29" t="s">
        <v>250</v>
      </c>
      <c r="F139" s="29" t="s">
        <v>110</v>
      </c>
    </row>
    <row r="140" spans="1:6" s="28" customFormat="1" x14ac:dyDescent="0.25">
      <c r="A140" s="29" t="s">
        <v>248</v>
      </c>
      <c r="B140" s="29" t="s">
        <v>106</v>
      </c>
      <c r="C140" s="29" t="s">
        <v>496</v>
      </c>
      <c r="D140" s="29">
        <v>0</v>
      </c>
      <c r="E140" s="29" t="s">
        <v>252</v>
      </c>
      <c r="F140" s="29" t="s">
        <v>113</v>
      </c>
    </row>
    <row r="141" spans="1:6" s="28" customFormat="1" x14ac:dyDescent="0.25">
      <c r="A141" s="29" t="s">
        <v>252</v>
      </c>
      <c r="B141" s="29" t="s">
        <v>113</v>
      </c>
      <c r="C141" s="29" t="s">
        <v>496</v>
      </c>
      <c r="D141" s="29">
        <v>0</v>
      </c>
      <c r="E141" s="29" t="s">
        <v>253</v>
      </c>
      <c r="F141" s="29" t="s">
        <v>115</v>
      </c>
    </row>
    <row r="142" spans="1:6" s="28" customFormat="1" x14ac:dyDescent="0.25">
      <c r="A142" s="29" t="s">
        <v>249</v>
      </c>
      <c r="B142" s="29" t="s">
        <v>108</v>
      </c>
      <c r="C142" s="29" t="s">
        <v>496</v>
      </c>
      <c r="D142" s="29">
        <v>0</v>
      </c>
      <c r="E142" s="29" t="s">
        <v>255</v>
      </c>
      <c r="F142" s="29" t="s">
        <v>117</v>
      </c>
    </row>
    <row r="143" spans="1:6" s="28" customFormat="1" x14ac:dyDescent="0.25">
      <c r="A143" s="29" t="s">
        <v>255</v>
      </c>
      <c r="B143" s="29" t="s">
        <v>117</v>
      </c>
      <c r="C143" s="29" t="s">
        <v>496</v>
      </c>
      <c r="D143" s="29">
        <v>0</v>
      </c>
      <c r="E143" s="29" t="s">
        <v>257</v>
      </c>
      <c r="F143" s="29" t="s">
        <v>119</v>
      </c>
    </row>
    <row r="144" spans="1:6" s="28" customFormat="1" x14ac:dyDescent="0.25">
      <c r="A144" s="29" t="s">
        <v>90</v>
      </c>
      <c r="B144" s="29" t="s">
        <v>91</v>
      </c>
      <c r="C144" s="29" t="s">
        <v>496</v>
      </c>
      <c r="D144" s="29">
        <v>80</v>
      </c>
      <c r="E144" s="29" t="s">
        <v>260</v>
      </c>
      <c r="F144" s="29" t="s">
        <v>123</v>
      </c>
    </row>
    <row r="145" spans="1:6" s="28" customFormat="1" x14ac:dyDescent="0.25">
      <c r="A145" s="29" t="s">
        <v>260</v>
      </c>
      <c r="B145" s="29" t="s">
        <v>123</v>
      </c>
      <c r="C145" s="29" t="s">
        <v>496</v>
      </c>
      <c r="D145" s="29">
        <v>0</v>
      </c>
      <c r="E145" s="29" t="s">
        <v>261</v>
      </c>
      <c r="F145" s="29" t="s">
        <v>125</v>
      </c>
    </row>
    <row r="146" spans="1:6" s="28" customFormat="1" x14ac:dyDescent="0.25">
      <c r="A146" s="29" t="s">
        <v>248</v>
      </c>
      <c r="B146" s="29" t="s">
        <v>106</v>
      </c>
      <c r="C146" s="29" t="s">
        <v>497</v>
      </c>
      <c r="D146" s="29">
        <v>10</v>
      </c>
      <c r="E146" s="29" t="s">
        <v>261</v>
      </c>
      <c r="F146" s="29" t="s">
        <v>125</v>
      </c>
    </row>
    <row r="147" spans="1:6" s="28" customFormat="1" x14ac:dyDescent="0.25">
      <c r="A147" s="29" t="s">
        <v>261</v>
      </c>
      <c r="B147" s="29" t="s">
        <v>125</v>
      </c>
      <c r="C147" s="29" t="s">
        <v>497</v>
      </c>
      <c r="D147" s="29">
        <v>7</v>
      </c>
      <c r="E147" s="29" t="s">
        <v>262</v>
      </c>
      <c r="F147" s="29" t="s">
        <v>127</v>
      </c>
    </row>
    <row r="148" spans="1:6" s="28" customFormat="1" x14ac:dyDescent="0.25">
      <c r="A148" s="29" t="s">
        <v>262</v>
      </c>
      <c r="B148" s="29" t="s">
        <v>127</v>
      </c>
      <c r="C148" s="29" t="s">
        <v>496</v>
      </c>
      <c r="D148" s="29">
        <v>0</v>
      </c>
      <c r="E148" s="29" t="s">
        <v>263</v>
      </c>
      <c r="F148" s="29" t="s">
        <v>129</v>
      </c>
    </row>
    <row r="149" spans="1:6" s="28" customFormat="1" x14ac:dyDescent="0.25">
      <c r="A149" s="29" t="s">
        <v>263</v>
      </c>
      <c r="B149" s="29" t="s">
        <v>129</v>
      </c>
      <c r="C149" s="29" t="s">
        <v>496</v>
      </c>
      <c r="D149" s="29">
        <v>0</v>
      </c>
      <c r="E149" s="29" t="s">
        <v>264</v>
      </c>
      <c r="F149" s="29" t="s">
        <v>131</v>
      </c>
    </row>
    <row r="150" spans="1:6" s="28" customFormat="1" x14ac:dyDescent="0.25">
      <c r="A150" s="29" t="s">
        <v>253</v>
      </c>
      <c r="B150" s="29" t="s">
        <v>115</v>
      </c>
      <c r="C150" s="29" t="s">
        <v>497</v>
      </c>
      <c r="D150" s="29">
        <v>15</v>
      </c>
      <c r="E150" s="29" t="s">
        <v>264</v>
      </c>
      <c r="F150" s="29" t="s">
        <v>131</v>
      </c>
    </row>
    <row r="151" spans="1:6" s="28" customFormat="1" x14ac:dyDescent="0.25">
      <c r="A151" s="29" t="s">
        <v>264</v>
      </c>
      <c r="B151" s="29" t="s">
        <v>131</v>
      </c>
      <c r="C151" s="29" t="s">
        <v>496</v>
      </c>
      <c r="D151" s="29">
        <v>-5</v>
      </c>
      <c r="E151" s="29" t="s">
        <v>266</v>
      </c>
      <c r="F151" s="29" t="s">
        <v>135</v>
      </c>
    </row>
    <row r="152" spans="1:6" s="28" customFormat="1" x14ac:dyDescent="0.25">
      <c r="A152" s="29" t="s">
        <v>264</v>
      </c>
      <c r="B152" s="29" t="s">
        <v>131</v>
      </c>
      <c r="C152" s="29" t="s">
        <v>497</v>
      </c>
      <c r="D152" s="29">
        <v>20</v>
      </c>
      <c r="E152" s="29" t="s">
        <v>265</v>
      </c>
      <c r="F152" s="29" t="s">
        <v>133</v>
      </c>
    </row>
    <row r="153" spans="1:6" s="28" customFormat="1" x14ac:dyDescent="0.25">
      <c r="A153" s="29" t="s">
        <v>265</v>
      </c>
      <c r="B153" s="29" t="s">
        <v>133</v>
      </c>
      <c r="C153" s="29" t="s">
        <v>497</v>
      </c>
      <c r="D153" s="29">
        <v>10</v>
      </c>
      <c r="E153" s="29" t="s">
        <v>267</v>
      </c>
      <c r="F153" s="29" t="s">
        <v>137</v>
      </c>
    </row>
    <row r="154" spans="1:6" s="28" customFormat="1" x14ac:dyDescent="0.25">
      <c r="A154" s="29" t="s">
        <v>257</v>
      </c>
      <c r="B154" s="29" t="s">
        <v>119</v>
      </c>
      <c r="C154" s="29" t="s">
        <v>496</v>
      </c>
      <c r="D154" s="29">
        <v>0</v>
      </c>
      <c r="E154" s="29" t="s">
        <v>267</v>
      </c>
      <c r="F154" s="29" t="s">
        <v>137</v>
      </c>
    </row>
    <row r="155" spans="1:6" s="28" customFormat="1" x14ac:dyDescent="0.25">
      <c r="A155" s="29" t="s">
        <v>265</v>
      </c>
      <c r="B155" s="29" t="s">
        <v>133</v>
      </c>
      <c r="C155" s="29" t="s">
        <v>496</v>
      </c>
      <c r="D155" s="29">
        <v>0</v>
      </c>
      <c r="E155" s="29" t="s">
        <v>268</v>
      </c>
      <c r="F155" s="29" t="s">
        <v>139</v>
      </c>
    </row>
    <row r="156" spans="1:6" s="28" customFormat="1" x14ac:dyDescent="0.25">
      <c r="A156" s="29" t="s">
        <v>266</v>
      </c>
      <c r="B156" s="29" t="s">
        <v>135</v>
      </c>
      <c r="C156" s="29" t="s">
        <v>496</v>
      </c>
      <c r="D156" s="29">
        <v>0</v>
      </c>
      <c r="E156" s="29" t="s">
        <v>268</v>
      </c>
      <c r="F156" s="29" t="s">
        <v>139</v>
      </c>
    </row>
    <row r="157" spans="1:6" s="28" customFormat="1" x14ac:dyDescent="0.25">
      <c r="A157" s="29" t="s">
        <v>267</v>
      </c>
      <c r="B157" s="29" t="s">
        <v>137</v>
      </c>
      <c r="C157" s="29" t="s">
        <v>496</v>
      </c>
      <c r="D157" s="29">
        <v>0</v>
      </c>
      <c r="E157" s="29" t="s">
        <v>269</v>
      </c>
      <c r="F157" s="29" t="s">
        <v>141</v>
      </c>
    </row>
    <row r="158" spans="1:6" s="28" customFormat="1" x14ac:dyDescent="0.25">
      <c r="A158" s="29" t="s">
        <v>268</v>
      </c>
      <c r="B158" s="29" t="s">
        <v>139</v>
      </c>
      <c r="C158" s="29" t="s">
        <v>498</v>
      </c>
      <c r="D158" s="29">
        <v>0</v>
      </c>
      <c r="E158" s="29" t="s">
        <v>269</v>
      </c>
      <c r="F158" s="29" t="s">
        <v>141</v>
      </c>
    </row>
    <row r="159" spans="1:6" s="28" customFormat="1" x14ac:dyDescent="0.25">
      <c r="A159" s="29" t="s">
        <v>269</v>
      </c>
      <c r="B159" s="29" t="s">
        <v>141</v>
      </c>
      <c r="C159" s="29" t="s">
        <v>496</v>
      </c>
      <c r="D159" s="29">
        <v>0</v>
      </c>
      <c r="E159" s="29" t="s">
        <v>270</v>
      </c>
      <c r="F159" s="29" t="s">
        <v>143</v>
      </c>
    </row>
    <row r="160" spans="1:6" s="28" customFormat="1" x14ac:dyDescent="0.25">
      <c r="A160" s="29" t="s">
        <v>270</v>
      </c>
      <c r="B160" s="29" t="s">
        <v>143</v>
      </c>
      <c r="C160" s="29" t="s">
        <v>496</v>
      </c>
      <c r="D160" s="29">
        <v>0</v>
      </c>
      <c r="E160" s="29" t="s">
        <v>92</v>
      </c>
      <c r="F160" s="29" t="s">
        <v>93</v>
      </c>
    </row>
    <row r="161" spans="1:6" s="28" customFormat="1" x14ac:dyDescent="0.25">
      <c r="A161" s="29" t="s">
        <v>90</v>
      </c>
      <c r="B161" s="29" t="s">
        <v>91</v>
      </c>
      <c r="C161" s="29" t="s">
        <v>496</v>
      </c>
      <c r="D161" s="29">
        <v>100</v>
      </c>
      <c r="E161" s="29" t="s">
        <v>273</v>
      </c>
      <c r="F161" s="29" t="s">
        <v>104</v>
      </c>
    </row>
    <row r="162" spans="1:6" s="28" customFormat="1" x14ac:dyDescent="0.25">
      <c r="A162" s="29" t="s">
        <v>273</v>
      </c>
      <c r="B162" s="29" t="s">
        <v>104</v>
      </c>
      <c r="C162" s="29" t="s">
        <v>497</v>
      </c>
      <c r="D162" s="29">
        <v>5</v>
      </c>
      <c r="E162" s="29" t="s">
        <v>274</v>
      </c>
      <c r="F162" s="29" t="s">
        <v>106</v>
      </c>
    </row>
    <row r="163" spans="1:6" s="28" customFormat="1" x14ac:dyDescent="0.25">
      <c r="A163" s="29" t="s">
        <v>273</v>
      </c>
      <c r="B163" s="29" t="s">
        <v>104</v>
      </c>
      <c r="C163" s="29" t="s">
        <v>496</v>
      </c>
      <c r="D163" s="29">
        <v>0</v>
      </c>
      <c r="E163" s="29" t="s">
        <v>275</v>
      </c>
      <c r="F163" s="29" t="s">
        <v>108</v>
      </c>
    </row>
    <row r="164" spans="1:6" s="28" customFormat="1" x14ac:dyDescent="0.25">
      <c r="A164" s="29" t="s">
        <v>274</v>
      </c>
      <c r="B164" s="29" t="s">
        <v>106</v>
      </c>
      <c r="C164" s="29" t="s">
        <v>496</v>
      </c>
      <c r="D164" s="29">
        <v>0</v>
      </c>
      <c r="E164" s="29" t="s">
        <v>276</v>
      </c>
      <c r="F164" s="29" t="s">
        <v>110</v>
      </c>
    </row>
    <row r="165" spans="1:6" s="28" customFormat="1" x14ac:dyDescent="0.25">
      <c r="A165" s="29" t="s">
        <v>275</v>
      </c>
      <c r="B165" s="29" t="s">
        <v>108</v>
      </c>
      <c r="C165" s="29" t="s">
        <v>498</v>
      </c>
      <c r="D165" s="29">
        <v>0</v>
      </c>
      <c r="E165" s="29" t="s">
        <v>276</v>
      </c>
      <c r="F165" s="29" t="s">
        <v>110</v>
      </c>
    </row>
    <row r="166" spans="1:6" s="28" customFormat="1" x14ac:dyDescent="0.25">
      <c r="A166" s="29" t="s">
        <v>274</v>
      </c>
      <c r="B166" s="29" t="s">
        <v>106</v>
      </c>
      <c r="C166" s="29" t="s">
        <v>496</v>
      </c>
      <c r="D166" s="29">
        <v>0</v>
      </c>
      <c r="E166" s="29" t="s">
        <v>278</v>
      </c>
      <c r="F166" s="29" t="s">
        <v>113</v>
      </c>
    </row>
    <row r="167" spans="1:6" s="28" customFormat="1" x14ac:dyDescent="0.25">
      <c r="A167" s="29" t="s">
        <v>278</v>
      </c>
      <c r="B167" s="29" t="s">
        <v>113</v>
      </c>
      <c r="C167" s="29" t="s">
        <v>496</v>
      </c>
      <c r="D167" s="29">
        <v>0</v>
      </c>
      <c r="E167" s="29" t="s">
        <v>279</v>
      </c>
      <c r="F167" s="29" t="s">
        <v>115</v>
      </c>
    </row>
    <row r="168" spans="1:6" s="28" customFormat="1" x14ac:dyDescent="0.25">
      <c r="A168" s="29" t="s">
        <v>275</v>
      </c>
      <c r="B168" s="29" t="s">
        <v>108</v>
      </c>
      <c r="C168" s="29" t="s">
        <v>496</v>
      </c>
      <c r="D168" s="29">
        <v>0</v>
      </c>
      <c r="E168" s="29" t="s">
        <v>280</v>
      </c>
      <c r="F168" s="29" t="s">
        <v>117</v>
      </c>
    </row>
    <row r="169" spans="1:6" s="28" customFormat="1" x14ac:dyDescent="0.25">
      <c r="A169" s="29" t="s">
        <v>280</v>
      </c>
      <c r="B169" s="29" t="s">
        <v>117</v>
      </c>
      <c r="C169" s="29" t="s">
        <v>496</v>
      </c>
      <c r="D169" s="29">
        <v>0</v>
      </c>
      <c r="E169" s="29" t="s">
        <v>281</v>
      </c>
      <c r="F169" s="29" t="s">
        <v>119</v>
      </c>
    </row>
    <row r="170" spans="1:6" s="28" customFormat="1" x14ac:dyDescent="0.25">
      <c r="A170" s="29" t="s">
        <v>90</v>
      </c>
      <c r="B170" s="29" t="s">
        <v>91</v>
      </c>
      <c r="C170" s="29" t="s">
        <v>496</v>
      </c>
      <c r="D170" s="29">
        <v>100</v>
      </c>
      <c r="E170" s="29" t="s">
        <v>283</v>
      </c>
      <c r="F170" s="29" t="s">
        <v>123</v>
      </c>
    </row>
    <row r="171" spans="1:6" s="28" customFormat="1" x14ac:dyDescent="0.25">
      <c r="A171" s="29" t="s">
        <v>283</v>
      </c>
      <c r="B171" s="29" t="s">
        <v>123</v>
      </c>
      <c r="C171" s="29" t="s">
        <v>496</v>
      </c>
      <c r="D171" s="29">
        <v>0</v>
      </c>
      <c r="E171" s="29" t="s">
        <v>284</v>
      </c>
      <c r="F171" s="29" t="s">
        <v>125</v>
      </c>
    </row>
    <row r="172" spans="1:6" s="28" customFormat="1" x14ac:dyDescent="0.25">
      <c r="A172" s="29" t="s">
        <v>274</v>
      </c>
      <c r="B172" s="29" t="s">
        <v>106</v>
      </c>
      <c r="C172" s="29" t="s">
        <v>497</v>
      </c>
      <c r="D172" s="29">
        <v>10</v>
      </c>
      <c r="E172" s="29" t="s">
        <v>284</v>
      </c>
      <c r="F172" s="29" t="s">
        <v>125</v>
      </c>
    </row>
    <row r="173" spans="1:6" s="28" customFormat="1" x14ac:dyDescent="0.25">
      <c r="A173" s="29" t="s">
        <v>284</v>
      </c>
      <c r="B173" s="29" t="s">
        <v>125</v>
      </c>
      <c r="C173" s="29" t="s">
        <v>497</v>
      </c>
      <c r="D173" s="29">
        <v>7</v>
      </c>
      <c r="E173" s="29" t="s">
        <v>285</v>
      </c>
      <c r="F173" s="29" t="s">
        <v>127</v>
      </c>
    </row>
    <row r="174" spans="1:6" s="28" customFormat="1" x14ac:dyDescent="0.25">
      <c r="A174" s="29" t="s">
        <v>285</v>
      </c>
      <c r="B174" s="29" t="s">
        <v>127</v>
      </c>
      <c r="C174" s="29" t="s">
        <v>496</v>
      </c>
      <c r="D174" s="29">
        <v>0</v>
      </c>
      <c r="E174" s="29" t="s">
        <v>286</v>
      </c>
      <c r="F174" s="29" t="s">
        <v>129</v>
      </c>
    </row>
    <row r="175" spans="1:6" s="28" customFormat="1" x14ac:dyDescent="0.25">
      <c r="A175" s="29" t="s">
        <v>286</v>
      </c>
      <c r="B175" s="29" t="s">
        <v>129</v>
      </c>
      <c r="C175" s="29" t="s">
        <v>496</v>
      </c>
      <c r="D175" s="29">
        <v>0</v>
      </c>
      <c r="E175" s="29" t="s">
        <v>287</v>
      </c>
      <c r="F175" s="29" t="s">
        <v>131</v>
      </c>
    </row>
    <row r="176" spans="1:6" s="28" customFormat="1" x14ac:dyDescent="0.25">
      <c r="A176" s="29" t="s">
        <v>279</v>
      </c>
      <c r="B176" s="29" t="s">
        <v>115</v>
      </c>
      <c r="C176" s="29" t="s">
        <v>497</v>
      </c>
      <c r="D176" s="29">
        <v>15</v>
      </c>
      <c r="E176" s="29" t="s">
        <v>287</v>
      </c>
      <c r="F176" s="29" t="s">
        <v>131</v>
      </c>
    </row>
    <row r="177" spans="1:6" s="28" customFormat="1" x14ac:dyDescent="0.25">
      <c r="A177" s="29" t="s">
        <v>287</v>
      </c>
      <c r="B177" s="29" t="s">
        <v>131</v>
      </c>
      <c r="C177" s="29" t="s">
        <v>496</v>
      </c>
      <c r="D177" s="29">
        <v>-5</v>
      </c>
      <c r="E177" s="29" t="s">
        <v>289</v>
      </c>
      <c r="F177" s="29" t="s">
        <v>135</v>
      </c>
    </row>
    <row r="178" spans="1:6" s="28" customFormat="1" x14ac:dyDescent="0.25">
      <c r="A178" s="29" t="s">
        <v>287</v>
      </c>
      <c r="B178" s="29" t="s">
        <v>131</v>
      </c>
      <c r="C178" s="29" t="s">
        <v>497</v>
      </c>
      <c r="D178" s="29">
        <v>20</v>
      </c>
      <c r="E178" s="29" t="s">
        <v>288</v>
      </c>
      <c r="F178" s="29" t="s">
        <v>133</v>
      </c>
    </row>
    <row r="179" spans="1:6" s="28" customFormat="1" x14ac:dyDescent="0.25">
      <c r="A179" s="29" t="s">
        <v>288</v>
      </c>
      <c r="B179" s="29" t="s">
        <v>133</v>
      </c>
      <c r="C179" s="29" t="s">
        <v>497</v>
      </c>
      <c r="D179" s="29">
        <v>10</v>
      </c>
      <c r="E179" s="29" t="s">
        <v>291</v>
      </c>
      <c r="F179" s="29" t="s">
        <v>137</v>
      </c>
    </row>
    <row r="180" spans="1:6" s="28" customFormat="1" x14ac:dyDescent="0.25">
      <c r="A180" s="29" t="s">
        <v>281</v>
      </c>
      <c r="B180" s="29" t="s">
        <v>119</v>
      </c>
      <c r="C180" s="29" t="s">
        <v>496</v>
      </c>
      <c r="D180" s="29">
        <v>0</v>
      </c>
      <c r="E180" s="29" t="s">
        <v>291</v>
      </c>
      <c r="F180" s="29" t="s">
        <v>137</v>
      </c>
    </row>
    <row r="181" spans="1:6" s="28" customFormat="1" x14ac:dyDescent="0.25">
      <c r="A181" s="29" t="s">
        <v>288</v>
      </c>
      <c r="B181" s="29" t="s">
        <v>133</v>
      </c>
      <c r="C181" s="29" t="s">
        <v>496</v>
      </c>
      <c r="D181" s="29">
        <v>0</v>
      </c>
      <c r="E181" s="29" t="s">
        <v>290</v>
      </c>
      <c r="F181" s="29" t="s">
        <v>139</v>
      </c>
    </row>
    <row r="182" spans="1:6" s="28" customFormat="1" x14ac:dyDescent="0.25">
      <c r="A182" s="29" t="s">
        <v>289</v>
      </c>
      <c r="B182" s="29" t="s">
        <v>135</v>
      </c>
      <c r="C182" s="29" t="s">
        <v>496</v>
      </c>
      <c r="D182" s="29">
        <v>0</v>
      </c>
      <c r="E182" s="29" t="s">
        <v>290</v>
      </c>
      <c r="F182" s="29" t="s">
        <v>139</v>
      </c>
    </row>
    <row r="183" spans="1:6" s="28" customFormat="1" x14ac:dyDescent="0.25">
      <c r="A183" s="29" t="s">
        <v>291</v>
      </c>
      <c r="B183" s="29" t="s">
        <v>137</v>
      </c>
      <c r="C183" s="29" t="s">
        <v>496</v>
      </c>
      <c r="D183" s="29">
        <v>0</v>
      </c>
      <c r="E183" s="29" t="s">
        <v>292</v>
      </c>
      <c r="F183" s="29" t="s">
        <v>141</v>
      </c>
    </row>
    <row r="184" spans="1:6" s="28" customFormat="1" x14ac:dyDescent="0.25">
      <c r="A184" s="29" t="s">
        <v>290</v>
      </c>
      <c r="B184" s="29" t="s">
        <v>139</v>
      </c>
      <c r="C184" s="29" t="s">
        <v>498</v>
      </c>
      <c r="D184" s="29">
        <v>0</v>
      </c>
      <c r="E184" s="29" t="s">
        <v>292</v>
      </c>
      <c r="F184" s="29" t="s">
        <v>141</v>
      </c>
    </row>
    <row r="185" spans="1:6" s="28" customFormat="1" x14ac:dyDescent="0.25">
      <c r="A185" s="29" t="s">
        <v>292</v>
      </c>
      <c r="B185" s="29" t="s">
        <v>141</v>
      </c>
      <c r="C185" s="29" t="s">
        <v>496</v>
      </c>
      <c r="D185" s="29">
        <v>0</v>
      </c>
      <c r="E185" s="29" t="s">
        <v>293</v>
      </c>
      <c r="F185" s="29" t="s">
        <v>143</v>
      </c>
    </row>
    <row r="186" spans="1:6" s="28" customFormat="1" x14ac:dyDescent="0.25">
      <c r="A186" s="29" t="s">
        <v>293</v>
      </c>
      <c r="B186" s="29" t="s">
        <v>143</v>
      </c>
      <c r="C186" s="29" t="s">
        <v>496</v>
      </c>
      <c r="D186" s="29">
        <v>0</v>
      </c>
      <c r="E186" s="29" t="s">
        <v>92</v>
      </c>
      <c r="F186" s="29" t="s">
        <v>93</v>
      </c>
    </row>
    <row r="187" spans="1:6" s="28" customFormat="1" x14ac:dyDescent="0.25">
      <c r="A187" s="29" t="s">
        <v>90</v>
      </c>
      <c r="B187" s="29" t="s">
        <v>91</v>
      </c>
      <c r="C187" s="29" t="s">
        <v>496</v>
      </c>
      <c r="D187" s="29">
        <v>30</v>
      </c>
      <c r="E187" s="29" t="s">
        <v>298</v>
      </c>
      <c r="F187" s="29" t="s">
        <v>104</v>
      </c>
    </row>
    <row r="188" spans="1:6" s="28" customFormat="1" x14ac:dyDescent="0.25">
      <c r="A188" s="29" t="s">
        <v>298</v>
      </c>
      <c r="B188" s="29" t="s">
        <v>104</v>
      </c>
      <c r="C188" s="29" t="s">
        <v>497</v>
      </c>
      <c r="D188" s="29">
        <v>5</v>
      </c>
      <c r="E188" s="29" t="s">
        <v>299</v>
      </c>
      <c r="F188" s="29" t="s">
        <v>106</v>
      </c>
    </row>
    <row r="189" spans="1:6" s="28" customFormat="1" x14ac:dyDescent="0.25">
      <c r="A189" s="29" t="s">
        <v>298</v>
      </c>
      <c r="B189" s="29" t="s">
        <v>104</v>
      </c>
      <c r="C189" s="29" t="s">
        <v>496</v>
      </c>
      <c r="D189" s="29">
        <v>0</v>
      </c>
      <c r="E189" s="29" t="s">
        <v>300</v>
      </c>
      <c r="F189" s="29" t="s">
        <v>108</v>
      </c>
    </row>
    <row r="190" spans="1:6" s="28" customFormat="1" x14ac:dyDescent="0.25">
      <c r="A190" s="29" t="s">
        <v>299</v>
      </c>
      <c r="B190" s="29" t="s">
        <v>106</v>
      </c>
      <c r="C190" s="29" t="s">
        <v>496</v>
      </c>
      <c r="D190" s="29">
        <v>0</v>
      </c>
      <c r="E190" s="29" t="s">
        <v>301</v>
      </c>
      <c r="F190" s="29" t="s">
        <v>110</v>
      </c>
    </row>
    <row r="191" spans="1:6" s="28" customFormat="1" x14ac:dyDescent="0.25">
      <c r="A191" s="29" t="s">
        <v>300</v>
      </c>
      <c r="B191" s="29" t="s">
        <v>108</v>
      </c>
      <c r="C191" s="29" t="s">
        <v>498</v>
      </c>
      <c r="D191" s="29">
        <v>0</v>
      </c>
      <c r="E191" s="29" t="s">
        <v>301</v>
      </c>
      <c r="F191" s="29" t="s">
        <v>110</v>
      </c>
    </row>
    <row r="192" spans="1:6" s="28" customFormat="1" x14ac:dyDescent="0.25">
      <c r="A192" s="29" t="s">
        <v>299</v>
      </c>
      <c r="B192" s="29" t="s">
        <v>106</v>
      </c>
      <c r="C192" s="29" t="s">
        <v>496</v>
      </c>
      <c r="D192" s="29">
        <v>0</v>
      </c>
      <c r="E192" s="29" t="s">
        <v>303</v>
      </c>
      <c r="F192" s="29" t="s">
        <v>113</v>
      </c>
    </row>
    <row r="193" spans="1:6" s="28" customFormat="1" x14ac:dyDescent="0.25">
      <c r="A193" s="29" t="s">
        <v>303</v>
      </c>
      <c r="B193" s="29" t="s">
        <v>113</v>
      </c>
      <c r="C193" s="29" t="s">
        <v>496</v>
      </c>
      <c r="D193" s="29">
        <v>0</v>
      </c>
      <c r="E193" s="29" t="s">
        <v>304</v>
      </c>
      <c r="F193" s="29" t="s">
        <v>115</v>
      </c>
    </row>
    <row r="194" spans="1:6" s="28" customFormat="1" x14ac:dyDescent="0.25">
      <c r="A194" s="29" t="s">
        <v>300</v>
      </c>
      <c r="B194" s="29" t="s">
        <v>108</v>
      </c>
      <c r="C194" s="29" t="s">
        <v>496</v>
      </c>
      <c r="D194" s="29">
        <v>0</v>
      </c>
      <c r="E194" s="29" t="s">
        <v>305</v>
      </c>
      <c r="F194" s="29" t="s">
        <v>117</v>
      </c>
    </row>
    <row r="195" spans="1:6" s="28" customFormat="1" x14ac:dyDescent="0.25">
      <c r="A195" s="29" t="s">
        <v>305</v>
      </c>
      <c r="B195" s="29" t="s">
        <v>117</v>
      </c>
      <c r="C195" s="29" t="s">
        <v>496</v>
      </c>
      <c r="D195" s="29">
        <v>0</v>
      </c>
      <c r="E195" s="29" t="s">
        <v>306</v>
      </c>
      <c r="F195" s="29" t="s">
        <v>119</v>
      </c>
    </row>
    <row r="196" spans="1:6" s="28" customFormat="1" x14ac:dyDescent="0.25">
      <c r="A196" s="29" t="s">
        <v>90</v>
      </c>
      <c r="B196" s="29" t="s">
        <v>91</v>
      </c>
      <c r="C196" s="29" t="s">
        <v>496</v>
      </c>
      <c r="D196" s="29">
        <v>30</v>
      </c>
      <c r="E196" s="29" t="s">
        <v>308</v>
      </c>
      <c r="F196" s="29" t="s">
        <v>123</v>
      </c>
    </row>
    <row r="197" spans="1:6" s="28" customFormat="1" x14ac:dyDescent="0.25">
      <c r="A197" s="29" t="s">
        <v>308</v>
      </c>
      <c r="B197" s="29" t="s">
        <v>123</v>
      </c>
      <c r="C197" s="29" t="s">
        <v>496</v>
      </c>
      <c r="D197" s="29">
        <v>0</v>
      </c>
      <c r="E197" s="29" t="s">
        <v>309</v>
      </c>
      <c r="F197" s="29" t="s">
        <v>125</v>
      </c>
    </row>
    <row r="198" spans="1:6" s="28" customFormat="1" x14ac:dyDescent="0.25">
      <c r="A198" s="29" t="s">
        <v>299</v>
      </c>
      <c r="B198" s="29" t="s">
        <v>106</v>
      </c>
      <c r="C198" s="29" t="s">
        <v>497</v>
      </c>
      <c r="D198" s="29">
        <v>10</v>
      </c>
      <c r="E198" s="29" t="s">
        <v>309</v>
      </c>
      <c r="F198" s="29" t="s">
        <v>125</v>
      </c>
    </row>
    <row r="199" spans="1:6" s="28" customFormat="1" x14ac:dyDescent="0.25">
      <c r="A199" s="29" t="s">
        <v>309</v>
      </c>
      <c r="B199" s="29" t="s">
        <v>125</v>
      </c>
      <c r="C199" s="29" t="s">
        <v>497</v>
      </c>
      <c r="D199" s="29">
        <v>7</v>
      </c>
      <c r="E199" s="29" t="s">
        <v>310</v>
      </c>
      <c r="F199" s="29" t="s">
        <v>127</v>
      </c>
    </row>
    <row r="200" spans="1:6" s="28" customFormat="1" x14ac:dyDescent="0.25">
      <c r="A200" s="29" t="s">
        <v>310</v>
      </c>
      <c r="B200" s="29" t="s">
        <v>127</v>
      </c>
      <c r="C200" s="29" t="s">
        <v>496</v>
      </c>
      <c r="D200" s="29">
        <v>0</v>
      </c>
      <c r="E200" s="29" t="s">
        <v>311</v>
      </c>
      <c r="F200" s="29" t="s">
        <v>129</v>
      </c>
    </row>
    <row r="201" spans="1:6" s="28" customFormat="1" x14ac:dyDescent="0.25">
      <c r="A201" s="29" t="s">
        <v>311</v>
      </c>
      <c r="B201" s="29" t="s">
        <v>129</v>
      </c>
      <c r="C201" s="29" t="s">
        <v>496</v>
      </c>
      <c r="D201" s="29">
        <v>0</v>
      </c>
      <c r="E201" s="29" t="s">
        <v>312</v>
      </c>
      <c r="F201" s="29" t="s">
        <v>131</v>
      </c>
    </row>
    <row r="202" spans="1:6" s="28" customFormat="1" x14ac:dyDescent="0.25">
      <c r="A202" s="29" t="s">
        <v>304</v>
      </c>
      <c r="B202" s="29" t="s">
        <v>115</v>
      </c>
      <c r="C202" s="29" t="s">
        <v>497</v>
      </c>
      <c r="D202" s="29">
        <v>15</v>
      </c>
      <c r="E202" s="29" t="s">
        <v>312</v>
      </c>
      <c r="F202" s="29" t="s">
        <v>131</v>
      </c>
    </row>
    <row r="203" spans="1:6" s="28" customFormat="1" x14ac:dyDescent="0.25">
      <c r="A203" s="29" t="s">
        <v>312</v>
      </c>
      <c r="B203" s="29" t="s">
        <v>131</v>
      </c>
      <c r="C203" s="29" t="s">
        <v>496</v>
      </c>
      <c r="D203" s="29">
        <v>-5</v>
      </c>
      <c r="E203" s="29" t="s">
        <v>316</v>
      </c>
      <c r="F203" s="29" t="s">
        <v>135</v>
      </c>
    </row>
    <row r="204" spans="1:6" s="28" customFormat="1" x14ac:dyDescent="0.25">
      <c r="A204" s="29" t="s">
        <v>312</v>
      </c>
      <c r="B204" s="29" t="s">
        <v>131</v>
      </c>
      <c r="C204" s="29" t="s">
        <v>497</v>
      </c>
      <c r="D204" s="29">
        <v>20</v>
      </c>
      <c r="E204" s="29" t="s">
        <v>313</v>
      </c>
      <c r="F204" s="29" t="s">
        <v>133</v>
      </c>
    </row>
    <row r="205" spans="1:6" s="28" customFormat="1" x14ac:dyDescent="0.25">
      <c r="A205" s="29" t="s">
        <v>313</v>
      </c>
      <c r="B205" s="29" t="s">
        <v>133</v>
      </c>
      <c r="C205" s="29" t="s">
        <v>497</v>
      </c>
      <c r="D205" s="29">
        <v>10</v>
      </c>
      <c r="E205" s="29" t="s">
        <v>314</v>
      </c>
      <c r="F205" s="29" t="s">
        <v>137</v>
      </c>
    </row>
    <row r="206" spans="1:6" s="28" customFormat="1" x14ac:dyDescent="0.25">
      <c r="A206" s="29" t="s">
        <v>306</v>
      </c>
      <c r="B206" s="29" t="s">
        <v>119</v>
      </c>
      <c r="C206" s="29" t="s">
        <v>496</v>
      </c>
      <c r="D206" s="29">
        <v>0</v>
      </c>
      <c r="E206" s="29" t="s">
        <v>314</v>
      </c>
      <c r="F206" s="29" t="s">
        <v>137</v>
      </c>
    </row>
    <row r="207" spans="1:6" s="28" customFormat="1" x14ac:dyDescent="0.25">
      <c r="A207" s="29" t="s">
        <v>313</v>
      </c>
      <c r="B207" s="29" t="s">
        <v>133</v>
      </c>
      <c r="C207" s="29" t="s">
        <v>496</v>
      </c>
      <c r="D207" s="29">
        <v>0</v>
      </c>
      <c r="E207" s="29" t="s">
        <v>317</v>
      </c>
      <c r="F207" s="29" t="s">
        <v>139</v>
      </c>
    </row>
    <row r="208" spans="1:6" s="28" customFormat="1" x14ac:dyDescent="0.25">
      <c r="A208" s="29" t="s">
        <v>316</v>
      </c>
      <c r="B208" s="29" t="s">
        <v>135</v>
      </c>
      <c r="C208" s="29" t="s">
        <v>496</v>
      </c>
      <c r="D208" s="29">
        <v>0</v>
      </c>
      <c r="E208" s="29" t="s">
        <v>317</v>
      </c>
      <c r="F208" s="29" t="s">
        <v>139</v>
      </c>
    </row>
    <row r="209" spans="1:6" s="28" customFormat="1" x14ac:dyDescent="0.25">
      <c r="A209" s="29" t="s">
        <v>314</v>
      </c>
      <c r="B209" s="29" t="s">
        <v>137</v>
      </c>
      <c r="C209" s="29" t="s">
        <v>496</v>
      </c>
      <c r="D209" s="29">
        <v>0</v>
      </c>
      <c r="E209" s="29" t="s">
        <v>318</v>
      </c>
      <c r="F209" s="29" t="s">
        <v>141</v>
      </c>
    </row>
    <row r="210" spans="1:6" s="28" customFormat="1" x14ac:dyDescent="0.25">
      <c r="A210" s="29" t="s">
        <v>317</v>
      </c>
      <c r="B210" s="29" t="s">
        <v>139</v>
      </c>
      <c r="C210" s="29" t="s">
        <v>498</v>
      </c>
      <c r="D210" s="29">
        <v>0</v>
      </c>
      <c r="E210" s="29" t="s">
        <v>318</v>
      </c>
      <c r="F210" s="29" t="s">
        <v>141</v>
      </c>
    </row>
    <row r="211" spans="1:6" s="28" customFormat="1" x14ac:dyDescent="0.25">
      <c r="A211" s="29" t="s">
        <v>318</v>
      </c>
      <c r="B211" s="29" t="s">
        <v>141</v>
      </c>
      <c r="C211" s="29" t="s">
        <v>496</v>
      </c>
      <c r="D211" s="29">
        <v>0</v>
      </c>
      <c r="E211" s="29" t="s">
        <v>319</v>
      </c>
      <c r="F211" s="29" t="s">
        <v>143</v>
      </c>
    </row>
    <row r="212" spans="1:6" s="28" customFormat="1" x14ac:dyDescent="0.25">
      <c r="A212" s="29" t="s">
        <v>319</v>
      </c>
      <c r="B212" s="29" t="s">
        <v>143</v>
      </c>
      <c r="C212" s="29" t="s">
        <v>496</v>
      </c>
      <c r="D212" s="29">
        <v>0</v>
      </c>
      <c r="E212" s="29" t="s">
        <v>92</v>
      </c>
      <c r="F212" s="29" t="s">
        <v>93</v>
      </c>
    </row>
    <row r="213" spans="1:6" s="28" customFormat="1" x14ac:dyDescent="0.25">
      <c r="A213" s="29" t="s">
        <v>90</v>
      </c>
      <c r="B213" s="29" t="s">
        <v>91</v>
      </c>
      <c r="C213" s="29" t="s">
        <v>496</v>
      </c>
      <c r="D213" s="29">
        <v>70</v>
      </c>
      <c r="E213" s="29" t="s">
        <v>322</v>
      </c>
      <c r="F213" s="29" t="s">
        <v>104</v>
      </c>
    </row>
    <row r="214" spans="1:6" s="28" customFormat="1" x14ac:dyDescent="0.25">
      <c r="A214" s="29" t="s">
        <v>322</v>
      </c>
      <c r="B214" s="29" t="s">
        <v>104</v>
      </c>
      <c r="C214" s="29" t="s">
        <v>497</v>
      </c>
      <c r="D214" s="29">
        <v>5</v>
      </c>
      <c r="E214" s="29" t="s">
        <v>323</v>
      </c>
      <c r="F214" s="29" t="s">
        <v>106</v>
      </c>
    </row>
    <row r="215" spans="1:6" s="28" customFormat="1" x14ac:dyDescent="0.25">
      <c r="A215" s="29" t="s">
        <v>322</v>
      </c>
      <c r="B215" s="29" t="s">
        <v>104</v>
      </c>
      <c r="C215" s="29" t="s">
        <v>496</v>
      </c>
      <c r="D215" s="29">
        <v>0</v>
      </c>
      <c r="E215" s="29" t="s">
        <v>324</v>
      </c>
      <c r="F215" s="29" t="s">
        <v>108</v>
      </c>
    </row>
    <row r="216" spans="1:6" s="28" customFormat="1" x14ac:dyDescent="0.25">
      <c r="A216" s="29" t="s">
        <v>323</v>
      </c>
      <c r="B216" s="29" t="s">
        <v>106</v>
      </c>
      <c r="C216" s="29" t="s">
        <v>496</v>
      </c>
      <c r="D216" s="29">
        <v>0</v>
      </c>
      <c r="E216" s="29" t="s">
        <v>325</v>
      </c>
      <c r="F216" s="29" t="s">
        <v>110</v>
      </c>
    </row>
    <row r="217" spans="1:6" s="28" customFormat="1" x14ac:dyDescent="0.25">
      <c r="A217" s="29" t="s">
        <v>324</v>
      </c>
      <c r="B217" s="29" t="s">
        <v>108</v>
      </c>
      <c r="C217" s="29" t="s">
        <v>498</v>
      </c>
      <c r="D217" s="29">
        <v>0</v>
      </c>
      <c r="E217" s="29" t="s">
        <v>325</v>
      </c>
      <c r="F217" s="29" t="s">
        <v>110</v>
      </c>
    </row>
    <row r="218" spans="1:6" s="28" customFormat="1" x14ac:dyDescent="0.25">
      <c r="A218" s="29" t="s">
        <v>323</v>
      </c>
      <c r="B218" s="29" t="s">
        <v>106</v>
      </c>
      <c r="C218" s="29" t="s">
        <v>496</v>
      </c>
      <c r="D218" s="29">
        <v>0</v>
      </c>
      <c r="E218" s="29" t="s">
        <v>327</v>
      </c>
      <c r="F218" s="29" t="s">
        <v>113</v>
      </c>
    </row>
    <row r="219" spans="1:6" s="28" customFormat="1" x14ac:dyDescent="0.25">
      <c r="A219" s="29" t="s">
        <v>327</v>
      </c>
      <c r="B219" s="29" t="s">
        <v>113</v>
      </c>
      <c r="C219" s="29" t="s">
        <v>496</v>
      </c>
      <c r="D219" s="29">
        <v>0</v>
      </c>
      <c r="E219" s="29" t="s">
        <v>328</v>
      </c>
      <c r="F219" s="29" t="s">
        <v>115</v>
      </c>
    </row>
    <row r="220" spans="1:6" s="28" customFormat="1" x14ac:dyDescent="0.25">
      <c r="A220" s="29" t="s">
        <v>324</v>
      </c>
      <c r="B220" s="29" t="s">
        <v>108</v>
      </c>
      <c r="C220" s="29" t="s">
        <v>496</v>
      </c>
      <c r="D220" s="29">
        <v>0</v>
      </c>
      <c r="E220" s="29" t="s">
        <v>329</v>
      </c>
      <c r="F220" s="29" t="s">
        <v>117</v>
      </c>
    </row>
    <row r="221" spans="1:6" s="28" customFormat="1" x14ac:dyDescent="0.25">
      <c r="A221" s="29" t="s">
        <v>329</v>
      </c>
      <c r="B221" s="29" t="s">
        <v>117</v>
      </c>
      <c r="C221" s="29" t="s">
        <v>496</v>
      </c>
      <c r="D221" s="29">
        <v>0</v>
      </c>
      <c r="E221" s="29" t="s">
        <v>330</v>
      </c>
      <c r="F221" s="29" t="s">
        <v>119</v>
      </c>
    </row>
    <row r="222" spans="1:6" s="28" customFormat="1" x14ac:dyDescent="0.25">
      <c r="A222" s="29" t="s">
        <v>90</v>
      </c>
      <c r="B222" s="29" t="s">
        <v>91</v>
      </c>
      <c r="C222" s="29" t="s">
        <v>496</v>
      </c>
      <c r="D222" s="29">
        <v>70</v>
      </c>
      <c r="E222" s="29" t="s">
        <v>332</v>
      </c>
      <c r="F222" s="29" t="s">
        <v>123</v>
      </c>
    </row>
    <row r="223" spans="1:6" s="28" customFormat="1" x14ac:dyDescent="0.25">
      <c r="A223" s="29" t="s">
        <v>332</v>
      </c>
      <c r="B223" s="29" t="s">
        <v>123</v>
      </c>
      <c r="C223" s="29" t="s">
        <v>496</v>
      </c>
      <c r="D223" s="29">
        <v>0</v>
      </c>
      <c r="E223" s="29" t="s">
        <v>333</v>
      </c>
      <c r="F223" s="29" t="s">
        <v>125</v>
      </c>
    </row>
    <row r="224" spans="1:6" s="28" customFormat="1" x14ac:dyDescent="0.25">
      <c r="A224" s="29" t="s">
        <v>323</v>
      </c>
      <c r="B224" s="29" t="s">
        <v>106</v>
      </c>
      <c r="C224" s="29" t="s">
        <v>497</v>
      </c>
      <c r="D224" s="29">
        <v>10</v>
      </c>
      <c r="E224" s="29" t="s">
        <v>333</v>
      </c>
      <c r="F224" s="29" t="s">
        <v>125</v>
      </c>
    </row>
    <row r="225" spans="1:6" s="28" customFormat="1" x14ac:dyDescent="0.25">
      <c r="A225" s="29" t="s">
        <v>333</v>
      </c>
      <c r="B225" s="29" t="s">
        <v>125</v>
      </c>
      <c r="C225" s="29" t="s">
        <v>497</v>
      </c>
      <c r="D225" s="29">
        <v>7</v>
      </c>
      <c r="E225" s="29" t="s">
        <v>334</v>
      </c>
      <c r="F225" s="29" t="s">
        <v>127</v>
      </c>
    </row>
    <row r="226" spans="1:6" s="28" customFormat="1" x14ac:dyDescent="0.25">
      <c r="A226" s="29" t="s">
        <v>334</v>
      </c>
      <c r="B226" s="29" t="s">
        <v>127</v>
      </c>
      <c r="C226" s="29" t="s">
        <v>496</v>
      </c>
      <c r="D226" s="29">
        <v>0</v>
      </c>
      <c r="E226" s="29" t="s">
        <v>335</v>
      </c>
      <c r="F226" s="29" t="s">
        <v>129</v>
      </c>
    </row>
    <row r="227" spans="1:6" s="28" customFormat="1" x14ac:dyDescent="0.25">
      <c r="A227" s="29" t="s">
        <v>335</v>
      </c>
      <c r="B227" s="29" t="s">
        <v>129</v>
      </c>
      <c r="C227" s="29" t="s">
        <v>496</v>
      </c>
      <c r="D227" s="29">
        <v>0</v>
      </c>
      <c r="E227" s="29" t="s">
        <v>336</v>
      </c>
      <c r="F227" s="29" t="s">
        <v>131</v>
      </c>
    </row>
    <row r="228" spans="1:6" s="28" customFormat="1" x14ac:dyDescent="0.25">
      <c r="A228" s="29" t="s">
        <v>328</v>
      </c>
      <c r="B228" s="29" t="s">
        <v>115</v>
      </c>
      <c r="C228" s="29" t="s">
        <v>497</v>
      </c>
      <c r="D228" s="29">
        <v>15</v>
      </c>
      <c r="E228" s="29" t="s">
        <v>336</v>
      </c>
      <c r="F228" s="29" t="s">
        <v>131</v>
      </c>
    </row>
    <row r="229" spans="1:6" s="28" customFormat="1" x14ac:dyDescent="0.25">
      <c r="A229" s="29" t="s">
        <v>336</v>
      </c>
      <c r="B229" s="29" t="s">
        <v>131</v>
      </c>
      <c r="C229" s="29" t="s">
        <v>496</v>
      </c>
      <c r="D229" s="29">
        <v>-5</v>
      </c>
      <c r="E229" s="29" t="s">
        <v>338</v>
      </c>
      <c r="F229" s="29" t="s">
        <v>135</v>
      </c>
    </row>
    <row r="230" spans="1:6" s="28" customFormat="1" x14ac:dyDescent="0.25">
      <c r="A230" s="29" t="s">
        <v>336</v>
      </c>
      <c r="B230" s="29" t="s">
        <v>131</v>
      </c>
      <c r="C230" s="29" t="s">
        <v>497</v>
      </c>
      <c r="D230" s="29">
        <v>20</v>
      </c>
      <c r="E230" s="29" t="s">
        <v>337</v>
      </c>
      <c r="F230" s="29" t="s">
        <v>133</v>
      </c>
    </row>
    <row r="231" spans="1:6" s="28" customFormat="1" x14ac:dyDescent="0.25">
      <c r="A231" s="29" t="s">
        <v>337</v>
      </c>
      <c r="B231" s="29" t="s">
        <v>133</v>
      </c>
      <c r="C231" s="29" t="s">
        <v>497</v>
      </c>
      <c r="D231" s="29">
        <v>10</v>
      </c>
      <c r="E231" s="29" t="s">
        <v>339</v>
      </c>
      <c r="F231" s="29" t="s">
        <v>137</v>
      </c>
    </row>
    <row r="232" spans="1:6" s="28" customFormat="1" x14ac:dyDescent="0.25">
      <c r="A232" s="29" t="s">
        <v>330</v>
      </c>
      <c r="B232" s="29" t="s">
        <v>119</v>
      </c>
      <c r="C232" s="29" t="s">
        <v>496</v>
      </c>
      <c r="D232" s="29">
        <v>0</v>
      </c>
      <c r="E232" s="29" t="s">
        <v>339</v>
      </c>
      <c r="F232" s="29" t="s">
        <v>137</v>
      </c>
    </row>
    <row r="233" spans="1:6" s="28" customFormat="1" x14ac:dyDescent="0.25">
      <c r="A233" s="29" t="s">
        <v>337</v>
      </c>
      <c r="B233" s="29" t="s">
        <v>133</v>
      </c>
      <c r="C233" s="29" t="s">
        <v>496</v>
      </c>
      <c r="D233" s="29">
        <v>0</v>
      </c>
      <c r="E233" s="29" t="s">
        <v>340</v>
      </c>
      <c r="F233" s="29" t="s">
        <v>139</v>
      </c>
    </row>
    <row r="234" spans="1:6" s="28" customFormat="1" x14ac:dyDescent="0.25">
      <c r="A234" s="29" t="s">
        <v>338</v>
      </c>
      <c r="B234" s="29" t="s">
        <v>135</v>
      </c>
      <c r="C234" s="29" t="s">
        <v>496</v>
      </c>
      <c r="D234" s="29">
        <v>0</v>
      </c>
      <c r="E234" s="29" t="s">
        <v>340</v>
      </c>
      <c r="F234" s="29" t="s">
        <v>139</v>
      </c>
    </row>
    <row r="235" spans="1:6" s="28" customFormat="1" x14ac:dyDescent="0.25">
      <c r="A235" s="29" t="s">
        <v>339</v>
      </c>
      <c r="B235" s="29" t="s">
        <v>137</v>
      </c>
      <c r="C235" s="29" t="s">
        <v>496</v>
      </c>
      <c r="D235" s="29">
        <v>0</v>
      </c>
      <c r="E235" s="29" t="s">
        <v>341</v>
      </c>
      <c r="F235" s="29" t="s">
        <v>141</v>
      </c>
    </row>
    <row r="236" spans="1:6" s="28" customFormat="1" x14ac:dyDescent="0.25">
      <c r="A236" s="29" t="s">
        <v>340</v>
      </c>
      <c r="B236" s="29" t="s">
        <v>139</v>
      </c>
      <c r="C236" s="29" t="s">
        <v>498</v>
      </c>
      <c r="D236" s="29">
        <v>0</v>
      </c>
      <c r="E236" s="29" t="s">
        <v>341</v>
      </c>
      <c r="F236" s="29" t="s">
        <v>141</v>
      </c>
    </row>
    <row r="237" spans="1:6" s="28" customFormat="1" x14ac:dyDescent="0.25">
      <c r="A237" s="29" t="s">
        <v>341</v>
      </c>
      <c r="B237" s="29" t="s">
        <v>141</v>
      </c>
      <c r="C237" s="29" t="s">
        <v>496</v>
      </c>
      <c r="D237" s="29">
        <v>0</v>
      </c>
      <c r="E237" s="29" t="s">
        <v>342</v>
      </c>
      <c r="F237" s="29" t="s">
        <v>143</v>
      </c>
    </row>
    <row r="238" spans="1:6" s="28" customFormat="1" x14ac:dyDescent="0.25">
      <c r="A238" s="29" t="s">
        <v>342</v>
      </c>
      <c r="B238" s="29" t="s">
        <v>143</v>
      </c>
      <c r="C238" s="29" t="s">
        <v>496</v>
      </c>
      <c r="D238" s="29">
        <v>0</v>
      </c>
      <c r="E238" s="29" t="s">
        <v>92</v>
      </c>
      <c r="F238" s="29" t="s">
        <v>93</v>
      </c>
    </row>
  </sheetData>
  <autoFilter ref="A4:F4"/>
  <mergeCells count="2">
    <mergeCell ref="A1:F1"/>
    <mergeCell ref="A2:F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Building x EPC</vt:lpstr>
      <vt:lpstr>Schedule</vt:lpstr>
      <vt:lpstr>Gantt</vt:lpstr>
      <vt:lpstr>Update Sheet</vt:lpstr>
      <vt:lpstr>Look-ahead</vt:lpstr>
      <vt:lpstr>Attention</vt:lpstr>
      <vt:lpstr>Concerns</vt:lpstr>
      <vt:lpstr>Health Check</vt:lpstr>
      <vt:lpstr>Change Log</vt:lpstr>
      <vt:lpstr>Relationships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Schedule Engine</dc:creator>
  <dc:title>Pellet Plant Complex - Area Schedule (Demo)</dc:title>
  <dc:subject/>
  <dc:description/>
  <cp:keywords/>
  <cp:category/>
  <cp:lastModifiedBy>Unknown</cp:lastModifiedBy>
  <dcterms:created xsi:type="dcterms:W3CDTF">2026-09-28T10:07:44Z</dcterms:created>
  <dcterms:modified xsi:type="dcterms:W3CDTF">2026-09-28T10:07:44Z</dcterms:modified>
</cp:coreProperties>
</file>