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Plan" state="visible" r:id="rId5"/>
    <sheet sheetId="3" name="Fronts" state="visible" r:id="rId6"/>
    <sheet sheetId="4" name="Concerns" state="visible" r:id="rId7"/>
    <sheet sheetId="5" name="Engine summary" state="visible" r:id="rId8"/>
  </sheets>
  <calcPr calcId="171027"/>
</workbook>
</file>

<file path=xl/sharedStrings.xml><?xml version="1.0" encoding="utf-8"?>
<sst xmlns="http://schemas.openxmlformats.org/spreadsheetml/2006/main" count="291" uniqueCount="126">
  <si>
    <t>Quantity tracker - items</t>
  </si>
  <si>
    <t>Unit MT · data as on 30-Sep-2026 · Fill orange cells. % columns are formulas. Import back with Qty &amp; Liquidation → Import Excel.</t>
  </si>
  <si>
    <t>ID</t>
  </si>
  <si>
    <t>Item / building</t>
  </si>
  <si>
    <t>Building</t>
  </si>
  <si>
    <t>WBS</t>
  </si>
  <si>
    <t>EPC</t>
  </si>
  <si>
    <t>Vendor</t>
  </si>
  <si>
    <t>Unit</t>
  </si>
  <si>
    <t>Scope</t>
  </si>
  <si>
    <t>Scope note</t>
  </si>
  <si>
    <t>Drawings released</t>
  </si>
  <si>
    <t>Supplied till date</t>
  </si>
  <si>
    <t>Erected till date</t>
  </si>
  <si>
    <t>Supply last month</t>
  </si>
  <si>
    <t>Erection last month</t>
  </si>
  <si>
    <t>Target supply finish (mmm-yy)</t>
  </si>
  <si>
    <t>Target erection finish (mmm-yy)</t>
  </si>
  <si>
    <t>Status (auto / ON TRACK / AT RISK / DELAYED)</t>
  </si>
  <si>
    <t>Drawings %</t>
  </si>
  <si>
    <t>Supplied %</t>
  </si>
  <si>
    <t>Erected %</t>
  </si>
  <si>
    <t>Balance to erect</t>
  </si>
  <si>
    <t>qmul33cej9ge</t>
  </si>
  <si>
    <t>Additive Grinding Building</t>
  </si>
  <si>
    <t>Pellet Plant-1</t>
  </si>
  <si>
    <t>Construction</t>
  </si>
  <si>
    <t>KBL</t>
  </si>
  <si>
    <t>MT</t>
  </si>
  <si>
    <t>+ TS 160.9 MT (silos 132.3 + liner 28.6)</t>
  </si>
  <si>
    <t/>
  </si>
  <si>
    <t>auto</t>
  </si>
  <si>
    <t>qmul33cej47p</t>
  </si>
  <si>
    <t>Screen House</t>
  </si>
  <si>
    <t>Pellet Plant-2</t>
  </si>
  <si>
    <t>Samal Brothers</t>
  </si>
  <si>
    <t>+ TS: equipment, crane &amp; conveyor supports</t>
  </si>
  <si>
    <t>qmul33cej833</t>
  </si>
  <si>
    <t>Return Fines Building</t>
  </si>
  <si>
    <t>Filtration Plant</t>
  </si>
  <si>
    <t>Vrinda Bhillai (site fabrication)</t>
  </si>
  <si>
    <t>+ TS 66.3 MT (bins, liner, weighing bins)</t>
  </si>
  <si>
    <t>Monthly liquidation plan (MT)</t>
  </si>
  <si>
    <t>One row per item and stage. Months start after the data-as-on month. Check turns red when the plan total does not equal the balance (scope − done).</t>
  </si>
  <si>
    <t>Item</t>
  </si>
  <si>
    <t>Stage</t>
  </si>
  <si>
    <t>Balance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</si>
  <si>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</si>
  <si>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</si>
  <si>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</si>
  <si>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</si>
  <si>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</si>
  <si>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</si>
  <si>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</si>
  <si>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</si>
  <si>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</si>
  <si>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</si>
  <si>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</si>
  <si>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</si>
  <si>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Plan total</t>
  </si>
  <si>
    <t>Check</t>
  </si>
  <si>
    <t>Supply</t>
  </si>
  <si>
    <t>Erection</t>
  </si>
  <si>
    <t>Work fronts (rows of the work-front table)</t>
  </si>
  <si>
    <t>Category: front, supply, erection, ts, handover. Months as mmm-yy (e.g. Oct-26).</t>
  </si>
  <si>
    <t>Front</t>
  </si>
  <si>
    <t>Category</t>
  </si>
  <si>
    <t>From</t>
  </si>
  <si>
    <t>To</t>
  </si>
  <si>
    <t>Drawing / PO closure</t>
  </si>
  <si>
    <t>front</t>
  </si>
  <si>
    <t>Fabrication &amp; supply</t>
  </si>
  <si>
    <t>supply</t>
  </si>
  <si>
    <t>Ground assembly</t>
  </si>
  <si>
    <t>erection</t>
  </si>
  <si>
    <t>Main frame erection</t>
  </si>
  <si>
    <t>Silos / liners (TS)</t>
  </si>
  <si>
    <t>ts</t>
  </si>
  <si>
    <t>Alignment / handover</t>
  </si>
  <si>
    <t>handover</t>
  </si>
  <si>
    <t>Foundation release</t>
  </si>
  <si>
    <t>Material receipt</t>
  </si>
  <si>
    <t>Starter bay / bracing</t>
  </si>
  <si>
    <t>Lower tiers</t>
  </si>
  <si>
    <t>Screen / crane levels</t>
  </si>
  <si>
    <t>Upper tiers / roof</t>
  </si>
  <si>
    <t>Handover</t>
  </si>
  <si>
    <t>Starter frame</t>
  </si>
  <si>
    <t>Bin support floors</t>
  </si>
  <si>
    <t>Bins / liner (TS)</t>
  </si>
  <si>
    <t>Your own concerns &amp; actions (the engine adds its automatic ones)</t>
  </si>
  <si>
    <t>Tag e.g. SUPPLY / DRAWINGS / ERECTION / FRONT / INTERFACE. Severity high or med.</t>
  </si>
  <si>
    <t>Tag</t>
  </si>
  <si>
    <t>Severity</t>
  </si>
  <si>
    <t>Concern</t>
  </si>
  <si>
    <t>Action</t>
  </si>
  <si>
    <t>FRONT</t>
  </si>
  <si>
    <t>high</t>
  </si>
  <si>
    <t>Erection starts first and needs surveyed starter-bay foundations now.</t>
  </si>
  <si>
    <t>Release surveyed starter-bay foundations / anchor bolts.</t>
  </si>
  <si>
    <t>INTERFACE</t>
  </si>
  <si>
    <t>med</t>
  </si>
  <si>
    <t>Bin-support and conveyor interface not yet frozen.</t>
  </si>
  <si>
    <t>Freeze bin-support and conveyor interface.</t>
  </si>
  <si>
    <t>Engine summary by building</t>
  </si>
  <si>
    <t>Calculated by Schedule Engine - not an input sheet.</t>
  </si>
  <si>
    <t>Group</t>
  </si>
  <si>
    <t>Status</t>
  </si>
  <si>
    <t>Drawings</t>
  </si>
  <si>
    <t>Supplied</t>
  </si>
  <si>
    <t>Erected</t>
  </si>
  <si>
    <t>Concern / action</t>
  </si>
  <si>
    <t>AT RISK</t>
  </si>
  <si>
    <t>DRAWINGS</t>
  </si>
  <si>
    <t>Only 1,399 of 2,000 MT drawings released; 601 MT (30%) pending. Cumulative supply crosses 1,399 MT in Jan-27.  →  Close balance drawings / PO by Nov-26 to feed Jan-27 fabrication.</t>
  </si>
  <si>
    <t>SUPPLY</t>
  </si>
  <si>
    <t>Oct-26–Feb supply plan totals 2,000 MT but the balance is 1,988 MT (12 MT already done) - quantities not reconciled against scope.  →  Reconcile the supply plan against scope and the Sep-26 actual.</t>
  </si>
  <si>
    <t>Dispatch must jump from 12 MT in Sep-26 to 520 MT/month; Dec and Jan-27 alone need 1,020 MT.  →  Lock fabrication lot plan; weekly dispatch vs 250/300/500/520/430 MT.</t>
  </si>
  <si>
    <t>ERECTION</t>
  </si>
  <si>
    <t>Erection starts Nov-26 and must hold 150–300 MT/month for 8 months.  →  Mobilise crane and erection crew before Nov-26.</t>
  </si>
  <si>
    <t>Dispatch must jump from 0 MT in Sep-26 to 269 MT/month; Oct and Jan-27 alone need 519 MT.  →  Lock fabrication lot plan; weekly dispatch vs 250/250/250/269 MT.</t>
  </si>
  <si>
    <t>Erection starts first and needs surveyed starter-bay foundations now.  →  Release surveyed starter-bay foundations / anchor bolts.</t>
  </si>
  <si>
    <t>Erection starts Oct-26 and must hold 50–200 MT/month for 7 months.  →  Mobilise crane and erection crew before Oct-26.</t>
  </si>
  <si>
    <t>Dispatch must jump from 0 MT in Sep-26 to 120 MT/month; Oct and Nov alone need 240 MT.  →  Lock fabrication lot plan; weekly dispatch vs 120/120/120/33 MT.</t>
  </si>
  <si>
    <t>Erection starts Nov-26 and must hold 50–120 MT/month for 5 months.  →  Mobilise crane and erection crew before Nov-26.</t>
  </si>
  <si>
    <t>Bin-support and conveyor interface not yet frozen.  →  Freeze bin-support and conveyor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</si>
</sst>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FFFFFF"/>
      <sz val="9"/>
    </font>
    <font>
      <b/>
      <color rgb="FFFFFFFF"/>
      <sz val="9"/>
    </font>
    <font>
      <b/>
      <color rgb="FFF5A623"/>
    </font>
  </fonts>
  <fills count="8">
    <fill>
      <patternFill patternType="none"/>
    </fill>
    <fill>
      <patternFill patternType="gray125"/>
    </fill>
    <fill>
      <patternFill patternType="solid">
        <fgColor rgb="FF0C233C"/>
      </patternFill>
    </fill>
    <fill>
      <patternFill patternType="solid">
        <fgColor rgb="FF1E49E2"/>
      </patternFill>
    </fill>
    <fill>
      <patternFill patternType="solid">
        <fgColor rgb="FFFFF4E5"/>
      </patternFill>
    </fill>
    <fill>
      <patternFill patternType="solid">
        <fgColor rgb="FFFD349C"/>
      </patternFill>
    </fill>
    <fill>
      <patternFill patternType="solid">
        <fgColor rgb="FFF5A623"/>
      </patternFill>
    </fill>
    <fill>
      <patternFill patternType="solid">
        <fgColor rgb="FF1F9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wrapText="1" indent="1"/>
    </xf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9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3" fontId="0" fillId="4" borderId="0" xfId="0" applyNumberFormat="1" applyFill="1"/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color rgb="FF1F9D55"/>
      </font>
    </dxf>
    <dxf>
      <font>
        <b/>
        <color rgb="FFE5383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9E2"/>
  </sheetPr>
  <dimension ref="A1:U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2" customWidth="1"/>
    <col min="4" max="4" width="20" customWidth="1"/>
    <col min="5" max="5" width="14" customWidth="1"/>
    <col min="6" max="6" width="22" customWidth="1"/>
    <col min="7" max="7" width="7" customWidth="1"/>
    <col min="8" max="8" width="10" customWidth="1"/>
    <col min="9" max="9" width="30" customWidth="1"/>
    <col min="10" max="12" width="11" customWidth="1"/>
    <col min="13" max="14" width="10" customWidth="1"/>
    <col min="15" max="16" width="12" customWidth="1"/>
    <col min="17" max="17" width="16" customWidth="1"/>
    <col min="21" max="21" width="10" customWidth="1"/>
  </cols>
  <sheetData>
    <row r="1" ht="28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2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t="s">
        <v>23</v>
      </c>
      <c r="B4" s="4" t="s">
        <v>24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>
        <v>2000</v>
      </c>
      <c r="I4" s="4" t="s">
        <v>29</v>
      </c>
      <c r="J4" s="4">
        <v>1399</v>
      </c>
      <c r="K4" s="4">
        <v>12</v>
      </c>
      <c r="L4" s="4">
        <v>0</v>
      </c>
      <c r="M4" s="4">
        <v>12</v>
      </c>
      <c r="N4" s="4">
        <v>0</v>
      </c>
      <c r="O4" s="4" t="s">
        <v>30</v>
      </c>
      <c r="P4" s="4" t="s">
        <v>30</v>
      </c>
      <c r="Q4" s="4" t="s">
        <v>31</v>
      </c>
      <c r="R4" s="5">
        <f>IF(H4&gt;0,J4/H4,"")</f>
      </c>
      <c r="S4" s="5">
        <f>IF(H4&gt;0,K4/H4,"")</f>
      </c>
      <c r="T4" s="5">
        <f>IF(H4&gt;0,L4/H4,"")</f>
      </c>
      <c r="U4">
        <f>H4-L4</f>
      </c>
    </row>
    <row r="5" spans="1:21" x14ac:dyDescent="0.25">
      <c r="A5" t="s">
        <v>32</v>
      </c>
      <c r="B5" s="4" t="s">
        <v>33</v>
      </c>
      <c r="C5" s="4" t="s">
        <v>33</v>
      </c>
      <c r="D5" s="4" t="s">
        <v>34</v>
      </c>
      <c r="E5" s="4" t="s">
        <v>26</v>
      </c>
      <c r="F5" s="4" t="s">
        <v>35</v>
      </c>
      <c r="G5" s="4" t="s">
        <v>28</v>
      </c>
      <c r="H5" s="4">
        <v>1019</v>
      </c>
      <c r="I5" s="4" t="s">
        <v>36</v>
      </c>
      <c r="J5" s="4">
        <v>1019</v>
      </c>
      <c r="K5" s="4">
        <v>0</v>
      </c>
      <c r="L5" s="4">
        <v>0</v>
      </c>
      <c r="M5" s="4">
        <v>0</v>
      </c>
      <c r="N5" s="4">
        <v>0</v>
      </c>
      <c r="O5" s="4" t="s">
        <v>30</v>
      </c>
      <c r="P5" s="4" t="s">
        <v>30</v>
      </c>
      <c r="Q5" s="4" t="s">
        <v>31</v>
      </c>
      <c r="R5" s="5">
        <f>IF(H5&gt;0,J5/H5,"")</f>
      </c>
      <c r="S5" s="5">
        <f>IF(H5&gt;0,K5/H5,"")</f>
      </c>
      <c r="T5" s="5">
        <f>IF(H5&gt;0,L5/H5,"")</f>
      </c>
      <c r="U5">
        <f>H5-L5</f>
      </c>
    </row>
    <row r="6" spans="1:21" x14ac:dyDescent="0.25">
      <c r="A6" t="s">
        <v>37</v>
      </c>
      <c r="B6" s="4" t="s">
        <v>38</v>
      </c>
      <c r="C6" s="4" t="s">
        <v>38</v>
      </c>
      <c r="D6" s="4" t="s">
        <v>39</v>
      </c>
      <c r="E6" s="4" t="s">
        <v>26</v>
      </c>
      <c r="F6" s="4" t="s">
        <v>40</v>
      </c>
      <c r="G6" s="4" t="s">
        <v>28</v>
      </c>
      <c r="H6" s="4">
        <v>393</v>
      </c>
      <c r="I6" s="4" t="s">
        <v>41</v>
      </c>
      <c r="J6" s="4">
        <v>393</v>
      </c>
      <c r="K6" s="4">
        <v>0</v>
      </c>
      <c r="L6" s="4">
        <v>0</v>
      </c>
      <c r="M6" s="4">
        <v>0</v>
      </c>
      <c r="N6" s="4">
        <v>0</v>
      </c>
      <c r="O6" s="4" t="s">
        <v>30</v>
      </c>
      <c r="P6" s="4" t="s">
        <v>30</v>
      </c>
      <c r="Q6" s="4" t="s">
        <v>31</v>
      </c>
      <c r="R6" s="5">
        <f>IF(H6&gt;0,J6/H6,"")</f>
      </c>
      <c r="S6" s="5">
        <f>IF(H6&gt;0,K6/H6,"")</f>
      </c>
      <c r="T6" s="5">
        <f>IF(H6&gt;0,L6/H6,"")</f>
      </c>
      <c r="U6">
        <f>H6-L6</f>
      </c>
    </row>
  </sheetData>
  <mergeCells count="2">
    <mergeCell ref="A1:U1"/>
    <mergeCell ref="A2:U2"/>
  </mergeCells>
  <dataValidations count="5">
    <dataValidation type="list" allowBlank="1" sqref="E4:E6">
      <formula1>"Engineering,Procurement,Construction,Others"</formula1>
    </dataValidation>
    <dataValidation type="decimal" allowBlank="1" showErrorMessage="1" errorTitle="Quantity" error="Cannot exceed the scope in column H" sqref="J4:L4">
      <formula1>0</formula1>
      <formula2>$H$4</formula2>
    </dataValidation>
    <dataValidation type="decimal" allowBlank="1" showErrorMessage="1" errorTitle="Quantity" error="Cannot exceed the scope in column H" sqref="J5:L5">
      <formula1>0</formula1>
      <formula2>$H$5</formula2>
    </dataValidation>
    <dataValidation type="decimal" allowBlank="1" showErrorMessage="1" errorTitle="Quantity" error="Cannot exceed the scope in column H" sqref="J6:L6">
      <formula1>0</formula1>
      <formula2>$H$6</formula2>
    </dataValidation>
    <dataValidation type="list" allowBlank="1" sqref="Q4:Q6">
      <formula1>"auto,ON TRACK,WATCH,AT RISK,DELAYED"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8F5"/>
  </sheetPr>
  <dimension ref="A1:R9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1" customWidth="1"/>
    <col min="17" max="17" width="11" customWidth="1"/>
    <col min="18" max="18" width="18" customWidth="1"/>
  </cols>
  <sheetData>
    <row r="1" ht="28" customHeight="1" spans="1:18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2" customHeight="1" spans="1:18" x14ac:dyDescent="0.25">
      <c r="A3" s="6" t="s">
        <v>2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60</v>
      </c>
    </row>
    <row r="4" spans="1:18" x14ac:dyDescent="0.25">
      <c r="A4" t="s">
        <v>23</v>
      </c>
      <c r="B4" t="s">
        <v>24</v>
      </c>
      <c r="C4" t="s">
        <v>61</v>
      </c>
      <c r="D4">
        <f>Items!H4-Items!K4</f>
      </c>
      <c r="E4" s="7">
        <v>250</v>
      </c>
      <c r="F4" s="7">
        <v>300</v>
      </c>
      <c r="G4" s="7">
        <v>500</v>
      </c>
      <c r="H4" s="7">
        <v>520</v>
      </c>
      <c r="I4" s="7">
        <v>430</v>
      </c>
      <c r="J4" s="7"/>
      <c r="K4" s="7"/>
      <c r="L4" s="7"/>
      <c r="M4" s="7"/>
      <c r="N4" s="7"/>
      <c r="O4" s="7"/>
      <c r="P4" s="7"/>
      <c r="Q4">
        <f>SUM(E4:P4)</f>
      </c>
      <c r="R4">
        <f>IF(ABS(Q4-D4)&lt;=1,"OK","Plan " &amp; TEXT(Q4,"#,##0") &amp; " vs balance " &amp; TEXT(D4,"#,##0"))</f>
      </c>
    </row>
    <row r="5" spans="1:18" x14ac:dyDescent="0.25">
      <c r="A5" t="s">
        <v>23</v>
      </c>
      <c r="B5" t="s">
        <v>24</v>
      </c>
      <c r="C5" t="s">
        <v>62</v>
      </c>
      <c r="D5">
        <f>Items!H4-Items!L4</f>
      </c>
      <c r="E5" s="7"/>
      <c r="F5" s="7">
        <v>150</v>
      </c>
      <c r="G5" s="7">
        <v>250</v>
      </c>
      <c r="H5" s="7">
        <v>250</v>
      </c>
      <c r="I5" s="7">
        <v>250</v>
      </c>
      <c r="J5" s="7">
        <v>250</v>
      </c>
      <c r="K5" s="7">
        <v>250</v>
      </c>
      <c r="L5" s="7">
        <v>300</v>
      </c>
      <c r="M5" s="7">
        <v>300</v>
      </c>
      <c r="N5" s="7"/>
      <c r="O5" s="7"/>
      <c r="P5" s="7"/>
      <c r="Q5">
        <f>SUM(E5:P5)</f>
      </c>
      <c r="R5">
        <f>IF(ABS(Q5-D5)&lt;=1,"OK","Plan " &amp; TEXT(Q5,"#,##0") &amp; " vs balance " &amp; TEXT(D5,"#,##0"))</f>
      </c>
    </row>
    <row r="6" spans="1:18" x14ac:dyDescent="0.25">
      <c r="A6" t="s">
        <v>32</v>
      </c>
      <c r="B6" t="s">
        <v>33</v>
      </c>
      <c r="C6" t="s">
        <v>61</v>
      </c>
      <c r="D6">
        <f>Items!H5-Items!K5</f>
      </c>
      <c r="E6" s="7">
        <v>250</v>
      </c>
      <c r="F6" s="7">
        <v>250</v>
      </c>
      <c r="G6" s="7">
        <v>250</v>
      </c>
      <c r="H6" s="7">
        <v>269</v>
      </c>
      <c r="I6" s="7"/>
      <c r="J6" s="7"/>
      <c r="K6" s="7"/>
      <c r="L6" s="7"/>
      <c r="M6" s="7"/>
      <c r="N6" s="7"/>
      <c r="O6" s="7"/>
      <c r="P6" s="7"/>
      <c r="Q6">
        <f>SUM(E6:P6)</f>
      </c>
      <c r="R6">
        <f>IF(ABS(Q6-D6)&lt;=1,"OK","Plan " &amp; TEXT(Q6,"#,##0") &amp; " vs balance " &amp; TEXT(D6,"#,##0"))</f>
      </c>
    </row>
    <row r="7" spans="1:18" x14ac:dyDescent="0.25">
      <c r="A7" t="s">
        <v>32</v>
      </c>
      <c r="B7" t="s">
        <v>33</v>
      </c>
      <c r="C7" t="s">
        <v>62</v>
      </c>
      <c r="D7">
        <f>Items!H5-Items!L5</f>
      </c>
      <c r="E7" s="7">
        <v>50</v>
      </c>
      <c r="F7" s="7">
        <v>180</v>
      </c>
      <c r="G7" s="7">
        <v>200</v>
      </c>
      <c r="H7" s="7">
        <v>166</v>
      </c>
      <c r="I7" s="7">
        <v>168</v>
      </c>
      <c r="J7" s="7">
        <v>160</v>
      </c>
      <c r="K7" s="7">
        <v>95</v>
      </c>
      <c r="L7" s="7"/>
      <c r="M7" s="7"/>
      <c r="N7" s="7"/>
      <c r="O7" s="7"/>
      <c r="P7" s="7"/>
      <c r="Q7">
        <f>SUM(E7:P7)</f>
      </c>
      <c r="R7">
        <f>IF(ABS(Q7-D7)&lt;=1,"OK","Plan " &amp; TEXT(Q7,"#,##0") &amp; " vs balance " &amp; TEXT(D7,"#,##0"))</f>
      </c>
    </row>
    <row r="8" spans="1:18" x14ac:dyDescent="0.25">
      <c r="A8" t="s">
        <v>37</v>
      </c>
      <c r="B8" t="s">
        <v>38</v>
      </c>
      <c r="C8" t="s">
        <v>61</v>
      </c>
      <c r="D8">
        <f>Items!H6-Items!K6</f>
      </c>
      <c r="E8" s="7">
        <v>120</v>
      </c>
      <c r="F8" s="7">
        <v>120</v>
      </c>
      <c r="G8" s="7">
        <v>120</v>
      </c>
      <c r="H8" s="7">
        <v>33</v>
      </c>
      <c r="I8" s="7"/>
      <c r="J8" s="7"/>
      <c r="K8" s="7"/>
      <c r="L8" s="7"/>
      <c r="M8" s="7"/>
      <c r="N8" s="7"/>
      <c r="O8" s="7"/>
      <c r="P8" s="7"/>
      <c r="Q8">
        <f>SUM(E8:P8)</f>
      </c>
      <c r="R8">
        <f>IF(ABS(Q8-D8)&lt;=1,"OK","Plan " &amp; TEXT(Q8,"#,##0") &amp; " vs balance " &amp; TEXT(D8,"#,##0"))</f>
      </c>
    </row>
    <row r="9" spans="1:18" x14ac:dyDescent="0.25">
      <c r="A9" t="s">
        <v>37</v>
      </c>
      <c r="B9" t="s">
        <v>38</v>
      </c>
      <c r="C9" t="s">
        <v>62</v>
      </c>
      <c r="D9">
        <f>Items!H6-Items!L6</f>
      </c>
      <c r="E9" s="7"/>
      <c r="F9" s="7">
        <v>50</v>
      </c>
      <c r="G9" s="7">
        <v>50</v>
      </c>
      <c r="H9" s="7">
        <v>110</v>
      </c>
      <c r="I9" s="7">
        <v>120</v>
      </c>
      <c r="J9" s="7">
        <v>63</v>
      </c>
      <c r="K9" s="7"/>
      <c r="L9" s="7"/>
      <c r="M9" s="7"/>
      <c r="N9" s="7"/>
      <c r="O9" s="7"/>
      <c r="P9" s="7"/>
      <c r="Q9">
        <f>SUM(E9:P9)</f>
      </c>
      <c r="R9">
        <f>IF(ABS(Q9-D9)&lt;=1,"OK","Plan " &amp; TEXT(Q9,"#,##0") &amp; " vs balance " &amp; TEXT(D9,"#,##0"))</f>
      </c>
    </row>
  </sheetData>
  <mergeCells count="2">
    <mergeCell ref="A1:R1"/>
    <mergeCell ref="A2:R2"/>
  </mergeCells>
  <conditionalFormatting sqref="R4:R9">
    <cfRule type="containsText" dxfId="0" priority="1">
      <formula>NOT(ISERROR(SEARCH("OK",R4)))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349C"/>
  </sheetPr>
  <dimension ref="A1:E22"/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5" width="10" customWidth="1"/>
  </cols>
  <sheetData>
    <row r="1" ht="28" customHeight="1" spans="1:5" x14ac:dyDescent="0.25">
      <c r="A1" s="1" t="s">
        <v>63</v>
      </c>
      <c r="B1" s="1"/>
      <c r="C1" s="1"/>
      <c r="D1" s="1"/>
      <c r="E1" s="1"/>
    </row>
    <row r="2" ht="30" customHeight="1" spans="1:5" x14ac:dyDescent="0.25">
      <c r="A2" s="2" t="s">
        <v>64</v>
      </c>
      <c r="B2" s="2"/>
      <c r="C2" s="2"/>
      <c r="D2" s="2"/>
      <c r="E2" s="2"/>
    </row>
    <row r="3" ht="32" customHeight="1" spans="1:5" x14ac:dyDescent="0.25">
      <c r="A3" s="8" t="s">
        <v>2</v>
      </c>
      <c r="B3" s="8" t="s">
        <v>65</v>
      </c>
      <c r="C3" s="8" t="s">
        <v>66</v>
      </c>
      <c r="D3" s="8" t="s">
        <v>67</v>
      </c>
      <c r="E3" s="8" t="s">
        <v>68</v>
      </c>
    </row>
    <row r="4" spans="1:5" x14ac:dyDescent="0.25">
      <c r="A4" t="s">
        <v>23</v>
      </c>
      <c r="B4" s="4" t="s">
        <v>69</v>
      </c>
      <c r="C4" s="4" t="s">
        <v>70</v>
      </c>
      <c r="D4" s="4" t="s">
        <v>47</v>
      </c>
      <c r="E4" s="4" t="s">
        <v>48</v>
      </c>
    </row>
    <row r="5" spans="1:5" x14ac:dyDescent="0.25">
      <c r="A5" t="s">
        <v>23</v>
      </c>
      <c r="B5" s="4" t="s">
        <v>71</v>
      </c>
      <c r="C5" s="4" t="s">
        <v>72</v>
      </c>
      <c r="D5" s="4" t="s">
        <v>47</v>
      </c>
      <c r="E5" s="4" t="s">
        <v>51</v>
      </c>
    </row>
    <row r="6" spans="1:5" x14ac:dyDescent="0.25">
      <c r="A6" t="s">
        <v>23</v>
      </c>
      <c r="B6" s="4" t="s">
        <v>73</v>
      </c>
      <c r="C6" s="4" t="s">
        <v>74</v>
      </c>
      <c r="D6" s="4" t="s">
        <v>47</v>
      </c>
      <c r="E6" s="4" t="s">
        <v>50</v>
      </c>
    </row>
    <row r="7" spans="1:5" x14ac:dyDescent="0.25">
      <c r="A7" t="s">
        <v>23</v>
      </c>
      <c r="B7" s="4" t="s">
        <v>75</v>
      </c>
      <c r="C7" s="4" t="s">
        <v>74</v>
      </c>
      <c r="D7" s="4" t="s">
        <v>48</v>
      </c>
      <c r="E7" s="4" t="s">
        <v>55</v>
      </c>
    </row>
    <row r="8" spans="1:5" x14ac:dyDescent="0.25">
      <c r="A8" t="s">
        <v>23</v>
      </c>
      <c r="B8" s="4" t="s">
        <v>76</v>
      </c>
      <c r="C8" s="4" t="s">
        <v>77</v>
      </c>
      <c r="D8" s="4" t="s">
        <v>53</v>
      </c>
      <c r="E8" s="4" t="s">
        <v>55</v>
      </c>
    </row>
    <row r="9" spans="1:5" x14ac:dyDescent="0.25">
      <c r="A9" t="s">
        <v>23</v>
      </c>
      <c r="B9" s="4" t="s">
        <v>78</v>
      </c>
      <c r="C9" s="4" t="s">
        <v>79</v>
      </c>
      <c r="D9" s="4" t="s">
        <v>54</v>
      </c>
      <c r="E9" s="4" t="s">
        <v>55</v>
      </c>
    </row>
    <row r="10" spans="1:5" x14ac:dyDescent="0.25">
      <c r="A10" t="s">
        <v>32</v>
      </c>
      <c r="B10" s="4" t="s">
        <v>80</v>
      </c>
      <c r="C10" s="4" t="s">
        <v>70</v>
      </c>
      <c r="D10" s="4" t="s">
        <v>47</v>
      </c>
      <c r="E10" s="4" t="s">
        <v>47</v>
      </c>
    </row>
    <row r="11" spans="1:5" x14ac:dyDescent="0.25">
      <c r="A11" t="s">
        <v>32</v>
      </c>
      <c r="B11" s="4" t="s">
        <v>81</v>
      </c>
      <c r="C11" s="4" t="s">
        <v>72</v>
      </c>
      <c r="D11" s="4" t="s">
        <v>47</v>
      </c>
      <c r="E11" s="4" t="s">
        <v>50</v>
      </c>
    </row>
    <row r="12" spans="1:5" x14ac:dyDescent="0.25">
      <c r="A12" t="s">
        <v>32</v>
      </c>
      <c r="B12" s="4" t="s">
        <v>82</v>
      </c>
      <c r="C12" s="4" t="s">
        <v>74</v>
      </c>
      <c r="D12" s="4" t="s">
        <v>47</v>
      </c>
      <c r="E12" s="4" t="s">
        <v>48</v>
      </c>
    </row>
    <row r="13" spans="1:5" x14ac:dyDescent="0.25">
      <c r="A13" t="s">
        <v>32</v>
      </c>
      <c r="B13" s="4" t="s">
        <v>83</v>
      </c>
      <c r="C13" s="4" t="s">
        <v>74</v>
      </c>
      <c r="D13" s="4" t="s">
        <v>48</v>
      </c>
      <c r="E13" s="4" t="s">
        <v>50</v>
      </c>
    </row>
    <row r="14" spans="1:5" x14ac:dyDescent="0.25">
      <c r="A14" t="s">
        <v>32</v>
      </c>
      <c r="B14" s="4" t="s">
        <v>84</v>
      </c>
      <c r="C14" s="4" t="s">
        <v>74</v>
      </c>
      <c r="D14" s="4" t="s">
        <v>49</v>
      </c>
      <c r="E14" s="4" t="s">
        <v>52</v>
      </c>
    </row>
    <row r="15" spans="1:5" x14ac:dyDescent="0.25">
      <c r="A15" t="s">
        <v>32</v>
      </c>
      <c r="B15" s="4" t="s">
        <v>85</v>
      </c>
      <c r="C15" s="4" t="s">
        <v>74</v>
      </c>
      <c r="D15" s="4" t="s">
        <v>51</v>
      </c>
      <c r="E15" s="4" t="s">
        <v>53</v>
      </c>
    </row>
    <row r="16" spans="1:5" x14ac:dyDescent="0.25">
      <c r="A16" t="s">
        <v>32</v>
      </c>
      <c r="B16" s="4" t="s">
        <v>86</v>
      </c>
      <c r="C16" s="4" t="s">
        <v>79</v>
      </c>
      <c r="D16" s="4" t="s">
        <v>53</v>
      </c>
      <c r="E16" s="4" t="s">
        <v>53</v>
      </c>
    </row>
    <row r="17" spans="1:5" x14ac:dyDescent="0.25">
      <c r="A17" t="s">
        <v>37</v>
      </c>
      <c r="B17" s="4" t="s">
        <v>80</v>
      </c>
      <c r="C17" s="4" t="s">
        <v>70</v>
      </c>
      <c r="D17" s="4" t="s">
        <v>47</v>
      </c>
      <c r="E17" s="4" t="s">
        <v>48</v>
      </c>
    </row>
    <row r="18" spans="1:5" x14ac:dyDescent="0.25">
      <c r="A18" t="s">
        <v>37</v>
      </c>
      <c r="B18" s="4" t="s">
        <v>71</v>
      </c>
      <c r="C18" s="4" t="s">
        <v>72</v>
      </c>
      <c r="D18" s="4" t="s">
        <v>47</v>
      </c>
      <c r="E18" s="4" t="s">
        <v>50</v>
      </c>
    </row>
    <row r="19" spans="1:5" x14ac:dyDescent="0.25">
      <c r="A19" t="s">
        <v>37</v>
      </c>
      <c r="B19" s="4" t="s">
        <v>87</v>
      </c>
      <c r="C19" s="4" t="s">
        <v>74</v>
      </c>
      <c r="D19" s="4" t="s">
        <v>48</v>
      </c>
      <c r="E19" s="4" t="s">
        <v>49</v>
      </c>
    </row>
    <row r="20" spans="1:5" x14ac:dyDescent="0.25">
      <c r="A20" t="s">
        <v>37</v>
      </c>
      <c r="B20" s="4" t="s">
        <v>88</v>
      </c>
      <c r="C20" s="4" t="s">
        <v>74</v>
      </c>
      <c r="D20" s="4" t="s">
        <v>49</v>
      </c>
      <c r="E20" s="4" t="s">
        <v>51</v>
      </c>
    </row>
    <row r="21" spans="1:5" x14ac:dyDescent="0.25">
      <c r="A21" t="s">
        <v>37</v>
      </c>
      <c r="B21" s="4" t="s">
        <v>89</v>
      </c>
      <c r="C21" s="4" t="s">
        <v>77</v>
      </c>
      <c r="D21" s="4" t="s">
        <v>49</v>
      </c>
      <c r="E21" s="4" t="s">
        <v>51</v>
      </c>
    </row>
    <row r="22" spans="1:5" x14ac:dyDescent="0.25">
      <c r="A22" t="s">
        <v>37</v>
      </c>
      <c r="B22" s="4" t="s">
        <v>86</v>
      </c>
      <c r="C22" s="4" t="s">
        <v>79</v>
      </c>
      <c r="D22" s="4" t="s">
        <v>52</v>
      </c>
      <c r="E22" s="4" t="s">
        <v>52</v>
      </c>
    </row>
  </sheetData>
  <mergeCells count="2">
    <mergeCell ref="A1:E1"/>
    <mergeCell ref="A2:E2"/>
  </mergeCells>
  <dataValidations count="2">
    <dataValidation type="list" allowBlank="1" sqref="C10:C22">
      <formula1>"front,supply,erection,ts,handover"</formula1>
    </dataValidation>
    <dataValidation type="list" allowBlank="1" sqref="C4:C22">
      <formula1>"front,supply,erection,ts,handover"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A623"/>
  </sheetPr>
  <dimension ref="A1:E5"/>
  <sheetFormatPr defaultRowHeight="15" outlineLevelRow="0" outlineLevelCol="0" x14ac:dyDescent="55"/>
  <cols>
    <col min="1" max="1" width="10" customWidth="1"/>
    <col min="2" max="2" width="12" customWidth="1"/>
    <col min="4" max="4" width="60" customWidth="1"/>
    <col min="5" max="5" width="50" customWidth="1"/>
  </cols>
  <sheetData>
    <row r="1" ht="28" customHeight="1" spans="1:5" x14ac:dyDescent="0.25">
      <c r="A1" s="1" t="s">
        <v>90</v>
      </c>
      <c r="B1" s="1"/>
      <c r="C1" s="1"/>
      <c r="D1" s="1"/>
      <c r="E1" s="1"/>
    </row>
    <row r="2" ht="30" customHeight="1" spans="1:5" x14ac:dyDescent="0.25">
      <c r="A2" s="2" t="s">
        <v>91</v>
      </c>
      <c r="B2" s="2"/>
      <c r="C2" s="2"/>
      <c r="D2" s="2"/>
      <c r="E2" s="2"/>
    </row>
    <row r="3" ht="32" customHeight="1" spans="1:5" x14ac:dyDescent="0.25">
      <c r="A3" s="9" t="s">
        <v>2</v>
      </c>
      <c r="B3" s="9" t="s">
        <v>92</v>
      </c>
      <c r="C3" s="9" t="s">
        <v>93</v>
      </c>
      <c r="D3" s="9" t="s">
        <v>94</v>
      </c>
      <c r="E3" s="9" t="s">
        <v>95</v>
      </c>
    </row>
    <row r="4" spans="1:5" x14ac:dyDescent="0.25">
      <c r="A4" t="s">
        <v>32</v>
      </c>
      <c r="B4" t="s">
        <v>96</v>
      </c>
      <c r="C4" t="s">
        <v>97</v>
      </c>
      <c r="D4" t="s">
        <v>98</v>
      </c>
      <c r="E4" t="s">
        <v>99</v>
      </c>
    </row>
    <row r="5" spans="1:5" x14ac:dyDescent="0.25">
      <c r="A5" t="s">
        <v>37</v>
      </c>
      <c r="B5" t="s">
        <v>100</v>
      </c>
      <c r="C5" t="s">
        <v>101</v>
      </c>
      <c r="D5" t="s">
        <v>102</v>
      </c>
      <c r="E5" t="s">
        <v>103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9D55"/>
  </sheetPr>
  <dimension ref="A1:H13"/>
  <sheetFormatPr defaultRowHeight="15" outlineLevelRow="0" outlineLevelCol="0" x14ac:dyDescent="55"/>
  <cols>
    <col min="1" max="1" width="30" customWidth="1"/>
    <col min="2" max="2" width="12" customWidth="1"/>
    <col min="3" max="6" width="10" customWidth="1"/>
    <col min="7" max="7" width="12" customWidth="1"/>
    <col min="8" max="8" width="110" customWidth="1"/>
  </cols>
  <sheetData>
    <row r="1" ht="28" customHeight="1" spans="1:8" x14ac:dyDescent="0.25">
      <c r="A1" s="1" t="s">
        <v>104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105</v>
      </c>
      <c r="B2" s="2"/>
      <c r="C2" s="2"/>
      <c r="D2" s="2"/>
      <c r="E2" s="2"/>
      <c r="F2" s="2"/>
      <c r="G2" s="2"/>
      <c r="H2" s="2"/>
    </row>
    <row r="3" ht="32" customHeight="1" spans="1:8" x14ac:dyDescent="0.25">
      <c r="A3" s="10" t="s">
        <v>106</v>
      </c>
      <c r="B3" s="10" t="s">
        <v>107</v>
      </c>
      <c r="C3" s="10" t="s">
        <v>9</v>
      </c>
      <c r="D3" s="10" t="s">
        <v>108</v>
      </c>
      <c r="E3" s="10" t="s">
        <v>109</v>
      </c>
      <c r="F3" s="10" t="s">
        <v>110</v>
      </c>
      <c r="G3" s="10" t="s">
        <v>92</v>
      </c>
      <c r="H3" s="10" t="s">
        <v>111</v>
      </c>
    </row>
    <row r="4" spans="1:8" x14ac:dyDescent="0.25">
      <c r="A4" t="s">
        <v>24</v>
      </c>
      <c r="B4" s="11" t="s">
        <v>112</v>
      </c>
      <c r="C4">
        <v>2000</v>
      </c>
      <c r="D4">
        <v>1399</v>
      </c>
      <c r="E4">
        <v>12</v>
      </c>
      <c r="F4">
        <v>0</v>
      </c>
      <c r="G4" t="s">
        <v>113</v>
      </c>
      <c r="H4" s="12" t="s">
        <v>114</v>
      </c>
    </row>
    <row r="5" spans="1:8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115</v>
      </c>
      <c r="H5" s="12" t="s">
        <v>116</v>
      </c>
    </row>
    <row r="6" spans="1:8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115</v>
      </c>
      <c r="H6" s="12" t="s">
        <v>117</v>
      </c>
    </row>
    <row r="7" spans="1:8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118</v>
      </c>
      <c r="H7" s="12" t="s">
        <v>119</v>
      </c>
    </row>
    <row r="8" spans="1:8" x14ac:dyDescent="0.25">
      <c r="A8" t="s">
        <v>33</v>
      </c>
      <c r="B8" s="11" t="s">
        <v>112</v>
      </c>
      <c r="C8">
        <v>1019</v>
      </c>
      <c r="D8">
        <v>1019</v>
      </c>
      <c r="E8">
        <v>0</v>
      </c>
      <c r="F8">
        <v>0</v>
      </c>
      <c r="G8" t="s">
        <v>115</v>
      </c>
      <c r="H8" s="12" t="s">
        <v>120</v>
      </c>
    </row>
    <row r="9" spans="1:8" x14ac:dyDescent="0.25">
      <c r="A9" t="s">
        <v>30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96</v>
      </c>
      <c r="H9" s="12" t="s">
        <v>121</v>
      </c>
    </row>
    <row r="10" spans="1:8" x14ac:dyDescent="0.25">
      <c r="A10" t="s">
        <v>30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118</v>
      </c>
      <c r="H10" s="12" t="s">
        <v>122</v>
      </c>
    </row>
    <row r="11" spans="1:8" x14ac:dyDescent="0.25">
      <c r="A11" t="s">
        <v>38</v>
      </c>
      <c r="B11" s="11" t="s">
        <v>112</v>
      </c>
      <c r="C11">
        <v>393</v>
      </c>
      <c r="D11">
        <v>393</v>
      </c>
      <c r="E11">
        <v>0</v>
      </c>
      <c r="F11">
        <v>0</v>
      </c>
      <c r="G11" t="s">
        <v>115</v>
      </c>
      <c r="H11" s="12" t="s">
        <v>123</v>
      </c>
    </row>
    <row r="12" spans="1:8" x14ac:dyDescent="0.25">
      <c r="A12" t="s">
        <v>30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118</v>
      </c>
      <c r="H12" s="12" t="s">
        <v>124</v>
      </c>
    </row>
    <row r="13" spans="1:8" x14ac:dyDescent="0.25">
      <c r="A13" t="s">
        <v>30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100</v>
      </c>
      <c r="H13" s="12" t="s">
        <v>125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</vt:lpstr>
      <vt:lpstr>Plan</vt:lpstr>
      <vt:lpstr>Fronts</vt:lpstr>
      <vt:lpstr>Concerns</vt:lpstr>
      <vt:lpstr>Engine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Schedule Engine</dc:creator>
  <dc:title/>
  <dc:subject/>
  <dc:description/>
  <cp:keywords/>
  <cp:category/>
  <cp:lastModifiedBy>Unknown</cp:lastModifiedBy>
  <dcterms:created xsi:type="dcterms:W3CDTF">2026-09-28T10:07:44Z</dcterms:created>
  <dcterms:modified xsi:type="dcterms:W3CDTF">2026-09-28T10:07:44Z</dcterms:modified>
</cp:coreProperties>
</file>