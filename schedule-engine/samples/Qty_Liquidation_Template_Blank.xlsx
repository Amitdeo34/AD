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  <sheet sheetId="2" name="Plan" state="visible" r:id="rId5"/>
    <sheet sheetId="3" name="Fronts" state="visible" r:id="rId6"/>
    <sheet sheetId="4" name="Concerns" state="visible" r:id="rId7"/>
  </sheets>
  <calcPr calcId="171027"/>
</workbook>
</file>

<file path=xl/sharedStrings.xml><?xml version="1.0" encoding="utf-8"?>
<sst xmlns="http://schemas.openxmlformats.org/spreadsheetml/2006/main" count="79" uniqueCount="65">
  <si>
    <t>Quantity tracker - items</t>
  </si>
  <si>
    <t>Unit MT · data as on 30-Sep-2026 · Fill orange cells. % columns are formulas. Import back with Qty &amp; Liquidation → Import Excel.</t>
  </si>
  <si>
    <t>ID</t>
  </si>
  <si>
    <t>Item / building</t>
  </si>
  <si>
    <t>Building</t>
  </si>
  <si>
    <t>WBS</t>
  </si>
  <si>
    <t>EPC</t>
  </si>
  <si>
    <t>Vendor</t>
  </si>
  <si>
    <t>Unit</t>
  </si>
  <si>
    <t>Scope</t>
  </si>
  <si>
    <t>Scope note</t>
  </si>
  <si>
    <t>Drawings released</t>
  </si>
  <si>
    <t>Supplied till date</t>
  </si>
  <si>
    <t>Erected till date</t>
  </si>
  <si>
    <t>Supply last month</t>
  </si>
  <si>
    <t>Erection last month</t>
  </si>
  <si>
    <t>Target supply finish (mmm-yy)</t>
  </si>
  <si>
    <t>Target erection finish (mmm-yy)</t>
  </si>
  <si>
    <t>Status (auto / ON TRACK / AT RISK / DELAYED)</t>
  </si>
  <si>
    <t>Drawings %</t>
  </si>
  <si>
    <t>Supplied %</t>
  </si>
  <si>
    <t>Erected %</t>
  </si>
  <si>
    <t>Balance to erect</t>
  </si>
  <si>
    <t>Q1</t>
  </si>
  <si>
    <t>Example building</t>
  </si>
  <si>
    <t/>
  </si>
  <si>
    <t>Construction</t>
  </si>
  <si>
    <t>Vendor name</t>
  </si>
  <si>
    <t>MT</t>
  </si>
  <si>
    <t>auto</t>
  </si>
  <si>
    <t>Monthly liquidation plan (MT)</t>
  </si>
  <si>
    <t>One row per item and stage. Months start after the data-as-on month. Check turns red when the plan total does not equal the balance (scope − done).</t>
  </si>
  <si>
    <t>Item</t>
  </si>
  <si>
    <t>Stage</t>
  </si>
  <si>
    <t>Balance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</si>
  <si>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</si>
  <si>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</si>
  <si>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</si>
  <si>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</si>
  <si>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</si>
  <si>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</si>
  <si>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</si>
  <si>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</si>
  <si>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</si>
  <si>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</si>
  <si>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</si>
  <si>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</si>
  <si>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Plan total</t>
  </si>
  <si>
    <t>Check</t>
  </si>
  <si>
    <t>Supply</t>
  </si>
  <si>
    <t>Erection</t>
  </si>
  <si>
    <t>Work fronts (rows of the work-front table)</t>
  </si>
  <si>
    <t>Category: front, supply, erection, ts, handover. Months as mmm-yy (e.g. Oct-26).</t>
  </si>
  <si>
    <t>Front</t>
  </si>
  <si>
    <t>Category</t>
  </si>
  <si>
    <t>From</t>
  </si>
  <si>
    <t>To</t>
  </si>
  <si>
    <t>Fabrication &amp; supply</t>
  </si>
  <si>
    <t>supply</t>
  </si>
  <si>
    <t>Your own concerns &amp; actions (the engine adds its automatic ones)</t>
  </si>
  <si>
    <t>Tag e.g. SUPPLY / DRAWINGS / ERECTION / FRONT / INTERFACE. Severity high or med.</t>
  </si>
  <si>
    <t>Tag</t>
  </si>
  <si>
    <t>Severity</t>
  </si>
  <si>
    <t>Concern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</si>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</sst>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5"/>
    </font>
    <font>
      <i/>
      <color rgb="FFFFFFFF"/>
      <sz val="9"/>
    </font>
    <font>
      <b/>
      <color rgb="FFFFFFFF"/>
      <sz val="9"/>
    </font>
  </fonts>
  <fills count="7">
    <fill>
      <patternFill patternType="none"/>
    </fill>
    <fill>
      <patternFill patternType="gray125"/>
    </fill>
    <fill>
      <patternFill patternType="solid">
        <fgColor rgb="FF0C233C"/>
      </patternFill>
    </fill>
    <fill>
      <patternFill patternType="solid">
        <fgColor rgb="FF1E49E2"/>
      </patternFill>
    </fill>
    <fill>
      <patternFill patternType="solid">
        <fgColor rgb="FFFFF4E5"/>
      </patternFill>
    </fill>
    <fill>
      <patternFill patternType="solid">
        <fgColor rgb="FFFD349C"/>
      </patternFill>
    </fill>
    <fill>
      <patternFill patternType="solid">
        <fgColor rgb="FFF5A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wrapText="1" indent="1"/>
    </xf>
    <xf numFmtId="0" fontId="3" fillId="2" borderId="0" xfId="0" applyFont="1" applyFill="1" applyAlignment="1">
      <alignment horizontal="center" vertical="center" wrapText="1"/>
    </xf>
    <xf numFmtId="0" fontId="0" fillId="4" borderId="0" xfId="0" applyFill="1"/>
    <xf numFmtId="9" fontId="0" fillId="0" borderId="0" xfId="0" applyNumberFormat="1"/>
    <xf numFmtId="0" fontId="3" fillId="3" borderId="0" xfId="0" applyFont="1" applyFill="1" applyAlignment="1">
      <alignment horizontal="center" vertical="center" wrapText="1"/>
    </xf>
    <xf numFmtId="3" fontId="0" fillId="4" borderId="0" xfId="0" applyNumberFormat="1" applyFill="1"/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ont>
        <b/>
        <color rgb="FF1F9D55"/>
      </font>
    </dxf>
    <dxf>
      <font>
        <b/>
        <color rgb="FFE5383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9E2"/>
  </sheetPr>
  <dimension ref="A1:U4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22" customWidth="1"/>
    <col min="4" max="4" width="20" customWidth="1"/>
    <col min="5" max="5" width="14" customWidth="1"/>
    <col min="6" max="6" width="22" customWidth="1"/>
    <col min="7" max="7" width="7" customWidth="1"/>
    <col min="8" max="8" width="10" customWidth="1"/>
    <col min="9" max="9" width="30" customWidth="1"/>
    <col min="10" max="12" width="11" customWidth="1"/>
    <col min="13" max="14" width="10" customWidth="1"/>
    <col min="15" max="16" width="12" customWidth="1"/>
    <col min="17" max="17" width="16" customWidth="1"/>
    <col min="21" max="21" width="10" customWidth="1"/>
  </cols>
  <sheetData>
    <row r="1" ht="28" customHeight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0" customHeight="1" spans="1: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32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t="s">
        <v>23</v>
      </c>
      <c r="B4" s="4" t="s">
        <v>24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>
        <v>1000</v>
      </c>
      <c r="I4" s="4" t="s">
        <v>25</v>
      </c>
      <c r="J4" s="4">
        <v>800</v>
      </c>
      <c r="K4" s="4">
        <v>100</v>
      </c>
      <c r="L4" s="4">
        <v>0</v>
      </c>
      <c r="M4" s="4">
        <v>50</v>
      </c>
      <c r="N4" s="4">
        <v>0</v>
      </c>
      <c r="O4" s="4" t="s">
        <v>25</v>
      </c>
      <c r="P4" s="4" t="s">
        <v>25</v>
      </c>
      <c r="Q4" s="4" t="s">
        <v>29</v>
      </c>
      <c r="R4" s="5">
        <f>IF(H4&gt;0,J4/H4,"")</f>
      </c>
      <c r="S4" s="5">
        <f>IF(H4&gt;0,K4/H4,"")</f>
      </c>
      <c r="T4" s="5">
        <f>IF(H4&gt;0,L4/H4,"")</f>
      </c>
      <c r="U4">
        <f>H4-L4</f>
      </c>
    </row>
  </sheetData>
  <mergeCells count="2">
    <mergeCell ref="A1:U1"/>
    <mergeCell ref="A2:U2"/>
  </mergeCells>
  <dataValidations count="3">
    <dataValidation type="list" allowBlank="1" sqref="E4">
      <formula1>"Engineering,Procurement,Construction,Others"</formula1>
    </dataValidation>
    <dataValidation type="decimal" allowBlank="1" showErrorMessage="1" errorTitle="Quantity" error="Cannot exceed the scope in column H" sqref="J4:L4">
      <formula1>0</formula1>
      <formula2>$H$4</formula2>
    </dataValidation>
    <dataValidation type="list" allowBlank="1" sqref="Q4">
      <formula1>"auto,ON TRACK,WATCH,AT RISK,DELAYED"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8F5"/>
  </sheetPr>
  <dimension ref="A1:R5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10" customWidth="1"/>
    <col min="4" max="4" width="11" customWidth="1"/>
    <col min="17" max="17" width="11" customWidth="1"/>
    <col min="18" max="18" width="18" customWidth="1"/>
  </cols>
  <sheetData>
    <row r="1" ht="28" customHeight="1" spans="1:18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0" customHeight="1" spans="1:18" x14ac:dyDescent="0.25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2" customHeight="1" spans="1:18" x14ac:dyDescent="0.25">
      <c r="A3" s="6" t="s">
        <v>2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6" t="s">
        <v>40</v>
      </c>
      <c r="K3" s="6" t="s">
        <v>41</v>
      </c>
      <c r="L3" s="6" t="s">
        <v>42</v>
      </c>
      <c r="M3" s="6" t="s">
        <v>43</v>
      </c>
      <c r="N3" s="6" t="s">
        <v>44</v>
      </c>
      <c r="O3" s="6" t="s">
        <v>45</v>
      </c>
      <c r="P3" s="6" t="s">
        <v>46</v>
      </c>
      <c r="Q3" s="6" t="s">
        <v>47</v>
      </c>
      <c r="R3" s="6" t="s">
        <v>48</v>
      </c>
    </row>
    <row r="4" spans="1:18" x14ac:dyDescent="0.25">
      <c r="A4" t="s">
        <v>23</v>
      </c>
      <c r="B4" t="s">
        <v>24</v>
      </c>
      <c r="C4" t="s">
        <v>49</v>
      </c>
      <c r="D4">
        <f>Items!H4-Items!K4</f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>
        <f>SUM(E4:P4)</f>
      </c>
      <c r="R4">
        <f>IF(ABS(Q4-D4)&lt;=1,"OK","Plan " &amp; TEXT(Q4,"#,##0") &amp; " vs balance " &amp; TEXT(D4,"#,##0"))</f>
      </c>
    </row>
    <row r="5" spans="1:18" x14ac:dyDescent="0.25">
      <c r="A5" t="s">
        <v>23</v>
      </c>
      <c r="B5" t="s">
        <v>24</v>
      </c>
      <c r="C5" t="s">
        <v>50</v>
      </c>
      <c r="D5">
        <f>Items!H4-Items!L4</f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>
        <f>SUM(E5:P5)</f>
      </c>
      <c r="R5">
        <f>IF(ABS(Q5-D5)&lt;=1,"OK","Plan " &amp; TEXT(Q5,"#,##0") &amp; " vs balance " &amp; TEXT(D5,"#,##0"))</f>
      </c>
    </row>
  </sheetData>
  <mergeCells count="2">
    <mergeCell ref="A1:R1"/>
    <mergeCell ref="A2:R2"/>
  </mergeCells>
  <conditionalFormatting sqref="R4:R5">
    <cfRule type="containsText" dxfId="0" priority="1">
      <formula>NOT(ISERROR(SEARCH("OK",R4)))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D349C"/>
  </sheetPr>
  <dimension ref="A1:E4"/>
  <sheetFormatPr defaultRowHeight="15" outlineLevelRow="0" outlineLevelCol="0" x14ac:dyDescent="55"/>
  <cols>
    <col min="1" max="1" width="10" customWidth="1"/>
    <col min="2" max="2" width="34" customWidth="1"/>
    <col min="3" max="3" width="14" customWidth="1"/>
    <col min="4" max="5" width="10" customWidth="1"/>
  </cols>
  <sheetData>
    <row r="1" ht="28" customHeight="1" spans="1:5" x14ac:dyDescent="0.25">
      <c r="A1" s="1" t="s">
        <v>51</v>
      </c>
      <c r="B1" s="1"/>
      <c r="C1" s="1"/>
      <c r="D1" s="1"/>
      <c r="E1" s="1"/>
    </row>
    <row r="2" ht="30" customHeight="1" spans="1:5" x14ac:dyDescent="0.25">
      <c r="A2" s="2" t="s">
        <v>52</v>
      </c>
      <c r="B2" s="2"/>
      <c r="C2" s="2"/>
      <c r="D2" s="2"/>
      <c r="E2" s="2"/>
    </row>
    <row r="3" ht="32" customHeight="1" spans="1:5" x14ac:dyDescent="0.25">
      <c r="A3" s="8" t="s">
        <v>2</v>
      </c>
      <c r="B3" s="8" t="s">
        <v>53</v>
      </c>
      <c r="C3" s="8" t="s">
        <v>54</v>
      </c>
      <c r="D3" s="8" t="s">
        <v>55</v>
      </c>
      <c r="E3" s="8" t="s">
        <v>56</v>
      </c>
    </row>
    <row r="4" spans="1:5" x14ac:dyDescent="0.25">
      <c r="A4" t="s">
        <v>23</v>
      </c>
      <c r="B4" s="4" t="s">
        <v>57</v>
      </c>
      <c r="C4" s="4" t="s">
        <v>58</v>
      </c>
      <c r="D4" s="4" t="s">
        <v>35</v>
      </c>
      <c r="E4" s="4" t="s">
        <v>38</v>
      </c>
    </row>
  </sheetData>
  <mergeCells count="2">
    <mergeCell ref="A1:E1"/>
    <mergeCell ref="A2:E2"/>
  </mergeCells>
  <dataValidations count="1">
    <dataValidation type="list" allowBlank="1" sqref="C4">
      <formula1>"front,supply,erection,ts,handover"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A623"/>
  </sheetPr>
  <dimension ref="A1:E3"/>
  <sheetFormatPr defaultRowHeight="15" outlineLevelRow="0" outlineLevelCol="0" x14ac:dyDescent="55"/>
  <cols>
    <col min="1" max="1" width="10" customWidth="1"/>
    <col min="2" max="2" width="12" customWidth="1"/>
    <col min="4" max="4" width="60" customWidth="1"/>
    <col min="5" max="5" width="50" customWidth="1"/>
  </cols>
  <sheetData>
    <row r="1" ht="28" customHeight="1" spans="1:5" x14ac:dyDescent="0.25">
      <c r="A1" s="1" t="s">
        <v>59</v>
      </c>
      <c r="B1" s="1"/>
      <c r="C1" s="1"/>
      <c r="D1" s="1"/>
      <c r="E1" s="1"/>
    </row>
    <row r="2" ht="30" customHeight="1" spans="1:5" x14ac:dyDescent="0.25">
      <c r="A2" s="2" t="s">
        <v>60</v>
      </c>
      <c r="B2" s="2"/>
      <c r="C2" s="2"/>
      <c r="D2" s="2"/>
      <c r="E2" s="2"/>
    </row>
    <row r="3" ht="32" customHeight="1" spans="1:5" x14ac:dyDescent="0.25">
      <c r="A3" s="9" t="s">
        <v>2</v>
      </c>
      <c r="B3" s="9" t="s">
        <v>61</v>
      </c>
      <c r="C3" s="9" t="s">
        <v>62</v>
      </c>
      <c r="D3" s="9" t="s">
        <v>63</v>
      </c>
      <c r="E3" s="9" t="s">
        <v>64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Items</vt:lpstr>
      <vt:lpstr>Plan</vt:lpstr>
      <vt:lpstr>Fronts</vt:lpstr>
      <vt:lpstr>Concerns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Schedule Engine</dc:creator>
  <dc:title/>
  <dc:subject/>
  <dc:description/>
  <cp:keywords/>
  <cp:category/>
  <cp:lastModifiedBy>Unknown</cp:lastModifiedBy>
  <dcterms:created xsi:type="dcterms:W3CDTF">2026-09-28T09:07:01Z</dcterms:created>
  <dcterms:modified xsi:type="dcterms:W3CDTF">2026-09-28T09:07:01Z</dcterms:modified>
</cp:coreProperties>
</file>